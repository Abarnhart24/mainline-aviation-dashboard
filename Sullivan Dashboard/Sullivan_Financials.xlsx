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s" sheetId="1" state="visible" r:id="rId3"/>
    <sheet name="Monthl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<sst xmlns="http://schemas.openxmlformats.org/spreadsheetml/2006/main" count="327" uniqueCount="117">
  <si>
    <t xml:space="preserve">Sullivan Rd — Financial Master Sheet  |  Add new rows below. Blue = enter data. Column L auto-flags duplicates. To import: open dashboard → Load Data → select this file.</t>
  </si>
  <si>
    <t xml:space="preserve">Airline</t>
  </si>
  <si>
    <t xml:space="preserve">Date</t>
  </si>
  <si>
    <t xml:space="preserve">Flight / Invoice</t>
  </si>
  <si>
    <t xml:space="preserve">Food Revenue</t>
  </si>
  <si>
    <t xml:space="preserve">Service Revenue</t>
  </si>
  <si>
    <t xml:space="preserve">Total Revenue</t>
  </si>
  <si>
    <t xml:space="preserve">Pax Count</t>
  </si>
  <si>
    <t xml:space="preserve">Status</t>
  </si>
  <si>
    <t xml:space="preserve">Notes</t>
  </si>
  <si>
    <t xml:space="preserve">Source File</t>
  </si>
  <si>
    <t xml:space="preserve">Unique Key</t>
  </si>
  <si>
    <t xml:space="preserve">Duplicate?</t>
  </si>
  <si>
    <t xml:space="preserve">VS</t>
  </si>
  <si>
    <t xml:space="preserve">Monthly Summary</t>
  </si>
  <si>
    <t xml:space="preserve">Paid</t>
  </si>
  <si>
    <t xml:space="preserve">Jan 2026 Sage Intacct</t>
  </si>
  <si>
    <t xml:space="preserve">Sage Intacct Export</t>
  </si>
  <si>
    <t xml:space="preserve">Feb 2026 Sage Intacct</t>
  </si>
  <si>
    <t xml:space="preserve">Mar 2026 Sage Intacct</t>
  </si>
  <si>
    <t xml:space="preserve">Apr 2026 Sage Intacct</t>
  </si>
  <si>
    <t xml:space="preserve">May 2026 Sage Intacct</t>
  </si>
  <si>
    <t xml:space="preserve">AA</t>
  </si>
  <si>
    <t xml:space="preserve">AA-INV-0101</t>
  </si>
  <si>
    <t xml:space="preserve">AA-INV-0104</t>
  </si>
  <si>
    <t xml:space="preserve">AA-INV-0111</t>
  </si>
  <si>
    <t xml:space="preserve">AA-INV-0118</t>
  </si>
  <si>
    <t xml:space="preserve">AA-INV-0125</t>
  </si>
  <si>
    <t xml:space="preserve">AA-INV-0131</t>
  </si>
  <si>
    <t xml:space="preserve">AA-INV-0201</t>
  </si>
  <si>
    <t xml:space="preserve">AA-INV-0208</t>
  </si>
  <si>
    <t xml:space="preserve">AA-INV-0215</t>
  </si>
  <si>
    <t xml:space="preserve">AA-INV-0222</t>
  </si>
  <si>
    <t xml:space="preserve">AA-INV-0228</t>
  </si>
  <si>
    <t xml:space="preserve">AA-INV-0301</t>
  </si>
  <si>
    <t xml:space="preserve">AA-INV-0308</t>
  </si>
  <si>
    <t xml:space="preserve">AA-INV-0315</t>
  </si>
  <si>
    <t xml:space="preserve">AA-INV-0322</t>
  </si>
  <si>
    <t xml:space="preserve">AA-INV-0329</t>
  </si>
  <si>
    <t xml:space="preserve">AA-INV-0331</t>
  </si>
  <si>
    <t xml:space="preserve">AA-INV-0401</t>
  </si>
  <si>
    <t xml:space="preserve">Credit memo</t>
  </si>
  <si>
    <t xml:space="preserve">AA-INV-0405</t>
  </si>
  <si>
    <t xml:space="preserve">AA-INV-0412</t>
  </si>
  <si>
    <t xml:space="preserve">AA-INV-0419</t>
  </si>
  <si>
    <t xml:space="preserve">AA-INV-0426</t>
  </si>
  <si>
    <t xml:space="preserve">AA-INV-0430</t>
  </si>
  <si>
    <t xml:space="preserve">AA-INV-0503</t>
  </si>
  <si>
    <t xml:space="preserve">ET</t>
  </si>
  <si>
    <t xml:space="preserve">ET-INV-0108</t>
  </si>
  <si>
    <t xml:space="preserve">Invoiced</t>
  </si>
  <si>
    <t xml:space="preserve">ET-INV-0119</t>
  </si>
  <si>
    <t xml:space="preserve">ET-INV-0204</t>
  </si>
  <si>
    <t xml:space="preserve">ET-INV-0223</t>
  </si>
  <si>
    <t xml:space="preserve">ET519</t>
  </si>
  <si>
    <t xml:space="preserve">ET20260522 · 20 biz / 231 econ pax</t>
  </si>
  <si>
    <t xml:space="preserve">Mainline Aviation - ET Invoice NEW revised.xlsx</t>
  </si>
  <si>
    <t xml:space="preserve">ET20260525 · 22 biz / 239 econ pax</t>
  </si>
  <si>
    <t xml:space="preserve">ET20260527 · 20 biz / 225 econ pax</t>
  </si>
  <si>
    <t xml:space="preserve">ET20260529 · 22 biz / 222 econ pax</t>
  </si>
  <si>
    <t xml:space="preserve">SK</t>
  </si>
  <si>
    <t xml:space="preserve">SK-7776698</t>
  </si>
  <si>
    <t xml:space="preserve">PA</t>
  </si>
  <si>
    <t xml:space="preserve">Raw SAS CSV - UNPAID</t>
  </si>
  <si>
    <t xml:space="preserve">SAS full detail.csv</t>
  </si>
  <si>
    <t xml:space="preserve">SK-7776699</t>
  </si>
  <si>
    <t xml:space="preserve">SK-7777180</t>
  </si>
  <si>
    <t xml:space="preserve">SK-7778992</t>
  </si>
  <si>
    <t xml:space="preserve">SK-7778993</t>
  </si>
  <si>
    <t xml:space="preserve">SK-7779997</t>
  </si>
  <si>
    <t xml:space="preserve">SK-7780921</t>
  </si>
  <si>
    <t xml:space="preserve">SK-7782088</t>
  </si>
  <si>
    <t xml:space="preserve">SK-7783069</t>
  </si>
  <si>
    <t xml:space="preserve">SK-7783538</t>
  </si>
  <si>
    <t xml:space="preserve">SK-7784044</t>
  </si>
  <si>
    <t xml:space="preserve">SK-7785406</t>
  </si>
  <si>
    <t xml:space="preserve">SK-7785886</t>
  </si>
  <si>
    <t xml:space="preserve">SK-7786379</t>
  </si>
  <si>
    <t xml:space="preserve">SK-7786867</t>
  </si>
  <si>
    <t xml:space="preserve">PC</t>
  </si>
  <si>
    <t xml:space="preserve">Raw SAS CSV - PARTIALLY CONFIRMED</t>
  </si>
  <si>
    <t xml:space="preserve">SK-7787833</t>
  </si>
  <si>
    <t xml:space="preserve">SK-7788737</t>
  </si>
  <si>
    <t xml:space="preserve">SK-7789255</t>
  </si>
  <si>
    <t xml:space="preserve">SK-7789257</t>
  </si>
  <si>
    <t xml:space="preserve">SK-7789256</t>
  </si>
  <si>
    <t xml:space="preserve">Sullivan Rd — Monthly Revenue Summary  (auto-calculated from Flights sheet)</t>
  </si>
  <si>
    <t xml:space="preserve">Month</t>
  </si>
  <si>
    <t xml:space="preserve">Month Start</t>
  </si>
  <si>
    <t xml:space="preserve">VS Food</t>
  </si>
  <si>
    <t xml:space="preserve">VS Svc</t>
  </si>
  <si>
    <t xml:space="preserve">VS Total</t>
  </si>
  <si>
    <t xml:space="preserve">AA Food</t>
  </si>
  <si>
    <t xml:space="preserve">AA Svc</t>
  </si>
  <si>
    <t xml:space="preserve">AA Total</t>
  </si>
  <si>
    <t xml:space="preserve">ET Food</t>
  </si>
  <si>
    <t xml:space="preserve">ET Svc</t>
  </si>
  <si>
    <t xml:space="preserve">ET Total</t>
  </si>
  <si>
    <t xml:space="preserve">SK Food</t>
  </si>
  <si>
    <t xml:space="preserve">SK Svc</t>
  </si>
  <si>
    <t xml:space="preserve">SK Total</t>
  </si>
  <si>
    <t xml:space="preserve">Grand Food</t>
  </si>
  <si>
    <t xml:space="preserve">Grand Svc</t>
  </si>
  <si>
    <t xml:space="preserve">Grand Total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</si>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</sst>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d&quot;, &quot;yyyy"/>
    <numFmt numFmtId="166" formatCode="\$#,##0.00;&quot;($&quot;#,##0.00\);\-"/>
    <numFmt numFmtId="167" formatCode="#,##0;\-;\-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E8EEF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E8EEF5"/>
      <name val="Arial"/>
      <family val="0"/>
      <charset val="1"/>
    </font>
    <font>
      <b val="true"/>
      <sz val="9"/>
      <color rgb="FFE8EEF5"/>
      <name val="Arial"/>
      <family val="0"/>
      <charset val="1"/>
    </font>
    <font>
      <sz val="8"/>
      <color rgb="FF94A3B8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0F1623"/>
        <bgColor rgb="FF1E293B"/>
      </patternFill>
    </fill>
    <fill>
      <patternFill patternType="solid">
        <fgColor rgb="FFFFF5F5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0F5FF"/>
        <bgColor rgb="FFF1F5F9"/>
      </patternFill>
    </fill>
    <fill>
      <patternFill patternType="solid">
        <fgColor rgb="FFF0FFF4"/>
        <bgColor rgb="FFF8FAFC"/>
      </patternFill>
    </fill>
    <fill>
      <patternFill patternType="solid">
        <fgColor rgb="FFF5F0FF"/>
        <bgColor rgb="FFF0F5FF"/>
      </patternFill>
    </fill>
    <fill>
      <patternFill patternType="solid">
        <fgColor rgb="FFC41E3A"/>
        <bgColor rgb="FF993366"/>
      </patternFill>
    </fill>
    <fill>
      <patternFill patternType="solid">
        <fgColor rgb="FF0078D7"/>
        <bgColor rgb="FF008080"/>
      </patternFill>
    </fill>
    <fill>
      <patternFill patternType="solid">
        <fgColor rgb="FF007A4D"/>
        <bgColor rgb="FF008080"/>
      </patternFill>
    </fill>
    <fill>
      <patternFill patternType="solid">
        <fgColor rgb="FF003F87"/>
        <bgColor rgb="FF1E3A5F"/>
      </patternFill>
    </fill>
    <fill>
      <patternFill patternType="solid">
        <fgColor rgb="FF1E293B"/>
        <bgColor rgb="FF1E3A5F"/>
      </patternFill>
    </fill>
    <fill>
      <patternFill patternType="solid">
        <fgColor rgb="FFF1F5F9"/>
        <bgColor rgb="FFF0F5FF"/>
      </patternFill>
    </fill>
    <fill>
      <patternFill patternType="solid">
        <fgColor rgb="FFFFFFFF"/>
        <bgColor rgb="FFF8FAF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 diagonalUp="false" diagonalDown="false">
      <left style="medium">
        <color rgb="FF334155"/>
      </left>
      <right style="medium">
        <color rgb="FF334155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A4D"/>
      <rgbColor rgb="FFF8FAFC"/>
      <rgbColor rgb="FF888888"/>
      <rgbColor rgb="FF9999FF"/>
      <rgbColor rgb="FFC41E3A"/>
      <rgbColor rgb="FFF0FFF4"/>
      <rgbColor rgb="FFE8EEF5"/>
      <rgbColor rgb="FF660066"/>
      <rgbColor rgb="FFFF8080"/>
      <rgbColor rgb="FF0078D7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FF"/>
      <rgbColor rgb="FFF1F5F9"/>
      <rgbColor rgb="FFFFF5F5"/>
      <rgbColor rgb="FF99CCFF"/>
      <rgbColor rgb="FFFF99CC"/>
      <rgbColor rgb="FFCC99FF"/>
      <rgbColor rgb="FFF5F0FF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03F87"/>
      <rgbColor rgb="FF339966"/>
      <rgbColor rgb="FF0F1623"/>
      <rgbColor rgb="FF334155"/>
      <rgbColor rgb="FF993300"/>
      <rgbColor rgb="FF993366"/>
      <rgbColor rgb="FF1E3A5F"/>
      <rgbColor rgb="FF1E293B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8"/>
    <col collapsed="false" customWidth="true" hidden="false" outlineLevel="0" max="12" min="12" style="0" width="11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.75" hidden="false" customHeight="true" outlineLevel="0" collapsed="false">
      <c r="A3" s="3" t="s">
        <v>13</v>
      </c>
      <c r="B3" s="4" t="n">
        <v>46023</v>
      </c>
      <c r="C3" s="5" t="s">
        <v>14</v>
      </c>
      <c r="D3" s="6" t="n">
        <v>229644.41</v>
      </c>
      <c r="E3" s="6" t="n">
        <v>140927.3</v>
      </c>
      <c r="F3" s="7" t="str">
        <f aca="false">IF(AND(D2="",E2=""),"",IFERROR(D2+E2,""))</f>
        <v/>
      </c>
      <c r="G3" s="8"/>
      <c r="H3" s="9" t="s">
        <v>15</v>
      </c>
      <c r="I3" s="5" t="s">
        <v>16</v>
      </c>
      <c r="J3" s="10" t="s">
        <v>17</v>
      </c>
      <c r="K3" s="11" t="str">
        <f aca="false">A2&amp;"|"&amp;TEXT(B2,"YYYY-MM-DD")&amp;"|"&amp;C2</f>
        <v>Airline|Date|Flight / Invoice</v>
      </c>
      <c r="L3" s="12" t="str">
        <f aca="false">IF(COUNTIFS($A$2:A2,$A2,$B$2:$B2,$B2,$C$2:$C2,$C2)&gt;1,"⚠ DUPLICATE","✓ OK")</f>
        <v>✓ OK</v>
      </c>
    </row>
    <row r="4" customFormat="false" ht="15.75" hidden="false" customHeight="true" outlineLevel="0" collapsed="false">
      <c r="A4" s="3" t="s">
        <v>13</v>
      </c>
      <c r="B4" s="4" t="n">
        <v>46054</v>
      </c>
      <c r="C4" s="5" t="s">
        <v>14</v>
      </c>
      <c r="D4" s="6" t="n">
        <v>186972.31</v>
      </c>
      <c r="E4" s="6" t="n">
        <v>114949.32</v>
      </c>
      <c r="F4" s="7" t="n">
        <f aca="false">IF(AND(D3="",E3=""),"",IFERROR(D3+E3,""))</f>
        <v>370571.71</v>
      </c>
      <c r="G4" s="8"/>
      <c r="H4" s="9" t="s">
        <v>15</v>
      </c>
      <c r="I4" s="5" t="s">
        <v>18</v>
      </c>
      <c r="J4" s="10" t="s">
        <v>17</v>
      </c>
      <c r="K4" s="11" t="str">
        <f aca="false">A3&amp;"|"&amp;TEXT(B3,"YYYY-MM-DD")&amp;"|"&amp;C3</f>
        <v>VS|2026-01-01|Monthly Summary</v>
      </c>
      <c r="L4" s="12" t="str">
        <f aca="false">IF(COUNTIFS($A$2:A3,$A3,$B$2:$B3,$B3,$C$2:$C3,$C3)&gt;1,"⚠ DUPLICATE","✓ OK")</f>
        <v>✓ OK</v>
      </c>
    </row>
    <row r="5" customFormat="false" ht="15.75" hidden="false" customHeight="true" outlineLevel="0" collapsed="false">
      <c r="A5" s="3" t="s">
        <v>13</v>
      </c>
      <c r="B5" s="4" t="n">
        <v>46082</v>
      </c>
      <c r="C5" s="5" t="s">
        <v>14</v>
      </c>
      <c r="D5" s="6" t="n">
        <v>241979.11</v>
      </c>
      <c r="E5" s="6" t="n">
        <v>127316.08</v>
      </c>
      <c r="F5" s="7" t="n">
        <f aca="false">IF(AND(D4="",E4=""),"",IFERROR(D4+E4,""))</f>
        <v>301921.63</v>
      </c>
      <c r="G5" s="8"/>
      <c r="H5" s="9" t="s">
        <v>15</v>
      </c>
      <c r="I5" s="5" t="s">
        <v>19</v>
      </c>
      <c r="J5" s="10" t="s">
        <v>17</v>
      </c>
      <c r="K5" s="11" t="str">
        <f aca="false">A4&amp;"|"&amp;TEXT(B4,"YYYY-MM-DD")&amp;"|"&amp;C4</f>
        <v>VS|2026-02-01|Monthly Summary</v>
      </c>
      <c r="L5" s="12" t="str">
        <f aca="false">IF(COUNTIFS($A$2:A4,$A4,$B$2:$B4,$B4,$C$2:$C4,$C4)&gt;1,"⚠ DUPLICATE","✓ OK")</f>
        <v>✓ OK</v>
      </c>
    </row>
    <row r="6" customFormat="false" ht="15.75" hidden="false" customHeight="true" outlineLevel="0" collapsed="false">
      <c r="A6" s="3" t="s">
        <v>13</v>
      </c>
      <c r="B6" s="4" t="n">
        <v>46113</v>
      </c>
      <c r="C6" s="5" t="s">
        <v>14</v>
      </c>
      <c r="D6" s="6" t="n">
        <v>285489.64</v>
      </c>
      <c r="E6" s="6" t="n">
        <v>142136.08</v>
      </c>
      <c r="F6" s="7" t="n">
        <f aca="false">IF(AND(D5="",E5=""),"",IFERROR(D5+E5,""))</f>
        <v>369295.19</v>
      </c>
      <c r="G6" s="8"/>
      <c r="H6" s="9" t="s">
        <v>15</v>
      </c>
      <c r="I6" s="5" t="s">
        <v>20</v>
      </c>
      <c r="J6" s="10" t="s">
        <v>17</v>
      </c>
      <c r="K6" s="11" t="str">
        <f aca="false">A5&amp;"|"&amp;TEXT(B5,"YYYY-MM-DD")&amp;"|"&amp;C5</f>
        <v>VS|2026-03-01|Monthly Summary</v>
      </c>
      <c r="L6" s="12" t="str">
        <f aca="false">IF(COUNTIFS($A$2:A5,$A5,$B$2:$B5,$B5,$C$2:$C5,$C5)&gt;1,"⚠ DUPLICATE","✓ OK")</f>
        <v>✓ OK</v>
      </c>
    </row>
    <row r="7" customFormat="false" ht="15.75" hidden="false" customHeight="true" outlineLevel="0" collapsed="false">
      <c r="A7" s="3" t="s">
        <v>13</v>
      </c>
      <c r="B7" s="4" t="n">
        <v>46143</v>
      </c>
      <c r="C7" s="5" t="s">
        <v>14</v>
      </c>
      <c r="D7" s="6" t="n">
        <v>302760.27</v>
      </c>
      <c r="E7" s="6" t="n">
        <v>149155.53</v>
      </c>
      <c r="F7" s="7" t="n">
        <f aca="false">IF(AND(D6="",E6=""),"",IFERROR(D6+E6,""))</f>
        <v>427625.72</v>
      </c>
      <c r="G7" s="8"/>
      <c r="H7" s="9" t="s">
        <v>15</v>
      </c>
      <c r="I7" s="5" t="s">
        <v>21</v>
      </c>
      <c r="J7" s="10" t="s">
        <v>17</v>
      </c>
      <c r="K7" s="11" t="str">
        <f aca="false">A6&amp;"|"&amp;TEXT(B6,"YYYY-MM-DD")&amp;"|"&amp;C6</f>
        <v>VS|2026-04-01|Monthly Summary</v>
      </c>
      <c r="L7" s="12" t="str">
        <f aca="false">IF(COUNTIFS($A$2:A6,$A6,$B$2:$B6,$B6,$C$2:$C6,$C6)&gt;1,"⚠ DUPLICATE","✓ OK")</f>
        <v>✓ OK</v>
      </c>
    </row>
    <row r="8" customFormat="false" ht="15.75" hidden="false" customHeight="true" outlineLevel="0" collapsed="false">
      <c r="A8" s="13" t="s">
        <v>22</v>
      </c>
      <c r="B8" s="14" t="n">
        <v>46023</v>
      </c>
      <c r="C8" s="15" t="s">
        <v>23</v>
      </c>
      <c r="D8" s="16" t="n">
        <v>4653.37</v>
      </c>
      <c r="E8" s="16" t="n">
        <v>0</v>
      </c>
      <c r="F8" s="17" t="n">
        <f aca="false">IF(AND(D7="",E7=""),"",IFERROR(D7+E7,""))</f>
        <v>451915.8</v>
      </c>
      <c r="G8" s="18"/>
      <c r="H8" s="19" t="s">
        <v>15</v>
      </c>
      <c r="I8" s="15"/>
      <c r="J8" s="20" t="s">
        <v>17</v>
      </c>
      <c r="K8" s="11" t="str">
        <f aca="false">A7&amp;"|"&amp;TEXT(B7,"YYYY-MM-DD")&amp;"|"&amp;C7</f>
        <v>VS|2026-05-01|Monthly Summary</v>
      </c>
      <c r="L8" s="21" t="str">
        <f aca="false">IF(COUNTIFS($A$2:A7,$A7,$B$2:$B7,$B7,$C$2:$C7,$C7)&gt;1,"⚠ DUPLICATE","✓ OK")</f>
        <v>✓ OK</v>
      </c>
    </row>
    <row r="9" customFormat="false" ht="15.75" hidden="false" customHeight="true" outlineLevel="0" collapsed="false">
      <c r="A9" s="13" t="s">
        <v>22</v>
      </c>
      <c r="B9" s="14" t="n">
        <v>46026</v>
      </c>
      <c r="C9" s="15" t="s">
        <v>24</v>
      </c>
      <c r="D9" s="16" t="n">
        <v>1725.76</v>
      </c>
      <c r="E9" s="16" t="n">
        <v>9801.78</v>
      </c>
      <c r="F9" s="17" t="n">
        <f aca="false">IF(AND(D8="",E8=""),"",IFERROR(D8+E8,""))</f>
        <v>4653.37</v>
      </c>
      <c r="G9" s="18"/>
      <c r="H9" s="19" t="s">
        <v>15</v>
      </c>
      <c r="I9" s="15"/>
      <c r="J9" s="20" t="s">
        <v>17</v>
      </c>
      <c r="K9" s="11" t="str">
        <f aca="false">A8&amp;"|"&amp;TEXT(B8,"YYYY-MM-DD")&amp;"|"&amp;C8</f>
        <v>AA|2026-01-01|AA-INV-0101</v>
      </c>
      <c r="L9" s="21" t="str">
        <f aca="false">IF(COUNTIFS($A$2:A8,$A8,$B$2:$B8,$B8,$C$2:$C8,$C8)&gt;1,"⚠ DUPLICATE","✓ OK")</f>
        <v>✓ OK</v>
      </c>
    </row>
    <row r="10" customFormat="false" ht="15.75" hidden="false" customHeight="true" outlineLevel="0" collapsed="false">
      <c r="A10" s="13" t="s">
        <v>22</v>
      </c>
      <c r="B10" s="14" t="n">
        <v>46033</v>
      </c>
      <c r="C10" s="15" t="s">
        <v>25</v>
      </c>
      <c r="D10" s="16" t="n">
        <v>2240.11</v>
      </c>
      <c r="E10" s="16" t="n">
        <v>14853.85</v>
      </c>
      <c r="F10" s="17" t="n">
        <f aca="false">IF(AND(D9="",E9=""),"",IFERROR(D9+E9,""))</f>
        <v>11527.54</v>
      </c>
      <c r="G10" s="18"/>
      <c r="H10" s="19" t="s">
        <v>15</v>
      </c>
      <c r="I10" s="15"/>
      <c r="J10" s="20" t="s">
        <v>17</v>
      </c>
      <c r="K10" s="11" t="str">
        <f aca="false">A9&amp;"|"&amp;TEXT(B9,"YYYY-MM-DD")&amp;"|"&amp;C9</f>
        <v>AA|2026-01-04|AA-INV-0104</v>
      </c>
      <c r="L10" s="21" t="str">
        <f aca="false">IF(COUNTIFS($A$2:A9,$A9,$B$2:$B9,$B9,$C$2:$C9,$C9)&gt;1,"⚠ DUPLICATE","✓ OK")</f>
        <v>✓ OK</v>
      </c>
    </row>
    <row r="11" customFormat="false" ht="15.75" hidden="false" customHeight="true" outlineLevel="0" collapsed="false">
      <c r="A11" s="13" t="s">
        <v>22</v>
      </c>
      <c r="B11" s="14" t="n">
        <v>46040</v>
      </c>
      <c r="C11" s="15" t="s">
        <v>26</v>
      </c>
      <c r="D11" s="16" t="n">
        <v>2327.43</v>
      </c>
      <c r="E11" s="16" t="n">
        <v>14442.99</v>
      </c>
      <c r="F11" s="17" t="n">
        <f aca="false">IF(AND(D10="",E10=""),"",IFERROR(D10+E10,""))</f>
        <v>17093.96</v>
      </c>
      <c r="G11" s="18"/>
      <c r="H11" s="19" t="s">
        <v>15</v>
      </c>
      <c r="I11" s="15"/>
      <c r="J11" s="20" t="s">
        <v>17</v>
      </c>
      <c r="K11" s="11" t="str">
        <f aca="false">A10&amp;"|"&amp;TEXT(B10,"YYYY-MM-DD")&amp;"|"&amp;C10</f>
        <v>AA|2026-01-11|AA-INV-0111</v>
      </c>
      <c r="L11" s="21" t="str">
        <f aca="false">IF(COUNTIFS($A$2:A10,$A10,$B$2:$B10,$B10,$C$2:$C10,$C10)&gt;1,"⚠ DUPLICATE","✓ OK")</f>
        <v>✓ OK</v>
      </c>
    </row>
    <row r="12" customFormat="false" ht="15.75" hidden="false" customHeight="true" outlineLevel="0" collapsed="false">
      <c r="A12" s="13" t="s">
        <v>22</v>
      </c>
      <c r="B12" s="14" t="n">
        <v>46047</v>
      </c>
      <c r="C12" s="15" t="s">
        <v>27</v>
      </c>
      <c r="D12" s="16" t="n">
        <v>2385.76</v>
      </c>
      <c r="E12" s="16" t="n">
        <v>13536.27</v>
      </c>
      <c r="F12" s="17" t="n">
        <f aca="false">IF(AND(D11="",E11=""),"",IFERROR(D11+E11,""))</f>
        <v>16770.42</v>
      </c>
      <c r="G12" s="18"/>
      <c r="H12" s="19" t="s">
        <v>15</v>
      </c>
      <c r="I12" s="15"/>
      <c r="J12" s="20" t="s">
        <v>17</v>
      </c>
      <c r="K12" s="11" t="str">
        <f aca="false">A11&amp;"|"&amp;TEXT(B11,"YYYY-MM-DD")&amp;"|"&amp;C11</f>
        <v>AA|2026-01-18|AA-INV-0118</v>
      </c>
      <c r="L12" s="21" t="str">
        <f aca="false">IF(COUNTIFS($A$2:A11,$A11,$B$2:$B11,$B11,$C$2:$C11,$C11)&gt;1,"⚠ DUPLICATE","✓ OK")</f>
        <v>✓ OK</v>
      </c>
    </row>
    <row r="13" customFormat="false" ht="15.75" hidden="false" customHeight="true" outlineLevel="0" collapsed="false">
      <c r="A13" s="13" t="s">
        <v>22</v>
      </c>
      <c r="B13" s="14" t="n">
        <v>46053</v>
      </c>
      <c r="C13" s="15" t="s">
        <v>28</v>
      </c>
      <c r="D13" s="16" t="n">
        <v>6246.17</v>
      </c>
      <c r="E13" s="16" t="n">
        <v>9208.3</v>
      </c>
      <c r="F13" s="17" t="n">
        <f aca="false">IF(AND(D12="",E12=""),"",IFERROR(D12+E12,""))</f>
        <v>15922.03</v>
      </c>
      <c r="G13" s="18"/>
      <c r="H13" s="19" t="s">
        <v>15</v>
      </c>
      <c r="I13" s="15"/>
      <c r="J13" s="20" t="s">
        <v>17</v>
      </c>
      <c r="K13" s="11" t="str">
        <f aca="false">A12&amp;"|"&amp;TEXT(B12,"YYYY-MM-DD")&amp;"|"&amp;C12</f>
        <v>AA|2026-01-25|AA-INV-0125</v>
      </c>
      <c r="L13" s="21" t="str">
        <f aca="false">IF(COUNTIFS($A$2:A12,$A12,$B$2:$B12,$B12,$C$2:$C12,$C12)&gt;1,"⚠ DUPLICATE","✓ OK")</f>
        <v>✓ OK</v>
      </c>
    </row>
    <row r="14" customFormat="false" ht="15.75" hidden="false" customHeight="true" outlineLevel="0" collapsed="false">
      <c r="A14" s="13" t="s">
        <v>22</v>
      </c>
      <c r="B14" s="14" t="n">
        <v>46054</v>
      </c>
      <c r="C14" s="15" t="s">
        <v>29</v>
      </c>
      <c r="D14" s="16" t="n">
        <v>528.47</v>
      </c>
      <c r="E14" s="16" t="n">
        <v>2378.68</v>
      </c>
      <c r="F14" s="17" t="n">
        <f aca="false">IF(AND(D13="",E13=""),"",IFERROR(D13+E13,""))</f>
        <v>15454.47</v>
      </c>
      <c r="G14" s="18"/>
      <c r="H14" s="19" t="s">
        <v>15</v>
      </c>
      <c r="I14" s="15"/>
      <c r="J14" s="20" t="s">
        <v>17</v>
      </c>
      <c r="K14" s="11" t="str">
        <f aca="false">A13&amp;"|"&amp;TEXT(B13,"YYYY-MM-DD")&amp;"|"&amp;C13</f>
        <v>AA|2026-01-31|AA-INV-0131</v>
      </c>
      <c r="L14" s="21" t="str">
        <f aca="false">IF(COUNTIFS($A$2:A13,$A13,$B$2:$B13,$B13,$C$2:$C13,$C13)&gt;1,"⚠ DUPLICATE","✓ OK")</f>
        <v>✓ OK</v>
      </c>
    </row>
    <row r="15" customFormat="false" ht="15.75" hidden="false" customHeight="true" outlineLevel="0" collapsed="false">
      <c r="A15" s="13" t="s">
        <v>22</v>
      </c>
      <c r="B15" s="14" t="n">
        <v>46061</v>
      </c>
      <c r="C15" s="15" t="s">
        <v>30</v>
      </c>
      <c r="D15" s="16" t="n">
        <v>2453.21</v>
      </c>
      <c r="E15" s="16" t="n">
        <v>13601.09</v>
      </c>
      <c r="F15" s="17" t="n">
        <f aca="false">IF(AND(D14="",E14=""),"",IFERROR(D14+E14,""))</f>
        <v>2907.15</v>
      </c>
      <c r="G15" s="18"/>
      <c r="H15" s="19" t="s">
        <v>15</v>
      </c>
      <c r="I15" s="15"/>
      <c r="J15" s="20" t="s">
        <v>17</v>
      </c>
      <c r="K15" s="11" t="str">
        <f aca="false">A14&amp;"|"&amp;TEXT(B14,"YYYY-MM-DD")&amp;"|"&amp;C14</f>
        <v>AA|2026-02-01|AA-INV-0201</v>
      </c>
      <c r="L15" s="21" t="str">
        <f aca="false">IF(COUNTIFS($A$2:A14,$A14,$B$2:$B14,$B14,$C$2:$C14,$C14)&gt;1,"⚠ DUPLICATE","✓ OK")</f>
        <v>✓ OK</v>
      </c>
    </row>
    <row r="16" customFormat="false" ht="15.75" hidden="false" customHeight="true" outlineLevel="0" collapsed="false">
      <c r="A16" s="13" t="s">
        <v>22</v>
      </c>
      <c r="B16" s="14" t="n">
        <v>46068</v>
      </c>
      <c r="C16" s="15" t="s">
        <v>31</v>
      </c>
      <c r="D16" s="16" t="n">
        <v>2659.18</v>
      </c>
      <c r="E16" s="16" t="n">
        <v>15439</v>
      </c>
      <c r="F16" s="17" t="n">
        <f aca="false">IF(AND(D15="",E15=""),"",IFERROR(D15+E15,""))</f>
        <v>16054.3</v>
      </c>
      <c r="G16" s="18"/>
      <c r="H16" s="19" t="s">
        <v>15</v>
      </c>
      <c r="I16" s="15"/>
      <c r="J16" s="20" t="s">
        <v>17</v>
      </c>
      <c r="K16" s="11" t="str">
        <f aca="false">A15&amp;"|"&amp;TEXT(B15,"YYYY-MM-DD")&amp;"|"&amp;C15</f>
        <v>AA|2026-02-08|AA-INV-0208</v>
      </c>
      <c r="L16" s="21" t="str">
        <f aca="false">IF(COUNTIFS($A$2:A15,$A15,$B$2:$B15,$B15,$C$2:$C15,$C15)&gt;1,"⚠ DUPLICATE","✓ OK")</f>
        <v>✓ OK</v>
      </c>
    </row>
    <row r="17" customFormat="false" ht="15.75" hidden="false" customHeight="true" outlineLevel="0" collapsed="false">
      <c r="A17" s="13" t="s">
        <v>22</v>
      </c>
      <c r="B17" s="14" t="n">
        <v>46075</v>
      </c>
      <c r="C17" s="15" t="s">
        <v>32</v>
      </c>
      <c r="D17" s="16" t="n">
        <v>2884.78</v>
      </c>
      <c r="E17" s="16" t="n">
        <v>17396.34</v>
      </c>
      <c r="F17" s="17" t="n">
        <f aca="false">IF(AND(D16="",E16=""),"",IFERROR(D16+E16,""))</f>
        <v>18098.18</v>
      </c>
      <c r="G17" s="18"/>
      <c r="H17" s="19" t="s">
        <v>15</v>
      </c>
      <c r="I17" s="15"/>
      <c r="J17" s="20" t="s">
        <v>17</v>
      </c>
      <c r="K17" s="11" t="str">
        <f aca="false">A16&amp;"|"&amp;TEXT(B16,"YYYY-MM-DD")&amp;"|"&amp;C16</f>
        <v>AA|2026-02-15|AA-INV-0215</v>
      </c>
      <c r="L17" s="21" t="str">
        <f aca="false">IF(COUNTIFS($A$2:A16,$A16,$B$2:$B16,$B16,$C$2:$C16,$C16)&gt;1,"⚠ DUPLICATE","✓ OK")</f>
        <v>✓ OK</v>
      </c>
    </row>
    <row r="18" customFormat="false" ht="15.75" hidden="false" customHeight="true" outlineLevel="0" collapsed="false">
      <c r="A18" s="13" t="s">
        <v>22</v>
      </c>
      <c r="B18" s="14" t="n">
        <v>46081</v>
      </c>
      <c r="C18" s="15" t="s">
        <v>33</v>
      </c>
      <c r="D18" s="16" t="n">
        <v>2452.76</v>
      </c>
      <c r="E18" s="16" t="n">
        <v>14857.51</v>
      </c>
      <c r="F18" s="17" t="n">
        <f aca="false">IF(AND(D17="",E17=""),"",IFERROR(D17+E17,""))</f>
        <v>20281.12</v>
      </c>
      <c r="G18" s="18"/>
      <c r="H18" s="19" t="s">
        <v>15</v>
      </c>
      <c r="I18" s="15"/>
      <c r="J18" s="20" t="s">
        <v>17</v>
      </c>
      <c r="K18" s="11" t="str">
        <f aca="false">A17&amp;"|"&amp;TEXT(B17,"YYYY-MM-DD")&amp;"|"&amp;C17</f>
        <v>AA|2026-02-22|AA-INV-0222</v>
      </c>
      <c r="L18" s="21" t="str">
        <f aca="false">IF(COUNTIFS($A$2:A17,$A17,$B$2:$B17,$B17,$C$2:$C17,$C17)&gt;1,"⚠ DUPLICATE","✓ OK")</f>
        <v>✓ OK</v>
      </c>
    </row>
    <row r="19" customFormat="false" ht="15.75" hidden="false" customHeight="true" outlineLevel="0" collapsed="false">
      <c r="A19" s="13" t="s">
        <v>22</v>
      </c>
      <c r="B19" s="14" t="n">
        <v>46082</v>
      </c>
      <c r="C19" s="15" t="s">
        <v>34</v>
      </c>
      <c r="D19" s="16" t="n">
        <v>4485.91</v>
      </c>
      <c r="E19" s="16" t="n">
        <v>1791.77</v>
      </c>
      <c r="F19" s="17" t="n">
        <f aca="false">IF(AND(D18="",E18=""),"",IFERROR(D18+E18,""))</f>
        <v>17310.27</v>
      </c>
      <c r="G19" s="18"/>
      <c r="H19" s="19" t="s">
        <v>15</v>
      </c>
      <c r="I19" s="15"/>
      <c r="J19" s="20" t="s">
        <v>17</v>
      </c>
      <c r="K19" s="11" t="str">
        <f aca="false">A18&amp;"|"&amp;TEXT(B18,"YYYY-MM-DD")&amp;"|"&amp;C18</f>
        <v>AA|2026-02-28|AA-INV-0228</v>
      </c>
      <c r="L19" s="21" t="str">
        <f aca="false">IF(COUNTIFS($A$2:A18,$A18,$B$2:$B18,$B18,$C$2:$C18,$C18)&gt;1,"⚠ DUPLICATE","✓ OK")</f>
        <v>✓ OK</v>
      </c>
    </row>
    <row r="20" customFormat="false" ht="15.75" hidden="false" customHeight="true" outlineLevel="0" collapsed="false">
      <c r="A20" s="13" t="s">
        <v>22</v>
      </c>
      <c r="B20" s="14" t="n">
        <v>46089</v>
      </c>
      <c r="C20" s="15" t="s">
        <v>35</v>
      </c>
      <c r="D20" s="16" t="n">
        <v>3881.66</v>
      </c>
      <c r="E20" s="16" t="n">
        <v>16929.68</v>
      </c>
      <c r="F20" s="17" t="n">
        <f aca="false">IF(AND(D19="",E19=""),"",IFERROR(D19+E19,""))</f>
        <v>6277.68</v>
      </c>
      <c r="G20" s="18"/>
      <c r="H20" s="19" t="s">
        <v>15</v>
      </c>
      <c r="I20" s="15"/>
      <c r="J20" s="20" t="s">
        <v>17</v>
      </c>
      <c r="K20" s="11" t="str">
        <f aca="false">A19&amp;"|"&amp;TEXT(B19,"YYYY-MM-DD")&amp;"|"&amp;C19</f>
        <v>AA|2026-03-01|AA-INV-0301</v>
      </c>
      <c r="L20" s="21" t="str">
        <f aca="false">IF(COUNTIFS($A$2:A19,$A19,$B$2:$B19,$B19,$C$2:$C19,$C19)&gt;1,"⚠ DUPLICATE","✓ OK")</f>
        <v>✓ OK</v>
      </c>
    </row>
    <row r="21" customFormat="false" ht="15.75" hidden="false" customHeight="true" outlineLevel="0" collapsed="false">
      <c r="A21" s="13" t="s">
        <v>22</v>
      </c>
      <c r="B21" s="14" t="n">
        <v>46096</v>
      </c>
      <c r="C21" s="15" t="s">
        <v>36</v>
      </c>
      <c r="D21" s="16" t="n">
        <v>4797.89</v>
      </c>
      <c r="E21" s="16" t="n">
        <v>16076.99</v>
      </c>
      <c r="F21" s="17" t="n">
        <f aca="false">IF(AND(D20="",E20=""),"",IFERROR(D20+E20,""))</f>
        <v>20811.34</v>
      </c>
      <c r="G21" s="18"/>
      <c r="H21" s="19" t="s">
        <v>15</v>
      </c>
      <c r="I21" s="15"/>
      <c r="J21" s="20" t="s">
        <v>17</v>
      </c>
      <c r="K21" s="11" t="str">
        <f aca="false">A20&amp;"|"&amp;TEXT(B20,"YYYY-MM-DD")&amp;"|"&amp;C20</f>
        <v>AA|2026-03-08|AA-INV-0308</v>
      </c>
      <c r="L21" s="21" t="str">
        <f aca="false">IF(COUNTIFS($A$2:A20,$A20,$B$2:$B20,$B20,$C$2:$C20,$C20)&gt;1,"⚠ DUPLICATE","✓ OK")</f>
        <v>✓ OK</v>
      </c>
    </row>
    <row r="22" customFormat="false" ht="15.75" hidden="false" customHeight="true" outlineLevel="0" collapsed="false">
      <c r="A22" s="13" t="s">
        <v>22</v>
      </c>
      <c r="B22" s="14" t="n">
        <v>46103</v>
      </c>
      <c r="C22" s="15" t="s">
        <v>37</v>
      </c>
      <c r="D22" s="16" t="n">
        <v>5421.1</v>
      </c>
      <c r="E22" s="16" t="n">
        <v>16146.14</v>
      </c>
      <c r="F22" s="17" t="n">
        <f aca="false">IF(AND(D21="",E21=""),"",IFERROR(D21+E21,""))</f>
        <v>20874.88</v>
      </c>
      <c r="G22" s="18"/>
      <c r="H22" s="19" t="s">
        <v>15</v>
      </c>
      <c r="I22" s="15"/>
      <c r="J22" s="20" t="s">
        <v>17</v>
      </c>
      <c r="K22" s="11" t="str">
        <f aca="false">A21&amp;"|"&amp;TEXT(B21,"YYYY-MM-DD")&amp;"|"&amp;C21</f>
        <v>AA|2026-03-15|AA-INV-0315</v>
      </c>
      <c r="L22" s="21" t="str">
        <f aca="false">IF(COUNTIFS($A$2:A21,$A21,$B$2:$B21,$B21,$C$2:$C21,$C21)&gt;1,"⚠ DUPLICATE","✓ OK")</f>
        <v>✓ OK</v>
      </c>
    </row>
    <row r="23" customFormat="false" ht="15.75" hidden="false" customHeight="true" outlineLevel="0" collapsed="false">
      <c r="A23" s="13" t="s">
        <v>22</v>
      </c>
      <c r="B23" s="14" t="n">
        <v>46110</v>
      </c>
      <c r="C23" s="15" t="s">
        <v>38</v>
      </c>
      <c r="D23" s="16" t="n">
        <v>4673.37</v>
      </c>
      <c r="E23" s="16" t="n">
        <v>16837.51</v>
      </c>
      <c r="F23" s="17" t="n">
        <f aca="false">IF(AND(D22="",E22=""),"",IFERROR(D22+E22,""))</f>
        <v>21567.24</v>
      </c>
      <c r="G23" s="18"/>
      <c r="H23" s="19" t="s">
        <v>15</v>
      </c>
      <c r="I23" s="15"/>
      <c r="J23" s="20" t="s">
        <v>17</v>
      </c>
      <c r="K23" s="11" t="str">
        <f aca="false">A22&amp;"|"&amp;TEXT(B22,"YYYY-MM-DD")&amp;"|"&amp;C22</f>
        <v>AA|2026-03-22|AA-INV-0322</v>
      </c>
      <c r="L23" s="21" t="str">
        <f aca="false">IF(COUNTIFS($A$2:A22,$A22,$B$2:$B22,$B22,$C$2:$C22,$C22)&gt;1,"⚠ DUPLICATE","✓ OK")</f>
        <v>✓ OK</v>
      </c>
    </row>
    <row r="24" customFormat="false" ht="15.75" hidden="false" customHeight="true" outlineLevel="0" collapsed="false">
      <c r="A24" s="13" t="s">
        <v>22</v>
      </c>
      <c r="B24" s="14" t="n">
        <v>46112</v>
      </c>
      <c r="C24" s="15" t="s">
        <v>39</v>
      </c>
      <c r="D24" s="16" t="n">
        <v>4041.49</v>
      </c>
      <c r="E24" s="16" t="n">
        <v>4805.44</v>
      </c>
      <c r="F24" s="17" t="n">
        <f aca="false">IF(AND(D23="",E23=""),"",IFERROR(D23+E23,""))</f>
        <v>21510.88</v>
      </c>
      <c r="G24" s="18"/>
      <c r="H24" s="19" t="s">
        <v>15</v>
      </c>
      <c r="I24" s="15"/>
      <c r="J24" s="20" t="s">
        <v>17</v>
      </c>
      <c r="K24" s="11" t="str">
        <f aca="false">A23&amp;"|"&amp;TEXT(B23,"YYYY-MM-DD")&amp;"|"&amp;C23</f>
        <v>AA|2026-03-29|AA-INV-0329</v>
      </c>
      <c r="L24" s="21" t="str">
        <f aca="false">IF(COUNTIFS($A$2:A23,$A23,$B$2:$B23,$B23,$C$2:$C23,$C23)&gt;1,"⚠ DUPLICATE","✓ OK")</f>
        <v>✓ OK</v>
      </c>
    </row>
    <row r="25" customFormat="false" ht="15.75" hidden="false" customHeight="true" outlineLevel="0" collapsed="false">
      <c r="A25" s="13" t="s">
        <v>22</v>
      </c>
      <c r="B25" s="14" t="n">
        <v>46113</v>
      </c>
      <c r="C25" s="15" t="s">
        <v>40</v>
      </c>
      <c r="D25" s="16" t="n">
        <v>0</v>
      </c>
      <c r="E25" s="16" t="n">
        <v>-1325</v>
      </c>
      <c r="F25" s="17" t="n">
        <f aca="false">IF(AND(D24="",E24=""),"",IFERROR(D24+E24,""))</f>
        <v>8846.93</v>
      </c>
      <c r="G25" s="18"/>
      <c r="H25" s="19" t="s">
        <v>15</v>
      </c>
      <c r="I25" s="15" t="s">
        <v>41</v>
      </c>
      <c r="J25" s="20" t="s">
        <v>17</v>
      </c>
      <c r="K25" s="11" t="str">
        <f aca="false">A24&amp;"|"&amp;TEXT(B24,"YYYY-MM-DD")&amp;"|"&amp;C24</f>
        <v>AA|2026-03-31|AA-INV-0331</v>
      </c>
      <c r="L25" s="21" t="str">
        <f aca="false">IF(COUNTIFS($A$2:A24,$A24,$B$2:$B24,$B24,$C$2:$C24,$C24)&gt;1,"⚠ DUPLICATE","✓ OK")</f>
        <v>✓ OK</v>
      </c>
    </row>
    <row r="26" customFormat="false" ht="15.75" hidden="false" customHeight="true" outlineLevel="0" collapsed="false">
      <c r="A26" s="13" t="s">
        <v>22</v>
      </c>
      <c r="B26" s="14" t="n">
        <v>46117</v>
      </c>
      <c r="C26" s="15" t="s">
        <v>42</v>
      </c>
      <c r="D26" s="16" t="n">
        <v>3914.46</v>
      </c>
      <c r="E26" s="16" t="n">
        <v>12091.79</v>
      </c>
      <c r="F26" s="17" t="n">
        <f aca="false">IF(AND(D25="",E25=""),"",IFERROR(D25+E25,""))</f>
        <v>-1325</v>
      </c>
      <c r="G26" s="18"/>
      <c r="H26" s="19" t="s">
        <v>15</v>
      </c>
      <c r="I26" s="15"/>
      <c r="J26" s="20" t="s">
        <v>17</v>
      </c>
      <c r="K26" s="11" t="str">
        <f aca="false">A25&amp;"|"&amp;TEXT(B25,"YYYY-MM-DD")&amp;"|"&amp;C25</f>
        <v>AA|2026-04-01|AA-INV-0401</v>
      </c>
      <c r="L26" s="21" t="str">
        <f aca="false">IF(COUNTIFS($A$2:A25,$A25,$B$2:$B25,$B25,$C$2:$C25,$C25)&gt;1,"⚠ DUPLICATE","✓ OK")</f>
        <v>✓ OK</v>
      </c>
    </row>
    <row r="27" customFormat="false" ht="15.75" hidden="false" customHeight="true" outlineLevel="0" collapsed="false">
      <c r="A27" s="13" t="s">
        <v>22</v>
      </c>
      <c r="B27" s="14" t="n">
        <v>46124</v>
      </c>
      <c r="C27" s="15" t="s">
        <v>43</v>
      </c>
      <c r="D27" s="16" t="n">
        <v>6730.62</v>
      </c>
      <c r="E27" s="16" t="n">
        <v>17606.52</v>
      </c>
      <c r="F27" s="17" t="n">
        <f aca="false">IF(AND(D26="",E26=""),"",IFERROR(D26+E26,""))</f>
        <v>16006.25</v>
      </c>
      <c r="G27" s="18"/>
      <c r="H27" s="19" t="s">
        <v>15</v>
      </c>
      <c r="I27" s="15"/>
      <c r="J27" s="20" t="s">
        <v>17</v>
      </c>
      <c r="K27" s="11" t="str">
        <f aca="false">A26&amp;"|"&amp;TEXT(B26,"YYYY-MM-DD")&amp;"|"&amp;C26</f>
        <v>AA|2026-04-05|AA-INV-0405</v>
      </c>
      <c r="L27" s="21" t="str">
        <f aca="false">IF(COUNTIFS($A$2:A26,$A26,$B$2:$B26,$B26,$C$2:$C26,$C26)&gt;1,"⚠ DUPLICATE","✓ OK")</f>
        <v>✓ OK</v>
      </c>
    </row>
    <row r="28" customFormat="false" ht="15.75" hidden="false" customHeight="true" outlineLevel="0" collapsed="false">
      <c r="A28" s="13" t="s">
        <v>22</v>
      </c>
      <c r="B28" s="14" t="n">
        <v>46131</v>
      </c>
      <c r="C28" s="15" t="s">
        <v>44</v>
      </c>
      <c r="D28" s="16" t="n">
        <v>4342.34</v>
      </c>
      <c r="E28" s="16" t="n">
        <v>18544.58</v>
      </c>
      <c r="F28" s="17" t="n">
        <f aca="false">IF(AND(D27="",E27=""),"",IFERROR(D27+E27,""))</f>
        <v>24337.14</v>
      </c>
      <c r="G28" s="18"/>
      <c r="H28" s="19" t="s">
        <v>15</v>
      </c>
      <c r="I28" s="15"/>
      <c r="J28" s="20" t="s">
        <v>17</v>
      </c>
      <c r="K28" s="11" t="str">
        <f aca="false">A27&amp;"|"&amp;TEXT(B27,"YYYY-MM-DD")&amp;"|"&amp;C27</f>
        <v>AA|2026-04-12|AA-INV-0412</v>
      </c>
      <c r="L28" s="21" t="str">
        <f aca="false">IF(COUNTIFS($A$2:A27,$A27,$B$2:$B27,$B27,$C$2:$C27,$C27)&gt;1,"⚠ DUPLICATE","✓ OK")</f>
        <v>✓ OK</v>
      </c>
    </row>
    <row r="29" customFormat="false" ht="15.75" hidden="false" customHeight="true" outlineLevel="0" collapsed="false">
      <c r="A29" s="13" t="s">
        <v>22</v>
      </c>
      <c r="B29" s="14" t="n">
        <v>46138</v>
      </c>
      <c r="C29" s="15" t="s">
        <v>45</v>
      </c>
      <c r="D29" s="16" t="n">
        <v>4651.73</v>
      </c>
      <c r="E29" s="16" t="n">
        <v>18805.23</v>
      </c>
      <c r="F29" s="17" t="n">
        <f aca="false">IF(AND(D28="",E28=""),"",IFERROR(D28+E28,""))</f>
        <v>22886.92</v>
      </c>
      <c r="G29" s="18"/>
      <c r="H29" s="19" t="s">
        <v>15</v>
      </c>
      <c r="I29" s="15"/>
      <c r="J29" s="20" t="s">
        <v>17</v>
      </c>
      <c r="K29" s="11" t="str">
        <f aca="false">A28&amp;"|"&amp;TEXT(B28,"YYYY-MM-DD")&amp;"|"&amp;C28</f>
        <v>AA|2026-04-19|AA-INV-0419</v>
      </c>
      <c r="L29" s="21" t="str">
        <f aca="false">IF(COUNTIFS($A$2:A28,$A28,$B$2:$B28,$B28,$C$2:$C28,$C28)&gt;1,"⚠ DUPLICATE","✓ OK")</f>
        <v>✓ OK</v>
      </c>
    </row>
    <row r="30" customFormat="false" ht="15.75" hidden="false" customHeight="true" outlineLevel="0" collapsed="false">
      <c r="A30" s="13" t="s">
        <v>22</v>
      </c>
      <c r="B30" s="14" t="n">
        <v>46142</v>
      </c>
      <c r="C30" s="15" t="s">
        <v>46</v>
      </c>
      <c r="D30" s="16" t="n">
        <v>2522.48</v>
      </c>
      <c r="E30" s="16" t="n">
        <v>10711.27</v>
      </c>
      <c r="F30" s="17" t="n">
        <f aca="false">IF(AND(D29="",E29=""),"",IFERROR(D29+E29,""))</f>
        <v>23456.96</v>
      </c>
      <c r="G30" s="18"/>
      <c r="H30" s="19" t="s">
        <v>15</v>
      </c>
      <c r="I30" s="15"/>
      <c r="J30" s="20" t="s">
        <v>17</v>
      </c>
      <c r="K30" s="11" t="str">
        <f aca="false">A29&amp;"|"&amp;TEXT(B29,"YYYY-MM-DD")&amp;"|"&amp;C29</f>
        <v>AA|2026-04-26|AA-INV-0426</v>
      </c>
      <c r="L30" s="21" t="str">
        <f aca="false">IF(COUNTIFS($A$2:A29,$A29,$B$2:$B29,$B29,$C$2:$C29,$C29)&gt;1,"⚠ DUPLICATE","✓ OK")</f>
        <v>✓ OK</v>
      </c>
    </row>
    <row r="31" customFormat="false" ht="15.75" hidden="false" customHeight="true" outlineLevel="0" collapsed="false">
      <c r="A31" s="13" t="s">
        <v>22</v>
      </c>
      <c r="B31" s="14" t="n">
        <v>46145</v>
      </c>
      <c r="C31" s="15" t="s">
        <v>47</v>
      </c>
      <c r="D31" s="16" t="n">
        <v>1890.43</v>
      </c>
      <c r="E31" s="16" t="n">
        <v>8267.94</v>
      </c>
      <c r="F31" s="17" t="n">
        <f aca="false">IF(AND(D30="",E30=""),"",IFERROR(D30+E30,""))</f>
        <v>13233.75</v>
      </c>
      <c r="G31" s="18"/>
      <c r="H31" s="19" t="s">
        <v>15</v>
      </c>
      <c r="I31" s="15"/>
      <c r="J31" s="20" t="s">
        <v>17</v>
      </c>
      <c r="K31" s="11" t="str">
        <f aca="false">A30&amp;"|"&amp;TEXT(B30,"YYYY-MM-DD")&amp;"|"&amp;C30</f>
        <v>AA|2026-04-30|AA-INV-0430</v>
      </c>
      <c r="L31" s="21" t="str">
        <f aca="false">IF(COUNTIFS($A$2:A30,$A30,$B$2:$B30,$B30,$C$2:$C30,$C30)&gt;1,"⚠ DUPLICATE","✓ OK")</f>
        <v>✓ OK</v>
      </c>
    </row>
    <row r="32" customFormat="false" ht="15.75" hidden="false" customHeight="true" outlineLevel="0" collapsed="false">
      <c r="A32" s="22" t="s">
        <v>48</v>
      </c>
      <c r="B32" s="23" t="n">
        <v>46030</v>
      </c>
      <c r="C32" s="24" t="s">
        <v>49</v>
      </c>
      <c r="D32" s="25" t="n">
        <v>63302.84</v>
      </c>
      <c r="E32" s="25" t="n">
        <v>5535</v>
      </c>
      <c r="F32" s="26" t="n">
        <f aca="false">IF(AND(D31="",E31=""),"",IFERROR(D31+E31,""))</f>
        <v>10158.37</v>
      </c>
      <c r="G32" s="27"/>
      <c r="H32" s="28" t="s">
        <v>50</v>
      </c>
      <c r="I32" s="24"/>
      <c r="J32" s="29" t="s">
        <v>17</v>
      </c>
      <c r="K32" s="11" t="str">
        <f aca="false">A31&amp;"|"&amp;TEXT(B31,"YYYY-MM-DD")&amp;"|"&amp;C31</f>
        <v>AA|2026-05-03|AA-INV-0503</v>
      </c>
      <c r="L32" s="30" t="str">
        <f aca="false">IF(COUNTIFS($A$2:A31,$A31,$B$2:$B31,$B31,$C$2:$C31,$C31)&gt;1,"⚠ DUPLICATE","✓ OK")</f>
        <v>✓ OK</v>
      </c>
    </row>
    <row r="33" customFormat="false" ht="15.75" hidden="false" customHeight="true" outlineLevel="0" collapsed="false">
      <c r="A33" s="22" t="s">
        <v>48</v>
      </c>
      <c r="B33" s="23" t="n">
        <v>46041</v>
      </c>
      <c r="C33" s="24" t="s">
        <v>51</v>
      </c>
      <c r="D33" s="25" t="n">
        <v>35275.77</v>
      </c>
      <c r="E33" s="25" t="n">
        <v>4920</v>
      </c>
      <c r="F33" s="26" t="n">
        <f aca="false">IF(AND(D32="",E32=""),"",IFERROR(D32+E32,""))</f>
        <v>68837.84</v>
      </c>
      <c r="G33" s="27"/>
      <c r="H33" s="28" t="s">
        <v>50</v>
      </c>
      <c r="I33" s="24"/>
      <c r="J33" s="29" t="s">
        <v>17</v>
      </c>
      <c r="K33" s="11" t="str">
        <f aca="false">A32&amp;"|"&amp;TEXT(B32,"YYYY-MM-DD")&amp;"|"&amp;C32</f>
        <v>ET|2026-01-08|ET-INV-0108</v>
      </c>
      <c r="L33" s="30" t="str">
        <f aca="false">IF(COUNTIFS($A$2:A32,$A32,$B$2:$B32,$B32,$C$2:$C32,$C32)&gt;1,"⚠ DUPLICATE","✓ OK")</f>
        <v>✓ OK</v>
      </c>
    </row>
    <row r="34" customFormat="false" ht="15.75" hidden="false" customHeight="true" outlineLevel="0" collapsed="false">
      <c r="A34" s="22" t="s">
        <v>48</v>
      </c>
      <c r="B34" s="23" t="n">
        <v>46057</v>
      </c>
      <c r="C34" s="24" t="s">
        <v>52</v>
      </c>
      <c r="D34" s="25" t="n">
        <v>26563.54</v>
      </c>
      <c r="E34" s="25" t="n">
        <v>4305</v>
      </c>
      <c r="F34" s="26" t="n">
        <f aca="false">IF(AND(D33="",E33=""),"",IFERROR(D33+E33,""))</f>
        <v>40195.77</v>
      </c>
      <c r="G34" s="27"/>
      <c r="H34" s="28" t="s">
        <v>50</v>
      </c>
      <c r="I34" s="24"/>
      <c r="J34" s="29" t="s">
        <v>17</v>
      </c>
      <c r="K34" s="11" t="str">
        <f aca="false">A33&amp;"|"&amp;TEXT(B33,"YYYY-MM-DD")&amp;"|"&amp;C33</f>
        <v>ET|2026-01-19|ET-INV-0119</v>
      </c>
      <c r="L34" s="30" t="str">
        <f aca="false">IF(COUNTIFS($A$2:A33,$A33,$B$2:$B33,$B33,$C$2:$C33,$C33)&gt;1,"⚠ DUPLICATE","✓ OK")</f>
        <v>✓ OK</v>
      </c>
    </row>
    <row r="35" customFormat="false" ht="15.75" hidden="false" customHeight="true" outlineLevel="0" collapsed="false">
      <c r="A35" s="22" t="s">
        <v>48</v>
      </c>
      <c r="B35" s="23" t="n">
        <v>46076</v>
      </c>
      <c r="C35" s="24" t="s">
        <v>53</v>
      </c>
      <c r="D35" s="25" t="n">
        <v>5283.81</v>
      </c>
      <c r="E35" s="25" t="n">
        <v>615</v>
      </c>
      <c r="F35" s="26" t="n">
        <f aca="false">IF(AND(D34="",E34=""),"",IFERROR(D34+E34,""))</f>
        <v>30868.54</v>
      </c>
      <c r="G35" s="27"/>
      <c r="H35" s="28" t="s">
        <v>50</v>
      </c>
      <c r="I35" s="24"/>
      <c r="J35" s="29" t="s">
        <v>17</v>
      </c>
      <c r="K35" s="11" t="str">
        <f aca="false">A34&amp;"|"&amp;TEXT(B34,"YYYY-MM-DD")&amp;"|"&amp;C34</f>
        <v>ET|2026-02-04|ET-INV-0204</v>
      </c>
      <c r="L35" s="30" t="str">
        <f aca="false">IF(COUNTIFS($A$2:A34,$A34,$B$2:$B34,$B34,$C$2:$C34,$C34)&gt;1,"⚠ DUPLICATE","✓ OK")</f>
        <v>✓ OK</v>
      </c>
    </row>
    <row r="36" customFormat="false" ht="15.75" hidden="false" customHeight="true" outlineLevel="0" collapsed="false">
      <c r="A36" s="22" t="s">
        <v>48</v>
      </c>
      <c r="B36" s="23" t="n">
        <v>46164</v>
      </c>
      <c r="C36" s="24" t="s">
        <v>54</v>
      </c>
      <c r="D36" s="25" t="n">
        <v>10358.19</v>
      </c>
      <c r="E36" s="25" t="n">
        <v>1050</v>
      </c>
      <c r="F36" s="26" t="n">
        <f aca="false">IF(AND(D35="",E35=""),"",IFERROR(D35+E35,""))</f>
        <v>5898.81</v>
      </c>
      <c r="G36" s="27" t="n">
        <v>251</v>
      </c>
      <c r="H36" s="28" t="s">
        <v>50</v>
      </c>
      <c r="I36" s="24" t="s">
        <v>55</v>
      </c>
      <c r="J36" s="29" t="s">
        <v>56</v>
      </c>
      <c r="K36" s="11" t="str">
        <f aca="false">A35&amp;"|"&amp;TEXT(B35,"YYYY-MM-DD")&amp;"|"&amp;C35</f>
        <v>ET|2026-02-23|ET-INV-0223</v>
      </c>
      <c r="L36" s="30" t="str">
        <f aca="false">IF(COUNTIFS($A$2:A35,$A35,$B$2:$B35,$B35,$C$2:$C35,$C35)&gt;1,"⚠ DUPLICATE","✓ OK")</f>
        <v>✓ OK</v>
      </c>
    </row>
    <row r="37" customFormat="false" ht="15.75" hidden="false" customHeight="true" outlineLevel="0" collapsed="false">
      <c r="A37" s="22" t="s">
        <v>48</v>
      </c>
      <c r="B37" s="23" t="n">
        <v>46167</v>
      </c>
      <c r="C37" s="24" t="s">
        <v>54</v>
      </c>
      <c r="D37" s="25" t="n">
        <v>10093.14</v>
      </c>
      <c r="E37" s="25" t="n">
        <v>1050</v>
      </c>
      <c r="F37" s="26" t="n">
        <f aca="false">IF(AND(D36="",E36=""),"",IFERROR(D36+E36,""))</f>
        <v>11408.19</v>
      </c>
      <c r="G37" s="27" t="n">
        <v>261</v>
      </c>
      <c r="H37" s="28" t="s">
        <v>50</v>
      </c>
      <c r="I37" s="24" t="s">
        <v>57</v>
      </c>
      <c r="J37" s="29" t="s">
        <v>56</v>
      </c>
      <c r="K37" s="11" t="str">
        <f aca="false">A36&amp;"|"&amp;TEXT(B36,"YYYY-MM-DD")&amp;"|"&amp;C36</f>
        <v>ET|2026-05-22|ET519</v>
      </c>
      <c r="L37" s="30" t="str">
        <f aca="false">IF(COUNTIFS($A$2:A36,$A36,$B$2:$B36,$B36,$C$2:$C36,$C36)&gt;1,"⚠ DUPLICATE","✓ OK")</f>
        <v>✓ OK</v>
      </c>
    </row>
    <row r="38" customFormat="false" ht="15.75" hidden="false" customHeight="true" outlineLevel="0" collapsed="false">
      <c r="A38" s="22" t="s">
        <v>48</v>
      </c>
      <c r="B38" s="23" t="n">
        <v>46169</v>
      </c>
      <c r="C38" s="24" t="s">
        <v>54</v>
      </c>
      <c r="D38" s="25" t="n">
        <v>9724.11</v>
      </c>
      <c r="E38" s="25" t="n">
        <v>1050</v>
      </c>
      <c r="F38" s="26" t="n">
        <f aca="false">IF(AND(D37="",E37=""),"",IFERROR(D37+E37,""))</f>
        <v>11143.14</v>
      </c>
      <c r="G38" s="27" t="n">
        <v>245</v>
      </c>
      <c r="H38" s="28" t="s">
        <v>50</v>
      </c>
      <c r="I38" s="24" t="s">
        <v>58</v>
      </c>
      <c r="J38" s="29" t="s">
        <v>56</v>
      </c>
      <c r="K38" s="11" t="str">
        <f aca="false">A37&amp;"|"&amp;TEXT(B37,"YYYY-MM-DD")&amp;"|"&amp;C37</f>
        <v>ET|2026-05-25|ET519</v>
      </c>
      <c r="L38" s="30" t="str">
        <f aca="false">IF(COUNTIFS($A$2:A37,$A37,$B$2:$B37,$B37,$C$2:$C37,$C37)&gt;1,"⚠ DUPLICATE","✓ OK")</f>
        <v>✓ OK</v>
      </c>
    </row>
    <row r="39" customFormat="false" ht="15.75" hidden="false" customHeight="true" outlineLevel="0" collapsed="false">
      <c r="A39" s="22" t="s">
        <v>48</v>
      </c>
      <c r="B39" s="23" t="n">
        <v>46171</v>
      </c>
      <c r="C39" s="24" t="s">
        <v>54</v>
      </c>
      <c r="D39" s="25" t="n">
        <v>9444.54</v>
      </c>
      <c r="E39" s="25" t="n">
        <v>1050</v>
      </c>
      <c r="F39" s="26" t="n">
        <f aca="false">IF(AND(D38="",E38=""),"",IFERROR(D38+E38,""))</f>
        <v>10774.11</v>
      </c>
      <c r="G39" s="27" t="n">
        <v>244</v>
      </c>
      <c r="H39" s="28" t="s">
        <v>50</v>
      </c>
      <c r="I39" s="24" t="s">
        <v>59</v>
      </c>
      <c r="J39" s="29" t="s">
        <v>56</v>
      </c>
      <c r="K39" s="11" t="str">
        <f aca="false">A38&amp;"|"&amp;TEXT(B38,"YYYY-MM-DD")&amp;"|"&amp;C38</f>
        <v>ET|2026-05-27|ET519</v>
      </c>
      <c r="L39" s="30" t="str">
        <f aca="false">IF(COUNTIFS($A$2:A38,$A38,$B$2:$B38,$B38,$C$2:$C38,$C38)&gt;1,"⚠ DUPLICATE","✓ OK")</f>
        <v>✓ OK</v>
      </c>
    </row>
    <row r="40" customFormat="false" ht="15.75" hidden="false" customHeight="true" outlineLevel="0" collapsed="false">
      <c r="A40" s="31" t="s">
        <v>60</v>
      </c>
      <c r="B40" s="32" t="n">
        <v>46029</v>
      </c>
      <c r="C40" s="33" t="s">
        <v>14</v>
      </c>
      <c r="D40" s="34" t="n">
        <v>85416.64</v>
      </c>
      <c r="E40" s="34" t="n">
        <v>11400</v>
      </c>
      <c r="F40" s="35" t="n">
        <f aca="false">IF(AND(D39="",E39=""),"",IFERROR(D39+E39,""))</f>
        <v>10494.54</v>
      </c>
      <c r="G40" s="36"/>
      <c r="H40" s="37" t="s">
        <v>15</v>
      </c>
      <c r="I40" s="33" t="s">
        <v>16</v>
      </c>
      <c r="J40" s="38" t="s">
        <v>17</v>
      </c>
      <c r="K40" s="11" t="str">
        <f aca="false">A39&amp;"|"&amp;TEXT(B39,"YYYY-MM-DD")&amp;"|"&amp;C39</f>
        <v>ET|2026-05-29|ET519</v>
      </c>
      <c r="L40" s="39" t="str">
        <f aca="false">IF(COUNTIFS($A$2:A39,$A39,$B$2:$B39,$B39,$C$2:$C39,$C39)&gt;1,"⚠ DUPLICATE","✓ OK")</f>
        <v>✓ OK</v>
      </c>
    </row>
    <row r="41" customFormat="false" ht="15.75" hidden="false" customHeight="true" outlineLevel="0" collapsed="false">
      <c r="A41" s="31" t="s">
        <v>60</v>
      </c>
      <c r="B41" s="32" t="n">
        <v>46062</v>
      </c>
      <c r="C41" s="33" t="s">
        <v>14</v>
      </c>
      <c r="D41" s="34" t="n">
        <v>79976.49</v>
      </c>
      <c r="E41" s="34" t="n">
        <v>12160</v>
      </c>
      <c r="F41" s="35" t="n">
        <f aca="false">IF(AND(D40="",E40=""),"",IFERROR(D40+E40,""))</f>
        <v>96816.64</v>
      </c>
      <c r="G41" s="36"/>
      <c r="H41" s="37" t="s">
        <v>15</v>
      </c>
      <c r="I41" s="33" t="s">
        <v>18</v>
      </c>
      <c r="J41" s="38" t="s">
        <v>17</v>
      </c>
      <c r="K41" s="11" t="str">
        <f aca="false">A40&amp;"|"&amp;TEXT(B40,"YYYY-MM-DD")&amp;"|"&amp;C40</f>
        <v>SK|2026-01-07|Monthly Summary</v>
      </c>
      <c r="L41" s="39" t="str">
        <f aca="false">IF(COUNTIFS($A$2:A40,$A40,$B$2:$B40,$B40,$C$2:$C40,$C40)&gt;1,"⚠ DUPLICATE","✓ OK")</f>
        <v>✓ OK</v>
      </c>
    </row>
    <row r="42" customFormat="false" ht="15.75" hidden="false" customHeight="true" outlineLevel="0" collapsed="false">
      <c r="A42" s="31" t="s">
        <v>60</v>
      </c>
      <c r="B42" s="32" t="n">
        <v>46092</v>
      </c>
      <c r="C42" s="33" t="s">
        <v>14</v>
      </c>
      <c r="D42" s="34" t="n">
        <v>79753.24</v>
      </c>
      <c r="E42" s="34" t="n">
        <v>12160</v>
      </c>
      <c r="F42" s="35" t="n">
        <f aca="false">IF(AND(D41="",E41=""),"",IFERROR(D41+E41,""))</f>
        <v>92136.49</v>
      </c>
      <c r="G42" s="36"/>
      <c r="H42" s="37" t="s">
        <v>15</v>
      </c>
      <c r="I42" s="33" t="s">
        <v>19</v>
      </c>
      <c r="J42" s="38" t="s">
        <v>17</v>
      </c>
      <c r="K42" s="11" t="str">
        <f aca="false">A41&amp;"|"&amp;TEXT(B41,"YYYY-MM-DD")&amp;"|"&amp;C41</f>
        <v>SK|2026-02-09|Monthly Summary</v>
      </c>
      <c r="L42" s="39" t="str">
        <f aca="false">IF(COUNTIFS($A$2:A41,$A41,$B$2:$B41,$B41,$C$2:$C41,$C41)&gt;1,"⚠ DUPLICATE","✓ OK")</f>
        <v>✓ OK</v>
      </c>
    </row>
    <row r="43" customFormat="false" ht="15.75" hidden="false" customHeight="true" outlineLevel="0" collapsed="false">
      <c r="A43" s="31" t="s">
        <v>60</v>
      </c>
      <c r="B43" s="32" t="n">
        <v>46120</v>
      </c>
      <c r="C43" s="33" t="s">
        <v>14</v>
      </c>
      <c r="D43" s="34" t="n">
        <v>86748.82</v>
      </c>
      <c r="E43" s="34" t="n">
        <v>12920</v>
      </c>
      <c r="F43" s="35" t="n">
        <f aca="false">IF(AND(D42="",E42=""),"",IFERROR(D42+E42,""))</f>
        <v>91913.24</v>
      </c>
      <c r="G43" s="36"/>
      <c r="H43" s="37" t="s">
        <v>15</v>
      </c>
      <c r="I43" s="33" t="s">
        <v>20</v>
      </c>
      <c r="J43" s="38" t="s">
        <v>17</v>
      </c>
      <c r="K43" s="11" t="str">
        <f aca="false">A42&amp;"|"&amp;TEXT(B42,"YYYY-MM-DD")&amp;"|"&amp;C42</f>
        <v>SK|2026-03-11|Monthly Summary</v>
      </c>
      <c r="L43" s="39" t="str">
        <f aca="false">IF(COUNTIFS($A$2:A42,$A42,$B$2:$B42,$B42,$C$2:$C42,$C42)&gt;1,"⚠ DUPLICATE","✓ OK")</f>
        <v>✓ OK</v>
      </c>
    </row>
    <row r="44" customFormat="false" ht="15.75" hidden="false" customHeight="true" outlineLevel="0" collapsed="false">
      <c r="A44" s="31" t="s">
        <v>60</v>
      </c>
      <c r="B44" s="32" t="n">
        <v>46153</v>
      </c>
      <c r="C44" s="33" t="s">
        <v>14</v>
      </c>
      <c r="D44" s="34" t="n">
        <v>87021.12</v>
      </c>
      <c r="E44" s="34" t="n">
        <v>12160</v>
      </c>
      <c r="F44" s="35" t="n">
        <f aca="false">IF(AND(D43="",E43=""),"",IFERROR(D43+E43,""))</f>
        <v>99668.82</v>
      </c>
      <c r="G44" s="36"/>
      <c r="H44" s="37" t="s">
        <v>15</v>
      </c>
      <c r="I44" s="33" t="s">
        <v>21</v>
      </c>
      <c r="J44" s="38" t="s">
        <v>17</v>
      </c>
      <c r="K44" s="11" t="str">
        <f aca="false">A43&amp;"|"&amp;TEXT(B43,"YYYY-MM-DD")&amp;"|"&amp;C43</f>
        <v>SK|2026-04-08|Monthly Summary</v>
      </c>
      <c r="L44" s="39" t="str">
        <f aca="false">IF(COUNTIFS($A$2:A43,$A43,$B$2:$B43,$B43,$C$2:$C43,$C43)&gt;1,"⚠ DUPLICATE","✓ OK")</f>
        <v>✓ OK</v>
      </c>
    </row>
    <row r="45" customFormat="false" ht="15.75" hidden="false" customHeight="true" outlineLevel="0" collapsed="false">
      <c r="A45" s="31" t="s">
        <v>60</v>
      </c>
      <c r="B45" s="32" t="n">
        <v>46144</v>
      </c>
      <c r="C45" s="33" t="s">
        <v>61</v>
      </c>
      <c r="D45" s="34"/>
      <c r="E45" s="34"/>
      <c r="F45" s="35" t="n">
        <f aca="false">IF(AND(D44="",E44=""),"",IFERROR(D44+E44,""))</f>
        <v>99181.12</v>
      </c>
      <c r="G45" s="36"/>
      <c r="H45" s="37" t="s">
        <v>62</v>
      </c>
      <c r="I45" s="33" t="s">
        <v>63</v>
      </c>
      <c r="J45" s="38" t="s">
        <v>64</v>
      </c>
      <c r="K45" s="11" t="str">
        <f aca="false">A44&amp;"|"&amp;TEXT(B44,"YYYY-MM-DD")&amp;"|"&amp;C44</f>
        <v>SK|2026-05-11|Monthly Summary</v>
      </c>
      <c r="L45" s="39" t="str">
        <f aca="false">IF(COUNTIFS($A$2:A44,$A44,$B$2:$B44,$B44,$C$2:$C44,$C44)&gt;1,"⚠ DUPLICATE","✓ OK")</f>
        <v>✓ OK</v>
      </c>
    </row>
    <row r="46" customFormat="false" ht="15.75" hidden="false" customHeight="true" outlineLevel="0" collapsed="false">
      <c r="A46" s="31" t="s">
        <v>60</v>
      </c>
      <c r="B46" s="32" t="n">
        <v>46145</v>
      </c>
      <c r="C46" s="33" t="s">
        <v>65</v>
      </c>
      <c r="D46" s="34"/>
      <c r="E46" s="34"/>
      <c r="F46" s="35" t="str">
        <f aca="false">IF(AND(D45="",E45=""),"",IFERROR(D45+E45,""))</f>
        <v/>
      </c>
      <c r="G46" s="36"/>
      <c r="H46" s="37" t="s">
        <v>62</v>
      </c>
      <c r="I46" s="33" t="s">
        <v>63</v>
      </c>
      <c r="J46" s="38" t="s">
        <v>64</v>
      </c>
      <c r="K46" s="11" t="str">
        <f aca="false">A45&amp;"|"&amp;TEXT(B45,"YYYY-MM-DD")&amp;"|"&amp;C45</f>
        <v>SK|2026-05-02|SK-7776698</v>
      </c>
      <c r="L46" s="39" t="str">
        <f aca="false">IF(COUNTIFS($A$2:A45,$A45,$B$2:$B45,$B45,$C$2:$C45,$C45)&gt;1,"⚠ DUPLICATE","✓ OK")</f>
        <v>✓ OK</v>
      </c>
    </row>
    <row r="47" customFormat="false" ht="15.75" hidden="false" customHeight="true" outlineLevel="0" collapsed="false">
      <c r="A47" s="31" t="s">
        <v>60</v>
      </c>
      <c r="B47" s="32" t="n">
        <v>46147</v>
      </c>
      <c r="C47" s="33" t="s">
        <v>66</v>
      </c>
      <c r="D47" s="34"/>
      <c r="E47" s="34"/>
      <c r="F47" s="35" t="str">
        <f aca="false">IF(AND(D46="",E46=""),"",IFERROR(D46+E46,""))</f>
        <v/>
      </c>
      <c r="G47" s="36"/>
      <c r="H47" s="37" t="s">
        <v>62</v>
      </c>
      <c r="I47" s="33" t="s">
        <v>63</v>
      </c>
      <c r="J47" s="38" t="s">
        <v>64</v>
      </c>
      <c r="K47" s="11" t="str">
        <f aca="false">A46&amp;"|"&amp;TEXT(B46,"YYYY-MM-DD")&amp;"|"&amp;C46</f>
        <v>SK|2026-05-03|SK-7776699</v>
      </c>
      <c r="L47" s="39" t="str">
        <f aca="false">IF(COUNTIFS($A$2:A46,$A46,$B$2:$B46,$B46,$C$2:$C46,$C46)&gt;1,"⚠ DUPLICATE","✓ OK")</f>
        <v>✓ OK</v>
      </c>
    </row>
    <row r="48" customFormat="false" ht="15.75" hidden="false" customHeight="true" outlineLevel="0" collapsed="false">
      <c r="A48" s="31" t="s">
        <v>60</v>
      </c>
      <c r="B48" s="32" t="n">
        <v>46149</v>
      </c>
      <c r="C48" s="33" t="s">
        <v>67</v>
      </c>
      <c r="D48" s="34"/>
      <c r="E48" s="34"/>
      <c r="F48" s="35" t="str">
        <f aca="false">IF(AND(D47="",E47=""),"",IFERROR(D47+E47,""))</f>
        <v/>
      </c>
      <c r="G48" s="36"/>
      <c r="H48" s="37" t="s">
        <v>62</v>
      </c>
      <c r="I48" s="33" t="s">
        <v>63</v>
      </c>
      <c r="J48" s="38" t="s">
        <v>64</v>
      </c>
      <c r="K48" s="11" t="str">
        <f aca="false">A47&amp;"|"&amp;TEXT(B47,"YYYY-MM-DD")&amp;"|"&amp;C47</f>
        <v>SK|2026-05-05|SK-7777180</v>
      </c>
      <c r="L48" s="39" t="str">
        <f aca="false">IF(COUNTIFS($A$2:A47,$A47,$B$2:$B47,$B47,$C$2:$C47,$C47)&gt;1,"⚠ DUPLICATE","✓ OK")</f>
        <v>✓ OK</v>
      </c>
    </row>
    <row r="49" customFormat="false" ht="15.75" hidden="false" customHeight="true" outlineLevel="0" collapsed="false">
      <c r="A49" s="31" t="s">
        <v>60</v>
      </c>
      <c r="B49" s="32" t="n">
        <v>46151</v>
      </c>
      <c r="C49" s="33" t="s">
        <v>68</v>
      </c>
      <c r="D49" s="34"/>
      <c r="E49" s="34"/>
      <c r="F49" s="35" t="str">
        <f aca="false">IF(AND(D48="",E48=""),"",IFERROR(D48+E48,""))</f>
        <v/>
      </c>
      <c r="G49" s="36"/>
      <c r="H49" s="37" t="s">
        <v>62</v>
      </c>
      <c r="I49" s="33" t="s">
        <v>63</v>
      </c>
      <c r="J49" s="38" t="s">
        <v>64</v>
      </c>
      <c r="K49" s="11" t="str">
        <f aca="false">A48&amp;"|"&amp;TEXT(B48,"YYYY-MM-DD")&amp;"|"&amp;C48</f>
        <v>SK|2026-05-07|SK-7778992</v>
      </c>
      <c r="L49" s="39" t="str">
        <f aca="false">IF(COUNTIFS($A$2:A48,$A48,$B$2:$B48,$B48,$C$2:$C48,$C48)&gt;1,"⚠ DUPLICATE","✓ OK")</f>
        <v>✓ OK</v>
      </c>
    </row>
    <row r="50" customFormat="false" ht="15.75" hidden="false" customHeight="true" outlineLevel="0" collapsed="false">
      <c r="A50" s="31" t="s">
        <v>60</v>
      </c>
      <c r="B50" s="32" t="n">
        <v>46152</v>
      </c>
      <c r="C50" s="33" t="s">
        <v>69</v>
      </c>
      <c r="D50" s="34"/>
      <c r="E50" s="34"/>
      <c r="F50" s="35" t="str">
        <f aca="false">IF(AND(D49="",E49=""),"",IFERROR(D49+E49,""))</f>
        <v/>
      </c>
      <c r="G50" s="36"/>
      <c r="H50" s="37" t="s">
        <v>62</v>
      </c>
      <c r="I50" s="33" t="s">
        <v>63</v>
      </c>
      <c r="J50" s="38" t="s">
        <v>64</v>
      </c>
      <c r="K50" s="11" t="str">
        <f aca="false">A49&amp;"|"&amp;TEXT(B49,"YYYY-MM-DD")&amp;"|"&amp;C49</f>
        <v>SK|2026-05-09|SK-7778993</v>
      </c>
      <c r="L50" s="39" t="str">
        <f aca="false">IF(COUNTIFS($A$2:A49,$A49,$B$2:$B49,$B49,$C$2:$C49,$C49)&gt;1,"⚠ DUPLICATE","✓ OK")</f>
        <v>✓ OK</v>
      </c>
    </row>
    <row r="51" customFormat="false" ht="15.75" hidden="false" customHeight="true" outlineLevel="0" collapsed="false">
      <c r="A51" s="31" t="s">
        <v>60</v>
      </c>
      <c r="B51" s="32" t="n">
        <v>46154</v>
      </c>
      <c r="C51" s="33" t="s">
        <v>70</v>
      </c>
      <c r="D51" s="34"/>
      <c r="E51" s="34"/>
      <c r="F51" s="35" t="str">
        <f aca="false">IF(AND(D50="",E50=""),"",IFERROR(D50+E50,""))</f>
        <v/>
      </c>
      <c r="G51" s="36"/>
      <c r="H51" s="37" t="s">
        <v>62</v>
      </c>
      <c r="I51" s="33" t="s">
        <v>63</v>
      </c>
      <c r="J51" s="38" t="s">
        <v>64</v>
      </c>
      <c r="K51" s="11" t="str">
        <f aca="false">A50&amp;"|"&amp;TEXT(B50,"YYYY-MM-DD")&amp;"|"&amp;C50</f>
        <v>SK|2026-05-10|SK-7779997</v>
      </c>
      <c r="L51" s="39" t="str">
        <f aca="false">IF(COUNTIFS($A$2:A50,$A50,$B$2:$B50,$B50,$C$2:$C50,$C50)&gt;1,"⚠ DUPLICATE","✓ OK")</f>
        <v>✓ OK</v>
      </c>
    </row>
    <row r="52" customFormat="false" ht="15.75" hidden="false" customHeight="true" outlineLevel="0" collapsed="false">
      <c r="A52" s="31" t="s">
        <v>60</v>
      </c>
      <c r="B52" s="32" t="n">
        <v>46156</v>
      </c>
      <c r="C52" s="33" t="s">
        <v>71</v>
      </c>
      <c r="D52" s="34"/>
      <c r="E52" s="34"/>
      <c r="F52" s="35" t="str">
        <f aca="false">IF(AND(D51="",E51=""),"",IFERROR(D51+E51,""))</f>
        <v/>
      </c>
      <c r="G52" s="36"/>
      <c r="H52" s="37" t="s">
        <v>62</v>
      </c>
      <c r="I52" s="33" t="s">
        <v>63</v>
      </c>
      <c r="J52" s="38" t="s">
        <v>64</v>
      </c>
      <c r="K52" s="11" t="str">
        <f aca="false">A51&amp;"|"&amp;TEXT(B51,"YYYY-MM-DD")&amp;"|"&amp;C51</f>
        <v>SK|2026-05-12|SK-7780921</v>
      </c>
      <c r="L52" s="39" t="str">
        <f aca="false">IF(COUNTIFS($A$2:A51,$A51,$B$2:$B51,$B51,$C$2:$C51,$C51)&gt;1,"⚠ DUPLICATE","✓ OK")</f>
        <v>✓ OK</v>
      </c>
    </row>
    <row r="53" customFormat="false" ht="15.75" hidden="false" customHeight="true" outlineLevel="0" collapsed="false">
      <c r="A53" s="31" t="s">
        <v>60</v>
      </c>
      <c r="B53" s="32" t="n">
        <v>46158</v>
      </c>
      <c r="C53" s="33" t="s">
        <v>72</v>
      </c>
      <c r="D53" s="34"/>
      <c r="E53" s="34"/>
      <c r="F53" s="35" t="str">
        <f aca="false">IF(AND(D52="",E52=""),"",IFERROR(D52+E52,""))</f>
        <v/>
      </c>
      <c r="G53" s="36"/>
      <c r="H53" s="37" t="s">
        <v>62</v>
      </c>
      <c r="I53" s="33" t="s">
        <v>63</v>
      </c>
      <c r="J53" s="38" t="s">
        <v>64</v>
      </c>
      <c r="K53" s="11" t="str">
        <f aca="false">A52&amp;"|"&amp;TEXT(B52,"YYYY-MM-DD")&amp;"|"&amp;C52</f>
        <v>SK|2026-05-14|SK-7782088</v>
      </c>
      <c r="L53" s="39" t="str">
        <f aca="false">IF(COUNTIFS($A$2:A52,$A52,$B$2:$B52,$B52,$C$2:$C52,$C52)&gt;1,"⚠ DUPLICATE","✓ OK")</f>
        <v>✓ OK</v>
      </c>
    </row>
    <row r="54" customFormat="false" ht="15.75" hidden="false" customHeight="true" outlineLevel="0" collapsed="false">
      <c r="A54" s="31" t="s">
        <v>60</v>
      </c>
      <c r="B54" s="32" t="n">
        <v>46159</v>
      </c>
      <c r="C54" s="33" t="s">
        <v>73</v>
      </c>
      <c r="D54" s="34"/>
      <c r="E54" s="34"/>
      <c r="F54" s="35" t="str">
        <f aca="false">IF(AND(D53="",E53=""),"",IFERROR(D53+E53,""))</f>
        <v/>
      </c>
      <c r="G54" s="36"/>
      <c r="H54" s="37" t="s">
        <v>62</v>
      </c>
      <c r="I54" s="33" t="s">
        <v>63</v>
      </c>
      <c r="J54" s="38" t="s">
        <v>64</v>
      </c>
      <c r="K54" s="11" t="str">
        <f aca="false">A53&amp;"|"&amp;TEXT(B53,"YYYY-MM-DD")&amp;"|"&amp;C53</f>
        <v>SK|2026-05-16|SK-7783069</v>
      </c>
      <c r="L54" s="39" t="str">
        <f aca="false">IF(COUNTIFS($A$2:A53,$A53,$B$2:$B53,$B53,$C$2:$C53,$C53)&gt;1,"⚠ DUPLICATE","✓ OK")</f>
        <v>✓ OK</v>
      </c>
    </row>
    <row r="55" customFormat="false" ht="15.75" hidden="false" customHeight="true" outlineLevel="0" collapsed="false">
      <c r="A55" s="31" t="s">
        <v>60</v>
      </c>
      <c r="B55" s="32" t="n">
        <v>46160</v>
      </c>
      <c r="C55" s="33" t="s">
        <v>74</v>
      </c>
      <c r="D55" s="34"/>
      <c r="E55" s="34"/>
      <c r="F55" s="35" t="str">
        <f aca="false">IF(AND(D54="",E54=""),"",IFERROR(D54+E54,""))</f>
        <v/>
      </c>
      <c r="G55" s="36"/>
      <c r="H55" s="37" t="s">
        <v>62</v>
      </c>
      <c r="I55" s="33" t="s">
        <v>63</v>
      </c>
      <c r="J55" s="38" t="s">
        <v>64</v>
      </c>
      <c r="K55" s="11" t="str">
        <f aca="false">A54&amp;"|"&amp;TEXT(B54,"YYYY-MM-DD")&amp;"|"&amp;C54</f>
        <v>SK|2026-05-17|SK-7783538</v>
      </c>
      <c r="L55" s="39" t="str">
        <f aca="false">IF(COUNTIFS($A$2:A54,$A54,$B$2:$B54,$B54,$C$2:$C54,$C54)&gt;1,"⚠ DUPLICATE","✓ OK")</f>
        <v>✓ OK</v>
      </c>
    </row>
    <row r="56" customFormat="false" ht="15.75" hidden="false" customHeight="true" outlineLevel="0" collapsed="false">
      <c r="A56" s="31" t="s">
        <v>60</v>
      </c>
      <c r="B56" s="32" t="n">
        <v>46163</v>
      </c>
      <c r="C56" s="33" t="s">
        <v>75</v>
      </c>
      <c r="D56" s="34"/>
      <c r="E56" s="34"/>
      <c r="F56" s="35" t="str">
        <f aca="false">IF(AND(D55="",E55=""),"",IFERROR(D55+E55,""))</f>
        <v/>
      </c>
      <c r="G56" s="36"/>
      <c r="H56" s="37" t="s">
        <v>62</v>
      </c>
      <c r="I56" s="33" t="s">
        <v>63</v>
      </c>
      <c r="J56" s="38" t="s">
        <v>64</v>
      </c>
      <c r="K56" s="11" t="str">
        <f aca="false">A55&amp;"|"&amp;TEXT(B55,"YYYY-MM-DD")&amp;"|"&amp;C55</f>
        <v>SK|2026-05-18|SK-7784044</v>
      </c>
      <c r="L56" s="39" t="str">
        <f aca="false">IF(COUNTIFS($A$2:A55,$A55,$B$2:$B55,$B55,$C$2:$C55,$C55)&gt;1,"⚠ DUPLICATE","✓ OK")</f>
        <v>✓ OK</v>
      </c>
    </row>
    <row r="57" customFormat="false" ht="15.75" hidden="false" customHeight="true" outlineLevel="0" collapsed="false">
      <c r="A57" s="31" t="s">
        <v>60</v>
      </c>
      <c r="B57" s="32" t="n">
        <v>46164</v>
      </c>
      <c r="C57" s="33" t="s">
        <v>76</v>
      </c>
      <c r="D57" s="34"/>
      <c r="E57" s="34"/>
      <c r="F57" s="35" t="str">
        <f aca="false">IF(AND(D56="",E56=""),"",IFERROR(D56+E56,""))</f>
        <v/>
      </c>
      <c r="G57" s="36"/>
      <c r="H57" s="37" t="s">
        <v>62</v>
      </c>
      <c r="I57" s="33" t="s">
        <v>63</v>
      </c>
      <c r="J57" s="38" t="s">
        <v>64</v>
      </c>
      <c r="K57" s="11" t="str">
        <f aca="false">A56&amp;"|"&amp;TEXT(B56,"YYYY-MM-DD")&amp;"|"&amp;C56</f>
        <v>SK|2026-05-21|SK-7785406</v>
      </c>
      <c r="L57" s="39" t="str">
        <f aca="false">IF(COUNTIFS($A$2:A56,$A56,$B$2:$B56,$B56,$C$2:$C56,$C56)&gt;1,"⚠ DUPLICATE","✓ OK")</f>
        <v>✓ OK</v>
      </c>
    </row>
    <row r="58" customFormat="false" ht="15.75" hidden="false" customHeight="true" outlineLevel="0" collapsed="false">
      <c r="A58" s="31" t="s">
        <v>60</v>
      </c>
      <c r="B58" s="32" t="n">
        <v>46165</v>
      </c>
      <c r="C58" s="33" t="s">
        <v>77</v>
      </c>
      <c r="D58" s="34"/>
      <c r="E58" s="34"/>
      <c r="F58" s="35" t="str">
        <f aca="false">IF(AND(D57="",E57=""),"",IFERROR(D57+E57,""))</f>
        <v/>
      </c>
      <c r="G58" s="36"/>
      <c r="H58" s="37" t="s">
        <v>62</v>
      </c>
      <c r="I58" s="33" t="s">
        <v>63</v>
      </c>
      <c r="J58" s="38" t="s">
        <v>64</v>
      </c>
      <c r="K58" s="11" t="str">
        <f aca="false">A57&amp;"|"&amp;TEXT(B57,"YYYY-MM-DD")&amp;"|"&amp;C57</f>
        <v>SK|2026-05-22|SK-7785886</v>
      </c>
      <c r="L58" s="39" t="str">
        <f aca="false">IF(COUNTIFS($A$2:A57,$A57,$B$2:$B57,$B57,$C$2:$C57,$C57)&gt;1,"⚠ DUPLICATE","✓ OK")</f>
        <v>✓ OK</v>
      </c>
    </row>
    <row r="59" customFormat="false" ht="15.75" hidden="false" customHeight="true" outlineLevel="0" collapsed="false">
      <c r="A59" s="31" t="s">
        <v>60</v>
      </c>
      <c r="B59" s="32" t="n">
        <v>46166</v>
      </c>
      <c r="C59" s="33" t="s">
        <v>78</v>
      </c>
      <c r="D59" s="34"/>
      <c r="E59" s="34"/>
      <c r="F59" s="35" t="str">
        <f aca="false">IF(AND(D58="",E58=""),"",IFERROR(D58+E58,""))</f>
        <v/>
      </c>
      <c r="G59" s="36"/>
      <c r="H59" s="37" t="s">
        <v>79</v>
      </c>
      <c r="I59" s="33" t="s">
        <v>80</v>
      </c>
      <c r="J59" s="38" t="s">
        <v>64</v>
      </c>
      <c r="K59" s="11" t="str">
        <f aca="false">A58&amp;"|"&amp;TEXT(B58,"YYYY-MM-DD")&amp;"|"&amp;C58</f>
        <v>SK|2026-05-23|SK-7786379</v>
      </c>
      <c r="L59" s="39" t="str">
        <f aca="false">IF(COUNTIFS($A$2:A58,$A58,$B$2:$B58,$B58,$C$2:$C58,$C58)&gt;1,"⚠ DUPLICATE","✓ OK")</f>
        <v>✓ OK</v>
      </c>
    </row>
    <row r="60" customFormat="false" ht="15.75" hidden="false" customHeight="true" outlineLevel="0" collapsed="false">
      <c r="A60" s="31" t="s">
        <v>60</v>
      </c>
      <c r="B60" s="32" t="n">
        <v>46167</v>
      </c>
      <c r="C60" s="33" t="s">
        <v>81</v>
      </c>
      <c r="D60" s="34"/>
      <c r="E60" s="34"/>
      <c r="F60" s="35" t="str">
        <f aca="false">IF(AND(D59="",E59=""),"",IFERROR(D59+E59,""))</f>
        <v/>
      </c>
      <c r="G60" s="36"/>
      <c r="H60" s="37" t="s">
        <v>62</v>
      </c>
      <c r="I60" s="33" t="s">
        <v>63</v>
      </c>
      <c r="J60" s="38" t="s">
        <v>64</v>
      </c>
      <c r="K60" s="11" t="str">
        <f aca="false">A59&amp;"|"&amp;TEXT(B59,"YYYY-MM-DD")&amp;"|"&amp;C59</f>
        <v>SK|2026-05-24|SK-7786867</v>
      </c>
      <c r="L60" s="39" t="str">
        <f aca="false">IF(COUNTIFS($A$2:A59,$A59,$B$2:$B59,$B59,$C$2:$C59,$C59)&gt;1,"⚠ DUPLICATE","✓ OK")</f>
        <v>✓ OK</v>
      </c>
    </row>
    <row r="61" customFormat="false" ht="15.75" hidden="false" customHeight="true" outlineLevel="0" collapsed="false">
      <c r="A61" s="31" t="s">
        <v>60</v>
      </c>
      <c r="B61" s="32" t="n">
        <v>46170</v>
      </c>
      <c r="C61" s="33" t="s">
        <v>82</v>
      </c>
      <c r="D61" s="34"/>
      <c r="E61" s="34"/>
      <c r="F61" s="35" t="str">
        <f aca="false">IF(AND(D60="",E60=""),"",IFERROR(D60+E60,""))</f>
        <v/>
      </c>
      <c r="G61" s="36"/>
      <c r="H61" s="37" t="s">
        <v>62</v>
      </c>
      <c r="I61" s="33" t="s">
        <v>63</v>
      </c>
      <c r="J61" s="38" t="s">
        <v>64</v>
      </c>
      <c r="K61" s="11" t="str">
        <f aca="false">A60&amp;"|"&amp;TEXT(B60,"YYYY-MM-DD")&amp;"|"&amp;C60</f>
        <v>SK|2026-05-25|SK-7787833</v>
      </c>
      <c r="L61" s="39" t="str">
        <f aca="false">IF(COUNTIFS($A$2:A60,$A60,$B$2:$B60,$B60,$C$2:$C60,$C60)&gt;1,"⚠ DUPLICATE","✓ OK")</f>
        <v>✓ OK</v>
      </c>
    </row>
    <row r="62" customFormat="false" ht="15.75" hidden="false" customHeight="true" outlineLevel="0" collapsed="false">
      <c r="A62" s="31" t="s">
        <v>60</v>
      </c>
      <c r="B62" s="32" t="n">
        <v>46171</v>
      </c>
      <c r="C62" s="33" t="s">
        <v>83</v>
      </c>
      <c r="D62" s="34"/>
      <c r="E62" s="34"/>
      <c r="F62" s="35" t="str">
        <f aca="false">IF(AND(D61="",E61=""),"",IFERROR(D61+E61,""))</f>
        <v/>
      </c>
      <c r="G62" s="36"/>
      <c r="H62" s="37" t="s">
        <v>62</v>
      </c>
      <c r="I62" s="33" t="s">
        <v>63</v>
      </c>
      <c r="J62" s="38" t="s">
        <v>64</v>
      </c>
      <c r="K62" s="11" t="str">
        <f aca="false">A61&amp;"|"&amp;TEXT(B61,"YYYY-MM-DD")&amp;"|"&amp;C61</f>
        <v>SK|2026-05-28|SK-7788737</v>
      </c>
      <c r="L62" s="39" t="str">
        <f aca="false">IF(COUNTIFS($A$2:A61,$A61,$B$2:$B61,$B61,$C$2:$C61,$C61)&gt;1,"⚠ DUPLICATE","✓ OK")</f>
        <v>✓ OK</v>
      </c>
    </row>
    <row r="63" customFormat="false" ht="15.75" hidden="false" customHeight="true" outlineLevel="0" collapsed="false">
      <c r="A63" s="31" t="s">
        <v>60</v>
      </c>
      <c r="B63" s="32" t="n">
        <v>46172</v>
      </c>
      <c r="C63" s="33" t="s">
        <v>84</v>
      </c>
      <c r="D63" s="34"/>
      <c r="E63" s="34"/>
      <c r="F63" s="35" t="str">
        <f aca="false">IF(AND(D62="",E62=""),"",IFERROR(D62+E62,""))</f>
        <v/>
      </c>
      <c r="G63" s="36"/>
      <c r="H63" s="37" t="s">
        <v>62</v>
      </c>
      <c r="I63" s="33" t="s">
        <v>63</v>
      </c>
      <c r="J63" s="38" t="s">
        <v>64</v>
      </c>
      <c r="K63" s="11" t="str">
        <f aca="false">A62&amp;"|"&amp;TEXT(B62,"YYYY-MM-DD")&amp;"|"&amp;C62</f>
        <v>SK|2026-05-29|SK-7789255</v>
      </c>
      <c r="L63" s="39" t="str">
        <f aca="false">IF(COUNTIFS($A$2:A62,$A62,$B$2:$B62,$B62,$C$2:$C62,$C62)&gt;1,"⚠ DUPLICATE","✓ OK")</f>
        <v>✓ OK</v>
      </c>
    </row>
    <row r="64" customFormat="false" ht="15" hidden="false" customHeight="false" outlineLevel="0" collapsed="false">
      <c r="A64" s="31" t="s">
        <v>60</v>
      </c>
      <c r="B64" s="32" t="n">
        <v>46173</v>
      </c>
      <c r="C64" s="33" t="s">
        <v>85</v>
      </c>
      <c r="D64" s="34"/>
      <c r="E64" s="34"/>
      <c r="F64" s="35" t="str">
        <f aca="false">IF(AND(D63="",E63=""),"",IFERROR(D63+E63,""))</f>
        <v/>
      </c>
      <c r="G64" s="36"/>
      <c r="H64" s="37" t="s">
        <v>62</v>
      </c>
      <c r="I64" s="33" t="s">
        <v>63</v>
      </c>
      <c r="J64" s="38" t="s">
        <v>64</v>
      </c>
      <c r="K64" s="11" t="str">
        <f aca="false">A63&amp;"|"&amp;TEXT(B63,"YYYY-MM-DD")&amp;"|"&amp;C63</f>
        <v>SK|2026-05-30|SK-7789257</v>
      </c>
      <c r="L64" s="39" t="str">
        <f aca="false">IF(COUNTIFS($A$2:A63,$A63,$B$2:$B63,$B63,$C$2:$C63,$C63)&gt;1,"⚠ DUPLICATE","✓ OK")</f>
        <v>✓ OK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7" min="2" style="0" width="13"/>
  </cols>
  <sheetData>
    <row r="1" customFormat="false" ht="25.5" hidden="false" customHeight="true" outlineLevel="0" collapsed="false">
      <c r="A1" s="40" t="s">
        <v>86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customFormat="false" ht="27.75" hidden="false" customHeight="true" outlineLevel="0" collapsed="false">
      <c r="A2" s="2" t="s">
        <v>87</v>
      </c>
      <c r="B2" s="2" t="s">
        <v>88</v>
      </c>
      <c r="C2" s="41" t="s">
        <v>89</v>
      </c>
      <c r="D2" s="41" t="s">
        <v>90</v>
      </c>
      <c r="E2" s="41" t="s">
        <v>91</v>
      </c>
      <c r="F2" s="42" t="s">
        <v>92</v>
      </c>
      <c r="G2" s="42" t="s">
        <v>93</v>
      </c>
      <c r="H2" s="42" t="s">
        <v>94</v>
      </c>
      <c r="I2" s="43" t="s">
        <v>95</v>
      </c>
      <c r="J2" s="43" t="s">
        <v>96</v>
      </c>
      <c r="K2" s="43" t="s">
        <v>97</v>
      </c>
      <c r="L2" s="44" t="s">
        <v>98</v>
      </c>
      <c r="M2" s="44" t="s">
        <v>99</v>
      </c>
      <c r="N2" s="44" t="s">
        <v>100</v>
      </c>
      <c r="O2" s="2" t="s">
        <v>101</v>
      </c>
      <c r="P2" s="2" t="s">
        <v>102</v>
      </c>
      <c r="Q2" s="2" t="s">
        <v>103</v>
      </c>
    </row>
    <row r="3" customFormat="false" ht="18" hidden="false" customHeight="true" outlineLevel="0" collapsed="false">
      <c r="A3" s="45" t="s">
        <v>104</v>
      </c>
      <c r="B3" s="46" t="n">
        <v>46023</v>
      </c>
      <c r="C3" s="47" t="n">
        <f aca="false">IFERROR(SUMIFS(Flights!$D:$D,Flights!$A:$A,"VS",Flights!$B:$B,"&gt;="&amp;$B3,Flights!$B:$B,"&lt;"&amp;DATE(2026,2,1)),0)</f>
        <v>229644.41</v>
      </c>
      <c r="D3" s="47" t="n">
        <f aca="false">IFERROR(SUMIFS(Flights!$E:$E,Flights!$A:$A,"VS",Flights!$B:$B,"&gt;="&amp;$B3,Flights!$B:$B,"&lt;"&amp;DATE(2026,2,1)),0)</f>
        <v>140927.3</v>
      </c>
      <c r="E3" s="48" t="n">
        <f aca="false">C3+D3</f>
        <v>370571.71</v>
      </c>
      <c r="F3" s="47" t="n">
        <f aca="false">IFERROR(SUMIFS(Flights!$D:$D,Flights!$A:$A,"AA",Flights!$B:$B,"&gt;="&amp;$B3,Flights!$B:$B,"&lt;"&amp;DATE(2026,2,1)),0)</f>
        <v>19578.6</v>
      </c>
      <c r="G3" s="47" t="n">
        <f aca="false">IFERROR(SUMIFS(Flights!$E:$E,Flights!$A:$A,"AA",Flights!$B:$B,"&gt;="&amp;$B3,Flights!$B:$B,"&lt;"&amp;DATE(2026,2,1)),0)</f>
        <v>61843.19</v>
      </c>
      <c r="H3" s="48" t="n">
        <f aca="false">F3+G3</f>
        <v>81421.79</v>
      </c>
      <c r="I3" s="47" t="n">
        <f aca="false">IFERROR(SUMIFS(Flights!$D:$D,Flights!$A:$A,"ET",Flights!$B:$B,"&gt;="&amp;$B3,Flights!$B:$B,"&lt;"&amp;DATE(2026,2,1)),0)</f>
        <v>98578.61</v>
      </c>
      <c r="J3" s="47" t="n">
        <f aca="false">IFERROR(SUMIFS(Flights!$E:$E,Flights!$A:$A,"ET",Flights!$B:$B,"&gt;="&amp;$B3,Flights!$B:$B,"&lt;"&amp;DATE(2026,2,1)),0)</f>
        <v>10455</v>
      </c>
      <c r="K3" s="48" t="n">
        <f aca="false">I3+J3</f>
        <v>109033.61</v>
      </c>
      <c r="L3" s="47" t="n">
        <f aca="false">IFERROR(SUMIFS(Flights!$D:$D,Flights!$A:$A,"SK",Flights!$B:$B,"&gt;="&amp;$B3,Flights!$B:$B,"&lt;"&amp;DATE(2026,2,1)),0)</f>
        <v>85416.64</v>
      </c>
      <c r="M3" s="47" t="n">
        <f aca="false">IFERROR(SUMIFS(Flights!$E:$E,Flights!$A:$A,"SK",Flights!$B:$B,"&gt;="&amp;$B3,Flights!$B:$B,"&lt;"&amp;DATE(2026,2,1)),0)</f>
        <v>11400</v>
      </c>
      <c r="N3" s="48" t="n">
        <f aca="false">L3+M3</f>
        <v>96816.64</v>
      </c>
      <c r="O3" s="49" t="n">
        <f aca="false">C3+F3+I3+L3</f>
        <v>433218.26</v>
      </c>
      <c r="P3" s="49" t="n">
        <f aca="false">D3+G3+J3+M3</f>
        <v>224625.49</v>
      </c>
      <c r="Q3" s="49" t="n">
        <f aca="false">E3+H3+K3+N3</f>
        <v>657843.75</v>
      </c>
    </row>
    <row r="4" customFormat="false" ht="18" hidden="false" customHeight="true" outlineLevel="0" collapsed="false">
      <c r="A4" s="45" t="s">
        <v>105</v>
      </c>
      <c r="B4" s="46" t="n">
        <v>46054</v>
      </c>
      <c r="C4" s="50" t="n">
        <f aca="false">IFERROR(SUMIFS(Flights!$D:$D,Flights!$A:$A,"VS",Flights!$B:$B,"&gt;="&amp;$B4,Flights!$B:$B,"&lt;"&amp;DATE(2026,3,1)),0)</f>
        <v>186972.31</v>
      </c>
      <c r="D4" s="50" t="n">
        <f aca="false">IFERROR(SUMIFS(Flights!$E:$E,Flights!$A:$A,"VS",Flights!$B:$B,"&gt;="&amp;$B4,Flights!$B:$B,"&lt;"&amp;DATE(2026,3,1)),0)</f>
        <v>114949.32</v>
      </c>
      <c r="E4" s="51" t="n">
        <f aca="false">C4+D4</f>
        <v>301921.63</v>
      </c>
      <c r="F4" s="50" t="n">
        <f aca="false">IFERROR(SUMIFS(Flights!$D:$D,Flights!$A:$A,"AA",Flights!$B:$B,"&gt;="&amp;$B4,Flights!$B:$B,"&lt;"&amp;DATE(2026,3,1)),0)</f>
        <v>10978.4</v>
      </c>
      <c r="G4" s="50" t="n">
        <f aca="false">IFERROR(SUMIFS(Flights!$E:$E,Flights!$A:$A,"AA",Flights!$B:$B,"&gt;="&amp;$B4,Flights!$B:$B,"&lt;"&amp;DATE(2026,3,1)),0)</f>
        <v>63672.62</v>
      </c>
      <c r="H4" s="51" t="n">
        <f aca="false">F4+G4</f>
        <v>74651.02</v>
      </c>
      <c r="I4" s="50" t="n">
        <f aca="false">IFERROR(SUMIFS(Flights!$D:$D,Flights!$A:$A,"ET",Flights!$B:$B,"&gt;="&amp;$B4,Flights!$B:$B,"&lt;"&amp;DATE(2026,3,1)),0)</f>
        <v>31847.35</v>
      </c>
      <c r="J4" s="50" t="n">
        <f aca="false">IFERROR(SUMIFS(Flights!$E:$E,Flights!$A:$A,"ET",Flights!$B:$B,"&gt;="&amp;$B4,Flights!$B:$B,"&lt;"&amp;DATE(2026,3,1)),0)</f>
        <v>4920</v>
      </c>
      <c r="K4" s="51" t="n">
        <f aca="false">I4+J4</f>
        <v>36767.35</v>
      </c>
      <c r="L4" s="50" t="n">
        <f aca="false">IFERROR(SUMIFS(Flights!$D:$D,Flights!$A:$A,"SK",Flights!$B:$B,"&gt;="&amp;$B4,Flights!$B:$B,"&lt;"&amp;DATE(2026,3,1)),0)</f>
        <v>79976.49</v>
      </c>
      <c r="M4" s="50" t="n">
        <f aca="false">IFERROR(SUMIFS(Flights!$E:$E,Flights!$A:$A,"SK",Flights!$B:$B,"&gt;="&amp;$B4,Flights!$B:$B,"&lt;"&amp;DATE(2026,3,1)),0)</f>
        <v>12160</v>
      </c>
      <c r="N4" s="51" t="n">
        <f aca="false">L4+M4</f>
        <v>92136.49</v>
      </c>
      <c r="O4" s="49" t="n">
        <f aca="false">C4+F4+I4+L4</f>
        <v>309774.55</v>
      </c>
      <c r="P4" s="49" t="n">
        <f aca="false">D4+G4+J4+M4</f>
        <v>195701.94</v>
      </c>
      <c r="Q4" s="49" t="n">
        <f aca="false">E4+H4+K4+N4</f>
        <v>505476.49</v>
      </c>
    </row>
    <row r="5" customFormat="false" ht="18" hidden="false" customHeight="true" outlineLevel="0" collapsed="false">
      <c r="A5" s="45" t="s">
        <v>106</v>
      </c>
      <c r="B5" s="46" t="n">
        <v>46082</v>
      </c>
      <c r="C5" s="47" t="n">
        <f aca="false">IFERROR(SUMIFS(Flights!$D:$D,Flights!$A:$A,"VS",Flights!$B:$B,"&gt;="&amp;$B5,Flights!$B:$B,"&lt;"&amp;DATE(2026,4,1)),0)</f>
        <v>241979.11</v>
      </c>
      <c r="D5" s="47" t="n">
        <f aca="false">IFERROR(SUMIFS(Flights!$E:$E,Flights!$A:$A,"VS",Flights!$B:$B,"&gt;="&amp;$B5,Flights!$B:$B,"&lt;"&amp;DATE(2026,4,1)),0)</f>
        <v>127316.08</v>
      </c>
      <c r="E5" s="48" t="n">
        <f aca="false">C5+D5</f>
        <v>369295.19</v>
      </c>
      <c r="F5" s="47" t="n">
        <f aca="false">IFERROR(SUMIFS(Flights!$D:$D,Flights!$A:$A,"AA",Flights!$B:$B,"&gt;="&amp;$B5,Flights!$B:$B,"&lt;"&amp;DATE(2026,4,1)),0)</f>
        <v>27301.42</v>
      </c>
      <c r="G5" s="47" t="n">
        <f aca="false">IFERROR(SUMIFS(Flights!$E:$E,Flights!$A:$A,"AA",Flights!$B:$B,"&gt;="&amp;$B5,Flights!$B:$B,"&lt;"&amp;DATE(2026,4,1)),0)</f>
        <v>72587.53</v>
      </c>
      <c r="H5" s="48" t="n">
        <f aca="false">F5+G5</f>
        <v>99888.95</v>
      </c>
      <c r="I5" s="47" t="n">
        <f aca="false">IFERROR(SUMIFS(Flights!$D:$D,Flights!$A:$A,"ET",Flights!$B:$B,"&gt;="&amp;$B5,Flights!$B:$B,"&lt;"&amp;DATE(2026,4,1)),0)</f>
        <v>0</v>
      </c>
      <c r="J5" s="47" t="n">
        <f aca="false">IFERROR(SUMIFS(Flights!$E:$E,Flights!$A:$A,"ET",Flights!$B:$B,"&gt;="&amp;$B5,Flights!$B:$B,"&lt;"&amp;DATE(2026,4,1)),0)</f>
        <v>0</v>
      </c>
      <c r="K5" s="48" t="n">
        <f aca="false">I5+J5</f>
        <v>0</v>
      </c>
      <c r="L5" s="47" t="n">
        <f aca="false">IFERROR(SUMIFS(Flights!$D:$D,Flights!$A:$A,"SK",Flights!$B:$B,"&gt;="&amp;$B5,Flights!$B:$B,"&lt;"&amp;DATE(2026,4,1)),0)</f>
        <v>79753.24</v>
      </c>
      <c r="M5" s="47" t="n">
        <f aca="false">IFERROR(SUMIFS(Flights!$E:$E,Flights!$A:$A,"SK",Flights!$B:$B,"&gt;="&amp;$B5,Flights!$B:$B,"&lt;"&amp;DATE(2026,4,1)),0)</f>
        <v>12160</v>
      </c>
      <c r="N5" s="48" t="n">
        <f aca="false">L5+M5</f>
        <v>91913.24</v>
      </c>
      <c r="O5" s="49" t="n">
        <f aca="false">C5+F5+I5+L5</f>
        <v>349033.77</v>
      </c>
      <c r="P5" s="49" t="n">
        <f aca="false">D5+G5+J5+M5</f>
        <v>212063.61</v>
      </c>
      <c r="Q5" s="49" t="n">
        <f aca="false">E5+H5+K5+N5</f>
        <v>561097.38</v>
      </c>
    </row>
    <row r="6" customFormat="false" ht="18" hidden="false" customHeight="true" outlineLevel="0" collapsed="false">
      <c r="A6" s="45" t="s">
        <v>107</v>
      </c>
      <c r="B6" s="46" t="n">
        <v>46113</v>
      </c>
      <c r="C6" s="50" t="n">
        <f aca="false">IFERROR(SUMIFS(Flights!$D:$D,Flights!$A:$A,"VS",Flights!$B:$B,"&gt;="&amp;$B6,Flights!$B:$B,"&lt;"&amp;DATE(2026,5,1)),0)</f>
        <v>285489.64</v>
      </c>
      <c r="D6" s="50" t="n">
        <f aca="false">IFERROR(SUMIFS(Flights!$E:$E,Flights!$A:$A,"VS",Flights!$B:$B,"&gt;="&amp;$B6,Flights!$B:$B,"&lt;"&amp;DATE(2026,5,1)),0)</f>
        <v>142136.08</v>
      </c>
      <c r="E6" s="51" t="n">
        <f aca="false">C6+D6</f>
        <v>427625.72</v>
      </c>
      <c r="F6" s="50" t="n">
        <f aca="false">IFERROR(SUMIFS(Flights!$D:$D,Flights!$A:$A,"AA",Flights!$B:$B,"&gt;="&amp;$B6,Flights!$B:$B,"&lt;"&amp;DATE(2026,5,1)),0)</f>
        <v>22161.63</v>
      </c>
      <c r="G6" s="50" t="n">
        <f aca="false">IFERROR(SUMIFS(Flights!$E:$E,Flights!$A:$A,"AA",Flights!$B:$B,"&gt;="&amp;$B6,Flights!$B:$B,"&lt;"&amp;DATE(2026,5,1)),0)</f>
        <v>76434.39</v>
      </c>
      <c r="H6" s="51" t="n">
        <f aca="false">F6+G6</f>
        <v>98596.02</v>
      </c>
      <c r="I6" s="50" t="n">
        <f aca="false">IFERROR(SUMIFS(Flights!$D:$D,Flights!$A:$A,"ET",Flights!$B:$B,"&gt;="&amp;$B6,Flights!$B:$B,"&lt;"&amp;DATE(2026,5,1)),0)</f>
        <v>0</v>
      </c>
      <c r="J6" s="50" t="n">
        <f aca="false">IFERROR(SUMIFS(Flights!$E:$E,Flights!$A:$A,"ET",Flights!$B:$B,"&gt;="&amp;$B6,Flights!$B:$B,"&lt;"&amp;DATE(2026,5,1)),0)</f>
        <v>0</v>
      </c>
      <c r="K6" s="51" t="n">
        <f aca="false">I6+J6</f>
        <v>0</v>
      </c>
      <c r="L6" s="50" t="n">
        <f aca="false">IFERROR(SUMIFS(Flights!$D:$D,Flights!$A:$A,"SK",Flights!$B:$B,"&gt;="&amp;$B6,Flights!$B:$B,"&lt;"&amp;DATE(2026,5,1)),0)</f>
        <v>86748.82</v>
      </c>
      <c r="M6" s="50" t="n">
        <f aca="false">IFERROR(SUMIFS(Flights!$E:$E,Flights!$A:$A,"SK",Flights!$B:$B,"&gt;="&amp;$B6,Flights!$B:$B,"&lt;"&amp;DATE(2026,5,1)),0)</f>
        <v>12920</v>
      </c>
      <c r="N6" s="51" t="n">
        <f aca="false">L6+M6</f>
        <v>99668.82</v>
      </c>
      <c r="O6" s="49" t="n">
        <f aca="false">C6+F6+I6+L6</f>
        <v>394400.09</v>
      </c>
      <c r="P6" s="49" t="n">
        <f aca="false">D6+G6+J6+M6</f>
        <v>231490.47</v>
      </c>
      <c r="Q6" s="49" t="n">
        <f aca="false">E6+H6+K6+N6</f>
        <v>625890.56</v>
      </c>
    </row>
    <row r="7" customFormat="false" ht="18" hidden="false" customHeight="true" outlineLevel="0" collapsed="false">
      <c r="A7" s="45" t="s">
        <v>108</v>
      </c>
      <c r="B7" s="46" t="n">
        <v>46143</v>
      </c>
      <c r="C7" s="47" t="n">
        <f aca="false">IFERROR(SUMIFS(Flights!$D:$D,Flights!$A:$A,"VS",Flights!$B:$B,"&gt;="&amp;$B7,Flights!$B:$B,"&lt;"&amp;DATE(2026,6,1)),0)</f>
        <v>302760.27</v>
      </c>
      <c r="D7" s="47" t="n">
        <f aca="false">IFERROR(SUMIFS(Flights!$E:$E,Flights!$A:$A,"VS",Flights!$B:$B,"&gt;="&amp;$B7,Flights!$B:$B,"&lt;"&amp;DATE(2026,6,1)),0)</f>
        <v>149155.53</v>
      </c>
      <c r="E7" s="48" t="n">
        <f aca="false">C7+D7</f>
        <v>451915.8</v>
      </c>
      <c r="F7" s="47" t="n">
        <f aca="false">IFERROR(SUMIFS(Flights!$D:$D,Flights!$A:$A,"AA",Flights!$B:$B,"&gt;="&amp;$B7,Flights!$B:$B,"&lt;"&amp;DATE(2026,6,1)),0)</f>
        <v>1890.43</v>
      </c>
      <c r="G7" s="47" t="n">
        <f aca="false">IFERROR(SUMIFS(Flights!$E:$E,Flights!$A:$A,"AA",Flights!$B:$B,"&gt;="&amp;$B7,Flights!$B:$B,"&lt;"&amp;DATE(2026,6,1)),0)</f>
        <v>8267.94</v>
      </c>
      <c r="H7" s="48" t="n">
        <f aca="false">F7+G7</f>
        <v>10158.37</v>
      </c>
      <c r="I7" s="47" t="n">
        <f aca="false">IFERROR(SUMIFS(Flights!$D:$D,Flights!$A:$A,"ET",Flights!$B:$B,"&gt;="&amp;$B7,Flights!$B:$B,"&lt;"&amp;DATE(2026,6,1)),0)</f>
        <v>39619.98</v>
      </c>
      <c r="J7" s="47" t="n">
        <f aca="false">IFERROR(SUMIFS(Flights!$E:$E,Flights!$A:$A,"ET",Flights!$B:$B,"&gt;="&amp;$B7,Flights!$B:$B,"&lt;"&amp;DATE(2026,6,1)),0)</f>
        <v>4200</v>
      </c>
      <c r="K7" s="48" t="n">
        <f aca="false">I7+J7</f>
        <v>43819.98</v>
      </c>
      <c r="L7" s="47" t="n">
        <f aca="false">IFERROR(SUMIFS(Flights!$D:$D,Flights!$A:$A,"SK",Flights!$B:$B,"&gt;="&amp;$B7,Flights!$B:$B,"&lt;"&amp;DATE(2026,6,1)),0)</f>
        <v>87021.12</v>
      </c>
      <c r="M7" s="47" t="n">
        <f aca="false">IFERROR(SUMIFS(Flights!$E:$E,Flights!$A:$A,"SK",Flights!$B:$B,"&gt;="&amp;$B7,Flights!$B:$B,"&lt;"&amp;DATE(2026,6,1)),0)</f>
        <v>12160</v>
      </c>
      <c r="N7" s="48" t="n">
        <f aca="false">L7+M7</f>
        <v>99181.12</v>
      </c>
      <c r="O7" s="49" t="n">
        <f aca="false">C7+F7+I7+L7</f>
        <v>431291.8</v>
      </c>
      <c r="P7" s="49" t="n">
        <f aca="false">D7+G7+J7+M7</f>
        <v>173783.47</v>
      </c>
      <c r="Q7" s="49" t="n">
        <f aca="false">E7+H7+K7+N7</f>
        <v>605075.27</v>
      </c>
    </row>
    <row r="8" customFormat="false" ht="18" hidden="false" customHeight="true" outlineLevel="0" collapsed="false">
      <c r="A8" s="45" t="s">
        <v>109</v>
      </c>
      <c r="B8" s="46" t="n">
        <v>46174</v>
      </c>
      <c r="C8" s="50" t="n">
        <f aca="false">IFERROR(SUMIFS(Flights!$D:$D,Flights!$A:$A,"VS",Flights!$B:$B,"&gt;="&amp;$B8,Flights!$B:$B,"&lt;"&amp;DATE(2026,7,1)),0)</f>
        <v>0</v>
      </c>
      <c r="D8" s="50" t="n">
        <f aca="false">IFERROR(SUMIFS(Flights!$E:$E,Flights!$A:$A,"VS",Flights!$B:$B,"&gt;="&amp;$B8,Flights!$B:$B,"&lt;"&amp;DATE(2026,7,1)),0)</f>
        <v>0</v>
      </c>
      <c r="E8" s="51" t="n">
        <f aca="false">C8+D8</f>
        <v>0</v>
      </c>
      <c r="F8" s="50" t="n">
        <f aca="false">IFERROR(SUMIFS(Flights!$D:$D,Flights!$A:$A,"AA",Flights!$B:$B,"&gt;="&amp;$B8,Flights!$B:$B,"&lt;"&amp;DATE(2026,7,1)),0)</f>
        <v>0</v>
      </c>
      <c r="G8" s="50" t="n">
        <f aca="false">IFERROR(SUMIFS(Flights!$E:$E,Flights!$A:$A,"AA",Flights!$B:$B,"&gt;="&amp;$B8,Flights!$B:$B,"&lt;"&amp;DATE(2026,7,1)),0)</f>
        <v>0</v>
      </c>
      <c r="H8" s="51" t="n">
        <f aca="false">F8+G8</f>
        <v>0</v>
      </c>
      <c r="I8" s="50" t="n">
        <f aca="false">IFERROR(SUMIFS(Flights!$D:$D,Flights!$A:$A,"ET",Flights!$B:$B,"&gt;="&amp;$B8,Flights!$B:$B,"&lt;"&amp;DATE(2026,7,1)),0)</f>
        <v>0</v>
      </c>
      <c r="J8" s="50" t="n">
        <f aca="false">IFERROR(SUMIFS(Flights!$E:$E,Flights!$A:$A,"ET",Flights!$B:$B,"&gt;="&amp;$B8,Flights!$B:$B,"&lt;"&amp;DATE(2026,7,1)),0)</f>
        <v>0</v>
      </c>
      <c r="K8" s="51" t="n">
        <f aca="false">I8+J8</f>
        <v>0</v>
      </c>
      <c r="L8" s="50" t="n">
        <f aca="false">IFERROR(SUMIFS(Flights!$D:$D,Flights!$A:$A,"SK",Flights!$B:$B,"&gt;="&amp;$B8,Flights!$B:$B,"&lt;"&amp;DATE(2026,7,1)),0)</f>
        <v>0</v>
      </c>
      <c r="M8" s="50" t="n">
        <f aca="false">IFERROR(SUMIFS(Flights!$E:$E,Flights!$A:$A,"SK",Flights!$B:$B,"&gt;="&amp;$B8,Flights!$B:$B,"&lt;"&amp;DATE(2026,7,1)),0)</f>
        <v>0</v>
      </c>
      <c r="N8" s="51" t="n">
        <f aca="false">L8+M8</f>
        <v>0</v>
      </c>
      <c r="O8" s="49" t="n">
        <f aca="false">C8+F8+I8+L8</f>
        <v>0</v>
      </c>
      <c r="P8" s="49" t="n">
        <f aca="false">D8+G8+J8+M8</f>
        <v>0</v>
      </c>
      <c r="Q8" s="49" t="n">
        <f aca="false">E8+H8+K8+N8</f>
        <v>0</v>
      </c>
    </row>
    <row r="9" customFormat="false" ht="18" hidden="false" customHeight="true" outlineLevel="0" collapsed="false">
      <c r="A9" s="45" t="s">
        <v>110</v>
      </c>
      <c r="B9" s="46" t="n">
        <v>46204</v>
      </c>
      <c r="C9" s="47" t="n">
        <f aca="false">IFERROR(SUMIFS(Flights!$D:$D,Flights!$A:$A,"VS",Flights!$B:$B,"&gt;="&amp;$B9,Flights!$B:$B,"&lt;"&amp;DATE(2026,8,1)),0)</f>
        <v>0</v>
      </c>
      <c r="D9" s="47" t="n">
        <f aca="false">IFERROR(SUMIFS(Flights!$E:$E,Flights!$A:$A,"VS",Flights!$B:$B,"&gt;="&amp;$B9,Flights!$B:$B,"&lt;"&amp;DATE(2026,8,1)),0)</f>
        <v>0</v>
      </c>
      <c r="E9" s="48" t="n">
        <f aca="false">C9+D9</f>
        <v>0</v>
      </c>
      <c r="F9" s="47" t="n">
        <f aca="false">IFERROR(SUMIFS(Flights!$D:$D,Flights!$A:$A,"AA",Flights!$B:$B,"&gt;="&amp;$B9,Flights!$B:$B,"&lt;"&amp;DATE(2026,8,1)),0)</f>
        <v>0</v>
      </c>
      <c r="G9" s="47" t="n">
        <f aca="false">IFERROR(SUMIFS(Flights!$E:$E,Flights!$A:$A,"AA",Flights!$B:$B,"&gt;="&amp;$B9,Flights!$B:$B,"&lt;"&amp;DATE(2026,8,1)),0)</f>
        <v>0</v>
      </c>
      <c r="H9" s="48" t="n">
        <f aca="false">F9+G9</f>
        <v>0</v>
      </c>
      <c r="I9" s="47" t="n">
        <f aca="false">IFERROR(SUMIFS(Flights!$D:$D,Flights!$A:$A,"ET",Flights!$B:$B,"&gt;="&amp;$B9,Flights!$B:$B,"&lt;"&amp;DATE(2026,8,1)),0)</f>
        <v>0</v>
      </c>
      <c r="J9" s="47" t="n">
        <f aca="false">IFERROR(SUMIFS(Flights!$E:$E,Flights!$A:$A,"ET",Flights!$B:$B,"&gt;="&amp;$B9,Flights!$B:$B,"&lt;"&amp;DATE(2026,8,1)),0)</f>
        <v>0</v>
      </c>
      <c r="K9" s="48" t="n">
        <f aca="false">I9+J9</f>
        <v>0</v>
      </c>
      <c r="L9" s="47" t="n">
        <f aca="false">IFERROR(SUMIFS(Flights!$D:$D,Flights!$A:$A,"SK",Flights!$B:$B,"&gt;="&amp;$B9,Flights!$B:$B,"&lt;"&amp;DATE(2026,8,1)),0)</f>
        <v>0</v>
      </c>
      <c r="M9" s="47" t="n">
        <f aca="false">IFERROR(SUMIFS(Flights!$E:$E,Flights!$A:$A,"SK",Flights!$B:$B,"&gt;="&amp;$B9,Flights!$B:$B,"&lt;"&amp;DATE(2026,8,1)),0)</f>
        <v>0</v>
      </c>
      <c r="N9" s="48" t="n">
        <f aca="false">L9+M9</f>
        <v>0</v>
      </c>
      <c r="O9" s="49" t="n">
        <f aca="false">C9+F9+I9+L9</f>
        <v>0</v>
      </c>
      <c r="P9" s="49" t="n">
        <f aca="false">D9+G9+J9+M9</f>
        <v>0</v>
      </c>
      <c r="Q9" s="49" t="n">
        <f aca="false">E9+H9+K9+N9</f>
        <v>0</v>
      </c>
    </row>
    <row r="10" customFormat="false" ht="18" hidden="false" customHeight="true" outlineLevel="0" collapsed="false">
      <c r="A10" s="45" t="s">
        <v>111</v>
      </c>
      <c r="B10" s="46" t="n">
        <v>46235</v>
      </c>
      <c r="C10" s="50" t="n">
        <f aca="false">IFERROR(SUMIFS(Flights!$D:$D,Flights!$A:$A,"VS",Flights!$B:$B,"&gt;="&amp;$B10,Flights!$B:$B,"&lt;"&amp;DATE(2026,9,1)),0)</f>
        <v>0</v>
      </c>
      <c r="D10" s="50" t="n">
        <f aca="false">IFERROR(SUMIFS(Flights!$E:$E,Flights!$A:$A,"VS",Flights!$B:$B,"&gt;="&amp;$B10,Flights!$B:$B,"&lt;"&amp;DATE(2026,9,1)),0)</f>
        <v>0</v>
      </c>
      <c r="E10" s="51" t="n">
        <f aca="false">C10+D10</f>
        <v>0</v>
      </c>
      <c r="F10" s="50" t="n">
        <f aca="false">IFERROR(SUMIFS(Flights!$D:$D,Flights!$A:$A,"AA",Flights!$B:$B,"&gt;="&amp;$B10,Flights!$B:$B,"&lt;"&amp;DATE(2026,9,1)),0)</f>
        <v>0</v>
      </c>
      <c r="G10" s="50" t="n">
        <f aca="false">IFERROR(SUMIFS(Flights!$E:$E,Flights!$A:$A,"AA",Flights!$B:$B,"&gt;="&amp;$B10,Flights!$B:$B,"&lt;"&amp;DATE(2026,9,1)),0)</f>
        <v>0</v>
      </c>
      <c r="H10" s="51" t="n">
        <f aca="false">F10+G10</f>
        <v>0</v>
      </c>
      <c r="I10" s="50" t="n">
        <f aca="false">IFERROR(SUMIFS(Flights!$D:$D,Flights!$A:$A,"ET",Flights!$B:$B,"&gt;="&amp;$B10,Flights!$B:$B,"&lt;"&amp;DATE(2026,9,1)),0)</f>
        <v>0</v>
      </c>
      <c r="J10" s="50" t="n">
        <f aca="false">IFERROR(SUMIFS(Flights!$E:$E,Flights!$A:$A,"ET",Flights!$B:$B,"&gt;="&amp;$B10,Flights!$B:$B,"&lt;"&amp;DATE(2026,9,1)),0)</f>
        <v>0</v>
      </c>
      <c r="K10" s="51" t="n">
        <f aca="false">I10+J10</f>
        <v>0</v>
      </c>
      <c r="L10" s="50" t="n">
        <f aca="false">IFERROR(SUMIFS(Flights!$D:$D,Flights!$A:$A,"SK",Flights!$B:$B,"&gt;="&amp;$B10,Flights!$B:$B,"&lt;"&amp;DATE(2026,9,1)),0)</f>
        <v>0</v>
      </c>
      <c r="M10" s="50" t="n">
        <f aca="false">IFERROR(SUMIFS(Flights!$E:$E,Flights!$A:$A,"SK",Flights!$B:$B,"&gt;="&amp;$B10,Flights!$B:$B,"&lt;"&amp;DATE(2026,9,1)),0)</f>
        <v>0</v>
      </c>
      <c r="N10" s="51" t="n">
        <f aca="false">L10+M10</f>
        <v>0</v>
      </c>
      <c r="O10" s="49" t="n">
        <f aca="false">C10+F10+I10+L10</f>
        <v>0</v>
      </c>
      <c r="P10" s="49" t="n">
        <f aca="false">D10+G10+J10+M10</f>
        <v>0</v>
      </c>
      <c r="Q10" s="49" t="n">
        <f aca="false">E10+H10+K10+N10</f>
        <v>0</v>
      </c>
    </row>
    <row r="11" customFormat="false" ht="18" hidden="false" customHeight="true" outlineLevel="0" collapsed="false">
      <c r="A11" s="45" t="s">
        <v>112</v>
      </c>
      <c r="B11" s="46" t="n">
        <v>46266</v>
      </c>
      <c r="C11" s="47" t="n">
        <f aca="false">IFERROR(SUMIFS(Flights!$D:$D,Flights!$A:$A,"VS",Flights!$B:$B,"&gt;="&amp;$B11,Flights!$B:$B,"&lt;"&amp;DATE(2026,10,1)),0)</f>
        <v>0</v>
      </c>
      <c r="D11" s="47" t="n">
        <f aca="false">IFERROR(SUMIFS(Flights!$E:$E,Flights!$A:$A,"VS",Flights!$B:$B,"&gt;="&amp;$B11,Flights!$B:$B,"&lt;"&amp;DATE(2026,10,1)),0)</f>
        <v>0</v>
      </c>
      <c r="E11" s="48" t="n">
        <f aca="false">C11+D11</f>
        <v>0</v>
      </c>
      <c r="F11" s="47" t="n">
        <f aca="false">IFERROR(SUMIFS(Flights!$D:$D,Flights!$A:$A,"AA",Flights!$B:$B,"&gt;="&amp;$B11,Flights!$B:$B,"&lt;"&amp;DATE(2026,10,1)),0)</f>
        <v>0</v>
      </c>
      <c r="G11" s="47" t="n">
        <f aca="false">IFERROR(SUMIFS(Flights!$E:$E,Flights!$A:$A,"AA",Flights!$B:$B,"&gt;="&amp;$B11,Flights!$B:$B,"&lt;"&amp;DATE(2026,10,1)),0)</f>
        <v>0</v>
      </c>
      <c r="H11" s="48" t="n">
        <f aca="false">F11+G11</f>
        <v>0</v>
      </c>
      <c r="I11" s="47" t="n">
        <f aca="false">IFERROR(SUMIFS(Flights!$D:$D,Flights!$A:$A,"ET",Flights!$B:$B,"&gt;="&amp;$B11,Flights!$B:$B,"&lt;"&amp;DATE(2026,10,1)),0)</f>
        <v>0</v>
      </c>
      <c r="J11" s="47" t="n">
        <f aca="false">IFERROR(SUMIFS(Flights!$E:$E,Flights!$A:$A,"ET",Flights!$B:$B,"&gt;="&amp;$B11,Flights!$B:$B,"&lt;"&amp;DATE(2026,10,1)),0)</f>
        <v>0</v>
      </c>
      <c r="K11" s="48" t="n">
        <f aca="false">I11+J11</f>
        <v>0</v>
      </c>
      <c r="L11" s="47" t="n">
        <f aca="false">IFERROR(SUMIFS(Flights!$D:$D,Flights!$A:$A,"SK",Flights!$B:$B,"&gt;="&amp;$B11,Flights!$B:$B,"&lt;"&amp;DATE(2026,10,1)),0)</f>
        <v>0</v>
      </c>
      <c r="M11" s="47" t="n">
        <f aca="false">IFERROR(SUMIFS(Flights!$E:$E,Flights!$A:$A,"SK",Flights!$B:$B,"&gt;="&amp;$B11,Flights!$B:$B,"&lt;"&amp;DATE(2026,10,1)),0)</f>
        <v>0</v>
      </c>
      <c r="N11" s="48" t="n">
        <f aca="false">L11+M11</f>
        <v>0</v>
      </c>
      <c r="O11" s="49" t="n">
        <f aca="false">C11+F11+I11+L11</f>
        <v>0</v>
      </c>
      <c r="P11" s="49" t="n">
        <f aca="false">D11+G11+J11+M11</f>
        <v>0</v>
      </c>
      <c r="Q11" s="49" t="n">
        <f aca="false">E11+H11+K11+N11</f>
        <v>0</v>
      </c>
    </row>
    <row r="12" customFormat="false" ht="18" hidden="false" customHeight="true" outlineLevel="0" collapsed="false">
      <c r="A12" s="45" t="s">
        <v>113</v>
      </c>
      <c r="B12" s="46" t="n">
        <v>46296</v>
      </c>
      <c r="C12" s="50" t="n">
        <f aca="false">IFERROR(SUMIFS(Flights!$D:$D,Flights!$A:$A,"VS",Flights!$B:$B,"&gt;="&amp;$B12,Flights!$B:$B,"&lt;"&amp;DATE(2026,11,1)),0)</f>
        <v>0</v>
      </c>
      <c r="D12" s="50" t="n">
        <f aca="false">IFERROR(SUMIFS(Flights!$E:$E,Flights!$A:$A,"VS",Flights!$B:$B,"&gt;="&amp;$B12,Flights!$B:$B,"&lt;"&amp;DATE(2026,11,1)),0)</f>
        <v>0</v>
      </c>
      <c r="E12" s="51" t="n">
        <f aca="false">C12+D12</f>
        <v>0</v>
      </c>
      <c r="F12" s="50" t="n">
        <f aca="false">IFERROR(SUMIFS(Flights!$D:$D,Flights!$A:$A,"AA",Flights!$B:$B,"&gt;="&amp;$B12,Flights!$B:$B,"&lt;"&amp;DATE(2026,11,1)),0)</f>
        <v>0</v>
      </c>
      <c r="G12" s="50" t="n">
        <f aca="false">IFERROR(SUMIFS(Flights!$E:$E,Flights!$A:$A,"AA",Flights!$B:$B,"&gt;="&amp;$B12,Flights!$B:$B,"&lt;"&amp;DATE(2026,11,1)),0)</f>
        <v>0</v>
      </c>
      <c r="H12" s="51" t="n">
        <f aca="false">F12+G12</f>
        <v>0</v>
      </c>
      <c r="I12" s="50" t="n">
        <f aca="false">IFERROR(SUMIFS(Flights!$D:$D,Flights!$A:$A,"ET",Flights!$B:$B,"&gt;="&amp;$B12,Flights!$B:$B,"&lt;"&amp;DATE(2026,11,1)),0)</f>
        <v>0</v>
      </c>
      <c r="J12" s="50" t="n">
        <f aca="false">IFERROR(SUMIFS(Flights!$E:$E,Flights!$A:$A,"ET",Flights!$B:$B,"&gt;="&amp;$B12,Flights!$B:$B,"&lt;"&amp;DATE(2026,11,1)),0)</f>
        <v>0</v>
      </c>
      <c r="K12" s="51" t="n">
        <f aca="false">I12+J12</f>
        <v>0</v>
      </c>
      <c r="L12" s="50" t="n">
        <f aca="false">IFERROR(SUMIFS(Flights!$D:$D,Flights!$A:$A,"SK",Flights!$B:$B,"&gt;="&amp;$B12,Flights!$B:$B,"&lt;"&amp;DATE(2026,11,1)),0)</f>
        <v>0</v>
      </c>
      <c r="M12" s="50" t="n">
        <f aca="false">IFERROR(SUMIFS(Flights!$E:$E,Flights!$A:$A,"SK",Flights!$B:$B,"&gt;="&amp;$B12,Flights!$B:$B,"&lt;"&amp;DATE(2026,11,1)),0)</f>
        <v>0</v>
      </c>
      <c r="N12" s="51" t="n">
        <f aca="false">L12+M12</f>
        <v>0</v>
      </c>
      <c r="O12" s="49" t="n">
        <f aca="false">C12+F12+I12+L12</f>
        <v>0</v>
      </c>
      <c r="P12" s="49" t="n">
        <f aca="false">D12+G12+J12+M12</f>
        <v>0</v>
      </c>
      <c r="Q12" s="49" t="n">
        <f aca="false">E12+H12+K12+N12</f>
        <v>0</v>
      </c>
    </row>
    <row r="13" customFormat="false" ht="18" hidden="false" customHeight="true" outlineLevel="0" collapsed="false">
      <c r="A13" s="45" t="s">
        <v>114</v>
      </c>
      <c r="B13" s="46" t="n">
        <v>46327</v>
      </c>
      <c r="C13" s="47" t="n">
        <f aca="false">IFERROR(SUMIFS(Flights!$D:$D,Flights!$A:$A,"VS",Flights!$B:$B,"&gt;="&amp;$B13,Flights!$B:$B,"&lt;"&amp;DATE(2026,12,1)),0)</f>
        <v>0</v>
      </c>
      <c r="D13" s="47" t="n">
        <f aca="false">IFERROR(SUMIFS(Flights!$E:$E,Flights!$A:$A,"VS",Flights!$B:$B,"&gt;="&amp;$B13,Flights!$B:$B,"&lt;"&amp;DATE(2026,12,1)),0)</f>
        <v>0</v>
      </c>
      <c r="E13" s="48" t="n">
        <f aca="false">C13+D13</f>
        <v>0</v>
      </c>
      <c r="F13" s="47" t="n">
        <f aca="false">IFERROR(SUMIFS(Flights!$D:$D,Flights!$A:$A,"AA",Flights!$B:$B,"&gt;="&amp;$B13,Flights!$B:$B,"&lt;"&amp;DATE(2026,12,1)),0)</f>
        <v>0</v>
      </c>
      <c r="G13" s="47" t="n">
        <f aca="false">IFERROR(SUMIFS(Flights!$E:$E,Flights!$A:$A,"AA",Flights!$B:$B,"&gt;="&amp;$B13,Flights!$B:$B,"&lt;"&amp;DATE(2026,12,1)),0)</f>
        <v>0</v>
      </c>
      <c r="H13" s="48" t="n">
        <f aca="false">F13+G13</f>
        <v>0</v>
      </c>
      <c r="I13" s="47" t="n">
        <f aca="false">IFERROR(SUMIFS(Flights!$D:$D,Flights!$A:$A,"ET",Flights!$B:$B,"&gt;="&amp;$B13,Flights!$B:$B,"&lt;"&amp;DATE(2026,12,1)),0)</f>
        <v>0</v>
      </c>
      <c r="J13" s="47" t="n">
        <f aca="false">IFERROR(SUMIFS(Flights!$E:$E,Flights!$A:$A,"ET",Flights!$B:$B,"&gt;="&amp;$B13,Flights!$B:$B,"&lt;"&amp;DATE(2026,12,1)),0)</f>
        <v>0</v>
      </c>
      <c r="K13" s="48" t="n">
        <f aca="false">I13+J13</f>
        <v>0</v>
      </c>
      <c r="L13" s="47" t="n">
        <f aca="false">IFERROR(SUMIFS(Flights!$D:$D,Flights!$A:$A,"SK",Flights!$B:$B,"&gt;="&amp;$B13,Flights!$B:$B,"&lt;"&amp;DATE(2026,12,1)),0)</f>
        <v>0</v>
      </c>
      <c r="M13" s="47" t="n">
        <f aca="false">IFERROR(SUMIFS(Flights!$E:$E,Flights!$A:$A,"SK",Flights!$B:$B,"&gt;="&amp;$B13,Flights!$B:$B,"&lt;"&amp;DATE(2026,12,1)),0)</f>
        <v>0</v>
      </c>
      <c r="N13" s="48" t="n">
        <f aca="false">L13+M13</f>
        <v>0</v>
      </c>
      <c r="O13" s="49" t="n">
        <f aca="false">C13+F13+I13+L13</f>
        <v>0</v>
      </c>
      <c r="P13" s="49" t="n">
        <f aca="false">D13+G13+J13+M13</f>
        <v>0</v>
      </c>
      <c r="Q13" s="49" t="n">
        <f aca="false">E13+H13+K13+N13</f>
        <v>0</v>
      </c>
    </row>
    <row r="14" customFormat="false" ht="18" hidden="false" customHeight="true" outlineLevel="0" collapsed="false">
      <c r="A14" s="45" t="s">
        <v>115</v>
      </c>
      <c r="B14" s="46" t="n">
        <v>46357</v>
      </c>
      <c r="C14" s="50" t="n">
        <f aca="false">IFERROR(SUMIFS(Flights!$D:$D,Flights!$A:$A,"VS",Flights!$B:$B,"&gt;="&amp;$B14,Flights!$B:$B,"&lt;"&amp;DATE(2027,1,1)),0)</f>
        <v>0</v>
      </c>
      <c r="D14" s="50" t="n">
        <f aca="false">IFERROR(SUMIFS(Flights!$E:$E,Flights!$A:$A,"VS",Flights!$B:$B,"&gt;="&amp;$B14,Flights!$B:$B,"&lt;"&amp;DATE(2027,1,1)),0)</f>
        <v>0</v>
      </c>
      <c r="E14" s="51" t="n">
        <f aca="false">C14+D14</f>
        <v>0</v>
      </c>
      <c r="F14" s="50" t="n">
        <f aca="false">IFERROR(SUMIFS(Flights!$D:$D,Flights!$A:$A,"AA",Flights!$B:$B,"&gt;="&amp;$B14,Flights!$B:$B,"&lt;"&amp;DATE(2027,1,1)),0)</f>
        <v>0</v>
      </c>
      <c r="G14" s="50" t="n">
        <f aca="false">IFERROR(SUMIFS(Flights!$E:$E,Flights!$A:$A,"AA",Flights!$B:$B,"&gt;="&amp;$B14,Flights!$B:$B,"&lt;"&amp;DATE(2027,1,1)),0)</f>
        <v>0</v>
      </c>
      <c r="H14" s="51" t="n">
        <f aca="false">F14+G14</f>
        <v>0</v>
      </c>
      <c r="I14" s="50" t="n">
        <f aca="false">IFERROR(SUMIFS(Flights!$D:$D,Flights!$A:$A,"ET",Flights!$B:$B,"&gt;="&amp;$B14,Flights!$B:$B,"&lt;"&amp;DATE(2027,1,1)),0)</f>
        <v>0</v>
      </c>
      <c r="J14" s="50" t="n">
        <f aca="false">IFERROR(SUMIFS(Flights!$E:$E,Flights!$A:$A,"ET",Flights!$B:$B,"&gt;="&amp;$B14,Flights!$B:$B,"&lt;"&amp;DATE(2027,1,1)),0)</f>
        <v>0</v>
      </c>
      <c r="K14" s="51" t="n">
        <f aca="false">I14+J14</f>
        <v>0</v>
      </c>
      <c r="L14" s="50" t="n">
        <f aca="false">IFERROR(SUMIFS(Flights!$D:$D,Flights!$A:$A,"SK",Flights!$B:$B,"&gt;="&amp;$B14,Flights!$B:$B,"&lt;"&amp;DATE(2027,1,1)),0)</f>
        <v>0</v>
      </c>
      <c r="M14" s="50" t="n">
        <f aca="false">IFERROR(SUMIFS(Flights!$E:$E,Flights!$A:$A,"SK",Flights!$B:$B,"&gt;="&amp;$B14,Flights!$B:$B,"&lt;"&amp;DATE(2027,1,1)),0)</f>
        <v>0</v>
      </c>
      <c r="N14" s="51" t="n">
        <f aca="false">L14+M14</f>
        <v>0</v>
      </c>
      <c r="O14" s="49" t="n">
        <f aca="false">C14+F14+I14+L14</f>
        <v>0</v>
      </c>
      <c r="P14" s="49" t="n">
        <f aca="false">D14+G14+J14+M14</f>
        <v>0</v>
      </c>
      <c r="Q14" s="49" t="n">
        <f aca="false">E14+H14+K14+N14</f>
        <v>0</v>
      </c>
    </row>
    <row r="15" customFormat="false" ht="21.75" hidden="false" customHeight="true" outlineLevel="0" collapsed="false">
      <c r="A15" s="52" t="s">
        <v>116</v>
      </c>
      <c r="B15" s="53"/>
      <c r="C15" s="54" t="n">
        <f aca="false">SUM(C3:C14)</f>
        <v>1246845.74</v>
      </c>
      <c r="D15" s="54" t="n">
        <f aca="false">SUM(D3:D14)</f>
        <v>674484.31</v>
      </c>
      <c r="E15" s="54" t="n">
        <f aca="false">SUM(E3:E14)</f>
        <v>1921330.05</v>
      </c>
      <c r="F15" s="54" t="n">
        <f aca="false">SUM(F3:F14)</f>
        <v>81910.48</v>
      </c>
      <c r="G15" s="54" t="n">
        <f aca="false">SUM(G3:G14)</f>
        <v>282805.67</v>
      </c>
      <c r="H15" s="54" t="n">
        <f aca="false">SUM(H3:H14)</f>
        <v>364716.15</v>
      </c>
      <c r="I15" s="54" t="n">
        <f aca="false">SUM(I3:I14)</f>
        <v>170045.94</v>
      </c>
      <c r="J15" s="54" t="n">
        <f aca="false">SUM(J3:J14)</f>
        <v>19575</v>
      </c>
      <c r="K15" s="54" t="n">
        <f aca="false">SUM(K3:K14)</f>
        <v>189620.94</v>
      </c>
      <c r="L15" s="54" t="n">
        <f aca="false">SUM(L3:L14)</f>
        <v>418916.31</v>
      </c>
      <c r="M15" s="54" t="n">
        <f aca="false">SUM(M3:M14)</f>
        <v>60800</v>
      </c>
      <c r="N15" s="54" t="n">
        <f aca="false">SUM(N3:N14)</f>
        <v>479716.31</v>
      </c>
      <c r="O15" s="54" t="n">
        <f aca="false">SUM(O3:O14)</f>
        <v>1917718.47</v>
      </c>
      <c r="P15" s="54" t="n">
        <f aca="false">SUM(P3:P14)</f>
        <v>1037664.98</v>
      </c>
      <c r="Q15" s="54" t="n">
        <f aca="false">SUM(Q3:Q14)</f>
        <v>2955383.45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9c73f154aa90295fe69c3dad76979201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3304b05f5e8d0097e758cfa1658ef71e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11C7EEEE-4835-414E-A3BE-DDEBC9D4D98E}"/>
</file>

<file path=customXml/itemProps2.xml><?xml version="1.0" encoding="utf-8"?>
<ds:datastoreItem xmlns:ds="http://schemas.openxmlformats.org/officeDocument/2006/customXml" ds:itemID="{B26704D2-EE19-4306-BDC3-11937F38CAE3}"/>
</file>

<file path=customXml/itemProps3.xml><?xml version="1.0" encoding="utf-8"?>
<ds:datastoreItem xmlns:ds="http://schemas.openxmlformats.org/officeDocument/2006/customXml" ds:itemID="{D5FB3BFA-C657-4A97-8FA4-F05BAE85831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2026-06-18T19:04:02Z</dcterms:created>
  <dcterms:modified xsi:type="dcterms:W3CDTF">2026-06-18T19:04:03Z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