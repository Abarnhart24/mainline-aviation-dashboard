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VIRGIN CYCLE 2 DOCUMENTS 11.1.25/PnL/"/>
    </mc:Choice>
  </mc:AlternateContent>
  <xr:revisionPtr revIDLastSave="851" documentId="8_{1B04E33A-0DF4-4ED4-9FE5-4CB450917DFB}" xr6:coauthVersionLast="47" xr6:coauthVersionMax="47" xr10:uidLastSave="{5399D946-57F8-4FF5-9EC8-CCA18E6D3E95}"/>
  <bookViews>
    <workbookView xWindow="28680" yWindow="-5460" windowWidth="38640" windowHeight="21120" tabRatio="656" firstSheet="16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Handling" sheetId="2" r:id="rId15"/>
    <sheet name="FlightConfig " sheetId="3" r:id="rId16"/>
    <sheet name="Food" sheetId="1" r:id="rId17"/>
    <sheet name="Avg Per Flight" sheetId="8" state="hidden" r:id="rId18"/>
    <sheet name="FG MASTER" sheetId="28" r:id="rId19"/>
    <sheet name="SPML" sheetId="58" r:id="rId20"/>
  </sheets>
  <externalReferences>
    <externalReference r:id="rId21"/>
  </externalReferences>
  <definedNames>
    <definedName name="_Fill" hidden="1">#REF!</definedName>
    <definedName name="_Fill1" hidden="1">#REF!</definedName>
    <definedName name="_xlnm._FilterDatabase" localSheetId="16" hidden="1">Food!$A$3:$AK$342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8" i="28" l="1"/>
  <c r="L355" i="1" l="1"/>
  <c r="M355" i="1" s="1"/>
  <c r="K355" i="1"/>
  <c r="R355" i="1" s="1"/>
  <c r="L328" i="1"/>
  <c r="M328" i="1" s="1"/>
  <c r="K328" i="1"/>
  <c r="O328" i="1" s="1"/>
  <c r="L283" i="1"/>
  <c r="M283" i="1" s="1"/>
  <c r="K283" i="1"/>
  <c r="R283" i="1" s="1"/>
  <c r="L354" i="1"/>
  <c r="M354" i="1" s="1"/>
  <c r="K354" i="1"/>
  <c r="L353" i="1"/>
  <c r="M353" i="1" s="1"/>
  <c r="P353" i="1" s="1"/>
  <c r="K353" i="1"/>
  <c r="L352" i="1"/>
  <c r="M352" i="1" s="1"/>
  <c r="L351" i="1"/>
  <c r="M351" i="1" s="1"/>
  <c r="S351" i="1" s="1"/>
  <c r="K351" i="1"/>
  <c r="R351" i="1" s="1"/>
  <c r="L350" i="1"/>
  <c r="M350" i="1" s="1"/>
  <c r="K350" i="1"/>
  <c r="R350" i="1" s="1"/>
  <c r="L349" i="1"/>
  <c r="M349" i="1" s="1"/>
  <c r="K349" i="1"/>
  <c r="R349" i="1" s="1"/>
  <c r="L348" i="1"/>
  <c r="M348" i="1" s="1"/>
  <c r="K348" i="1"/>
  <c r="L347" i="1"/>
  <c r="M347" i="1" s="1"/>
  <c r="P347" i="1" s="1"/>
  <c r="K347" i="1"/>
  <c r="R347" i="1" s="1"/>
  <c r="L346" i="1"/>
  <c r="M346" i="1" s="1"/>
  <c r="P346" i="1" s="1"/>
  <c r="K346" i="1"/>
  <c r="R346" i="1" s="1"/>
  <c r="L345" i="1"/>
  <c r="M345" i="1" s="1"/>
  <c r="K345" i="1"/>
  <c r="R345" i="1" s="1"/>
  <c r="L344" i="1"/>
  <c r="M344" i="1" s="1"/>
  <c r="K344" i="1"/>
  <c r="R344" i="1" s="1"/>
  <c r="L343" i="1"/>
  <c r="M343" i="1" s="1"/>
  <c r="L342" i="1"/>
  <c r="M342" i="1" s="1"/>
  <c r="K342" i="1"/>
  <c r="L341" i="1"/>
  <c r="M341" i="1" s="1"/>
  <c r="P341" i="1" s="1"/>
  <c r="K341" i="1"/>
  <c r="R341" i="1" s="1"/>
  <c r="L340" i="1"/>
  <c r="M340" i="1" s="1"/>
  <c r="K340" i="1"/>
  <c r="O340" i="1" s="1"/>
  <c r="L339" i="1"/>
  <c r="M339" i="1" s="1"/>
  <c r="K339" i="1"/>
  <c r="R339" i="1" s="1"/>
  <c r="L338" i="1"/>
  <c r="M338" i="1" s="1"/>
  <c r="K338" i="1"/>
  <c r="R338" i="1" s="1"/>
  <c r="L337" i="1"/>
  <c r="M337" i="1" s="1"/>
  <c r="K337" i="1"/>
  <c r="R337" i="1" s="1"/>
  <c r="L336" i="1"/>
  <c r="M336" i="1" s="1"/>
  <c r="K336" i="1"/>
  <c r="L335" i="1"/>
  <c r="M335" i="1" s="1"/>
  <c r="P335" i="1" s="1"/>
  <c r="K335" i="1"/>
  <c r="L334" i="1"/>
  <c r="M334" i="1" s="1"/>
  <c r="K334" i="1"/>
  <c r="O334" i="1" s="1"/>
  <c r="L333" i="1"/>
  <c r="M333" i="1" s="1"/>
  <c r="S333" i="1" s="1"/>
  <c r="K333" i="1"/>
  <c r="R333" i="1" s="1"/>
  <c r="L332" i="1"/>
  <c r="M332" i="1" s="1"/>
  <c r="K332" i="1"/>
  <c r="O332" i="1" s="1"/>
  <c r="L331" i="1"/>
  <c r="M331" i="1" s="1"/>
  <c r="K331" i="1"/>
  <c r="R331" i="1" s="1"/>
  <c r="L330" i="1"/>
  <c r="M330" i="1" s="1"/>
  <c r="K330" i="1"/>
  <c r="L329" i="1"/>
  <c r="M329" i="1" s="1"/>
  <c r="P329" i="1" s="1"/>
  <c r="K329" i="1"/>
  <c r="L327" i="1"/>
  <c r="M327" i="1" s="1"/>
  <c r="P327" i="1" s="1"/>
  <c r="K327" i="1"/>
  <c r="R327" i="1" s="1"/>
  <c r="L326" i="1"/>
  <c r="M326" i="1" s="1"/>
  <c r="K326" i="1"/>
  <c r="L325" i="1"/>
  <c r="M325" i="1" s="1"/>
  <c r="K325" i="1"/>
  <c r="R325" i="1" s="1"/>
  <c r="L324" i="1"/>
  <c r="M324" i="1" s="1"/>
  <c r="K324" i="1"/>
  <c r="L323" i="1"/>
  <c r="M323" i="1" s="1"/>
  <c r="P323" i="1" s="1"/>
  <c r="K323" i="1"/>
  <c r="R323" i="1" s="1"/>
  <c r="L322" i="1"/>
  <c r="M322" i="1" s="1"/>
  <c r="K322" i="1"/>
  <c r="O322" i="1" s="1"/>
  <c r="L321" i="1"/>
  <c r="M321" i="1" s="1"/>
  <c r="K321" i="1"/>
  <c r="O321" i="1" s="1"/>
  <c r="L320" i="1"/>
  <c r="M320" i="1" s="1"/>
  <c r="K320" i="1"/>
  <c r="O320" i="1" s="1"/>
  <c r="L319" i="1"/>
  <c r="M319" i="1" s="1"/>
  <c r="K319" i="1"/>
  <c r="R319" i="1" s="1"/>
  <c r="L318" i="1"/>
  <c r="M318" i="1" s="1"/>
  <c r="P318" i="1" s="1"/>
  <c r="K318" i="1"/>
  <c r="L317" i="1"/>
  <c r="M317" i="1" s="1"/>
  <c r="P317" i="1" s="1"/>
  <c r="K317" i="1"/>
  <c r="L316" i="1"/>
  <c r="M316" i="1" s="1"/>
  <c r="K316" i="1"/>
  <c r="O316" i="1" s="1"/>
  <c r="L315" i="1"/>
  <c r="M315" i="1" s="1"/>
  <c r="K315" i="1"/>
  <c r="R315" i="1" s="1"/>
  <c r="L314" i="1"/>
  <c r="M314" i="1" s="1"/>
  <c r="K314" i="1"/>
  <c r="O314" i="1" s="1"/>
  <c r="L313" i="1"/>
  <c r="M313" i="1" s="1"/>
  <c r="K313" i="1"/>
  <c r="R313" i="1" s="1"/>
  <c r="L312" i="1"/>
  <c r="M312" i="1" s="1"/>
  <c r="K312" i="1"/>
  <c r="L311" i="1"/>
  <c r="M311" i="1" s="1"/>
  <c r="P311" i="1" s="1"/>
  <c r="K311" i="1"/>
  <c r="L310" i="1"/>
  <c r="M310" i="1" s="1"/>
  <c r="S310" i="1" s="1"/>
  <c r="K310" i="1"/>
  <c r="R310" i="1" s="1"/>
  <c r="L309" i="1"/>
  <c r="M309" i="1" s="1"/>
  <c r="S309" i="1" s="1"/>
  <c r="K309" i="1"/>
  <c r="R309" i="1" s="1"/>
  <c r="L308" i="1"/>
  <c r="M308" i="1" s="1"/>
  <c r="K308" i="1"/>
  <c r="O308" i="1" s="1"/>
  <c r="L307" i="1"/>
  <c r="M307" i="1" s="1"/>
  <c r="S307" i="1" s="1"/>
  <c r="K307" i="1"/>
  <c r="R307" i="1" s="1"/>
  <c r="L306" i="1"/>
  <c r="M306" i="1" s="1"/>
  <c r="K306" i="1"/>
  <c r="L305" i="1"/>
  <c r="M305" i="1" s="1"/>
  <c r="P305" i="1" s="1"/>
  <c r="K305" i="1"/>
  <c r="L304" i="1"/>
  <c r="M304" i="1" s="1"/>
  <c r="S304" i="1" s="1"/>
  <c r="K304" i="1"/>
  <c r="R304" i="1" s="1"/>
  <c r="L303" i="1"/>
  <c r="M303" i="1" s="1"/>
  <c r="P303" i="1" s="1"/>
  <c r="L302" i="1"/>
  <c r="M302" i="1" s="1"/>
  <c r="K302" i="1"/>
  <c r="L282" i="1"/>
  <c r="M282" i="1" s="1"/>
  <c r="K282" i="1"/>
  <c r="R282" i="1" s="1"/>
  <c r="L281" i="1"/>
  <c r="M281" i="1" s="1"/>
  <c r="K281" i="1"/>
  <c r="O281" i="1" s="1"/>
  <c r="L280" i="1"/>
  <c r="M280" i="1" s="1"/>
  <c r="L279" i="1"/>
  <c r="M279" i="1" s="1"/>
  <c r="S279" i="1" s="1"/>
  <c r="K279" i="1"/>
  <c r="R279" i="1" s="1"/>
  <c r="O177" i="28"/>
  <c r="O347" i="1" l="1"/>
  <c r="O346" i="1"/>
  <c r="S355" i="1"/>
  <c r="P355" i="1"/>
  <c r="N355" i="1"/>
  <c r="O355" i="1"/>
  <c r="S328" i="1"/>
  <c r="P328" i="1"/>
  <c r="N328" i="1"/>
  <c r="Q328" i="1" s="1"/>
  <c r="R328" i="1"/>
  <c r="T328" i="1" s="1"/>
  <c r="S283" i="1"/>
  <c r="T283" i="1" s="1"/>
  <c r="P283" i="1"/>
  <c r="N283" i="1"/>
  <c r="O283" i="1"/>
  <c r="R316" i="1"/>
  <c r="O307" i="1"/>
  <c r="O279" i="1"/>
  <c r="T333" i="1"/>
  <c r="S329" i="1"/>
  <c r="N326" i="1"/>
  <c r="P321" i="1"/>
  <c r="S321" i="1"/>
  <c r="R321" i="1"/>
  <c r="O304" i="1"/>
  <c r="O327" i="1"/>
  <c r="R314" i="1"/>
  <c r="N302" i="1"/>
  <c r="O310" i="1"/>
  <c r="R340" i="1"/>
  <c r="O333" i="1"/>
  <c r="S315" i="1"/>
  <c r="T315" i="1" s="1"/>
  <c r="P315" i="1"/>
  <c r="S320" i="1"/>
  <c r="P320" i="1"/>
  <c r="P339" i="1"/>
  <c r="S339" i="1"/>
  <c r="S316" i="1"/>
  <c r="P316" i="1"/>
  <c r="P345" i="1"/>
  <c r="S345" i="1"/>
  <c r="T345" i="1" s="1"/>
  <c r="P334" i="1"/>
  <c r="S334" i="1"/>
  <c r="S340" i="1"/>
  <c r="P340" i="1"/>
  <c r="S346" i="1"/>
  <c r="T346" i="1" s="1"/>
  <c r="S352" i="1"/>
  <c r="P352" i="1"/>
  <c r="S331" i="1"/>
  <c r="T331" i="1" s="1"/>
  <c r="P331" i="1"/>
  <c r="S322" i="1"/>
  <c r="P322" i="1"/>
  <c r="P307" i="1"/>
  <c r="N315" i="1"/>
  <c r="S353" i="1"/>
  <c r="P304" i="1"/>
  <c r="P310" i="1"/>
  <c r="N322" i="1"/>
  <c r="T304" i="1"/>
  <c r="T310" i="1"/>
  <c r="O325" i="1"/>
  <c r="O331" i="1"/>
  <c r="O338" i="1"/>
  <c r="S305" i="1"/>
  <c r="R320" i="1"/>
  <c r="R322" i="1"/>
  <c r="R326" i="1"/>
  <c r="O351" i="1"/>
  <c r="O309" i="1"/>
  <c r="O339" i="1"/>
  <c r="N345" i="1"/>
  <c r="N334" i="1"/>
  <c r="R302" i="1"/>
  <c r="R334" i="1"/>
  <c r="O315" i="1"/>
  <c r="R281" i="1"/>
  <c r="S341" i="1"/>
  <c r="T341" i="1" s="1"/>
  <c r="O345" i="1"/>
  <c r="N346" i="1"/>
  <c r="Q346" i="1" s="1"/>
  <c r="N320" i="1"/>
  <c r="N304" i="1"/>
  <c r="T307" i="1"/>
  <c r="N310" i="1"/>
  <c r="N316" i="1"/>
  <c r="S318" i="1"/>
  <c r="N340" i="1"/>
  <c r="P342" i="1"/>
  <c r="S342" i="1"/>
  <c r="P336" i="1"/>
  <c r="S336" i="1"/>
  <c r="P348" i="1"/>
  <c r="S348" i="1"/>
  <c r="S314" i="1"/>
  <c r="P314" i="1"/>
  <c r="N314" i="1"/>
  <c r="P330" i="1"/>
  <c r="S330" i="1"/>
  <c r="S319" i="1"/>
  <c r="T319" i="1" s="1"/>
  <c r="P319" i="1"/>
  <c r="P324" i="1"/>
  <c r="S324" i="1"/>
  <c r="S337" i="1"/>
  <c r="T337" i="1" s="1"/>
  <c r="P337" i="1"/>
  <c r="S343" i="1"/>
  <c r="P343" i="1"/>
  <c r="S349" i="1"/>
  <c r="T349" i="1" s="1"/>
  <c r="P349" i="1"/>
  <c r="S302" i="1"/>
  <c r="P302" i="1"/>
  <c r="S325" i="1"/>
  <c r="T325" i="1" s="1"/>
  <c r="P325" i="1"/>
  <c r="N325" i="1"/>
  <c r="S338" i="1"/>
  <c r="T338" i="1" s="1"/>
  <c r="N338" i="1"/>
  <c r="P338" i="1"/>
  <c r="S350" i="1"/>
  <c r="T350" i="1" s="1"/>
  <c r="P350" i="1"/>
  <c r="S308" i="1"/>
  <c r="P308" i="1"/>
  <c r="S344" i="1"/>
  <c r="T344" i="1" s="1"/>
  <c r="P344" i="1"/>
  <c r="S326" i="1"/>
  <c r="P326" i="1"/>
  <c r="S332" i="1"/>
  <c r="P332" i="1"/>
  <c r="P312" i="1"/>
  <c r="S312" i="1"/>
  <c r="N312" i="1"/>
  <c r="P354" i="1"/>
  <c r="S354" i="1"/>
  <c r="P306" i="1"/>
  <c r="S306" i="1"/>
  <c r="T309" i="1"/>
  <c r="S313" i="1"/>
  <c r="T313" i="1" s="1"/>
  <c r="P313" i="1"/>
  <c r="T355" i="1"/>
  <c r="O317" i="1"/>
  <c r="N317" i="1"/>
  <c r="Q317" i="1" s="1"/>
  <c r="R330" i="1"/>
  <c r="O330" i="1"/>
  <c r="P333" i="1"/>
  <c r="O311" i="1"/>
  <c r="N311" i="1"/>
  <c r="Q311" i="1" s="1"/>
  <c r="N344" i="1"/>
  <c r="N349" i="1"/>
  <c r="N351" i="1"/>
  <c r="O344" i="1"/>
  <c r="N321" i="1"/>
  <c r="N337" i="1"/>
  <c r="N339" i="1"/>
  <c r="S347" i="1"/>
  <c r="O305" i="1"/>
  <c r="N305" i="1"/>
  <c r="R318" i="1"/>
  <c r="O318" i="1"/>
  <c r="O329" i="1"/>
  <c r="N329" i="1"/>
  <c r="Q329" i="1" s="1"/>
  <c r="O337" i="1"/>
  <c r="O302" i="1"/>
  <c r="S303" i="1"/>
  <c r="R308" i="1"/>
  <c r="S311" i="1"/>
  <c r="O313" i="1"/>
  <c r="O326" i="1"/>
  <c r="S327" i="1"/>
  <c r="T327" i="1" s="1"/>
  <c r="R332" i="1"/>
  <c r="S335" i="1"/>
  <c r="R348" i="1"/>
  <c r="N348" i="1"/>
  <c r="O348" i="1"/>
  <c r="T351" i="1"/>
  <c r="N309" i="1"/>
  <c r="N333" i="1"/>
  <c r="R306" i="1"/>
  <c r="O306" i="1"/>
  <c r="R354" i="1"/>
  <c r="N354" i="1"/>
  <c r="O354" i="1"/>
  <c r="P309" i="1"/>
  <c r="S323" i="1"/>
  <c r="T323" i="1" s="1"/>
  <c r="N347" i="1"/>
  <c r="Q347" i="1" s="1"/>
  <c r="N327" i="1"/>
  <c r="R342" i="1"/>
  <c r="N342" i="1"/>
  <c r="O342" i="1"/>
  <c r="N306" i="1"/>
  <c r="N308" i="1"/>
  <c r="R317" i="1"/>
  <c r="N319" i="1"/>
  <c r="R324" i="1"/>
  <c r="O324" i="1"/>
  <c r="N330" i="1"/>
  <c r="N332" i="1"/>
  <c r="O335" i="1"/>
  <c r="N335" i="1"/>
  <c r="S317" i="1"/>
  <c r="O319" i="1"/>
  <c r="O349" i="1"/>
  <c r="P351" i="1"/>
  <c r="R311" i="1"/>
  <c r="N313" i="1"/>
  <c r="N324" i="1"/>
  <c r="R335" i="1"/>
  <c r="O353" i="1"/>
  <c r="N353" i="1"/>
  <c r="O341" i="1"/>
  <c r="N341" i="1"/>
  <c r="Q341" i="1" s="1"/>
  <c r="N350" i="1"/>
  <c r="R305" i="1"/>
  <c r="N307" i="1"/>
  <c r="R312" i="1"/>
  <c r="O312" i="1"/>
  <c r="N318" i="1"/>
  <c r="O323" i="1"/>
  <c r="N323" i="1"/>
  <c r="R329" i="1"/>
  <c r="N331" i="1"/>
  <c r="R336" i="1"/>
  <c r="N336" i="1"/>
  <c r="O336" i="1"/>
  <c r="T339" i="1"/>
  <c r="O350" i="1"/>
  <c r="R353" i="1"/>
  <c r="S280" i="1"/>
  <c r="P280" i="1"/>
  <c r="P281" i="1"/>
  <c r="S281" i="1"/>
  <c r="T279" i="1"/>
  <c r="P282" i="1"/>
  <c r="S282" i="1"/>
  <c r="T282" i="1" s="1"/>
  <c r="N279" i="1"/>
  <c r="P279" i="1"/>
  <c r="N282" i="1"/>
  <c r="O282" i="1"/>
  <c r="N281" i="1"/>
  <c r="T320" i="1" l="1"/>
  <c r="Q318" i="1"/>
  <c r="T317" i="1"/>
  <c r="T334" i="1"/>
  <c r="Q324" i="1"/>
  <c r="T353" i="1"/>
  <c r="Q355" i="1"/>
  <c r="Q283" i="1"/>
  <c r="T329" i="1"/>
  <c r="Q323" i="1"/>
  <c r="Q279" i="1"/>
  <c r="Q307" i="1"/>
  <c r="Q308" i="1"/>
  <c r="T321" i="1"/>
  <c r="Q320" i="1"/>
  <c r="Q327" i="1"/>
  <c r="Q321" i="1"/>
  <c r="T316" i="1"/>
  <c r="T340" i="1"/>
  <c r="Q302" i="1"/>
  <c r="Q325" i="1"/>
  <c r="Q322" i="1"/>
  <c r="Q326" i="1"/>
  <c r="T281" i="1"/>
  <c r="Q305" i="1"/>
  <c r="T342" i="1"/>
  <c r="T314" i="1"/>
  <c r="Q304" i="1"/>
  <c r="T330" i="1"/>
  <c r="Q312" i="1"/>
  <c r="T306" i="1"/>
  <c r="Q339" i="1"/>
  <c r="Q333" i="1"/>
  <c r="T308" i="1"/>
  <c r="Q337" i="1"/>
  <c r="T335" i="1"/>
  <c r="T311" i="1"/>
  <c r="T305" i="1"/>
  <c r="T347" i="1"/>
  <c r="T348" i="1"/>
  <c r="Q351" i="1"/>
  <c r="Q345" i="1"/>
  <c r="T336" i="1"/>
  <c r="Q350" i="1"/>
  <c r="T326" i="1"/>
  <c r="Q331" i="1"/>
  <c r="Q306" i="1"/>
  <c r="T354" i="1"/>
  <c r="T302" i="1"/>
  <c r="Q315" i="1"/>
  <c r="Q353" i="1"/>
  <c r="Q335" i="1"/>
  <c r="T318" i="1"/>
  <c r="Q340" i="1"/>
  <c r="Q334" i="1"/>
  <c r="Q314" i="1"/>
  <c r="Q316" i="1"/>
  <c r="T322" i="1"/>
  <c r="Q310" i="1"/>
  <c r="Q348" i="1"/>
  <c r="Q338" i="1"/>
  <c r="Q330" i="1"/>
  <c r="Q354" i="1"/>
  <c r="Q349" i="1"/>
  <c r="Q342" i="1"/>
  <c r="Q344" i="1"/>
  <c r="Q313" i="1"/>
  <c r="Q332" i="1"/>
  <c r="T332" i="1"/>
  <c r="T312" i="1"/>
  <c r="Q309" i="1"/>
  <c r="T324" i="1"/>
  <c r="Q336" i="1"/>
  <c r="Q319" i="1"/>
  <c r="Q281" i="1"/>
  <c r="Q282" i="1"/>
  <c r="I313" i="1" l="1"/>
  <c r="I241" i="1"/>
  <c r="W363" i="1"/>
  <c r="AF363" i="1" s="1"/>
  <c r="L363" i="1"/>
  <c r="Y363" i="1" s="1"/>
  <c r="AH363" i="1" s="1"/>
  <c r="K363" i="1"/>
  <c r="J363" i="1"/>
  <c r="G363" i="1"/>
  <c r="C363" i="1"/>
  <c r="W362" i="1"/>
  <c r="AF362" i="1" s="1"/>
  <c r="L362" i="1"/>
  <c r="K362" i="1"/>
  <c r="X362" i="1" s="1"/>
  <c r="AG362" i="1" s="1"/>
  <c r="J362" i="1"/>
  <c r="G362" i="1"/>
  <c r="C362" i="1"/>
  <c r="L361" i="1"/>
  <c r="K361" i="1"/>
  <c r="J361" i="1"/>
  <c r="G361" i="1"/>
  <c r="C361" i="1"/>
  <c r="L360" i="1"/>
  <c r="M360" i="1" s="1"/>
  <c r="K360" i="1"/>
  <c r="J360" i="1"/>
  <c r="G360" i="1"/>
  <c r="C360" i="1"/>
  <c r="W359" i="1"/>
  <c r="AF359" i="1" s="1"/>
  <c r="L359" i="1"/>
  <c r="Y359" i="1" s="1"/>
  <c r="AH359" i="1" s="1"/>
  <c r="K359" i="1"/>
  <c r="X359" i="1" s="1"/>
  <c r="AG359" i="1" s="1"/>
  <c r="J359" i="1"/>
  <c r="G359" i="1"/>
  <c r="C359" i="1"/>
  <c r="L358" i="1"/>
  <c r="K358" i="1"/>
  <c r="J358" i="1"/>
  <c r="W358" i="1" s="1"/>
  <c r="AF358" i="1" s="1"/>
  <c r="G358" i="1"/>
  <c r="C358" i="1"/>
  <c r="L357" i="1"/>
  <c r="K357" i="1"/>
  <c r="J357" i="1"/>
  <c r="G357" i="1"/>
  <c r="C357" i="1"/>
  <c r="L356" i="1"/>
  <c r="K356" i="1"/>
  <c r="J356" i="1"/>
  <c r="W356" i="1" s="1"/>
  <c r="AF356" i="1" s="1"/>
  <c r="G356" i="1"/>
  <c r="C356" i="1"/>
  <c r="J355" i="1"/>
  <c r="W355" i="1" s="1"/>
  <c r="AF355" i="1" s="1"/>
  <c r="G355" i="1"/>
  <c r="C355" i="1"/>
  <c r="J354" i="1"/>
  <c r="W354" i="1" s="1"/>
  <c r="AF354" i="1" s="1"/>
  <c r="G354" i="1"/>
  <c r="C354" i="1"/>
  <c r="J353" i="1"/>
  <c r="G353" i="1"/>
  <c r="C353" i="1"/>
  <c r="J352" i="1"/>
  <c r="G352" i="1"/>
  <c r="C352" i="1"/>
  <c r="J351" i="1"/>
  <c r="W351" i="1" s="1"/>
  <c r="AF351" i="1" s="1"/>
  <c r="G351" i="1"/>
  <c r="C351" i="1"/>
  <c r="J350" i="1"/>
  <c r="W350" i="1" s="1"/>
  <c r="AF350" i="1" s="1"/>
  <c r="G350" i="1"/>
  <c r="C350" i="1"/>
  <c r="J349" i="1"/>
  <c r="W349" i="1" s="1"/>
  <c r="AF349" i="1" s="1"/>
  <c r="G349" i="1"/>
  <c r="C349" i="1"/>
  <c r="J348" i="1"/>
  <c r="W348" i="1" s="1"/>
  <c r="AF348" i="1" s="1"/>
  <c r="G348" i="1"/>
  <c r="C348" i="1"/>
  <c r="J347" i="1"/>
  <c r="G347" i="1"/>
  <c r="C347" i="1"/>
  <c r="W346" i="1"/>
  <c r="AF346" i="1" s="1"/>
  <c r="J346" i="1"/>
  <c r="G346" i="1"/>
  <c r="C346" i="1"/>
  <c r="J345" i="1"/>
  <c r="W345" i="1" s="1"/>
  <c r="AF345" i="1" s="1"/>
  <c r="G345" i="1"/>
  <c r="C345" i="1"/>
  <c r="Z344" i="1"/>
  <c r="AI344" i="1" s="1"/>
  <c r="J344" i="1"/>
  <c r="X344" i="1" s="1"/>
  <c r="AG344" i="1" s="1"/>
  <c r="G344" i="1"/>
  <c r="C344" i="1"/>
  <c r="W343" i="1"/>
  <c r="AF343" i="1" s="1"/>
  <c r="Y343" i="1"/>
  <c r="AH343" i="1" s="1"/>
  <c r="J343" i="1"/>
  <c r="G343" i="1"/>
  <c r="C343" i="1"/>
  <c r="W342" i="1"/>
  <c r="AF342" i="1" s="1"/>
  <c r="X342" i="1"/>
  <c r="AG342" i="1" s="1"/>
  <c r="J342" i="1"/>
  <c r="G342" i="1"/>
  <c r="C342" i="1"/>
  <c r="X341" i="1"/>
  <c r="AG341" i="1" s="1"/>
  <c r="J341" i="1"/>
  <c r="W341" i="1" s="1"/>
  <c r="AF341" i="1" s="1"/>
  <c r="G341" i="1"/>
  <c r="C341" i="1"/>
  <c r="J340" i="1"/>
  <c r="W340" i="1" s="1"/>
  <c r="AF340" i="1" s="1"/>
  <c r="G340" i="1"/>
  <c r="C340" i="1"/>
  <c r="J339" i="1"/>
  <c r="W339" i="1" s="1"/>
  <c r="AF339" i="1" s="1"/>
  <c r="G339" i="1"/>
  <c r="C339" i="1"/>
  <c r="W338" i="1"/>
  <c r="AF338" i="1" s="1"/>
  <c r="J338" i="1"/>
  <c r="G338" i="1"/>
  <c r="C338" i="1"/>
  <c r="J337" i="1"/>
  <c r="W337" i="1" s="1"/>
  <c r="AF337" i="1" s="1"/>
  <c r="G337" i="1"/>
  <c r="C337" i="1"/>
  <c r="Z336" i="1"/>
  <c r="AI336" i="1" s="1"/>
  <c r="J336" i="1"/>
  <c r="W336" i="1" s="1"/>
  <c r="AF336" i="1" s="1"/>
  <c r="G336" i="1"/>
  <c r="C336" i="1"/>
  <c r="W335" i="1"/>
  <c r="AF335" i="1" s="1"/>
  <c r="Y335" i="1"/>
  <c r="AH335" i="1" s="1"/>
  <c r="J335" i="1"/>
  <c r="G335" i="1"/>
  <c r="C335" i="1"/>
  <c r="W334" i="1"/>
  <c r="AF334" i="1" s="1"/>
  <c r="Z334" i="1"/>
  <c r="AI334" i="1" s="1"/>
  <c r="J334" i="1"/>
  <c r="G334" i="1"/>
  <c r="C334" i="1"/>
  <c r="Z333" i="1"/>
  <c r="AI333" i="1" s="1"/>
  <c r="J333" i="1"/>
  <c r="W333" i="1" s="1"/>
  <c r="AF333" i="1" s="1"/>
  <c r="G333" i="1"/>
  <c r="C333" i="1"/>
  <c r="X332" i="1"/>
  <c r="AG332" i="1" s="1"/>
  <c r="J332" i="1"/>
  <c r="W332" i="1" s="1"/>
  <c r="AF332" i="1" s="1"/>
  <c r="G332" i="1"/>
  <c r="C332" i="1"/>
  <c r="Y331" i="1"/>
  <c r="AH331" i="1" s="1"/>
  <c r="J331" i="1"/>
  <c r="W331" i="1" s="1"/>
  <c r="AF331" i="1" s="1"/>
  <c r="G331" i="1"/>
  <c r="C331" i="1"/>
  <c r="J330" i="1"/>
  <c r="W330" i="1" s="1"/>
  <c r="AF330" i="1" s="1"/>
  <c r="G330" i="1"/>
  <c r="C330" i="1"/>
  <c r="W329" i="1"/>
  <c r="AF329" i="1" s="1"/>
  <c r="X329" i="1"/>
  <c r="AG329" i="1" s="1"/>
  <c r="J329" i="1"/>
  <c r="G329" i="1"/>
  <c r="C329" i="1"/>
  <c r="W328" i="1"/>
  <c r="AF328" i="1" s="1"/>
  <c r="Z328" i="1"/>
  <c r="AI328" i="1" s="1"/>
  <c r="J328" i="1"/>
  <c r="G328" i="1"/>
  <c r="C328" i="1"/>
  <c r="W327" i="1"/>
  <c r="AF327" i="1" s="1"/>
  <c r="Y327" i="1"/>
  <c r="AH327" i="1" s="1"/>
  <c r="J327" i="1"/>
  <c r="G327" i="1"/>
  <c r="C327" i="1"/>
  <c r="J326" i="1"/>
  <c r="W326" i="1" s="1"/>
  <c r="AF326" i="1" s="1"/>
  <c r="G326" i="1"/>
  <c r="C326" i="1"/>
  <c r="X325" i="1"/>
  <c r="AG325" i="1" s="1"/>
  <c r="J325" i="1"/>
  <c r="W325" i="1" s="1"/>
  <c r="AF325" i="1" s="1"/>
  <c r="G325" i="1"/>
  <c r="C325" i="1"/>
  <c r="J324" i="1"/>
  <c r="W324" i="1" s="1"/>
  <c r="AF324" i="1" s="1"/>
  <c r="G324" i="1"/>
  <c r="C324" i="1"/>
  <c r="Y323" i="1"/>
  <c r="AH323" i="1" s="1"/>
  <c r="J323" i="1"/>
  <c r="W323" i="1" s="1"/>
  <c r="AF323" i="1" s="1"/>
  <c r="G323" i="1"/>
  <c r="C323" i="1"/>
  <c r="J322" i="1"/>
  <c r="W322" i="1" s="1"/>
  <c r="AF322" i="1" s="1"/>
  <c r="G322" i="1"/>
  <c r="C322" i="1"/>
  <c r="J321" i="1"/>
  <c r="W321" i="1" s="1"/>
  <c r="AF321" i="1" s="1"/>
  <c r="G321" i="1"/>
  <c r="C321" i="1"/>
  <c r="J320" i="1"/>
  <c r="W320" i="1" s="1"/>
  <c r="AF320" i="1" s="1"/>
  <c r="G320" i="1"/>
  <c r="C320" i="1"/>
  <c r="J319" i="1"/>
  <c r="W319" i="1" s="1"/>
  <c r="AF319" i="1" s="1"/>
  <c r="G319" i="1"/>
  <c r="C319" i="1"/>
  <c r="W318" i="1"/>
  <c r="AF318" i="1" s="1"/>
  <c r="J318" i="1"/>
  <c r="G318" i="1"/>
  <c r="C318" i="1"/>
  <c r="W317" i="1"/>
  <c r="AF317" i="1" s="1"/>
  <c r="X317" i="1"/>
  <c r="AG317" i="1" s="1"/>
  <c r="J317" i="1"/>
  <c r="G317" i="1"/>
  <c r="C317" i="1"/>
  <c r="W316" i="1"/>
  <c r="AF316" i="1" s="1"/>
  <c r="X316" i="1"/>
  <c r="AG316" i="1" s="1"/>
  <c r="J316" i="1"/>
  <c r="G316" i="1"/>
  <c r="C316" i="1"/>
  <c r="Y315" i="1"/>
  <c r="AH315" i="1" s="1"/>
  <c r="J315" i="1"/>
  <c r="W315" i="1" s="1"/>
  <c r="AF315" i="1" s="1"/>
  <c r="G315" i="1"/>
  <c r="C315" i="1"/>
  <c r="W314" i="1"/>
  <c r="AF314" i="1" s="1"/>
  <c r="J314" i="1"/>
  <c r="G314" i="1"/>
  <c r="C314" i="1"/>
  <c r="J313" i="1"/>
  <c r="Z313" i="1" s="1"/>
  <c r="AI313" i="1" s="1"/>
  <c r="G313" i="1"/>
  <c r="C313" i="1"/>
  <c r="J312" i="1"/>
  <c r="W312" i="1" s="1"/>
  <c r="AF312" i="1" s="1"/>
  <c r="G312" i="1"/>
  <c r="C312" i="1"/>
  <c r="W311" i="1"/>
  <c r="AF311" i="1" s="1"/>
  <c r="Y311" i="1"/>
  <c r="AH311" i="1" s="1"/>
  <c r="X311" i="1"/>
  <c r="AG311" i="1" s="1"/>
  <c r="J311" i="1"/>
  <c r="G311" i="1"/>
  <c r="C311" i="1"/>
  <c r="J310" i="1"/>
  <c r="W310" i="1" s="1"/>
  <c r="AF310" i="1" s="1"/>
  <c r="G310" i="1"/>
  <c r="C310" i="1"/>
  <c r="Z309" i="1"/>
  <c r="AI309" i="1" s="1"/>
  <c r="J309" i="1"/>
  <c r="W309" i="1" s="1"/>
  <c r="AF309" i="1" s="1"/>
  <c r="G309" i="1"/>
  <c r="C309" i="1"/>
  <c r="AF308" i="1"/>
  <c r="J308" i="1"/>
  <c r="W308" i="1" s="1"/>
  <c r="G308" i="1"/>
  <c r="C308" i="1"/>
  <c r="J307" i="1"/>
  <c r="G307" i="1"/>
  <c r="C307" i="1"/>
  <c r="J306" i="1"/>
  <c r="W306" i="1" s="1"/>
  <c r="AF306" i="1" s="1"/>
  <c r="G306" i="1"/>
  <c r="C306" i="1"/>
  <c r="J305" i="1"/>
  <c r="W305" i="1" s="1"/>
  <c r="AF305" i="1" s="1"/>
  <c r="G305" i="1"/>
  <c r="C305" i="1"/>
  <c r="AF304" i="1"/>
  <c r="Y304" i="1"/>
  <c r="AH304" i="1" s="1"/>
  <c r="X304" i="1"/>
  <c r="AG304" i="1" s="1"/>
  <c r="J304" i="1"/>
  <c r="W304" i="1" s="1"/>
  <c r="G304" i="1"/>
  <c r="C304" i="1"/>
  <c r="W303" i="1"/>
  <c r="AF303" i="1" s="1"/>
  <c r="J303" i="1"/>
  <c r="G303" i="1"/>
  <c r="C303" i="1"/>
  <c r="J302" i="1"/>
  <c r="W302" i="1" s="1"/>
  <c r="AF302" i="1" s="1"/>
  <c r="G302" i="1"/>
  <c r="C302" i="1"/>
  <c r="L301" i="1"/>
  <c r="M301" i="1" s="1"/>
  <c r="K301" i="1"/>
  <c r="X301" i="1" s="1"/>
  <c r="AG301" i="1" s="1"/>
  <c r="J301" i="1"/>
  <c r="G301" i="1"/>
  <c r="C301" i="1"/>
  <c r="L300" i="1"/>
  <c r="K300" i="1"/>
  <c r="J300" i="1"/>
  <c r="W300" i="1" s="1"/>
  <c r="AF300" i="1" s="1"/>
  <c r="G300" i="1"/>
  <c r="C300" i="1"/>
  <c r="L299" i="1"/>
  <c r="M299" i="1" s="1"/>
  <c r="K299" i="1"/>
  <c r="J299" i="1"/>
  <c r="W299" i="1" s="1"/>
  <c r="AF299" i="1" s="1"/>
  <c r="G299" i="1"/>
  <c r="C299" i="1"/>
  <c r="L298" i="1"/>
  <c r="K298" i="1"/>
  <c r="J298" i="1"/>
  <c r="W298" i="1" s="1"/>
  <c r="AF298" i="1" s="1"/>
  <c r="G298" i="1"/>
  <c r="C298" i="1"/>
  <c r="L297" i="1"/>
  <c r="M297" i="1" s="1"/>
  <c r="K297" i="1"/>
  <c r="J297" i="1"/>
  <c r="W297" i="1" s="1"/>
  <c r="AF297" i="1" s="1"/>
  <c r="G297" i="1"/>
  <c r="C297" i="1"/>
  <c r="L296" i="1"/>
  <c r="M296" i="1" s="1"/>
  <c r="K296" i="1"/>
  <c r="J296" i="1"/>
  <c r="W296" i="1" s="1"/>
  <c r="AF296" i="1" s="1"/>
  <c r="G296" i="1"/>
  <c r="C296" i="1"/>
  <c r="L295" i="1"/>
  <c r="M295" i="1" s="1"/>
  <c r="K295" i="1"/>
  <c r="J295" i="1"/>
  <c r="W295" i="1" s="1"/>
  <c r="AF295" i="1" s="1"/>
  <c r="G295" i="1"/>
  <c r="C295" i="1"/>
  <c r="W294" i="1"/>
  <c r="AF294" i="1" s="1"/>
  <c r="L294" i="1"/>
  <c r="M294" i="1" s="1"/>
  <c r="K294" i="1"/>
  <c r="X294" i="1" s="1"/>
  <c r="AG294" i="1" s="1"/>
  <c r="J294" i="1"/>
  <c r="G294" i="1"/>
  <c r="C294" i="1"/>
  <c r="L293" i="1"/>
  <c r="M293" i="1" s="1"/>
  <c r="K293" i="1"/>
  <c r="J293" i="1"/>
  <c r="G293" i="1"/>
  <c r="C293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45" i="1"/>
  <c r="P233" i="28"/>
  <c r="P232" i="28"/>
  <c r="P231" i="28"/>
  <c r="P230" i="28"/>
  <c r="P229" i="28"/>
  <c r="P228" i="28"/>
  <c r="P227" i="28"/>
  <c r="P226" i="28"/>
  <c r="P225" i="28"/>
  <c r="P224" i="28"/>
  <c r="P223" i="28"/>
  <c r="P222" i="28"/>
  <c r="P221" i="28"/>
  <c r="P220" i="28"/>
  <c r="Y347" i="1" l="1"/>
  <c r="AH347" i="1" s="1"/>
  <c r="AA334" i="1"/>
  <c r="AJ334" i="1" s="1"/>
  <c r="Y301" i="1"/>
  <c r="AH301" i="1" s="1"/>
  <c r="AA312" i="1"/>
  <c r="AJ312" i="1" s="1"/>
  <c r="AA342" i="1"/>
  <c r="AJ342" i="1" s="1"/>
  <c r="M359" i="1"/>
  <c r="Z359" i="1" s="1"/>
  <c r="AI359" i="1" s="1"/>
  <c r="X353" i="1"/>
  <c r="AG353" i="1" s="1"/>
  <c r="Y344" i="1"/>
  <c r="AH344" i="1" s="1"/>
  <c r="Y295" i="1"/>
  <c r="AH295" i="1" s="1"/>
  <c r="Z343" i="1"/>
  <c r="AI343" i="1" s="1"/>
  <c r="Y338" i="1"/>
  <c r="AH338" i="1" s="1"/>
  <c r="Y294" i="1"/>
  <c r="AH294" i="1" s="1"/>
  <c r="Y303" i="1"/>
  <c r="AH303" i="1" s="1"/>
  <c r="AA325" i="1"/>
  <c r="AJ325" i="1" s="1"/>
  <c r="AA335" i="1"/>
  <c r="AJ335" i="1" s="1"/>
  <c r="X361" i="1"/>
  <c r="AG361" i="1" s="1"/>
  <c r="Y332" i="1"/>
  <c r="AH332" i="1" s="1"/>
  <c r="X357" i="1"/>
  <c r="AG357" i="1" s="1"/>
  <c r="AA309" i="1"/>
  <c r="AJ309" i="1" s="1"/>
  <c r="Z299" i="1"/>
  <c r="AI299" i="1" s="1"/>
  <c r="Z297" i="1"/>
  <c r="AI297" i="1" s="1"/>
  <c r="Y298" i="1"/>
  <c r="AH298" i="1" s="1"/>
  <c r="Y300" i="1"/>
  <c r="AH300" i="1" s="1"/>
  <c r="Z323" i="1"/>
  <c r="AI323" i="1" s="1"/>
  <c r="X298" i="1"/>
  <c r="AG298" i="1" s="1"/>
  <c r="X330" i="1"/>
  <c r="AG330" i="1" s="1"/>
  <c r="Y334" i="1"/>
  <c r="AH334" i="1" s="1"/>
  <c r="X295" i="1"/>
  <c r="AG295" i="1" s="1"/>
  <c r="Y319" i="1"/>
  <c r="AH319" i="1" s="1"/>
  <c r="AA331" i="1"/>
  <c r="AJ331" i="1" s="1"/>
  <c r="Z332" i="1"/>
  <c r="AI332" i="1" s="1"/>
  <c r="X339" i="1"/>
  <c r="AG339" i="1" s="1"/>
  <c r="Y350" i="1"/>
  <c r="AH350" i="1" s="1"/>
  <c r="W353" i="1"/>
  <c r="AF353" i="1" s="1"/>
  <c r="Y355" i="1"/>
  <c r="AH355" i="1" s="1"/>
  <c r="W361" i="1"/>
  <c r="AF361" i="1" s="1"/>
  <c r="Z296" i="1"/>
  <c r="AI296" i="1" s="1"/>
  <c r="Y297" i="1"/>
  <c r="AH297" i="1" s="1"/>
  <c r="Y299" i="1"/>
  <c r="AH299" i="1" s="1"/>
  <c r="Y306" i="1"/>
  <c r="AH306" i="1" s="1"/>
  <c r="Z325" i="1"/>
  <c r="AI325" i="1" s="1"/>
  <c r="X338" i="1"/>
  <c r="AG338" i="1" s="1"/>
  <c r="W347" i="1"/>
  <c r="AF347" i="1" s="1"/>
  <c r="N360" i="1"/>
  <c r="AA360" i="1" s="1"/>
  <c r="AJ360" i="1" s="1"/>
  <c r="W293" i="1"/>
  <c r="AF293" i="1" s="1"/>
  <c r="X315" i="1"/>
  <c r="AG315" i="1" s="1"/>
  <c r="X319" i="1"/>
  <c r="AG319" i="1" s="1"/>
  <c r="X297" i="1"/>
  <c r="AG297" i="1" s="1"/>
  <c r="Y316" i="1"/>
  <c r="AH316" i="1" s="1"/>
  <c r="N296" i="1"/>
  <c r="AA296" i="1" s="1"/>
  <c r="AJ296" i="1" s="1"/>
  <c r="W301" i="1"/>
  <c r="AF301" i="1" s="1"/>
  <c r="Y308" i="1"/>
  <c r="AH308" i="1" s="1"/>
  <c r="Y317" i="1"/>
  <c r="AH317" i="1" s="1"/>
  <c r="X320" i="1"/>
  <c r="AG320" i="1" s="1"/>
  <c r="W357" i="1"/>
  <c r="AF357" i="1" s="1"/>
  <c r="AA330" i="1"/>
  <c r="AJ330" i="1" s="1"/>
  <c r="AA332" i="1"/>
  <c r="AJ332" i="1" s="1"/>
  <c r="Y333" i="1"/>
  <c r="AH333" i="1" s="1"/>
  <c r="Z308" i="1"/>
  <c r="AI308" i="1" s="1"/>
  <c r="Y336" i="1"/>
  <c r="AH336" i="1" s="1"/>
  <c r="W344" i="1"/>
  <c r="AF344" i="1" s="1"/>
  <c r="X350" i="1"/>
  <c r="AG350" i="1" s="1"/>
  <c r="X331" i="1"/>
  <c r="AG331" i="1" s="1"/>
  <c r="Y348" i="1"/>
  <c r="AH348" i="1" s="1"/>
  <c r="Y320" i="1"/>
  <c r="AH320" i="1" s="1"/>
  <c r="Y340" i="1"/>
  <c r="AH340" i="1" s="1"/>
  <c r="Z350" i="1"/>
  <c r="AI350" i="1" s="1"/>
  <c r="Y307" i="1"/>
  <c r="AH307" i="1" s="1"/>
  <c r="Y330" i="1"/>
  <c r="AH330" i="1" s="1"/>
  <c r="Y339" i="1"/>
  <c r="AH339" i="1" s="1"/>
  <c r="Z301" i="1"/>
  <c r="AI301" i="1" s="1"/>
  <c r="N293" i="1"/>
  <c r="Z293" i="1"/>
  <c r="AI293" i="1" s="1"/>
  <c r="Y305" i="1"/>
  <c r="AH305" i="1" s="1"/>
  <c r="Y318" i="1"/>
  <c r="AH318" i="1" s="1"/>
  <c r="X327" i="1"/>
  <c r="AG327" i="1" s="1"/>
  <c r="Z306" i="1"/>
  <c r="AI306" i="1" s="1"/>
  <c r="Z307" i="1"/>
  <c r="AI307" i="1" s="1"/>
  <c r="Y337" i="1"/>
  <c r="AH337" i="1" s="1"/>
  <c r="Y293" i="1"/>
  <c r="AH293" i="1" s="1"/>
  <c r="X309" i="1"/>
  <c r="AG309" i="1" s="1"/>
  <c r="X310" i="1"/>
  <c r="AG310" i="1" s="1"/>
  <c r="Y312" i="1"/>
  <c r="AH312" i="1" s="1"/>
  <c r="Z294" i="1"/>
  <c r="AI294" i="1" s="1"/>
  <c r="M300" i="1"/>
  <c r="N300" i="1" s="1"/>
  <c r="Y309" i="1"/>
  <c r="AH309" i="1" s="1"/>
  <c r="Z312" i="1"/>
  <c r="AI312" i="1" s="1"/>
  <c r="Y321" i="1"/>
  <c r="AH321" i="1" s="1"/>
  <c r="Z348" i="1"/>
  <c r="AI348" i="1" s="1"/>
  <c r="X293" i="1"/>
  <c r="AG293" i="1" s="1"/>
  <c r="X313" i="1"/>
  <c r="AG313" i="1" s="1"/>
  <c r="N294" i="1"/>
  <c r="Y296" i="1"/>
  <c r="AH296" i="1" s="1"/>
  <c r="X306" i="1"/>
  <c r="AG306" i="1" s="1"/>
  <c r="AA308" i="1"/>
  <c r="AJ308" i="1" s="1"/>
  <c r="Z317" i="1"/>
  <c r="AI317" i="1" s="1"/>
  <c r="Y324" i="1"/>
  <c r="AH324" i="1" s="1"/>
  <c r="M356" i="1"/>
  <c r="N356" i="1" s="1"/>
  <c r="Y356" i="1"/>
  <c r="AH356" i="1" s="1"/>
  <c r="M298" i="1"/>
  <c r="X326" i="1"/>
  <c r="AG326" i="1" s="1"/>
  <c r="X299" i="1"/>
  <c r="AG299" i="1" s="1"/>
  <c r="Z319" i="1"/>
  <c r="AI319" i="1" s="1"/>
  <c r="Z345" i="1"/>
  <c r="AI345" i="1" s="1"/>
  <c r="Y345" i="1"/>
  <c r="AH345" i="1" s="1"/>
  <c r="Y352" i="1"/>
  <c r="AH352" i="1" s="1"/>
  <c r="W352" i="1"/>
  <c r="AF352" i="1" s="1"/>
  <c r="W360" i="1"/>
  <c r="AF360" i="1" s="1"/>
  <c r="Z360" i="1"/>
  <c r="AI360" i="1" s="1"/>
  <c r="Y360" i="1"/>
  <c r="AH360" i="1" s="1"/>
  <c r="X360" i="1"/>
  <c r="AG360" i="1" s="1"/>
  <c r="N297" i="1"/>
  <c r="N301" i="1"/>
  <c r="Y302" i="1"/>
  <c r="AH302" i="1" s="1"/>
  <c r="Y325" i="1"/>
  <c r="AH325" i="1" s="1"/>
  <c r="X324" i="1"/>
  <c r="AG324" i="1" s="1"/>
  <c r="Z295" i="1"/>
  <c r="AI295" i="1" s="1"/>
  <c r="N295" i="1"/>
  <c r="X337" i="1"/>
  <c r="AG337" i="1" s="1"/>
  <c r="X300" i="1"/>
  <c r="AG300" i="1" s="1"/>
  <c r="X308" i="1"/>
  <c r="AG308" i="1" s="1"/>
  <c r="X314" i="1"/>
  <c r="AG314" i="1" s="1"/>
  <c r="Z352" i="1"/>
  <c r="AI352" i="1" s="1"/>
  <c r="Z302" i="1"/>
  <c r="AI302" i="1" s="1"/>
  <c r="W307" i="1"/>
  <c r="AF307" i="1" s="1"/>
  <c r="X296" i="1"/>
  <c r="AG296" i="1" s="1"/>
  <c r="N299" i="1"/>
  <c r="Y310" i="1"/>
  <c r="AH310" i="1" s="1"/>
  <c r="W313" i="1"/>
  <c r="AF313" i="1" s="1"/>
  <c r="Y314" i="1"/>
  <c r="AH314" i="1" s="1"/>
  <c r="X323" i="1"/>
  <c r="AG323" i="1" s="1"/>
  <c r="Z339" i="1"/>
  <c r="AI339" i="1" s="1"/>
  <c r="Z340" i="1"/>
  <c r="AI340" i="1" s="1"/>
  <c r="Z316" i="1"/>
  <c r="AI316" i="1" s="1"/>
  <c r="X321" i="1"/>
  <c r="AG321" i="1" s="1"/>
  <c r="X356" i="1"/>
  <c r="AG356" i="1" s="1"/>
  <c r="X349" i="1"/>
  <c r="AG349" i="1" s="1"/>
  <c r="Z355" i="1"/>
  <c r="AI355" i="1" s="1"/>
  <c r="Y342" i="1"/>
  <c r="AH342" i="1" s="1"/>
  <c r="Y349" i="1"/>
  <c r="AH349" i="1" s="1"/>
  <c r="Y351" i="1"/>
  <c r="AH351" i="1" s="1"/>
  <c r="Z303" i="1"/>
  <c r="AI303" i="1" s="1"/>
  <c r="X312" i="1"/>
  <c r="AG312" i="1" s="1"/>
  <c r="Y313" i="1"/>
  <c r="AH313" i="1" s="1"/>
  <c r="X318" i="1"/>
  <c r="AG318" i="1" s="1"/>
  <c r="X340" i="1"/>
  <c r="AG340" i="1" s="1"/>
  <c r="X346" i="1"/>
  <c r="AG346" i="1" s="1"/>
  <c r="X358" i="1"/>
  <c r="AG358" i="1" s="1"/>
  <c r="X345" i="1"/>
  <c r="AG345" i="1" s="1"/>
  <c r="Y346" i="1"/>
  <c r="AH346" i="1" s="1"/>
  <c r="M358" i="1"/>
  <c r="N358" i="1" s="1"/>
  <c r="Y358" i="1"/>
  <c r="AH358" i="1" s="1"/>
  <c r="Y326" i="1"/>
  <c r="AH326" i="1" s="1"/>
  <c r="X322" i="1"/>
  <c r="AG322" i="1" s="1"/>
  <c r="Z324" i="1"/>
  <c r="AI324" i="1" s="1"/>
  <c r="Z326" i="1"/>
  <c r="AI326" i="1" s="1"/>
  <c r="Z330" i="1"/>
  <c r="AI330" i="1" s="1"/>
  <c r="X333" i="1"/>
  <c r="AG333" i="1" s="1"/>
  <c r="X335" i="1"/>
  <c r="AG335" i="1" s="1"/>
  <c r="M357" i="1"/>
  <c r="Y357" i="1"/>
  <c r="AH357" i="1" s="1"/>
  <c r="Y322" i="1"/>
  <c r="AH322" i="1" s="1"/>
  <c r="Z342" i="1"/>
  <c r="AI342" i="1" s="1"/>
  <c r="Z347" i="1"/>
  <c r="AI347" i="1" s="1"/>
  <c r="Y353" i="1"/>
  <c r="AH353" i="1" s="1"/>
  <c r="M361" i="1"/>
  <c r="Y361" i="1"/>
  <c r="AH361" i="1" s="1"/>
  <c r="Y329" i="1"/>
  <c r="AH329" i="1" s="1"/>
  <c r="X347" i="1"/>
  <c r="AG347" i="1" s="1"/>
  <c r="X363" i="1"/>
  <c r="AG363" i="1" s="1"/>
  <c r="X336" i="1"/>
  <c r="AG336" i="1" s="1"/>
  <c r="X334" i="1"/>
  <c r="AG334" i="1" s="1"/>
  <c r="Z338" i="1"/>
  <c r="AI338" i="1" s="1"/>
  <c r="Y341" i="1"/>
  <c r="AH341" i="1" s="1"/>
  <c r="M363" i="1"/>
  <c r="Y328" i="1"/>
  <c r="AH328" i="1" s="1"/>
  <c r="X348" i="1"/>
  <c r="AG348" i="1" s="1"/>
  <c r="Y354" i="1"/>
  <c r="AH354" i="1" s="1"/>
  <c r="Z354" i="1"/>
  <c r="AI354" i="1" s="1"/>
  <c r="M362" i="1"/>
  <c r="Y362" i="1"/>
  <c r="AH362" i="1" s="1"/>
  <c r="N359" i="1" l="1"/>
  <c r="AA359" i="1" s="1"/>
  <c r="AJ359" i="1" s="1"/>
  <c r="AA323" i="1"/>
  <c r="AJ323" i="1" s="1"/>
  <c r="Z315" i="1"/>
  <c r="AI315" i="1" s="1"/>
  <c r="Z335" i="1"/>
  <c r="AI335" i="1" s="1"/>
  <c r="Z327" i="1"/>
  <c r="AI327" i="1" s="1"/>
  <c r="Z331" i="1"/>
  <c r="AI331" i="1" s="1"/>
  <c r="AA356" i="1"/>
  <c r="AJ356" i="1" s="1"/>
  <c r="Z363" i="1"/>
  <c r="AI363" i="1" s="1"/>
  <c r="AA341" i="1"/>
  <c r="AJ341" i="1" s="1"/>
  <c r="Z329" i="1"/>
  <c r="AI329" i="1" s="1"/>
  <c r="AA333" i="1"/>
  <c r="AJ333" i="1" s="1"/>
  <c r="AA349" i="1"/>
  <c r="AJ349" i="1" s="1"/>
  <c r="N362" i="1"/>
  <c r="Z362" i="1"/>
  <c r="AI362" i="1" s="1"/>
  <c r="AA350" i="1"/>
  <c r="AJ350" i="1" s="1"/>
  <c r="AA293" i="1"/>
  <c r="AJ293" i="1" s="1"/>
  <c r="AA300" i="1"/>
  <c r="AJ300" i="1" s="1"/>
  <c r="Z304" i="1"/>
  <c r="AI304" i="1" s="1"/>
  <c r="AA321" i="1"/>
  <c r="AJ321" i="1" s="1"/>
  <c r="Z314" i="1"/>
  <c r="AI314" i="1" s="1"/>
  <c r="Z300" i="1"/>
  <c r="AI300" i="1" s="1"/>
  <c r="AA338" i="1"/>
  <c r="AJ338" i="1" s="1"/>
  <c r="N357" i="1"/>
  <c r="Z357" i="1"/>
  <c r="AI357" i="1" s="1"/>
  <c r="Z358" i="1"/>
  <c r="AI358" i="1" s="1"/>
  <c r="Z320" i="1"/>
  <c r="AI320" i="1" s="1"/>
  <c r="Z351" i="1"/>
  <c r="AI351" i="1" s="1"/>
  <c r="AA301" i="1"/>
  <c r="AJ301" i="1" s="1"/>
  <c r="AA326" i="1"/>
  <c r="AJ326" i="1" s="1"/>
  <c r="Z311" i="1"/>
  <c r="AI311" i="1" s="1"/>
  <c r="Z318" i="1"/>
  <c r="AI318" i="1" s="1"/>
  <c r="AA294" i="1"/>
  <c r="AJ294" i="1" s="1"/>
  <c r="AA313" i="1"/>
  <c r="AJ313" i="1" s="1"/>
  <c r="AA358" i="1"/>
  <c r="AJ358" i="1" s="1"/>
  <c r="AA348" i="1"/>
  <c r="AJ348" i="1" s="1"/>
  <c r="N363" i="1"/>
  <c r="Z341" i="1"/>
  <c r="AI341" i="1" s="1"/>
  <c r="AA317" i="1"/>
  <c r="AJ317" i="1" s="1"/>
  <c r="Z321" i="1"/>
  <c r="AI321" i="1" s="1"/>
  <c r="Z305" i="1"/>
  <c r="AI305" i="1" s="1"/>
  <c r="Z346" i="1"/>
  <c r="AI346" i="1" s="1"/>
  <c r="AA316" i="1"/>
  <c r="AJ316" i="1" s="1"/>
  <c r="AA339" i="1"/>
  <c r="AJ339" i="1" s="1"/>
  <c r="AA295" i="1"/>
  <c r="AJ295" i="1" s="1"/>
  <c r="Z298" i="1"/>
  <c r="AI298" i="1" s="1"/>
  <c r="N298" i="1"/>
  <c r="Z361" i="1"/>
  <c r="AI361" i="1" s="1"/>
  <c r="N361" i="1"/>
  <c r="AA344" i="1"/>
  <c r="AJ344" i="1" s="1"/>
  <c r="AA340" i="1"/>
  <c r="AJ340" i="1" s="1"/>
  <c r="AA299" i="1"/>
  <c r="AJ299" i="1" s="1"/>
  <c r="AA297" i="1"/>
  <c r="AJ297" i="1" s="1"/>
  <c r="AA315" i="1"/>
  <c r="AJ315" i="1" s="1"/>
  <c r="AA336" i="1"/>
  <c r="AJ336" i="1" s="1"/>
  <c r="Z356" i="1"/>
  <c r="AI356" i="1" s="1"/>
  <c r="AA319" i="1"/>
  <c r="AJ319" i="1" s="1"/>
  <c r="Z322" i="1"/>
  <c r="AI322" i="1" s="1"/>
  <c r="AA314" i="1"/>
  <c r="AJ314" i="1" s="1"/>
  <c r="Z337" i="1"/>
  <c r="AI337" i="1" s="1"/>
  <c r="Z353" i="1"/>
  <c r="AI353" i="1" s="1"/>
  <c r="AA306" i="1"/>
  <c r="AJ306" i="1" s="1"/>
  <c r="AA347" i="1"/>
  <c r="AJ347" i="1" s="1"/>
  <c r="Z349" i="1"/>
  <c r="AI349" i="1" s="1"/>
  <c r="Z310" i="1"/>
  <c r="AI310" i="1" s="1"/>
  <c r="AA345" i="1"/>
  <c r="AJ345" i="1" s="1"/>
  <c r="AA324" i="1"/>
  <c r="AJ324" i="1" s="1"/>
  <c r="AA327" i="1"/>
  <c r="AJ327" i="1" s="1"/>
  <c r="AA298" i="1" l="1"/>
  <c r="AJ298" i="1" s="1"/>
  <c r="AA362" i="1"/>
  <c r="AJ362" i="1" s="1"/>
  <c r="AA363" i="1"/>
  <c r="AJ363" i="1" s="1"/>
  <c r="AA357" i="1"/>
  <c r="AJ357" i="1" s="1"/>
  <c r="AA329" i="1"/>
  <c r="AJ329" i="1" s="1"/>
  <c r="AA337" i="1"/>
  <c r="AJ337" i="1" s="1"/>
  <c r="AA318" i="1"/>
  <c r="AJ318" i="1" s="1"/>
  <c r="AA322" i="1"/>
  <c r="AJ322" i="1" s="1"/>
  <c r="AA361" i="1"/>
  <c r="AJ361" i="1" s="1"/>
  <c r="AA311" i="1"/>
  <c r="AJ311" i="1" s="1"/>
  <c r="AA320" i="1"/>
  <c r="AJ320" i="1" s="1"/>
  <c r="AA353" i="1"/>
  <c r="AJ353" i="1" s="1"/>
  <c r="AA304" i="1"/>
  <c r="AJ304" i="1" s="1"/>
  <c r="AA310" i="1"/>
  <c r="AJ310" i="1" s="1"/>
  <c r="AA346" i="1"/>
  <c r="AJ346" i="1" s="1"/>
  <c r="L241" i="1" l="1"/>
  <c r="M241" i="1" s="1"/>
  <c r="K241" i="1"/>
  <c r="J241" i="1"/>
  <c r="W241" i="1" s="1"/>
  <c r="AF241" i="1" s="1"/>
  <c r="C241" i="1"/>
  <c r="E28" i="21"/>
  <c r="L267" i="1"/>
  <c r="M267" i="1" s="1"/>
  <c r="J267" i="1"/>
  <c r="W267" i="1" s="1"/>
  <c r="AF267" i="1" s="1"/>
  <c r="C267" i="1"/>
  <c r="P216" i="28"/>
  <c r="S216" i="28"/>
  <c r="T216" i="28"/>
  <c r="U216" i="28" s="1"/>
  <c r="C243" i="1"/>
  <c r="J243" i="1"/>
  <c r="W243" i="1" s="1"/>
  <c r="AF243" i="1" s="1"/>
  <c r="L243" i="1"/>
  <c r="L221" i="1"/>
  <c r="M221" i="1" s="1"/>
  <c r="J221" i="1"/>
  <c r="W221" i="1" s="1"/>
  <c r="AF221" i="1" s="1"/>
  <c r="C221" i="1"/>
  <c r="X241" i="1" l="1"/>
  <c r="AG241" i="1" s="1"/>
  <c r="Y243" i="1"/>
  <c r="AH243" i="1" s="1"/>
  <c r="Z241" i="1"/>
  <c r="AI241" i="1" s="1"/>
  <c r="Y241" i="1"/>
  <c r="AH241" i="1" s="1"/>
  <c r="N241" i="1"/>
  <c r="Y267" i="1"/>
  <c r="AH267" i="1" s="1"/>
  <c r="Z267" i="1"/>
  <c r="AI267" i="1" s="1"/>
  <c r="M243" i="1"/>
  <c r="Z243" i="1" s="1"/>
  <c r="AI243" i="1" s="1"/>
  <c r="Y221" i="1"/>
  <c r="AH221" i="1" s="1"/>
  <c r="Z221" i="1"/>
  <c r="AI221" i="1" s="1"/>
  <c r="AA241" i="1" l="1"/>
  <c r="AJ241" i="1" s="1"/>
  <c r="L250" i="1" l="1"/>
  <c r="M250" i="1" s="1"/>
  <c r="J250" i="1"/>
  <c r="W250" i="1" s="1"/>
  <c r="AF250" i="1" s="1"/>
  <c r="C250" i="1"/>
  <c r="O213" i="28"/>
  <c r="O175" i="28"/>
  <c r="O174" i="28"/>
  <c r="O173" i="28"/>
  <c r="O190" i="28"/>
  <c r="O189" i="28"/>
  <c r="Z250" i="1" l="1"/>
  <c r="AI250" i="1" s="1"/>
  <c r="Y250" i="1"/>
  <c r="AH250" i="1" s="1"/>
  <c r="O203" i="28" l="1"/>
  <c r="O202" i="28"/>
  <c r="O199" i="28"/>
  <c r="P212" i="28"/>
  <c r="K291" i="1" s="1"/>
  <c r="S212" i="28"/>
  <c r="T212" i="28" s="1"/>
  <c r="J291" i="1"/>
  <c r="W291" i="1" s="1"/>
  <c r="AF291" i="1" s="1"/>
  <c r="J290" i="1"/>
  <c r="J289" i="1"/>
  <c r="J288" i="1"/>
  <c r="W288" i="1" s="1"/>
  <c r="AF288" i="1" s="1"/>
  <c r="J287" i="1"/>
  <c r="W287" i="1" s="1"/>
  <c r="AF287" i="1" s="1"/>
  <c r="J286" i="1"/>
  <c r="W286" i="1" s="1"/>
  <c r="AF286" i="1" s="1"/>
  <c r="J285" i="1"/>
  <c r="W285" i="1" s="1"/>
  <c r="AF285" i="1" s="1"/>
  <c r="J284" i="1"/>
  <c r="L291" i="1"/>
  <c r="M291" i="1" s="1"/>
  <c r="C291" i="1"/>
  <c r="L242" i="1"/>
  <c r="M242" i="1" s="1"/>
  <c r="J242" i="1"/>
  <c r="W242" i="1" s="1"/>
  <c r="AF242" i="1" s="1"/>
  <c r="C242" i="1"/>
  <c r="L239" i="1"/>
  <c r="M239" i="1" s="1"/>
  <c r="J239" i="1"/>
  <c r="W239" i="1" s="1"/>
  <c r="AF239" i="1" s="1"/>
  <c r="C239" i="1"/>
  <c r="L290" i="1"/>
  <c r="M290" i="1" s="1"/>
  <c r="C290" i="1"/>
  <c r="L289" i="1"/>
  <c r="M289" i="1" s="1"/>
  <c r="C289" i="1"/>
  <c r="L288" i="1"/>
  <c r="C288" i="1"/>
  <c r="L287" i="1"/>
  <c r="M287" i="1" s="1"/>
  <c r="C287" i="1"/>
  <c r="L286" i="1"/>
  <c r="M286" i="1" s="1"/>
  <c r="C286" i="1"/>
  <c r="L285" i="1"/>
  <c r="C285" i="1"/>
  <c r="L284" i="1"/>
  <c r="M284" i="1" s="1"/>
  <c r="C284" i="1"/>
  <c r="J283" i="1"/>
  <c r="W283" i="1" s="1"/>
  <c r="AF283" i="1" s="1"/>
  <c r="C283" i="1"/>
  <c r="J282" i="1"/>
  <c r="W282" i="1" s="1"/>
  <c r="AF282" i="1" s="1"/>
  <c r="C282" i="1"/>
  <c r="J281" i="1"/>
  <c r="W281" i="1" s="1"/>
  <c r="AF281" i="1" s="1"/>
  <c r="C281" i="1"/>
  <c r="J280" i="1"/>
  <c r="C280" i="1"/>
  <c r="J279" i="1"/>
  <c r="W279" i="1" s="1"/>
  <c r="AF279" i="1" s="1"/>
  <c r="C279" i="1"/>
  <c r="L278" i="1"/>
  <c r="M278" i="1" s="1"/>
  <c r="J278" i="1"/>
  <c r="C278" i="1"/>
  <c r="L277" i="1"/>
  <c r="J277" i="1"/>
  <c r="C277" i="1"/>
  <c r="L276" i="1"/>
  <c r="M276" i="1" s="1"/>
  <c r="J276" i="1"/>
  <c r="C276" i="1"/>
  <c r="L275" i="1"/>
  <c r="M275" i="1" s="1"/>
  <c r="P275" i="1" s="1"/>
  <c r="J275" i="1"/>
  <c r="W275" i="1" s="1"/>
  <c r="AF275" i="1" s="1"/>
  <c r="C275" i="1"/>
  <c r="L274" i="1"/>
  <c r="M274" i="1" s="1"/>
  <c r="P274" i="1" s="1"/>
  <c r="J274" i="1"/>
  <c r="C274" i="1"/>
  <c r="L273" i="1"/>
  <c r="M273" i="1" s="1"/>
  <c r="J273" i="1"/>
  <c r="W273" i="1" s="1"/>
  <c r="AF273" i="1" s="1"/>
  <c r="C273" i="1"/>
  <c r="L272" i="1"/>
  <c r="J272" i="1"/>
  <c r="W272" i="1" s="1"/>
  <c r="AF272" i="1" s="1"/>
  <c r="C272" i="1"/>
  <c r="L271" i="1"/>
  <c r="M271" i="1" s="1"/>
  <c r="P271" i="1" s="1"/>
  <c r="J271" i="1"/>
  <c r="W271" i="1" s="1"/>
  <c r="AF271" i="1" s="1"/>
  <c r="C271" i="1"/>
  <c r="L270" i="1"/>
  <c r="M270" i="1" s="1"/>
  <c r="J270" i="1"/>
  <c r="W270" i="1" s="1"/>
  <c r="AF270" i="1" s="1"/>
  <c r="C270" i="1"/>
  <c r="L269" i="1"/>
  <c r="J269" i="1"/>
  <c r="W269" i="1" s="1"/>
  <c r="AF269" i="1" s="1"/>
  <c r="C269" i="1"/>
  <c r="L268" i="1"/>
  <c r="J268" i="1"/>
  <c r="W268" i="1" s="1"/>
  <c r="AF268" i="1" s="1"/>
  <c r="C268" i="1"/>
  <c r="L266" i="1"/>
  <c r="M266" i="1" s="1"/>
  <c r="J266" i="1"/>
  <c r="W266" i="1" s="1"/>
  <c r="AF266" i="1" s="1"/>
  <c r="C266" i="1"/>
  <c r="L265" i="1"/>
  <c r="J265" i="1"/>
  <c r="W265" i="1" s="1"/>
  <c r="AF265" i="1" s="1"/>
  <c r="C265" i="1"/>
  <c r="L264" i="1"/>
  <c r="J264" i="1"/>
  <c r="W264" i="1" s="1"/>
  <c r="AF264" i="1" s="1"/>
  <c r="C264" i="1"/>
  <c r="L263" i="1"/>
  <c r="M263" i="1" s="1"/>
  <c r="J263" i="1"/>
  <c r="C263" i="1"/>
  <c r="L262" i="1"/>
  <c r="M262" i="1" s="1"/>
  <c r="J262" i="1"/>
  <c r="W262" i="1" s="1"/>
  <c r="AF262" i="1" s="1"/>
  <c r="C262" i="1"/>
  <c r="L261" i="1"/>
  <c r="J261" i="1"/>
  <c r="C261" i="1"/>
  <c r="L260" i="1"/>
  <c r="M260" i="1" s="1"/>
  <c r="J260" i="1"/>
  <c r="W260" i="1" s="1"/>
  <c r="AF260" i="1" s="1"/>
  <c r="C260" i="1"/>
  <c r="L259" i="1"/>
  <c r="J259" i="1"/>
  <c r="W259" i="1" s="1"/>
  <c r="AF259" i="1" s="1"/>
  <c r="C259" i="1"/>
  <c r="L258" i="1"/>
  <c r="M258" i="1" s="1"/>
  <c r="J258" i="1"/>
  <c r="W258" i="1" s="1"/>
  <c r="AF258" i="1" s="1"/>
  <c r="C258" i="1"/>
  <c r="L257" i="1"/>
  <c r="M257" i="1" s="1"/>
  <c r="J257" i="1"/>
  <c r="C257" i="1"/>
  <c r="L256" i="1"/>
  <c r="J256" i="1"/>
  <c r="W256" i="1" s="1"/>
  <c r="AF256" i="1" s="1"/>
  <c r="C256" i="1"/>
  <c r="L255" i="1"/>
  <c r="M255" i="1" s="1"/>
  <c r="J255" i="1"/>
  <c r="W255" i="1" s="1"/>
  <c r="AF255" i="1" s="1"/>
  <c r="C255" i="1"/>
  <c r="L254" i="1"/>
  <c r="J254" i="1"/>
  <c r="W254" i="1" s="1"/>
  <c r="AF254" i="1" s="1"/>
  <c r="C254" i="1"/>
  <c r="L253" i="1"/>
  <c r="M253" i="1" s="1"/>
  <c r="J253" i="1"/>
  <c r="W253" i="1" s="1"/>
  <c r="AF253" i="1" s="1"/>
  <c r="C253" i="1"/>
  <c r="L252" i="1"/>
  <c r="M252" i="1" s="1"/>
  <c r="J252" i="1"/>
  <c r="W252" i="1" s="1"/>
  <c r="AF252" i="1" s="1"/>
  <c r="C252" i="1"/>
  <c r="L251" i="1"/>
  <c r="M251" i="1" s="1"/>
  <c r="J251" i="1"/>
  <c r="W251" i="1" s="1"/>
  <c r="AF251" i="1" s="1"/>
  <c r="C251" i="1"/>
  <c r="L249" i="1"/>
  <c r="M249" i="1" s="1"/>
  <c r="J249" i="1"/>
  <c r="W249" i="1" s="1"/>
  <c r="AF249" i="1" s="1"/>
  <c r="C249" i="1"/>
  <c r="L248" i="1"/>
  <c r="J248" i="1"/>
  <c r="W248" i="1" s="1"/>
  <c r="AF248" i="1" s="1"/>
  <c r="C248" i="1"/>
  <c r="L247" i="1"/>
  <c r="M247" i="1" s="1"/>
  <c r="J247" i="1"/>
  <c r="C247" i="1"/>
  <c r="L246" i="1"/>
  <c r="M246" i="1" s="1"/>
  <c r="J246" i="1"/>
  <c r="W246" i="1" s="1"/>
  <c r="AF246" i="1" s="1"/>
  <c r="C246" i="1"/>
  <c r="L245" i="1"/>
  <c r="M245" i="1" s="1"/>
  <c r="J245" i="1"/>
  <c r="W245" i="1" s="1"/>
  <c r="AF245" i="1" s="1"/>
  <c r="C245" i="1"/>
  <c r="L244" i="1"/>
  <c r="J244" i="1"/>
  <c r="C244" i="1"/>
  <c r="L240" i="1"/>
  <c r="M240" i="1" s="1"/>
  <c r="J240" i="1"/>
  <c r="C240" i="1"/>
  <c r="L238" i="1"/>
  <c r="M238" i="1" s="1"/>
  <c r="J238" i="1"/>
  <c r="C238" i="1"/>
  <c r="L237" i="1"/>
  <c r="M237" i="1" s="1"/>
  <c r="J237" i="1"/>
  <c r="C237" i="1"/>
  <c r="L236" i="1"/>
  <c r="M236" i="1" s="1"/>
  <c r="J236" i="1"/>
  <c r="C236" i="1"/>
  <c r="L235" i="1"/>
  <c r="M235" i="1" s="1"/>
  <c r="J235" i="1"/>
  <c r="W235" i="1" s="1"/>
  <c r="AF235" i="1" s="1"/>
  <c r="C235" i="1"/>
  <c r="L234" i="1"/>
  <c r="J234" i="1"/>
  <c r="W234" i="1" s="1"/>
  <c r="AF234" i="1" s="1"/>
  <c r="C234" i="1"/>
  <c r="L233" i="1"/>
  <c r="J233" i="1"/>
  <c r="W233" i="1" s="1"/>
  <c r="AF233" i="1" s="1"/>
  <c r="C233" i="1"/>
  <c r="L232" i="1"/>
  <c r="J232" i="1"/>
  <c r="W232" i="1" s="1"/>
  <c r="AF232" i="1" s="1"/>
  <c r="C232" i="1"/>
  <c r="L231" i="1"/>
  <c r="M231" i="1" s="1"/>
  <c r="J231" i="1"/>
  <c r="W231" i="1" s="1"/>
  <c r="AF231" i="1" s="1"/>
  <c r="C231" i="1"/>
  <c r="L230" i="1"/>
  <c r="J230" i="1"/>
  <c r="W230" i="1" s="1"/>
  <c r="AF230" i="1" s="1"/>
  <c r="C230" i="1"/>
  <c r="L229" i="1"/>
  <c r="J229" i="1"/>
  <c r="W229" i="1" s="1"/>
  <c r="AF229" i="1" s="1"/>
  <c r="C229" i="1"/>
  <c r="L228" i="1"/>
  <c r="M228" i="1" s="1"/>
  <c r="J228" i="1"/>
  <c r="W228" i="1" s="1"/>
  <c r="AF228" i="1" s="1"/>
  <c r="C228" i="1"/>
  <c r="L227" i="1"/>
  <c r="M227" i="1" s="1"/>
  <c r="J227" i="1"/>
  <c r="W227" i="1" s="1"/>
  <c r="AF227" i="1" s="1"/>
  <c r="C227" i="1"/>
  <c r="L226" i="1"/>
  <c r="M226" i="1" s="1"/>
  <c r="J226" i="1"/>
  <c r="W226" i="1" s="1"/>
  <c r="AF226" i="1" s="1"/>
  <c r="C226" i="1"/>
  <c r="L225" i="1"/>
  <c r="J225" i="1"/>
  <c r="C225" i="1"/>
  <c r="L224" i="1"/>
  <c r="M224" i="1" s="1"/>
  <c r="J224" i="1"/>
  <c r="C224" i="1"/>
  <c r="L223" i="1"/>
  <c r="M223" i="1" s="1"/>
  <c r="J223" i="1"/>
  <c r="W223" i="1" s="1"/>
  <c r="AF223" i="1" s="1"/>
  <c r="C223" i="1"/>
  <c r="L222" i="1"/>
  <c r="M222" i="1" s="1"/>
  <c r="J222" i="1"/>
  <c r="W222" i="1" s="1"/>
  <c r="AF222" i="1" s="1"/>
  <c r="C222" i="1"/>
  <c r="O167" i="28"/>
  <c r="O166" i="28"/>
  <c r="P164" i="28"/>
  <c r="C42" i="58"/>
  <c r="C41" i="58"/>
  <c r="D41" i="58"/>
  <c r="E41" i="58" s="1"/>
  <c r="E40" i="58"/>
  <c r="D40" i="58"/>
  <c r="B42" i="58"/>
  <c r="B41" i="58"/>
  <c r="C40" i="58"/>
  <c r="B40" i="58"/>
  <c r="L90" i="1"/>
  <c r="K31" i="21"/>
  <c r="I31" i="21"/>
  <c r="AA40" i="2"/>
  <c r="P52" i="2"/>
  <c r="C88" i="2"/>
  <c r="C87" i="2"/>
  <c r="E24" i="21"/>
  <c r="U212" i="28" l="1"/>
  <c r="X291" i="1"/>
  <c r="AG291" i="1" s="1"/>
  <c r="Z291" i="1"/>
  <c r="AI291" i="1" s="1"/>
  <c r="Y291" i="1"/>
  <c r="AH291" i="1" s="1"/>
  <c r="N291" i="1"/>
  <c r="Z273" i="1"/>
  <c r="AI273" i="1" s="1"/>
  <c r="Y242" i="1"/>
  <c r="AH242" i="1" s="1"/>
  <c r="Z242" i="1"/>
  <c r="AI242" i="1" s="1"/>
  <c r="Y269" i="1"/>
  <c r="AH269" i="1" s="1"/>
  <c r="Y254" i="1"/>
  <c r="AH254" i="1" s="1"/>
  <c r="Y288" i="1"/>
  <c r="AH288" i="1" s="1"/>
  <c r="Y268" i="1"/>
  <c r="AH268" i="1" s="1"/>
  <c r="Y272" i="1"/>
  <c r="AH272" i="1" s="1"/>
  <c r="Y239" i="1"/>
  <c r="AH239" i="1" s="1"/>
  <c r="Z239" i="1"/>
  <c r="AI239" i="1" s="1"/>
  <c r="Y261" i="1"/>
  <c r="AH261" i="1" s="1"/>
  <c r="M272" i="1"/>
  <c r="Z272" i="1" s="1"/>
  <c r="AI272" i="1" s="1"/>
  <c r="Y248" i="1"/>
  <c r="AH248" i="1" s="1"/>
  <c r="Z251" i="1"/>
  <c r="AI251" i="1" s="1"/>
  <c r="W225" i="1"/>
  <c r="AF225" i="1" s="1"/>
  <c r="Z236" i="1"/>
  <c r="AI236" i="1" s="1"/>
  <c r="Y256" i="1"/>
  <c r="AH256" i="1" s="1"/>
  <c r="Y286" i="1"/>
  <c r="AH286" i="1" s="1"/>
  <c r="Y237" i="1"/>
  <c r="AH237" i="1" s="1"/>
  <c r="Y249" i="1"/>
  <c r="AH249" i="1" s="1"/>
  <c r="Y271" i="1"/>
  <c r="AH271" i="1" s="1"/>
  <c r="M261" i="1"/>
  <c r="M254" i="1"/>
  <c r="Y253" i="1"/>
  <c r="AH253" i="1" s="1"/>
  <c r="Y287" i="1"/>
  <c r="AH287" i="1" s="1"/>
  <c r="Y228" i="1"/>
  <c r="AH228" i="1" s="1"/>
  <c r="Y251" i="1"/>
  <c r="AH251" i="1" s="1"/>
  <c r="Y260" i="1"/>
  <c r="AH260" i="1" s="1"/>
  <c r="Y279" i="1"/>
  <c r="AH279" i="1" s="1"/>
  <c r="Y283" i="1"/>
  <c r="AH283" i="1" s="1"/>
  <c r="Y252" i="1"/>
  <c r="AH252" i="1" s="1"/>
  <c r="Y245" i="1"/>
  <c r="AH245" i="1" s="1"/>
  <c r="Y222" i="1"/>
  <c r="AH222" i="1" s="1"/>
  <c r="Z275" i="1"/>
  <c r="AI275" i="1" s="1"/>
  <c r="Y240" i="1"/>
  <c r="AH240" i="1" s="1"/>
  <c r="W240" i="1"/>
  <c r="AF240" i="1" s="1"/>
  <c r="Z240" i="1"/>
  <c r="AI240" i="1" s="1"/>
  <c r="Z287" i="1"/>
  <c r="AI287" i="1" s="1"/>
  <c r="M268" i="1"/>
  <c r="Z260" i="1"/>
  <c r="AI260" i="1" s="1"/>
  <c r="Y224" i="1"/>
  <c r="AH224" i="1" s="1"/>
  <c r="W224" i="1"/>
  <c r="AF224" i="1" s="1"/>
  <c r="W238" i="1"/>
  <c r="AF238" i="1" s="1"/>
  <c r="Y265" i="1"/>
  <c r="AH265" i="1" s="1"/>
  <c r="M248" i="1"/>
  <c r="Y233" i="1"/>
  <c r="AH233" i="1" s="1"/>
  <c r="Y266" i="1"/>
  <c r="AH266" i="1" s="1"/>
  <c r="Y235" i="1"/>
  <c r="AH235" i="1" s="1"/>
  <c r="Z249" i="1"/>
  <c r="AI249" i="1" s="1"/>
  <c r="M288" i="1"/>
  <c r="M265" i="1"/>
  <c r="Y230" i="1"/>
  <c r="AH230" i="1" s="1"/>
  <c r="Y246" i="1"/>
  <c r="AH246" i="1" s="1"/>
  <c r="Y259" i="1"/>
  <c r="AH259" i="1" s="1"/>
  <c r="W237" i="1"/>
  <c r="AF237" i="1" s="1"/>
  <c r="M233" i="1"/>
  <c r="Z228" i="1"/>
  <c r="AI228" i="1" s="1"/>
  <c r="Y227" i="1"/>
  <c r="AH227" i="1" s="1"/>
  <c r="Y226" i="1"/>
  <c r="AH226" i="1" s="1"/>
  <c r="Y244" i="1"/>
  <c r="AH244" i="1" s="1"/>
  <c r="M244" i="1"/>
  <c r="Z224" i="1"/>
  <c r="AI224" i="1" s="1"/>
  <c r="Z252" i="1"/>
  <c r="AI252" i="1" s="1"/>
  <c r="Z226" i="1"/>
  <c r="AI226" i="1" s="1"/>
  <c r="Z237" i="1"/>
  <c r="AI237" i="1" s="1"/>
  <c r="W263" i="1"/>
  <c r="AF263" i="1" s="1"/>
  <c r="Y263" i="1"/>
  <c r="AH263" i="1" s="1"/>
  <c r="Z235" i="1"/>
  <c r="AI235" i="1" s="1"/>
  <c r="Y247" i="1"/>
  <c r="AH247" i="1" s="1"/>
  <c r="W247" i="1"/>
  <c r="AF247" i="1" s="1"/>
  <c r="W244" i="1"/>
  <c r="AF244" i="1" s="1"/>
  <c r="Y281" i="1"/>
  <c r="AH281" i="1" s="1"/>
  <c r="Y234" i="1"/>
  <c r="AH234" i="1" s="1"/>
  <c r="M234" i="1"/>
  <c r="Z245" i="1"/>
  <c r="AI245" i="1" s="1"/>
  <c r="W289" i="1"/>
  <c r="AF289" i="1" s="1"/>
  <c r="Y289" i="1"/>
  <c r="AH289" i="1" s="1"/>
  <c r="Z223" i="1"/>
  <c r="AI223" i="1" s="1"/>
  <c r="Z246" i="1"/>
  <c r="AI246" i="1" s="1"/>
  <c r="M230" i="1"/>
  <c r="W236" i="1"/>
  <c r="AF236" i="1" s="1"/>
  <c r="Z227" i="1"/>
  <c r="AI227" i="1" s="1"/>
  <c r="W261" i="1"/>
  <c r="AF261" i="1" s="1"/>
  <c r="Y278" i="1"/>
  <c r="AH278" i="1" s="1"/>
  <c r="W278" i="1"/>
  <c r="AF278" i="1" s="1"/>
  <c r="W284" i="1"/>
  <c r="AF284" i="1" s="1"/>
  <c r="Y284" i="1"/>
  <c r="AH284" i="1" s="1"/>
  <c r="Z289" i="1"/>
  <c r="AI289" i="1" s="1"/>
  <c r="W277" i="1"/>
  <c r="AF277" i="1" s="1"/>
  <c r="Z222" i="1"/>
  <c r="AI222" i="1" s="1"/>
  <c r="Y223" i="1"/>
  <c r="AH223" i="1" s="1"/>
  <c r="M229" i="1"/>
  <c r="Y229" i="1"/>
  <c r="AH229" i="1" s="1"/>
  <c r="Y238" i="1"/>
  <c r="AH238" i="1" s="1"/>
  <c r="M256" i="1"/>
  <c r="Y262" i="1"/>
  <c r="AH262" i="1" s="1"/>
  <c r="W274" i="1"/>
  <c r="AF274" i="1" s="1"/>
  <c r="Y274" i="1"/>
  <c r="AH274" i="1" s="1"/>
  <c r="Z280" i="1"/>
  <c r="AI280" i="1" s="1"/>
  <c r="Y257" i="1"/>
  <c r="AH257" i="1" s="1"/>
  <c r="W257" i="1"/>
  <c r="AF257" i="1" s="1"/>
  <c r="M259" i="1"/>
  <c r="Y231" i="1"/>
  <c r="AH231" i="1" s="1"/>
  <c r="Z271" i="1"/>
  <c r="AI271" i="1" s="1"/>
  <c r="M277" i="1"/>
  <c r="Y277" i="1"/>
  <c r="AH277" i="1" s="1"/>
  <c r="Z247" i="1"/>
  <c r="AI247" i="1" s="1"/>
  <c r="Z257" i="1"/>
  <c r="AI257" i="1" s="1"/>
  <c r="Z274" i="1"/>
  <c r="AI274" i="1" s="1"/>
  <c r="Z238" i="1"/>
  <c r="AI238" i="1" s="1"/>
  <c r="M264" i="1"/>
  <c r="Y264" i="1"/>
  <c r="AH264" i="1" s="1"/>
  <c r="M232" i="1"/>
  <c r="Y232" i="1"/>
  <c r="AH232" i="1" s="1"/>
  <c r="Y255" i="1"/>
  <c r="AH255" i="1" s="1"/>
  <c r="Z263" i="1"/>
  <c r="AI263" i="1" s="1"/>
  <c r="Y270" i="1"/>
  <c r="AH270" i="1" s="1"/>
  <c r="Z255" i="1"/>
  <c r="AI255" i="1" s="1"/>
  <c r="M269" i="1"/>
  <c r="Z231" i="1"/>
  <c r="AI231" i="1" s="1"/>
  <c r="Y236" i="1"/>
  <c r="AH236" i="1" s="1"/>
  <c r="M225" i="1"/>
  <c r="Y225" i="1"/>
  <c r="AH225" i="1" s="1"/>
  <c r="Z258" i="1"/>
  <c r="AI258" i="1" s="1"/>
  <c r="Y282" i="1"/>
  <c r="AH282" i="1" s="1"/>
  <c r="Z278" i="1"/>
  <c r="AI278" i="1" s="1"/>
  <c r="Z262" i="1"/>
  <c r="AI262" i="1" s="1"/>
  <c r="Z270" i="1"/>
  <c r="AI270" i="1" s="1"/>
  <c r="Y273" i="1"/>
  <c r="AH273" i="1" s="1"/>
  <c r="Y285" i="1"/>
  <c r="AH285" i="1" s="1"/>
  <c r="W290" i="1"/>
  <c r="AF290" i="1" s="1"/>
  <c r="W276" i="1"/>
  <c r="AF276" i="1" s="1"/>
  <c r="Y276" i="1"/>
  <c r="AH276" i="1" s="1"/>
  <c r="M285" i="1"/>
  <c r="Y258" i="1"/>
  <c r="AH258" i="1" s="1"/>
  <c r="W280" i="1"/>
  <c r="AF280" i="1" s="1"/>
  <c r="Y280" i="1"/>
  <c r="AH280" i="1" s="1"/>
  <c r="Z253" i="1"/>
  <c r="AI253" i="1" s="1"/>
  <c r="Z286" i="1"/>
  <c r="AI286" i="1" s="1"/>
  <c r="Z276" i="1"/>
  <c r="AI276" i="1" s="1"/>
  <c r="Z279" i="1"/>
  <c r="AI279" i="1" s="1"/>
  <c r="Z290" i="1"/>
  <c r="AI290" i="1" s="1"/>
  <c r="Z266" i="1"/>
  <c r="AI266" i="1" s="1"/>
  <c r="Z284" i="1"/>
  <c r="AI284" i="1" s="1"/>
  <c r="Z283" i="1"/>
  <c r="AI283" i="1" s="1"/>
  <c r="Y275" i="1"/>
  <c r="AH275" i="1" s="1"/>
  <c r="Z282" i="1"/>
  <c r="AI282" i="1" s="1"/>
  <c r="Y290" i="1"/>
  <c r="AH290" i="1" s="1"/>
  <c r="D42" i="58"/>
  <c r="E42" i="58" s="1"/>
  <c r="L193" i="1"/>
  <c r="J193" i="1"/>
  <c r="W193" i="1" s="1"/>
  <c r="AF193" i="1" s="1"/>
  <c r="C193" i="1"/>
  <c r="AA291" i="1" l="1"/>
  <c r="AJ291" i="1" s="1"/>
  <c r="Y193" i="1"/>
  <c r="AH193" i="1" s="1"/>
  <c r="Z261" i="1"/>
  <c r="AI261" i="1" s="1"/>
  <c r="Z254" i="1"/>
  <c r="AI254" i="1" s="1"/>
  <c r="Z288" i="1"/>
  <c r="AI288" i="1" s="1"/>
  <c r="Z268" i="1"/>
  <c r="AI268" i="1" s="1"/>
  <c r="Z248" i="1"/>
  <c r="AI248" i="1" s="1"/>
  <c r="Z265" i="1"/>
  <c r="AI265" i="1" s="1"/>
  <c r="Z233" i="1"/>
  <c r="AI233" i="1" s="1"/>
  <c r="Z285" i="1"/>
  <c r="AI285" i="1" s="1"/>
  <c r="Z234" i="1"/>
  <c r="AI234" i="1" s="1"/>
  <c r="Z230" i="1"/>
  <c r="AI230" i="1" s="1"/>
  <c r="Z281" i="1"/>
  <c r="AI281" i="1" s="1"/>
  <c r="Z229" i="1"/>
  <c r="AI229" i="1" s="1"/>
  <c r="Z277" i="1"/>
  <c r="AI277" i="1" s="1"/>
  <c r="Z232" i="1"/>
  <c r="AI232" i="1" s="1"/>
  <c r="Z244" i="1"/>
  <c r="AI244" i="1" s="1"/>
  <c r="Z225" i="1"/>
  <c r="AI225" i="1" s="1"/>
  <c r="Z259" i="1"/>
  <c r="AI259" i="1" s="1"/>
  <c r="Z264" i="1"/>
  <c r="AI264" i="1" s="1"/>
  <c r="Z269" i="1"/>
  <c r="AI269" i="1" s="1"/>
  <c r="Z256" i="1"/>
  <c r="AI256" i="1" s="1"/>
  <c r="M193" i="1"/>
  <c r="Z193" i="1" l="1"/>
  <c r="AI193" i="1" s="1"/>
  <c r="L164" i="1" l="1"/>
  <c r="M164" i="1" s="1"/>
  <c r="L192" i="1"/>
  <c r="M192" i="1" s="1"/>
  <c r="J192" i="1"/>
  <c r="W192" i="1" s="1"/>
  <c r="AF192" i="1" s="1"/>
  <c r="C192" i="1"/>
  <c r="L166" i="1"/>
  <c r="M166" i="1" s="1"/>
  <c r="J166" i="1"/>
  <c r="W166" i="1" s="1"/>
  <c r="AF166" i="1" s="1"/>
  <c r="C166" i="1"/>
  <c r="Z192" i="1" l="1"/>
  <c r="AI192" i="1" s="1"/>
  <c r="Y192" i="1"/>
  <c r="AH192" i="1" s="1"/>
  <c r="Z166" i="1"/>
  <c r="AI166" i="1" s="1"/>
  <c r="Y166" i="1"/>
  <c r="AH166" i="1" s="1"/>
  <c r="E27" i="21" l="1"/>
  <c r="L216" i="1"/>
  <c r="M216" i="1" s="1"/>
  <c r="J216" i="1"/>
  <c r="W216" i="1" s="1"/>
  <c r="AF216" i="1" s="1"/>
  <c r="C216" i="1"/>
  <c r="Z216" i="1" l="1"/>
  <c r="AI216" i="1" s="1"/>
  <c r="Y216" i="1"/>
  <c r="AH216" i="1" s="1"/>
  <c r="Q23" i="21" l="1"/>
  <c r="L157" i="1"/>
  <c r="M157" i="1" s="1"/>
  <c r="J157" i="1"/>
  <c r="W157" i="1" s="1"/>
  <c r="AF157" i="1" s="1"/>
  <c r="C157" i="1"/>
  <c r="Z157" i="1" l="1"/>
  <c r="AI157" i="1" s="1"/>
  <c r="Y157" i="1"/>
  <c r="AH157" i="1" s="1"/>
  <c r="L154" i="1"/>
  <c r="M154" i="1" s="1"/>
  <c r="J154" i="1"/>
  <c r="W154" i="1" s="1"/>
  <c r="AF154" i="1" s="1"/>
  <c r="C154" i="1"/>
  <c r="Z154" i="1" l="1"/>
  <c r="AI154" i="1" s="1"/>
  <c r="Y154" i="1"/>
  <c r="AH154" i="1" s="1"/>
  <c r="L196" i="1" l="1"/>
  <c r="M196" i="1" s="1"/>
  <c r="J196" i="1"/>
  <c r="W196" i="1" s="1"/>
  <c r="AF196" i="1" s="1"/>
  <c r="C196" i="1"/>
  <c r="L187" i="1"/>
  <c r="M187" i="1" s="1"/>
  <c r="J187" i="1"/>
  <c r="W187" i="1" s="1"/>
  <c r="AF187" i="1" s="1"/>
  <c r="C187" i="1"/>
  <c r="L180" i="1"/>
  <c r="M180" i="1" s="1"/>
  <c r="J180" i="1"/>
  <c r="W180" i="1" s="1"/>
  <c r="AF180" i="1" s="1"/>
  <c r="C180" i="1"/>
  <c r="L171" i="1"/>
  <c r="M171" i="1" s="1"/>
  <c r="J171" i="1"/>
  <c r="W171" i="1" s="1"/>
  <c r="AF171" i="1" s="1"/>
  <c r="C171" i="1"/>
  <c r="L215" i="1"/>
  <c r="M215" i="1" s="1"/>
  <c r="J215" i="1"/>
  <c r="W215" i="1" s="1"/>
  <c r="AF215" i="1" s="1"/>
  <c r="C215" i="1"/>
  <c r="L214" i="1"/>
  <c r="M214" i="1" s="1"/>
  <c r="J214" i="1"/>
  <c r="W214" i="1" s="1"/>
  <c r="AF214" i="1" s="1"/>
  <c r="C214" i="1"/>
  <c r="L213" i="1"/>
  <c r="J213" i="1"/>
  <c r="W213" i="1" s="1"/>
  <c r="AF213" i="1" s="1"/>
  <c r="C213" i="1"/>
  <c r="L212" i="1"/>
  <c r="M212" i="1" s="1"/>
  <c r="J212" i="1"/>
  <c r="W212" i="1" s="1"/>
  <c r="AF212" i="1" s="1"/>
  <c r="C212" i="1"/>
  <c r="L211" i="1"/>
  <c r="M211" i="1" s="1"/>
  <c r="J211" i="1"/>
  <c r="C211" i="1"/>
  <c r="L210" i="1"/>
  <c r="J210" i="1"/>
  <c r="W210" i="1" s="1"/>
  <c r="AF210" i="1" s="1"/>
  <c r="C210" i="1"/>
  <c r="L209" i="1"/>
  <c r="J209" i="1"/>
  <c r="W209" i="1" s="1"/>
  <c r="AF209" i="1" s="1"/>
  <c r="C209" i="1"/>
  <c r="L208" i="1"/>
  <c r="M208" i="1" s="1"/>
  <c r="J208" i="1"/>
  <c r="C208" i="1"/>
  <c r="L207" i="1"/>
  <c r="M207" i="1" s="1"/>
  <c r="J207" i="1"/>
  <c r="W207" i="1" s="1"/>
  <c r="AF207" i="1" s="1"/>
  <c r="C207" i="1"/>
  <c r="L206" i="1"/>
  <c r="J206" i="1"/>
  <c r="W206" i="1" s="1"/>
  <c r="AF206" i="1" s="1"/>
  <c r="C206" i="1"/>
  <c r="L205" i="1"/>
  <c r="M205" i="1" s="1"/>
  <c r="J205" i="1"/>
  <c r="W205" i="1" s="1"/>
  <c r="AF205" i="1" s="1"/>
  <c r="C205" i="1"/>
  <c r="L204" i="1"/>
  <c r="M204" i="1" s="1"/>
  <c r="J204" i="1"/>
  <c r="C204" i="1"/>
  <c r="L203" i="1"/>
  <c r="M203" i="1" s="1"/>
  <c r="J203" i="1"/>
  <c r="W203" i="1" s="1"/>
  <c r="AF203" i="1" s="1"/>
  <c r="C203" i="1"/>
  <c r="L202" i="1"/>
  <c r="J202" i="1"/>
  <c r="W202" i="1" s="1"/>
  <c r="AF202" i="1" s="1"/>
  <c r="C202" i="1"/>
  <c r="L201" i="1"/>
  <c r="M201" i="1" s="1"/>
  <c r="J201" i="1"/>
  <c r="W201" i="1" s="1"/>
  <c r="AF201" i="1" s="1"/>
  <c r="C201" i="1"/>
  <c r="L200" i="1"/>
  <c r="M200" i="1" s="1"/>
  <c r="J200" i="1"/>
  <c r="W200" i="1" s="1"/>
  <c r="AF200" i="1" s="1"/>
  <c r="C200" i="1"/>
  <c r="L199" i="1"/>
  <c r="M199" i="1" s="1"/>
  <c r="J199" i="1"/>
  <c r="C199" i="1"/>
  <c r="L198" i="1"/>
  <c r="M198" i="1" s="1"/>
  <c r="J198" i="1"/>
  <c r="C198" i="1"/>
  <c r="L197" i="1"/>
  <c r="M197" i="1" s="1"/>
  <c r="J197" i="1"/>
  <c r="W197" i="1" s="1"/>
  <c r="AF197" i="1" s="1"/>
  <c r="C197" i="1"/>
  <c r="L195" i="1"/>
  <c r="J195" i="1"/>
  <c r="W195" i="1" s="1"/>
  <c r="AF195" i="1" s="1"/>
  <c r="C195" i="1"/>
  <c r="L194" i="1"/>
  <c r="J194" i="1"/>
  <c r="W194" i="1" s="1"/>
  <c r="AF194" i="1" s="1"/>
  <c r="C194" i="1"/>
  <c r="L191" i="1"/>
  <c r="M191" i="1" s="1"/>
  <c r="J191" i="1"/>
  <c r="W191" i="1" s="1"/>
  <c r="AF191" i="1" s="1"/>
  <c r="C191" i="1"/>
  <c r="L190" i="1"/>
  <c r="J190" i="1"/>
  <c r="W190" i="1" s="1"/>
  <c r="AF190" i="1" s="1"/>
  <c r="C190" i="1"/>
  <c r="L189" i="1"/>
  <c r="J189" i="1"/>
  <c r="C189" i="1"/>
  <c r="L188" i="1"/>
  <c r="M188" i="1" s="1"/>
  <c r="J188" i="1"/>
  <c r="W188" i="1" s="1"/>
  <c r="AF188" i="1" s="1"/>
  <c r="C188" i="1"/>
  <c r="L186" i="1"/>
  <c r="M186" i="1" s="1"/>
  <c r="J186" i="1"/>
  <c r="W186" i="1" s="1"/>
  <c r="AF186" i="1" s="1"/>
  <c r="C186" i="1"/>
  <c r="L185" i="1"/>
  <c r="J185" i="1"/>
  <c r="W185" i="1" s="1"/>
  <c r="AF185" i="1" s="1"/>
  <c r="C185" i="1"/>
  <c r="L184" i="1"/>
  <c r="J184" i="1"/>
  <c r="W184" i="1" s="1"/>
  <c r="AF184" i="1" s="1"/>
  <c r="C184" i="1"/>
  <c r="L183" i="1"/>
  <c r="J183" i="1"/>
  <c r="C183" i="1"/>
  <c r="L182" i="1"/>
  <c r="J182" i="1"/>
  <c r="C182" i="1"/>
  <c r="L181" i="1"/>
  <c r="J181" i="1"/>
  <c r="W181" i="1" s="1"/>
  <c r="AF181" i="1" s="1"/>
  <c r="C181" i="1"/>
  <c r="L179" i="1"/>
  <c r="J179" i="1"/>
  <c r="W179" i="1" s="1"/>
  <c r="AF179" i="1" s="1"/>
  <c r="C179" i="1"/>
  <c r="L178" i="1"/>
  <c r="M178" i="1" s="1"/>
  <c r="J178" i="1"/>
  <c r="C178" i="1"/>
  <c r="L177" i="1"/>
  <c r="J177" i="1"/>
  <c r="W177" i="1" s="1"/>
  <c r="AF177" i="1" s="1"/>
  <c r="C177" i="1"/>
  <c r="L176" i="1"/>
  <c r="M176" i="1" s="1"/>
  <c r="J176" i="1"/>
  <c r="W176" i="1" s="1"/>
  <c r="AF176" i="1" s="1"/>
  <c r="C176" i="1"/>
  <c r="L175" i="1"/>
  <c r="J175" i="1"/>
  <c r="C175" i="1"/>
  <c r="L174" i="1"/>
  <c r="M174" i="1" s="1"/>
  <c r="J174" i="1"/>
  <c r="C174" i="1"/>
  <c r="L173" i="1"/>
  <c r="J173" i="1"/>
  <c r="C173" i="1"/>
  <c r="L172" i="1"/>
  <c r="M172" i="1" s="1"/>
  <c r="J172" i="1"/>
  <c r="W172" i="1" s="1"/>
  <c r="AF172" i="1" s="1"/>
  <c r="C172" i="1"/>
  <c r="L159" i="1"/>
  <c r="J159" i="1"/>
  <c r="W159" i="1" s="1"/>
  <c r="AF159" i="1" s="1"/>
  <c r="C159" i="1"/>
  <c r="L170" i="1"/>
  <c r="J170" i="1"/>
  <c r="C170" i="1"/>
  <c r="L169" i="1"/>
  <c r="J169" i="1"/>
  <c r="W169" i="1" s="1"/>
  <c r="AF169" i="1" s="1"/>
  <c r="C169" i="1"/>
  <c r="L168" i="1"/>
  <c r="J168" i="1"/>
  <c r="W168" i="1" s="1"/>
  <c r="AF168" i="1" s="1"/>
  <c r="C168" i="1"/>
  <c r="L167" i="1"/>
  <c r="J167" i="1"/>
  <c r="C167" i="1"/>
  <c r="L165" i="1"/>
  <c r="M165" i="1" s="1"/>
  <c r="W165" i="1"/>
  <c r="AF165" i="1" s="1"/>
  <c r="C165" i="1"/>
  <c r="J164" i="1"/>
  <c r="W164" i="1" s="1"/>
  <c r="AF164" i="1" s="1"/>
  <c r="C164" i="1"/>
  <c r="L163" i="1"/>
  <c r="M163" i="1" s="1"/>
  <c r="J163" i="1"/>
  <c r="C163" i="1"/>
  <c r="L162" i="1"/>
  <c r="M162" i="1" s="1"/>
  <c r="J162" i="1"/>
  <c r="W162" i="1" s="1"/>
  <c r="AF162" i="1" s="1"/>
  <c r="C162" i="1"/>
  <c r="L161" i="1"/>
  <c r="M161" i="1" s="1"/>
  <c r="J161" i="1"/>
  <c r="W161" i="1" s="1"/>
  <c r="AF161" i="1" s="1"/>
  <c r="C161" i="1"/>
  <c r="L160" i="1"/>
  <c r="M160" i="1" s="1"/>
  <c r="J160" i="1"/>
  <c r="C160" i="1"/>
  <c r="L158" i="1"/>
  <c r="M158" i="1" s="1"/>
  <c r="J158" i="1"/>
  <c r="C158" i="1"/>
  <c r="L156" i="1"/>
  <c r="J156" i="1"/>
  <c r="W156" i="1" s="1"/>
  <c r="AF156" i="1" s="1"/>
  <c r="C156" i="1"/>
  <c r="L155" i="1"/>
  <c r="M155" i="1" s="1"/>
  <c r="J155" i="1"/>
  <c r="W155" i="1" s="1"/>
  <c r="AF155" i="1" s="1"/>
  <c r="C155" i="1"/>
  <c r="L153" i="1"/>
  <c r="M153" i="1" s="1"/>
  <c r="J153" i="1"/>
  <c r="W153" i="1" s="1"/>
  <c r="AF153" i="1" s="1"/>
  <c r="C153" i="1"/>
  <c r="L152" i="1"/>
  <c r="J152" i="1"/>
  <c r="W152" i="1" s="1"/>
  <c r="AF152" i="1" s="1"/>
  <c r="C152" i="1"/>
  <c r="L151" i="1"/>
  <c r="J151" i="1"/>
  <c r="W151" i="1" s="1"/>
  <c r="AF151" i="1" s="1"/>
  <c r="C151" i="1"/>
  <c r="L150" i="1"/>
  <c r="M150" i="1" s="1"/>
  <c r="J150" i="1"/>
  <c r="W150" i="1" s="1"/>
  <c r="AF150" i="1" s="1"/>
  <c r="C150" i="1"/>
  <c r="L149" i="1"/>
  <c r="M149" i="1" s="1"/>
  <c r="J149" i="1"/>
  <c r="W149" i="1" s="1"/>
  <c r="AF149" i="1" s="1"/>
  <c r="C149" i="1"/>
  <c r="L148" i="1"/>
  <c r="M148" i="1" s="1"/>
  <c r="J148" i="1"/>
  <c r="W148" i="1" s="1"/>
  <c r="AF148" i="1" s="1"/>
  <c r="C148" i="1"/>
  <c r="L147" i="1"/>
  <c r="J147" i="1"/>
  <c r="W147" i="1" s="1"/>
  <c r="AF147" i="1" s="1"/>
  <c r="C147" i="1"/>
  <c r="L146" i="1"/>
  <c r="M146" i="1" s="1"/>
  <c r="J146" i="1"/>
  <c r="C146" i="1"/>
  <c r="L292" i="1"/>
  <c r="M292" i="1" s="1"/>
  <c r="K292" i="1"/>
  <c r="J292" i="1"/>
  <c r="C292" i="1"/>
  <c r="L220" i="1"/>
  <c r="M220" i="1" s="1"/>
  <c r="K220" i="1"/>
  <c r="J220" i="1"/>
  <c r="G220" i="1"/>
  <c r="C220" i="1"/>
  <c r="L219" i="1"/>
  <c r="M219" i="1" s="1"/>
  <c r="J219" i="1"/>
  <c r="C219" i="1"/>
  <c r="L218" i="1"/>
  <c r="M218" i="1" s="1"/>
  <c r="J218" i="1"/>
  <c r="C218" i="1"/>
  <c r="L217" i="1"/>
  <c r="M217" i="1" s="1"/>
  <c r="K217" i="1"/>
  <c r="J217" i="1"/>
  <c r="C217" i="1"/>
  <c r="Y196" i="1" l="1"/>
  <c r="AH196" i="1" s="1"/>
  <c r="Z196" i="1"/>
  <c r="AI196" i="1" s="1"/>
  <c r="Y187" i="1"/>
  <c r="AH187" i="1" s="1"/>
  <c r="Z187" i="1"/>
  <c r="AI187" i="1" s="1"/>
  <c r="Y180" i="1"/>
  <c r="AH180" i="1" s="1"/>
  <c r="Z180" i="1"/>
  <c r="AI180" i="1" s="1"/>
  <c r="Y171" i="1"/>
  <c r="AH171" i="1" s="1"/>
  <c r="Z171" i="1"/>
  <c r="AI171" i="1" s="1"/>
  <c r="Y179" i="1"/>
  <c r="AH179" i="1" s="1"/>
  <c r="Z198" i="1"/>
  <c r="AI198" i="1" s="1"/>
  <c r="Y159" i="1"/>
  <c r="AH159" i="1" s="1"/>
  <c r="Y209" i="1"/>
  <c r="AH209" i="1" s="1"/>
  <c r="Y184" i="1"/>
  <c r="AH184" i="1" s="1"/>
  <c r="Z164" i="1"/>
  <c r="AI164" i="1" s="1"/>
  <c r="Y148" i="1"/>
  <c r="AH148" i="1" s="1"/>
  <c r="M179" i="1"/>
  <c r="Y199" i="1"/>
  <c r="AH199" i="1" s="1"/>
  <c r="Y162" i="1"/>
  <c r="AH162" i="1" s="1"/>
  <c r="Z176" i="1"/>
  <c r="AI176" i="1" s="1"/>
  <c r="Y176" i="1"/>
  <c r="AH176" i="1" s="1"/>
  <c r="M209" i="1"/>
  <c r="Z209" i="1" s="1"/>
  <c r="AI209" i="1" s="1"/>
  <c r="Y197" i="1"/>
  <c r="AH197" i="1" s="1"/>
  <c r="Y183" i="1"/>
  <c r="AH183" i="1" s="1"/>
  <c r="W158" i="1"/>
  <c r="AF158" i="1" s="1"/>
  <c r="Y206" i="1"/>
  <c r="AH206" i="1" s="1"/>
  <c r="Y181" i="1"/>
  <c r="AH181" i="1" s="1"/>
  <c r="M181" i="1"/>
  <c r="Y147" i="1"/>
  <c r="AH147" i="1" s="1"/>
  <c r="M147" i="1"/>
  <c r="Z147" i="1" s="1"/>
  <c r="AI147" i="1" s="1"/>
  <c r="Y160" i="1"/>
  <c r="AH160" i="1" s="1"/>
  <c r="W160" i="1"/>
  <c r="AF160" i="1" s="1"/>
  <c r="W178" i="1"/>
  <c r="AF178" i="1" s="1"/>
  <c r="M183" i="1"/>
  <c r="Z183" i="1" s="1"/>
  <c r="AI183" i="1" s="1"/>
  <c r="Y173" i="1"/>
  <c r="AH173" i="1" s="1"/>
  <c r="Y185" i="1"/>
  <c r="AH185" i="1" s="1"/>
  <c r="M173" i="1"/>
  <c r="Z173" i="1" s="1"/>
  <c r="AI173" i="1" s="1"/>
  <c r="Y169" i="1"/>
  <c r="AH169" i="1" s="1"/>
  <c r="W199" i="1"/>
  <c r="AF199" i="1" s="1"/>
  <c r="M202" i="1"/>
  <c r="Y202" i="1"/>
  <c r="AH202" i="1" s="1"/>
  <c r="Y156" i="1"/>
  <c r="AH156" i="1" s="1"/>
  <c r="M206" i="1"/>
  <c r="Y146" i="1"/>
  <c r="AH146" i="1" s="1"/>
  <c r="W146" i="1"/>
  <c r="AF146" i="1" s="1"/>
  <c r="Y178" i="1"/>
  <c r="AH178" i="1" s="1"/>
  <c r="W170" i="1"/>
  <c r="AF170" i="1" s="1"/>
  <c r="Y182" i="1"/>
  <c r="AH182" i="1" s="1"/>
  <c r="Y151" i="1"/>
  <c r="AH151" i="1" s="1"/>
  <c r="M182" i="1"/>
  <c r="W167" i="1"/>
  <c r="AF167" i="1" s="1"/>
  <c r="W174" i="1"/>
  <c r="AF174" i="1" s="1"/>
  <c r="Y167" i="1"/>
  <c r="AH167" i="1" s="1"/>
  <c r="Y170" i="1"/>
  <c r="AH170" i="1" s="1"/>
  <c r="Y152" i="1"/>
  <c r="AH152" i="1" s="1"/>
  <c r="Y158" i="1"/>
  <c r="AH158" i="1" s="1"/>
  <c r="M185" i="1"/>
  <c r="Z185" i="1" s="1"/>
  <c r="AI185" i="1" s="1"/>
  <c r="Y213" i="1"/>
  <c r="AH213" i="1" s="1"/>
  <c r="Y163" i="1"/>
  <c r="AH163" i="1" s="1"/>
  <c r="Y172" i="1"/>
  <c r="AH172" i="1" s="1"/>
  <c r="Y177" i="1"/>
  <c r="AH177" i="1" s="1"/>
  <c r="Y211" i="1"/>
  <c r="AH211" i="1" s="1"/>
  <c r="Y212" i="1"/>
  <c r="AH212" i="1" s="1"/>
  <c r="Y191" i="1"/>
  <c r="AH191" i="1" s="1"/>
  <c r="Y203" i="1"/>
  <c r="AH203" i="1" s="1"/>
  <c r="Y168" i="1"/>
  <c r="AH168" i="1" s="1"/>
  <c r="Y188" i="1"/>
  <c r="AH188" i="1" s="1"/>
  <c r="Y189" i="1"/>
  <c r="AH189" i="1" s="1"/>
  <c r="Y198" i="1"/>
  <c r="AH198" i="1" s="1"/>
  <c r="Y207" i="1"/>
  <c r="AH207" i="1" s="1"/>
  <c r="M170" i="1"/>
  <c r="M169" i="1"/>
  <c r="Z169" i="1" s="1"/>
  <c r="AI169" i="1" s="1"/>
  <c r="Z165" i="1"/>
  <c r="AI165" i="1" s="1"/>
  <c r="M167" i="1"/>
  <c r="Z167" i="1" s="1"/>
  <c r="AI167" i="1" s="1"/>
  <c r="Z163" i="1"/>
  <c r="AI163" i="1" s="1"/>
  <c r="Z160" i="1"/>
  <c r="AI160" i="1" s="1"/>
  <c r="M156" i="1"/>
  <c r="Z158" i="1"/>
  <c r="AI158" i="1" s="1"/>
  <c r="Z153" i="1"/>
  <c r="AI153" i="1" s="1"/>
  <c r="Y153" i="1"/>
  <c r="AH153" i="1" s="1"/>
  <c r="M151" i="1"/>
  <c r="Z150" i="1"/>
  <c r="AI150" i="1" s="1"/>
  <c r="Z148" i="1"/>
  <c r="AI148" i="1" s="1"/>
  <c r="Z201" i="1"/>
  <c r="AI201" i="1" s="1"/>
  <c r="W175" i="1"/>
  <c r="AF175" i="1" s="1"/>
  <c r="Y204" i="1"/>
  <c r="AH204" i="1" s="1"/>
  <c r="Z207" i="1"/>
  <c r="AI207" i="1" s="1"/>
  <c r="M152" i="1"/>
  <c r="Y149" i="1"/>
  <c r="AH149" i="1" s="1"/>
  <c r="Y161" i="1"/>
  <c r="AH161" i="1" s="1"/>
  <c r="Y195" i="1"/>
  <c r="AH195" i="1" s="1"/>
  <c r="M195" i="1"/>
  <c r="Z149" i="1"/>
  <c r="AI149" i="1" s="1"/>
  <c r="Z186" i="1"/>
  <c r="AI186" i="1" s="1"/>
  <c r="Z215" i="1"/>
  <c r="AI215" i="1" s="1"/>
  <c r="W208" i="1"/>
  <c r="AF208" i="1" s="1"/>
  <c r="M168" i="1"/>
  <c r="M159" i="1"/>
  <c r="Z205" i="1"/>
  <c r="AI205" i="1" s="1"/>
  <c r="Y210" i="1"/>
  <c r="AH210" i="1" s="1"/>
  <c r="Z212" i="1"/>
  <c r="AI212" i="1" s="1"/>
  <c r="Y201" i="1"/>
  <c r="AH201" i="1" s="1"/>
  <c r="M210" i="1"/>
  <c r="M189" i="1"/>
  <c r="M213" i="1"/>
  <c r="Y186" i="1"/>
  <c r="AH186" i="1" s="1"/>
  <c r="Z146" i="1"/>
  <c r="AI146" i="1" s="1"/>
  <c r="Z172" i="1"/>
  <c r="AI172" i="1" s="1"/>
  <c r="W204" i="1"/>
  <c r="AF204" i="1" s="1"/>
  <c r="M177" i="1"/>
  <c r="W163" i="1"/>
  <c r="AF163" i="1" s="1"/>
  <c r="Y214" i="1"/>
  <c r="AH214" i="1" s="1"/>
  <c r="Z214" i="1"/>
  <c r="AI214" i="1" s="1"/>
  <c r="Z204" i="1"/>
  <c r="AI204" i="1" s="1"/>
  <c r="Y164" i="1"/>
  <c r="AH164" i="1" s="1"/>
  <c r="Y165" i="1"/>
  <c r="AH165" i="1" s="1"/>
  <c r="Z178" i="1"/>
  <c r="AI178" i="1" s="1"/>
  <c r="Y190" i="1"/>
  <c r="AH190" i="1" s="1"/>
  <c r="Y155" i="1"/>
  <c r="AH155" i="1" s="1"/>
  <c r="M184" i="1"/>
  <c r="M190" i="1"/>
  <c r="Z208" i="1"/>
  <c r="AI208" i="1" s="1"/>
  <c r="Z161" i="1"/>
  <c r="AI161" i="1" s="1"/>
  <c r="Y208" i="1"/>
  <c r="AH208" i="1" s="1"/>
  <c r="Y150" i="1"/>
  <c r="AH150" i="1" s="1"/>
  <c r="Y205" i="1"/>
  <c r="AH205" i="1" s="1"/>
  <c r="Z155" i="1"/>
  <c r="AI155" i="1" s="1"/>
  <c r="W183" i="1"/>
  <c r="AF183" i="1" s="1"/>
  <c r="Z188" i="1"/>
  <c r="AI188" i="1" s="1"/>
  <c r="Z162" i="1"/>
  <c r="AI162" i="1" s="1"/>
  <c r="Y175" i="1"/>
  <c r="AH175" i="1" s="1"/>
  <c r="M175" i="1"/>
  <c r="Z211" i="1"/>
  <c r="AI211" i="1" s="1"/>
  <c r="Y194" i="1"/>
  <c r="AH194" i="1" s="1"/>
  <c r="M194" i="1"/>
  <c r="Z197" i="1"/>
  <c r="AI197" i="1" s="1"/>
  <c r="Y174" i="1"/>
  <c r="AH174" i="1" s="1"/>
  <c r="Y200" i="1"/>
  <c r="AH200" i="1" s="1"/>
  <c r="Z203" i="1"/>
  <c r="AI203" i="1" s="1"/>
  <c r="Z174" i="1"/>
  <c r="AI174" i="1" s="1"/>
  <c r="Z191" i="1"/>
  <c r="AI191" i="1" s="1"/>
  <c r="Z200" i="1"/>
  <c r="AI200" i="1" s="1"/>
  <c r="W211" i="1"/>
  <c r="AF211" i="1" s="1"/>
  <c r="Z199" i="1"/>
  <c r="AI199" i="1" s="1"/>
  <c r="Y215" i="1"/>
  <c r="AH215" i="1" s="1"/>
  <c r="N217" i="1"/>
  <c r="N292" i="1"/>
  <c r="N220" i="1"/>
  <c r="M44" i="2"/>
  <c r="Z179" i="1" l="1"/>
  <c r="AI179" i="1" s="1"/>
  <c r="Z202" i="1"/>
  <c r="AI202" i="1" s="1"/>
  <c r="Z206" i="1"/>
  <c r="AI206" i="1" s="1"/>
  <c r="Z151" i="1"/>
  <c r="AI151" i="1" s="1"/>
  <c r="Z181" i="1"/>
  <c r="AI181" i="1" s="1"/>
  <c r="Z182" i="1"/>
  <c r="AI182" i="1" s="1"/>
  <c r="Z170" i="1"/>
  <c r="AI170" i="1" s="1"/>
  <c r="Z156" i="1"/>
  <c r="AI156" i="1" s="1"/>
  <c r="Z189" i="1"/>
  <c r="AI189" i="1" s="1"/>
  <c r="Z177" i="1"/>
  <c r="AI177" i="1" s="1"/>
  <c r="Z210" i="1"/>
  <c r="AI210" i="1" s="1"/>
  <c r="Z190" i="1"/>
  <c r="AI190" i="1" s="1"/>
  <c r="Z184" i="1"/>
  <c r="AI184" i="1" s="1"/>
  <c r="Z195" i="1"/>
  <c r="AI195" i="1" s="1"/>
  <c r="Z159" i="1"/>
  <c r="AI159" i="1" s="1"/>
  <c r="Z168" i="1"/>
  <c r="AI168" i="1" s="1"/>
  <c r="Z152" i="1"/>
  <c r="AI152" i="1" s="1"/>
  <c r="Z194" i="1"/>
  <c r="AI194" i="1" s="1"/>
  <c r="Z175" i="1"/>
  <c r="AI175" i="1" s="1"/>
  <c r="Z213" i="1"/>
  <c r="AI213" i="1" s="1"/>
  <c r="H2" i="29"/>
  <c r="C66" i="2" l="1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G48" i="2" s="1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50" i="2"/>
  <c r="G83" i="2" s="1"/>
  <c r="AD38" i="2" l="1"/>
  <c r="S44" i="2"/>
  <c r="S38" i="2"/>
  <c r="B84" i="2"/>
  <c r="U83" i="2"/>
  <c r="U68" i="2"/>
  <c r="U53" i="2"/>
  <c r="D84" i="2" s="1"/>
  <c r="B20" i="50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J144" i="1"/>
  <c r="W144" i="1" s="1"/>
  <c r="J143" i="1"/>
  <c r="W143" i="1" s="1"/>
  <c r="J142" i="1"/>
  <c r="W142" i="1" s="1"/>
  <c r="J141" i="1"/>
  <c r="W141" i="1" s="1"/>
  <c r="J140" i="1"/>
  <c r="W140" i="1" s="1"/>
  <c r="J139" i="1"/>
  <c r="W139" i="1" s="1"/>
  <c r="J138" i="1"/>
  <c r="W138" i="1" s="1"/>
  <c r="J137" i="1"/>
  <c r="W137" i="1" s="1"/>
  <c r="J136" i="1"/>
  <c r="W136" i="1" s="1"/>
  <c r="J135" i="1"/>
  <c r="W135" i="1" s="1"/>
  <c r="J134" i="1"/>
  <c r="W134" i="1" s="1"/>
  <c r="J133" i="1"/>
  <c r="W133" i="1" s="1"/>
  <c r="J132" i="1"/>
  <c r="W132" i="1" s="1"/>
  <c r="J131" i="1"/>
  <c r="W131" i="1" s="1"/>
  <c r="J130" i="1"/>
  <c r="W130" i="1" s="1"/>
  <c r="J129" i="1"/>
  <c r="W129" i="1" s="1"/>
  <c r="J128" i="1"/>
  <c r="W128" i="1" s="1"/>
  <c r="J127" i="1"/>
  <c r="W127" i="1" s="1"/>
  <c r="J126" i="1"/>
  <c r="W126" i="1" s="1"/>
  <c r="J125" i="1"/>
  <c r="W125" i="1" s="1"/>
  <c r="J124" i="1"/>
  <c r="W124" i="1" s="1"/>
  <c r="J123" i="1"/>
  <c r="W123" i="1" s="1"/>
  <c r="J122" i="1"/>
  <c r="W122" i="1" s="1"/>
  <c r="J121" i="1"/>
  <c r="W121" i="1" s="1"/>
  <c r="J120" i="1"/>
  <c r="W120" i="1" s="1"/>
  <c r="J119" i="1"/>
  <c r="W119" i="1" s="1"/>
  <c r="J118" i="1"/>
  <c r="W118" i="1" s="1"/>
  <c r="J117" i="1"/>
  <c r="W117" i="1" s="1"/>
  <c r="J116" i="1"/>
  <c r="W116" i="1" s="1"/>
  <c r="J115" i="1"/>
  <c r="W115" i="1" s="1"/>
  <c r="J114" i="1"/>
  <c r="W114" i="1" s="1"/>
  <c r="J113" i="1"/>
  <c r="W113" i="1" s="1"/>
  <c r="J112" i="1"/>
  <c r="W112" i="1" s="1"/>
  <c r="J111" i="1"/>
  <c r="W111" i="1" s="1"/>
  <c r="J110" i="1"/>
  <c r="W110" i="1" s="1"/>
  <c r="J109" i="1"/>
  <c r="W109" i="1" s="1"/>
  <c r="J108" i="1"/>
  <c r="W108" i="1" s="1"/>
  <c r="J107" i="1"/>
  <c r="W107" i="1" s="1"/>
  <c r="J106" i="1"/>
  <c r="W106" i="1" s="1"/>
  <c r="J105" i="1"/>
  <c r="W105" i="1" s="1"/>
  <c r="J104" i="1"/>
  <c r="W104" i="1" s="1"/>
  <c r="J103" i="1"/>
  <c r="W103" i="1" s="1"/>
  <c r="J102" i="1"/>
  <c r="J101" i="1"/>
  <c r="J100" i="1"/>
  <c r="J99" i="1"/>
  <c r="J98" i="1"/>
  <c r="J97" i="1"/>
  <c r="W97" i="1" s="1"/>
  <c r="J96" i="1"/>
  <c r="J95" i="1"/>
  <c r="J94" i="1"/>
  <c r="J93" i="1"/>
  <c r="J92" i="1"/>
  <c r="J91" i="1"/>
  <c r="J90" i="1"/>
  <c r="J89" i="1"/>
  <c r="W89" i="1" s="1"/>
  <c r="J88" i="1"/>
  <c r="J87" i="1"/>
  <c r="J86" i="1"/>
  <c r="J85" i="1"/>
  <c r="J84" i="1"/>
  <c r="J83" i="1"/>
  <c r="W83" i="1" s="1"/>
  <c r="J82" i="1"/>
  <c r="J81" i="1"/>
  <c r="W81" i="1" s="1"/>
  <c r="J80" i="1"/>
  <c r="W80" i="1" s="1"/>
  <c r="J79" i="1"/>
  <c r="J78" i="1"/>
  <c r="J77" i="1"/>
  <c r="J76" i="1"/>
  <c r="J75" i="1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J6" i="1"/>
  <c r="L144" i="1"/>
  <c r="C144" i="1"/>
  <c r="L143" i="1"/>
  <c r="C143" i="1"/>
  <c r="L142" i="1"/>
  <c r="C142" i="1"/>
  <c r="L141" i="1"/>
  <c r="C141" i="1"/>
  <c r="L140" i="1"/>
  <c r="C140" i="1"/>
  <c r="L139" i="1"/>
  <c r="C139" i="1"/>
  <c r="L138" i="1"/>
  <c r="C138" i="1"/>
  <c r="L137" i="1"/>
  <c r="C137" i="1"/>
  <c r="L136" i="1"/>
  <c r="C136" i="1"/>
  <c r="L135" i="1"/>
  <c r="C135" i="1"/>
  <c r="L134" i="1"/>
  <c r="C134" i="1"/>
  <c r="L133" i="1"/>
  <c r="C133" i="1"/>
  <c r="L132" i="1"/>
  <c r="C132" i="1"/>
  <c r="L131" i="1"/>
  <c r="C131" i="1"/>
  <c r="L130" i="1"/>
  <c r="C130" i="1"/>
  <c r="L129" i="1"/>
  <c r="C129" i="1"/>
  <c r="L128" i="1"/>
  <c r="C128" i="1"/>
  <c r="L127" i="1"/>
  <c r="C127" i="1"/>
  <c r="L126" i="1"/>
  <c r="C126" i="1"/>
  <c r="L125" i="1"/>
  <c r="C125" i="1"/>
  <c r="L124" i="1"/>
  <c r="C124" i="1"/>
  <c r="L123" i="1"/>
  <c r="C123" i="1"/>
  <c r="L122" i="1"/>
  <c r="C122" i="1"/>
  <c r="L121" i="1"/>
  <c r="C121" i="1"/>
  <c r="L120" i="1"/>
  <c r="C120" i="1"/>
  <c r="L119" i="1"/>
  <c r="C119" i="1"/>
  <c r="L118" i="1"/>
  <c r="C118" i="1"/>
  <c r="L117" i="1"/>
  <c r="C117" i="1"/>
  <c r="L116" i="1"/>
  <c r="C116" i="1"/>
  <c r="L115" i="1"/>
  <c r="C115" i="1"/>
  <c r="L114" i="1"/>
  <c r="C114" i="1"/>
  <c r="L113" i="1"/>
  <c r="C113" i="1"/>
  <c r="L112" i="1"/>
  <c r="C112" i="1"/>
  <c r="L111" i="1"/>
  <c r="C111" i="1"/>
  <c r="L110" i="1"/>
  <c r="C110" i="1"/>
  <c r="L109" i="1"/>
  <c r="C109" i="1"/>
  <c r="L108" i="1"/>
  <c r="C108" i="1"/>
  <c r="L107" i="1"/>
  <c r="C107" i="1"/>
  <c r="L106" i="1"/>
  <c r="C106" i="1"/>
  <c r="L105" i="1"/>
  <c r="C105" i="1"/>
  <c r="L104" i="1"/>
  <c r="C104" i="1"/>
  <c r="L103" i="1"/>
  <c r="C103" i="1"/>
  <c r="L102" i="1"/>
  <c r="C102" i="1"/>
  <c r="L101" i="1"/>
  <c r="C101" i="1"/>
  <c r="L100" i="1"/>
  <c r="C100" i="1"/>
  <c r="L99" i="1"/>
  <c r="C99" i="1"/>
  <c r="L98" i="1"/>
  <c r="C98" i="1"/>
  <c r="L97" i="1"/>
  <c r="C97" i="1"/>
  <c r="L96" i="1"/>
  <c r="C96" i="1"/>
  <c r="L95" i="1"/>
  <c r="C95" i="1"/>
  <c r="L94" i="1"/>
  <c r="C94" i="1"/>
  <c r="L93" i="1"/>
  <c r="C93" i="1"/>
  <c r="L92" i="1"/>
  <c r="C92" i="1"/>
  <c r="L91" i="1"/>
  <c r="C91" i="1"/>
  <c r="M90" i="1"/>
  <c r="C90" i="1"/>
  <c r="L89" i="1"/>
  <c r="M89" i="1" s="1"/>
  <c r="C89" i="1"/>
  <c r="L88" i="1"/>
  <c r="C88" i="1"/>
  <c r="L87" i="1"/>
  <c r="C87" i="1"/>
  <c r="L86" i="1"/>
  <c r="C86" i="1"/>
  <c r="L85" i="1"/>
  <c r="C85" i="1"/>
  <c r="L84" i="1"/>
  <c r="C84" i="1"/>
  <c r="L83" i="1"/>
  <c r="C83" i="1"/>
  <c r="L82" i="1"/>
  <c r="C82" i="1"/>
  <c r="L81" i="1"/>
  <c r="C81" i="1"/>
  <c r="L80" i="1"/>
  <c r="C80" i="1"/>
  <c r="L79" i="1"/>
  <c r="C79" i="1"/>
  <c r="L78" i="1"/>
  <c r="C78" i="1"/>
  <c r="L77" i="1"/>
  <c r="C77" i="1"/>
  <c r="L76" i="1"/>
  <c r="C76" i="1"/>
  <c r="L75" i="1"/>
  <c r="C75" i="1"/>
  <c r="J5" i="1"/>
  <c r="E3" i="3"/>
  <c r="B3" i="3"/>
  <c r="P85" i="28"/>
  <c r="P83" i="28"/>
  <c r="P14" i="28"/>
  <c r="P11" i="28"/>
  <c r="P253" i="28"/>
  <c r="P252" i="28"/>
  <c r="P251" i="28"/>
  <c r="P250" i="28"/>
  <c r="P249" i="28"/>
  <c r="P248" i="28"/>
  <c r="P247" i="28"/>
  <c r="P246" i="28"/>
  <c r="P245" i="28"/>
  <c r="P244" i="28"/>
  <c r="P243" i="28"/>
  <c r="P242" i="28"/>
  <c r="P241" i="28"/>
  <c r="P240" i="28"/>
  <c r="P239" i="28"/>
  <c r="P238" i="28"/>
  <c r="P237" i="28"/>
  <c r="P236" i="28"/>
  <c r="P235" i="28"/>
  <c r="P234" i="28"/>
  <c r="P219" i="28"/>
  <c r="P218" i="28"/>
  <c r="P217" i="28"/>
  <c r="K267" i="1" s="1"/>
  <c r="P215" i="28"/>
  <c r="K243" i="1" s="1"/>
  <c r="P214" i="28"/>
  <c r="K221" i="1" s="1"/>
  <c r="P213" i="28"/>
  <c r="P211" i="28"/>
  <c r="P210" i="28"/>
  <c r="P209" i="28"/>
  <c r="P208" i="28"/>
  <c r="P207" i="28"/>
  <c r="P206" i="28"/>
  <c r="P205" i="28"/>
  <c r="P204" i="28"/>
  <c r="P203" i="28"/>
  <c r="P202" i="28"/>
  <c r="P201" i="28"/>
  <c r="K343" i="1" s="1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K219" i="1" s="1"/>
  <c r="N219" i="1" s="1"/>
  <c r="P166" i="28"/>
  <c r="K218" i="1" s="1"/>
  <c r="N218" i="1" s="1"/>
  <c r="P165" i="28"/>
  <c r="P163" i="28"/>
  <c r="K193" i="1" s="1"/>
  <c r="P162" i="28"/>
  <c r="P161" i="28"/>
  <c r="K216" i="1" s="1"/>
  <c r="P160" i="28"/>
  <c r="K215" i="1" s="1"/>
  <c r="P159" i="28"/>
  <c r="K214" i="1" s="1"/>
  <c r="P158" i="28"/>
  <c r="K213" i="1" s="1"/>
  <c r="P157" i="28"/>
  <c r="K212" i="1" s="1"/>
  <c r="P156" i="28"/>
  <c r="K211" i="1" s="1"/>
  <c r="P155" i="28"/>
  <c r="K210" i="1" s="1"/>
  <c r="P154" i="28"/>
  <c r="K209" i="1" s="1"/>
  <c r="P153" i="28"/>
  <c r="K208" i="1" s="1"/>
  <c r="P152" i="28"/>
  <c r="K207" i="1" s="1"/>
  <c r="P151" i="28"/>
  <c r="K206" i="1" s="1"/>
  <c r="P150" i="28"/>
  <c r="K205" i="1" s="1"/>
  <c r="P149" i="28"/>
  <c r="K204" i="1" s="1"/>
  <c r="P148" i="28"/>
  <c r="P147" i="28"/>
  <c r="P146" i="28"/>
  <c r="P145" i="28"/>
  <c r="K200" i="1" s="1"/>
  <c r="P144" i="28"/>
  <c r="K199" i="1" s="1"/>
  <c r="P143" i="28"/>
  <c r="P142" i="28"/>
  <c r="K197" i="1" s="1"/>
  <c r="P141" i="28"/>
  <c r="K196" i="1" s="1"/>
  <c r="P140" i="28"/>
  <c r="K195" i="1" s="1"/>
  <c r="P139" i="28"/>
  <c r="K194" i="1" s="1"/>
  <c r="P138" i="28"/>
  <c r="P137" i="28"/>
  <c r="K190" i="1" s="1"/>
  <c r="P136" i="28"/>
  <c r="P135" i="28"/>
  <c r="K188" i="1" s="1"/>
  <c r="P134" i="28"/>
  <c r="K187" i="1" s="1"/>
  <c r="P133" i="28"/>
  <c r="K186" i="1" s="1"/>
  <c r="P132" i="28"/>
  <c r="K185" i="1" s="1"/>
  <c r="P131" i="28"/>
  <c r="K184" i="1" s="1"/>
  <c r="P130" i="28"/>
  <c r="K183" i="1" s="1"/>
  <c r="P129" i="28"/>
  <c r="P128" i="28"/>
  <c r="P127" i="28"/>
  <c r="K180" i="1" s="1"/>
  <c r="P126" i="28"/>
  <c r="K179" i="1" s="1"/>
  <c r="P125" i="28"/>
  <c r="K178" i="1" s="1"/>
  <c r="P124" i="28"/>
  <c r="K177" i="1" s="1"/>
  <c r="P123" i="28"/>
  <c r="P122" i="28"/>
  <c r="P121" i="28"/>
  <c r="P120" i="28"/>
  <c r="P119" i="28"/>
  <c r="K172" i="1" s="1"/>
  <c r="P118" i="28"/>
  <c r="K171" i="1" s="1"/>
  <c r="P117" i="28"/>
  <c r="P116" i="28"/>
  <c r="K169" i="1" s="1"/>
  <c r="P115" i="28"/>
  <c r="P114" i="28"/>
  <c r="K167" i="1" s="1"/>
  <c r="P113" i="28"/>
  <c r="K166" i="1" s="1"/>
  <c r="P112" i="28"/>
  <c r="P111" i="28"/>
  <c r="P110" i="28"/>
  <c r="P109" i="28"/>
  <c r="P108" i="28"/>
  <c r="K90" i="1" s="1"/>
  <c r="P107" i="28"/>
  <c r="P106" i="28"/>
  <c r="P105" i="28"/>
  <c r="P104" i="28"/>
  <c r="K157" i="1" s="1"/>
  <c r="P103" i="28"/>
  <c r="K158" i="1" s="1"/>
  <c r="P102" i="28"/>
  <c r="P101" i="28"/>
  <c r="P100" i="28"/>
  <c r="K151" i="1" s="1"/>
  <c r="P99" i="28"/>
  <c r="K150" i="1" s="1"/>
  <c r="P98" i="28"/>
  <c r="K153" i="1" s="1"/>
  <c r="P97" i="28"/>
  <c r="K152" i="1" s="1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P78" i="28"/>
  <c r="P77" i="28"/>
  <c r="K142" i="1" s="1"/>
  <c r="P76" i="28"/>
  <c r="P75" i="28"/>
  <c r="K140" i="1" s="1"/>
  <c r="P74" i="28"/>
  <c r="K139" i="1" s="1"/>
  <c r="P73" i="28"/>
  <c r="P72" i="28"/>
  <c r="P71" i="28"/>
  <c r="P70" i="28"/>
  <c r="P69" i="28"/>
  <c r="P68" i="28"/>
  <c r="P67" i="28"/>
  <c r="P66" i="28"/>
  <c r="P65" i="28"/>
  <c r="K130" i="1" s="1"/>
  <c r="P64" i="28"/>
  <c r="K129" i="1" s="1"/>
  <c r="P63" i="28"/>
  <c r="K58" i="1" s="1"/>
  <c r="P62" i="28"/>
  <c r="K127" i="1" s="1"/>
  <c r="P61" i="28"/>
  <c r="P60" i="28"/>
  <c r="P59" i="28"/>
  <c r="P58" i="28"/>
  <c r="P57" i="28"/>
  <c r="P56" i="28"/>
  <c r="P55" i="28"/>
  <c r="P54" i="28"/>
  <c r="P53" i="28"/>
  <c r="P52" i="28"/>
  <c r="P51" i="28"/>
  <c r="K116" i="1" s="1"/>
  <c r="P50" i="28"/>
  <c r="K115" i="1" s="1"/>
  <c r="P49" i="28"/>
  <c r="P48" i="28"/>
  <c r="P47" i="28"/>
  <c r="P46" i="28"/>
  <c r="P45" i="28"/>
  <c r="P44" i="28"/>
  <c r="P43" i="28"/>
  <c r="P42" i="28"/>
  <c r="P41" i="28"/>
  <c r="K106" i="1" s="1"/>
  <c r="P40" i="28"/>
  <c r="P39" i="28"/>
  <c r="K104" i="1" s="1"/>
  <c r="P38" i="28"/>
  <c r="K103" i="1" s="1"/>
  <c r="P37" i="28"/>
  <c r="P36" i="28"/>
  <c r="P35" i="28"/>
  <c r="P34" i="28"/>
  <c r="P33" i="28"/>
  <c r="P32" i="28"/>
  <c r="P31" i="28"/>
  <c r="P30" i="28"/>
  <c r="P29" i="28"/>
  <c r="P28" i="28"/>
  <c r="P27" i="28"/>
  <c r="K92" i="1" s="1"/>
  <c r="P26" i="28"/>
  <c r="K91" i="1" s="1"/>
  <c r="P25" i="28"/>
  <c r="P24" i="28"/>
  <c r="P23" i="28"/>
  <c r="P22" i="28"/>
  <c r="P21" i="28"/>
  <c r="P20" i="28"/>
  <c r="P19" i="28"/>
  <c r="P18" i="28"/>
  <c r="P17" i="28"/>
  <c r="K82" i="1" s="1"/>
  <c r="P16" i="28"/>
  <c r="K81" i="1" s="1"/>
  <c r="P15" i="28"/>
  <c r="P13" i="28"/>
  <c r="P12" i="28"/>
  <c r="P10" i="28"/>
  <c r="K352" i="1" l="1"/>
  <c r="K303" i="1"/>
  <c r="K280" i="1"/>
  <c r="R343" i="1"/>
  <c r="T343" i="1" s="1"/>
  <c r="O343" i="1"/>
  <c r="N343" i="1"/>
  <c r="X343" i="1"/>
  <c r="AG343" i="1" s="1"/>
  <c r="AA307" i="1"/>
  <c r="AJ307" i="1" s="1"/>
  <c r="X307" i="1"/>
  <c r="AG307" i="1" s="1"/>
  <c r="N267" i="1"/>
  <c r="AA267" i="1" s="1"/>
  <c r="AJ267" i="1" s="1"/>
  <c r="X267" i="1"/>
  <c r="AG267" i="1" s="1"/>
  <c r="K141" i="1"/>
  <c r="X141" i="1" s="1"/>
  <c r="AG141" i="1" s="1"/>
  <c r="K93" i="1"/>
  <c r="X93" i="1" s="1"/>
  <c r="AG93" i="1" s="1"/>
  <c r="K250" i="1"/>
  <c r="K131" i="1"/>
  <c r="X131" i="1" s="1"/>
  <c r="AG131" i="1" s="1"/>
  <c r="K143" i="1"/>
  <c r="X143" i="1" s="1"/>
  <c r="AG143" i="1" s="1"/>
  <c r="X221" i="1"/>
  <c r="AG221" i="1" s="1"/>
  <c r="N221" i="1"/>
  <c r="AA221" i="1" s="1"/>
  <c r="AJ221" i="1" s="1"/>
  <c r="K160" i="1"/>
  <c r="X160" i="1" s="1"/>
  <c r="AG160" i="1" s="1"/>
  <c r="X243" i="1"/>
  <c r="AG243" i="1" s="1"/>
  <c r="N243" i="1"/>
  <c r="AA243" i="1" s="1"/>
  <c r="AJ243" i="1" s="1"/>
  <c r="K117" i="1"/>
  <c r="X117" i="1" s="1"/>
  <c r="AG117" i="1" s="1"/>
  <c r="AD43" i="2"/>
  <c r="R27" i="21" s="1"/>
  <c r="S39" i="2"/>
  <c r="K88" i="1"/>
  <c r="X88" i="1" s="1"/>
  <c r="AG88" i="1" s="1"/>
  <c r="K189" i="1"/>
  <c r="X189" i="1" s="1"/>
  <c r="AG189" i="1" s="1"/>
  <c r="K264" i="1"/>
  <c r="K203" i="1"/>
  <c r="X203" i="1" s="1"/>
  <c r="AG203" i="1" s="1"/>
  <c r="K278" i="1"/>
  <c r="K289" i="1"/>
  <c r="K119" i="1"/>
  <c r="X119" i="1" s="1"/>
  <c r="AG119" i="1" s="1"/>
  <c r="K84" i="1"/>
  <c r="X84" i="1" s="1"/>
  <c r="AG84" i="1" s="1"/>
  <c r="K120" i="1"/>
  <c r="X120" i="1" s="1"/>
  <c r="AG120" i="1" s="1"/>
  <c r="K182" i="1"/>
  <c r="X182" i="1" s="1"/>
  <c r="AG182" i="1" s="1"/>
  <c r="K260" i="1"/>
  <c r="K255" i="1"/>
  <c r="K272" i="1"/>
  <c r="K85" i="1"/>
  <c r="X85" i="1" s="1"/>
  <c r="AG85" i="1" s="1"/>
  <c r="K97" i="1"/>
  <c r="X97" i="1" s="1"/>
  <c r="AG97" i="1" s="1"/>
  <c r="K109" i="1"/>
  <c r="X109" i="1" s="1"/>
  <c r="AG109" i="1" s="1"/>
  <c r="K121" i="1"/>
  <c r="X121" i="1" s="1"/>
  <c r="AG121" i="1" s="1"/>
  <c r="K133" i="1"/>
  <c r="X133" i="1" s="1"/>
  <c r="AG133" i="1" s="1"/>
  <c r="K232" i="1"/>
  <c r="K256" i="1"/>
  <c r="O256" i="1" s="1"/>
  <c r="K274" i="1"/>
  <c r="K236" i="1"/>
  <c r="K245" i="1"/>
  <c r="K263" i="1"/>
  <c r="K80" i="1"/>
  <c r="X80" i="1" s="1"/>
  <c r="AG80" i="1" s="1"/>
  <c r="K234" i="1"/>
  <c r="K237" i="1"/>
  <c r="K265" i="1"/>
  <c r="K192" i="1"/>
  <c r="X192" i="1" s="1"/>
  <c r="AG192" i="1" s="1"/>
  <c r="K268" i="1"/>
  <c r="K247" i="1"/>
  <c r="K269" i="1"/>
  <c r="K94" i="1"/>
  <c r="X94" i="1" s="1"/>
  <c r="AG94" i="1" s="1"/>
  <c r="K248" i="1"/>
  <c r="K270" i="1"/>
  <c r="K95" i="1"/>
  <c r="X95" i="1" s="1"/>
  <c r="AG95" i="1" s="1"/>
  <c r="K181" i="1"/>
  <c r="N181" i="1" s="1"/>
  <c r="AA181" i="1" s="1"/>
  <c r="AJ181" i="1" s="1"/>
  <c r="K259" i="1"/>
  <c r="K254" i="1"/>
  <c r="K271" i="1"/>
  <c r="K257" i="1"/>
  <c r="K87" i="1"/>
  <c r="X87" i="1" s="1"/>
  <c r="AG87" i="1" s="1"/>
  <c r="K99" i="1"/>
  <c r="X99" i="1" s="1"/>
  <c r="AG99" i="1" s="1"/>
  <c r="K123" i="1"/>
  <c r="X123" i="1" s="1"/>
  <c r="AG123" i="1" s="1"/>
  <c r="K135" i="1"/>
  <c r="X135" i="1" s="1"/>
  <c r="AG135" i="1" s="1"/>
  <c r="K173" i="1"/>
  <c r="X173" i="1" s="1"/>
  <c r="AG173" i="1" s="1"/>
  <c r="K251" i="1"/>
  <c r="K258" i="1"/>
  <c r="K284" i="1"/>
  <c r="K136" i="1"/>
  <c r="X136" i="1" s="1"/>
  <c r="AG136" i="1" s="1"/>
  <c r="K285" i="1"/>
  <c r="K222" i="1"/>
  <c r="K89" i="1"/>
  <c r="X89" i="1" s="1"/>
  <c r="AG89" i="1" s="1"/>
  <c r="K101" i="1"/>
  <c r="X101" i="1" s="1"/>
  <c r="AG101" i="1" s="1"/>
  <c r="K113" i="1"/>
  <c r="X113" i="1" s="1"/>
  <c r="AG113" i="1" s="1"/>
  <c r="K137" i="1"/>
  <c r="X137" i="1" s="1"/>
  <c r="AG137" i="1" s="1"/>
  <c r="K165" i="1"/>
  <c r="N165" i="1" s="1"/>
  <c r="AA165" i="1" s="1"/>
  <c r="AJ165" i="1" s="1"/>
  <c r="K175" i="1"/>
  <c r="X175" i="1" s="1"/>
  <c r="AG175" i="1" s="1"/>
  <c r="K253" i="1"/>
  <c r="K201" i="1"/>
  <c r="X201" i="1" s="1"/>
  <c r="AG201" i="1" s="1"/>
  <c r="K276" i="1"/>
  <c r="K229" i="1"/>
  <c r="K262" i="1"/>
  <c r="K286" i="1"/>
  <c r="K225" i="1"/>
  <c r="K288" i="1"/>
  <c r="K191" i="1"/>
  <c r="X191" i="1" s="1"/>
  <c r="AG191" i="1" s="1"/>
  <c r="K266" i="1"/>
  <c r="K290" i="1"/>
  <c r="K118" i="1"/>
  <c r="X118" i="1" s="1"/>
  <c r="AG118" i="1" s="1"/>
  <c r="K168" i="1"/>
  <c r="X168" i="1" s="1"/>
  <c r="AG168" i="1" s="1"/>
  <c r="K239" i="1"/>
  <c r="K83" i="1"/>
  <c r="X83" i="1" s="1"/>
  <c r="AG83" i="1" s="1"/>
  <c r="K96" i="1"/>
  <c r="X96" i="1" s="1"/>
  <c r="AG96" i="1" s="1"/>
  <c r="K132" i="1"/>
  <c r="X132" i="1" s="1"/>
  <c r="AG132" i="1" s="1"/>
  <c r="K144" i="1"/>
  <c r="X144" i="1" s="1"/>
  <c r="AG144" i="1" s="1"/>
  <c r="K86" i="1"/>
  <c r="X86" i="1" s="1"/>
  <c r="AG86" i="1" s="1"/>
  <c r="K98" i="1"/>
  <c r="X98" i="1" s="1"/>
  <c r="AG98" i="1" s="1"/>
  <c r="K110" i="1"/>
  <c r="X110" i="1" s="1"/>
  <c r="AG110" i="1" s="1"/>
  <c r="K122" i="1"/>
  <c r="X122" i="1" s="1"/>
  <c r="AG122" i="1" s="1"/>
  <c r="K134" i="1"/>
  <c r="X134" i="1" s="1"/>
  <c r="AG134" i="1" s="1"/>
  <c r="K198" i="1"/>
  <c r="X198" i="1" s="1"/>
  <c r="AG198" i="1" s="1"/>
  <c r="K273" i="1"/>
  <c r="K275" i="1"/>
  <c r="K111" i="1"/>
  <c r="X111" i="1" s="1"/>
  <c r="AG111" i="1" s="1"/>
  <c r="K242" i="1"/>
  <c r="K223" i="1"/>
  <c r="K174" i="1"/>
  <c r="N174" i="1" s="1"/>
  <c r="AA174" i="1" s="1"/>
  <c r="AJ174" i="1" s="1"/>
  <c r="K252" i="1"/>
  <c r="K261" i="1"/>
  <c r="K224" i="1"/>
  <c r="K102" i="1"/>
  <c r="X102" i="1" s="1"/>
  <c r="AG102" i="1" s="1"/>
  <c r="K114" i="1"/>
  <c r="X114" i="1" s="1"/>
  <c r="AG114" i="1" s="1"/>
  <c r="K138" i="1"/>
  <c r="X138" i="1" s="1"/>
  <c r="AG138" i="1" s="1"/>
  <c r="K164" i="1"/>
  <c r="N164" i="1" s="1"/>
  <c r="AA164" i="1" s="1"/>
  <c r="AJ164" i="1" s="1"/>
  <c r="K240" i="1"/>
  <c r="K202" i="1"/>
  <c r="X202" i="1" s="1"/>
  <c r="AG202" i="1" s="1"/>
  <c r="K277" i="1"/>
  <c r="K235" i="1"/>
  <c r="K287" i="1"/>
  <c r="K246" i="1"/>
  <c r="K244" i="1"/>
  <c r="K249" i="1"/>
  <c r="K233" i="1"/>
  <c r="K231" i="1"/>
  <c r="K230" i="1"/>
  <c r="K238" i="1"/>
  <c r="K228" i="1"/>
  <c r="K227" i="1"/>
  <c r="K226" i="1"/>
  <c r="K75" i="1"/>
  <c r="X75" i="1" s="1"/>
  <c r="AG75" i="1" s="1"/>
  <c r="K146" i="1"/>
  <c r="K77" i="1"/>
  <c r="X77" i="1" s="1"/>
  <c r="AG77" i="1" s="1"/>
  <c r="K148" i="1"/>
  <c r="K78" i="1"/>
  <c r="X78" i="1" s="1"/>
  <c r="AG78" i="1" s="1"/>
  <c r="K149" i="1"/>
  <c r="K155" i="1"/>
  <c r="N155" i="1" s="1"/>
  <c r="AA155" i="1" s="1"/>
  <c r="AJ155" i="1" s="1"/>
  <c r="K154" i="1"/>
  <c r="X166" i="1"/>
  <c r="AG166" i="1" s="1"/>
  <c r="N166" i="1"/>
  <c r="AA166" i="1" s="1"/>
  <c r="AJ166" i="1" s="1"/>
  <c r="K176" i="1"/>
  <c r="N176" i="1" s="1"/>
  <c r="AA176" i="1" s="1"/>
  <c r="AJ176" i="1" s="1"/>
  <c r="K105" i="1"/>
  <c r="X105" i="1" s="1"/>
  <c r="AG105" i="1" s="1"/>
  <c r="X204" i="1"/>
  <c r="AG204" i="1" s="1"/>
  <c r="N204" i="1"/>
  <c r="AA204" i="1" s="1"/>
  <c r="AJ204" i="1" s="1"/>
  <c r="X205" i="1"/>
  <c r="AG205" i="1" s="1"/>
  <c r="N205" i="1"/>
  <c r="AA205" i="1" s="1"/>
  <c r="AJ205" i="1" s="1"/>
  <c r="X206" i="1"/>
  <c r="AG206" i="1" s="1"/>
  <c r="N206" i="1"/>
  <c r="AA206" i="1" s="1"/>
  <c r="AJ206" i="1" s="1"/>
  <c r="X207" i="1"/>
  <c r="AG207" i="1" s="1"/>
  <c r="N207" i="1"/>
  <c r="AA207" i="1" s="1"/>
  <c r="AJ207" i="1" s="1"/>
  <c r="X208" i="1"/>
  <c r="AG208" i="1" s="1"/>
  <c r="N208" i="1"/>
  <c r="AA208" i="1" s="1"/>
  <c r="AJ208" i="1" s="1"/>
  <c r="X209" i="1"/>
  <c r="AG209" i="1" s="1"/>
  <c r="N209" i="1"/>
  <c r="AA209" i="1" s="1"/>
  <c r="AJ209" i="1" s="1"/>
  <c r="X210" i="1"/>
  <c r="AG210" i="1" s="1"/>
  <c r="N210" i="1"/>
  <c r="AA210" i="1" s="1"/>
  <c r="AJ210" i="1" s="1"/>
  <c r="N211" i="1"/>
  <c r="AA211" i="1" s="1"/>
  <c r="AJ211" i="1" s="1"/>
  <c r="X211" i="1"/>
  <c r="AG211" i="1" s="1"/>
  <c r="X212" i="1"/>
  <c r="AG212" i="1" s="1"/>
  <c r="N212" i="1"/>
  <c r="AA212" i="1" s="1"/>
  <c r="AJ212" i="1" s="1"/>
  <c r="X213" i="1"/>
  <c r="AG213" i="1" s="1"/>
  <c r="N213" i="1"/>
  <c r="AA213" i="1" s="1"/>
  <c r="AJ213" i="1" s="1"/>
  <c r="X214" i="1"/>
  <c r="AG214" i="1" s="1"/>
  <c r="N214" i="1"/>
  <c r="AA214" i="1" s="1"/>
  <c r="AJ214" i="1" s="1"/>
  <c r="X215" i="1"/>
  <c r="AG215" i="1" s="1"/>
  <c r="N215" i="1"/>
  <c r="AA215" i="1" s="1"/>
  <c r="AJ215" i="1" s="1"/>
  <c r="X216" i="1"/>
  <c r="AG216" i="1" s="1"/>
  <c r="N216" i="1"/>
  <c r="AA216" i="1" s="1"/>
  <c r="AJ216" i="1" s="1"/>
  <c r="X193" i="1"/>
  <c r="AG193" i="1" s="1"/>
  <c r="N193" i="1"/>
  <c r="AA193" i="1" s="1"/>
  <c r="AJ193" i="1" s="1"/>
  <c r="K76" i="1"/>
  <c r="X76" i="1" s="1"/>
  <c r="AG76" i="1" s="1"/>
  <c r="K147" i="1"/>
  <c r="K79" i="1"/>
  <c r="X79" i="1" s="1"/>
  <c r="AG79" i="1" s="1"/>
  <c r="K100" i="1"/>
  <c r="X100" i="1" s="1"/>
  <c r="AG100" i="1" s="1"/>
  <c r="K108" i="1"/>
  <c r="X108" i="1" s="1"/>
  <c r="AG108" i="1" s="1"/>
  <c r="K126" i="1"/>
  <c r="X126" i="1" s="1"/>
  <c r="AG126" i="1" s="1"/>
  <c r="K125" i="1"/>
  <c r="X125" i="1" s="1"/>
  <c r="AG125" i="1" s="1"/>
  <c r="X195" i="1"/>
  <c r="AG195" i="1" s="1"/>
  <c r="N195" i="1"/>
  <c r="AA195" i="1" s="1"/>
  <c r="AJ195" i="1" s="1"/>
  <c r="K124" i="1"/>
  <c r="X124" i="1" s="1"/>
  <c r="AG124" i="1" s="1"/>
  <c r="K112" i="1"/>
  <c r="X112" i="1" s="1"/>
  <c r="AG112" i="1" s="1"/>
  <c r="K107" i="1"/>
  <c r="X107" i="1" s="1"/>
  <c r="AG107" i="1" s="1"/>
  <c r="X171" i="1"/>
  <c r="AG171" i="1" s="1"/>
  <c r="N171" i="1"/>
  <c r="AA171" i="1" s="1"/>
  <c r="AJ171" i="1" s="1"/>
  <c r="X199" i="1"/>
  <c r="AG199" i="1" s="1"/>
  <c r="N199" i="1"/>
  <c r="AA199" i="1" s="1"/>
  <c r="AJ199" i="1" s="1"/>
  <c r="Y84" i="1"/>
  <c r="AH84" i="1" s="1"/>
  <c r="N200" i="1"/>
  <c r="AA200" i="1" s="1"/>
  <c r="AJ200" i="1" s="1"/>
  <c r="X200" i="1"/>
  <c r="AG200" i="1" s="1"/>
  <c r="X187" i="1"/>
  <c r="AG187" i="1" s="1"/>
  <c r="N187" i="1"/>
  <c r="AA187" i="1" s="1"/>
  <c r="AJ187" i="1" s="1"/>
  <c r="X183" i="1"/>
  <c r="AG183" i="1" s="1"/>
  <c r="N183" i="1"/>
  <c r="AA183" i="1" s="1"/>
  <c r="AJ183" i="1" s="1"/>
  <c r="K163" i="1"/>
  <c r="X163" i="1" s="1"/>
  <c r="AG163" i="1" s="1"/>
  <c r="K162" i="1"/>
  <c r="X162" i="1" s="1"/>
  <c r="AG162" i="1" s="1"/>
  <c r="K159" i="1"/>
  <c r="X157" i="1"/>
  <c r="AG157" i="1" s="1"/>
  <c r="N157" i="1"/>
  <c r="AA157" i="1" s="1"/>
  <c r="AJ157" i="1" s="1"/>
  <c r="K156" i="1"/>
  <c r="X156" i="1" s="1"/>
  <c r="AG156" i="1" s="1"/>
  <c r="K161" i="1"/>
  <c r="N161" i="1" s="1"/>
  <c r="AA161" i="1" s="1"/>
  <c r="AJ161" i="1" s="1"/>
  <c r="X150" i="1"/>
  <c r="AG150" i="1" s="1"/>
  <c r="N150" i="1"/>
  <c r="AA150" i="1" s="1"/>
  <c r="AJ150" i="1" s="1"/>
  <c r="X197" i="1"/>
  <c r="AG197" i="1" s="1"/>
  <c r="N197" i="1"/>
  <c r="AA197" i="1" s="1"/>
  <c r="AJ197" i="1" s="1"/>
  <c r="X196" i="1"/>
  <c r="AG196" i="1" s="1"/>
  <c r="N196" i="1"/>
  <c r="AA196" i="1" s="1"/>
  <c r="AJ196" i="1" s="1"/>
  <c r="X194" i="1"/>
  <c r="AG194" i="1" s="1"/>
  <c r="N194" i="1"/>
  <c r="AA194" i="1" s="1"/>
  <c r="AJ194" i="1" s="1"/>
  <c r="X190" i="1"/>
  <c r="AG190" i="1" s="1"/>
  <c r="N190" i="1"/>
  <c r="AA190" i="1" s="1"/>
  <c r="AJ190" i="1" s="1"/>
  <c r="X188" i="1"/>
  <c r="AG188" i="1" s="1"/>
  <c r="N188" i="1"/>
  <c r="AA188" i="1" s="1"/>
  <c r="AJ188" i="1" s="1"/>
  <c r="X186" i="1"/>
  <c r="AG186" i="1" s="1"/>
  <c r="N186" i="1"/>
  <c r="AA186" i="1" s="1"/>
  <c r="AJ186" i="1" s="1"/>
  <c r="X185" i="1"/>
  <c r="AG185" i="1" s="1"/>
  <c r="N185" i="1"/>
  <c r="AA185" i="1" s="1"/>
  <c r="AJ185" i="1" s="1"/>
  <c r="X184" i="1"/>
  <c r="AG184" i="1" s="1"/>
  <c r="N184" i="1"/>
  <c r="AA184" i="1" s="1"/>
  <c r="AJ184" i="1" s="1"/>
  <c r="X180" i="1"/>
  <c r="AG180" i="1" s="1"/>
  <c r="N180" i="1"/>
  <c r="AA180" i="1" s="1"/>
  <c r="AJ180" i="1" s="1"/>
  <c r="X179" i="1"/>
  <c r="AG179" i="1" s="1"/>
  <c r="N179" i="1"/>
  <c r="AA179" i="1" s="1"/>
  <c r="AJ179" i="1" s="1"/>
  <c r="N178" i="1"/>
  <c r="AA178" i="1" s="1"/>
  <c r="AJ178" i="1" s="1"/>
  <c r="X178" i="1"/>
  <c r="AG178" i="1" s="1"/>
  <c r="X177" i="1"/>
  <c r="AG177" i="1" s="1"/>
  <c r="N177" i="1"/>
  <c r="AA177" i="1" s="1"/>
  <c r="AJ177" i="1" s="1"/>
  <c r="X172" i="1"/>
  <c r="AG172" i="1" s="1"/>
  <c r="N172" i="1"/>
  <c r="AA172" i="1" s="1"/>
  <c r="AJ172" i="1" s="1"/>
  <c r="K170" i="1"/>
  <c r="X169" i="1"/>
  <c r="AG169" i="1" s="1"/>
  <c r="N169" i="1"/>
  <c r="AA169" i="1" s="1"/>
  <c r="AJ169" i="1" s="1"/>
  <c r="X167" i="1"/>
  <c r="AG167" i="1" s="1"/>
  <c r="N167" i="1"/>
  <c r="AA167" i="1" s="1"/>
  <c r="AJ167" i="1" s="1"/>
  <c r="N158" i="1"/>
  <c r="AA158" i="1" s="1"/>
  <c r="AJ158" i="1" s="1"/>
  <c r="X158" i="1"/>
  <c r="AG158" i="1" s="1"/>
  <c r="X151" i="1"/>
  <c r="AG151" i="1" s="1"/>
  <c r="N151" i="1"/>
  <c r="AA151" i="1" s="1"/>
  <c r="AJ151" i="1" s="1"/>
  <c r="N153" i="1"/>
  <c r="AA153" i="1" s="1"/>
  <c r="AJ153" i="1" s="1"/>
  <c r="X153" i="1"/>
  <c r="AG153" i="1" s="1"/>
  <c r="X152" i="1"/>
  <c r="AG152" i="1" s="1"/>
  <c r="N152" i="1"/>
  <c r="AA152" i="1" s="1"/>
  <c r="AJ152" i="1" s="1"/>
  <c r="Y75" i="1"/>
  <c r="AH75" i="1" s="1"/>
  <c r="Y88" i="1"/>
  <c r="AH88" i="1" s="1"/>
  <c r="Y87" i="1"/>
  <c r="AH87" i="1" s="1"/>
  <c r="N90" i="1"/>
  <c r="AA90" i="1" s="1"/>
  <c r="AJ90" i="1" s="1"/>
  <c r="K128" i="1"/>
  <c r="Y110" i="1"/>
  <c r="AH110" i="1" s="1"/>
  <c r="Y122" i="1"/>
  <c r="AH122" i="1" s="1"/>
  <c r="Y81" i="1"/>
  <c r="AH81" i="1" s="1"/>
  <c r="Y108" i="1"/>
  <c r="AH108" i="1" s="1"/>
  <c r="Y76" i="1"/>
  <c r="AH76" i="1" s="1"/>
  <c r="Y85" i="1"/>
  <c r="AH85" i="1" s="1"/>
  <c r="Y133" i="1"/>
  <c r="AH133" i="1" s="1"/>
  <c r="Y82" i="1"/>
  <c r="AH82" i="1" s="1"/>
  <c r="Y114" i="1"/>
  <c r="AH114" i="1" s="1"/>
  <c r="Y106" i="1"/>
  <c r="AH106" i="1" s="1"/>
  <c r="Y80" i="1"/>
  <c r="AH80" i="1" s="1"/>
  <c r="Y83" i="1"/>
  <c r="AH83" i="1" s="1"/>
  <c r="Y104" i="1"/>
  <c r="AH104" i="1" s="1"/>
  <c r="Y86" i="1"/>
  <c r="AH86" i="1" s="1"/>
  <c r="Y116" i="1"/>
  <c r="AH116" i="1" s="1"/>
  <c r="Y127" i="1"/>
  <c r="AH127" i="1" s="1"/>
  <c r="Y134" i="1"/>
  <c r="AH134" i="1" s="1"/>
  <c r="Y140" i="1"/>
  <c r="AH140" i="1" s="1"/>
  <c r="Y132" i="1"/>
  <c r="AH132" i="1" s="1"/>
  <c r="Y144" i="1"/>
  <c r="AH144" i="1" s="1"/>
  <c r="Y89" i="1"/>
  <c r="AH89" i="1" s="1"/>
  <c r="Y78" i="1"/>
  <c r="AH78" i="1" s="1"/>
  <c r="Y138" i="1"/>
  <c r="AH138" i="1" s="1"/>
  <c r="Y90" i="1"/>
  <c r="X90" i="1"/>
  <c r="AG90" i="1" s="1"/>
  <c r="Y125" i="1"/>
  <c r="AH125" i="1" s="1"/>
  <c r="Y79" i="1"/>
  <c r="AH79" i="1" s="1"/>
  <c r="Y128" i="1"/>
  <c r="AH128" i="1" s="1"/>
  <c r="Y77" i="1"/>
  <c r="AH77" i="1" s="1"/>
  <c r="Z90" i="1"/>
  <c r="AI90" i="1" s="1"/>
  <c r="Y121" i="1"/>
  <c r="AH121" i="1" s="1"/>
  <c r="M119" i="1"/>
  <c r="Y119" i="1"/>
  <c r="AH119" i="1" s="1"/>
  <c r="M112" i="1"/>
  <c r="Y112" i="1"/>
  <c r="AH112" i="1" s="1"/>
  <c r="X130" i="1"/>
  <c r="AG130" i="1" s="1"/>
  <c r="M93" i="1"/>
  <c r="Y93" i="1"/>
  <c r="AH93" i="1" s="1"/>
  <c r="M99" i="1"/>
  <c r="Y99" i="1"/>
  <c r="AH99" i="1" s="1"/>
  <c r="M91" i="1"/>
  <c r="Y91" i="1"/>
  <c r="AH91" i="1" s="1"/>
  <c r="M94" i="1"/>
  <c r="Y94" i="1"/>
  <c r="AH94" i="1" s="1"/>
  <c r="M97" i="1"/>
  <c r="Y97" i="1"/>
  <c r="AH97" i="1" s="1"/>
  <c r="X103" i="1"/>
  <c r="AG103" i="1" s="1"/>
  <c r="M113" i="1"/>
  <c r="Y113" i="1"/>
  <c r="AH113" i="1" s="1"/>
  <c r="M126" i="1"/>
  <c r="Y126" i="1"/>
  <c r="AH126" i="1" s="1"/>
  <c r="M103" i="1"/>
  <c r="Y103" i="1"/>
  <c r="AH103" i="1" s="1"/>
  <c r="M118" i="1"/>
  <c r="Y118" i="1"/>
  <c r="AH118" i="1" s="1"/>
  <c r="M131" i="1"/>
  <c r="Y131" i="1"/>
  <c r="AH131" i="1" s="1"/>
  <c r="X81" i="1"/>
  <c r="AG81" i="1" s="1"/>
  <c r="M92" i="1"/>
  <c r="Y92" i="1"/>
  <c r="AH92" i="1" s="1"/>
  <c r="M95" i="1"/>
  <c r="Y95" i="1"/>
  <c r="AH95" i="1" s="1"/>
  <c r="M98" i="1"/>
  <c r="Y98" i="1"/>
  <c r="AH98" i="1" s="1"/>
  <c r="M101" i="1"/>
  <c r="Y101" i="1"/>
  <c r="AH101" i="1" s="1"/>
  <c r="X127" i="1"/>
  <c r="AG127" i="1" s="1"/>
  <c r="M142" i="1"/>
  <c r="Y142" i="1"/>
  <c r="AH142" i="1" s="1"/>
  <c r="X104" i="1"/>
  <c r="AG104" i="1" s="1"/>
  <c r="M135" i="1"/>
  <c r="Y135" i="1"/>
  <c r="AH135" i="1" s="1"/>
  <c r="X140" i="1"/>
  <c r="AG140" i="1" s="1"/>
  <c r="M96" i="1"/>
  <c r="Y96" i="1"/>
  <c r="AH96" i="1" s="1"/>
  <c r="M130" i="1"/>
  <c r="Y130" i="1"/>
  <c r="AH130" i="1" s="1"/>
  <c r="X82" i="1"/>
  <c r="AG82" i="1" s="1"/>
  <c r="M107" i="1"/>
  <c r="Y107" i="1"/>
  <c r="AH107" i="1" s="1"/>
  <c r="X115" i="1"/>
  <c r="AG115" i="1" s="1"/>
  <c r="M143" i="1"/>
  <c r="Y143" i="1"/>
  <c r="AH143" i="1" s="1"/>
  <c r="M115" i="1"/>
  <c r="Y115" i="1"/>
  <c r="AH115" i="1" s="1"/>
  <c r="M120" i="1"/>
  <c r="Y120" i="1"/>
  <c r="AH120" i="1" s="1"/>
  <c r="M123" i="1"/>
  <c r="Y123" i="1"/>
  <c r="AH123" i="1" s="1"/>
  <c r="M136" i="1"/>
  <c r="Y136" i="1"/>
  <c r="AH136" i="1" s="1"/>
  <c r="X91" i="1"/>
  <c r="AG91" i="1" s="1"/>
  <c r="M105" i="1"/>
  <c r="Y105" i="1"/>
  <c r="AH105" i="1" s="1"/>
  <c r="M141" i="1"/>
  <c r="Y141" i="1"/>
  <c r="AH141" i="1" s="1"/>
  <c r="M109" i="1"/>
  <c r="Y109" i="1"/>
  <c r="AH109" i="1" s="1"/>
  <c r="M102" i="1"/>
  <c r="Y102" i="1"/>
  <c r="AH102" i="1" s="1"/>
  <c r="M117" i="1"/>
  <c r="Y117" i="1"/>
  <c r="AH117" i="1" s="1"/>
  <c r="M100" i="1"/>
  <c r="Y100" i="1"/>
  <c r="AH100" i="1" s="1"/>
  <c r="X139" i="1"/>
  <c r="AG139" i="1" s="1"/>
  <c r="M139" i="1"/>
  <c r="Y139" i="1"/>
  <c r="AH139" i="1" s="1"/>
  <c r="X116" i="1"/>
  <c r="AG116" i="1" s="1"/>
  <c r="M124" i="1"/>
  <c r="Y124" i="1"/>
  <c r="AH124" i="1" s="1"/>
  <c r="X129" i="1"/>
  <c r="AG129" i="1" s="1"/>
  <c r="X92" i="1"/>
  <c r="AG92" i="1" s="1"/>
  <c r="X106" i="1"/>
  <c r="AG106" i="1" s="1"/>
  <c r="M111" i="1"/>
  <c r="Y111" i="1"/>
  <c r="AH111" i="1" s="1"/>
  <c r="M129" i="1"/>
  <c r="Y129" i="1"/>
  <c r="AH129" i="1" s="1"/>
  <c r="M137" i="1"/>
  <c r="Y137" i="1"/>
  <c r="AH137" i="1" s="1"/>
  <c r="X142" i="1"/>
  <c r="AG142" i="1" s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AD39" i="2"/>
  <c r="R25" i="21" s="1"/>
  <c r="S40" i="2"/>
  <c r="AD40" i="2"/>
  <c r="V83" i="2"/>
  <c r="S41" i="2"/>
  <c r="R36" i="21" s="1"/>
  <c r="AD41" i="2"/>
  <c r="R26" i="21" s="1"/>
  <c r="W83" i="2"/>
  <c r="S42" i="2"/>
  <c r="AD42" i="2"/>
  <c r="Y68" i="2"/>
  <c r="X83" i="2"/>
  <c r="S43" i="2"/>
  <c r="R37" i="21" s="1"/>
  <c r="Z83" i="2"/>
  <c r="V68" i="2"/>
  <c r="C84" i="2"/>
  <c r="W68" i="2"/>
  <c r="W53" i="2"/>
  <c r="X53" i="2"/>
  <c r="R21" i="21" s="1"/>
  <c r="Y53" i="2"/>
  <c r="Z53" i="2"/>
  <c r="R22" i="21" s="1"/>
  <c r="M125" i="1"/>
  <c r="M106" i="1"/>
  <c r="G19" i="3"/>
  <c r="G25" i="3"/>
  <c r="W88" i="1"/>
  <c r="W76" i="1"/>
  <c r="W86" i="1"/>
  <c r="W95" i="1"/>
  <c r="C19" i="3"/>
  <c r="C3" i="3"/>
  <c r="W75" i="1"/>
  <c r="W77" i="1"/>
  <c r="W87" i="1"/>
  <c r="W82" i="1"/>
  <c r="W100" i="1"/>
  <c r="D25" i="3"/>
  <c r="W91" i="1"/>
  <c r="W93" i="1"/>
  <c r="W102" i="1"/>
  <c r="D19" i="3"/>
  <c r="F25" i="3"/>
  <c r="H17" i="3"/>
  <c r="H3" i="3" s="1"/>
  <c r="G3" i="3"/>
  <c r="W79" i="1"/>
  <c r="W85" i="1"/>
  <c r="W98" i="1"/>
  <c r="B25" i="3"/>
  <c r="W96" i="1"/>
  <c r="F19" i="3"/>
  <c r="W78" i="1"/>
  <c r="W84" i="1"/>
  <c r="W94" i="1"/>
  <c r="W92" i="1"/>
  <c r="W90" i="1"/>
  <c r="W99" i="1"/>
  <c r="W101" i="1"/>
  <c r="M108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114" i="1"/>
  <c r="M121" i="1"/>
  <c r="M127" i="1"/>
  <c r="M133" i="1"/>
  <c r="M104" i="1"/>
  <c r="M110" i="1"/>
  <c r="M116" i="1"/>
  <c r="M122" i="1"/>
  <c r="M128" i="1"/>
  <c r="M134" i="1"/>
  <c r="M140" i="1"/>
  <c r="M132" i="1"/>
  <c r="M138" i="1"/>
  <c r="M144" i="1"/>
  <c r="R280" i="1" l="1"/>
  <c r="T280" i="1" s="1"/>
  <c r="O280" i="1"/>
  <c r="N280" i="1"/>
  <c r="Q280" i="1" s="1"/>
  <c r="R303" i="1"/>
  <c r="T303" i="1" s="1"/>
  <c r="O303" i="1"/>
  <c r="N303" i="1"/>
  <c r="Q303" i="1" s="1"/>
  <c r="O352" i="1"/>
  <c r="N352" i="1"/>
  <c r="Q352" i="1" s="1"/>
  <c r="R352" i="1"/>
  <c r="T352" i="1" s="1"/>
  <c r="R256" i="1"/>
  <c r="O275" i="1"/>
  <c r="R275" i="1"/>
  <c r="O274" i="1"/>
  <c r="R274" i="1"/>
  <c r="Q343" i="1"/>
  <c r="AA343" i="1"/>
  <c r="AJ343" i="1" s="1"/>
  <c r="O271" i="1"/>
  <c r="R271" i="1"/>
  <c r="X328" i="1"/>
  <c r="AG328" i="1" s="1"/>
  <c r="AA328" i="1"/>
  <c r="AJ328" i="1" s="1"/>
  <c r="AA355" i="1"/>
  <c r="AJ355" i="1" s="1"/>
  <c r="X355" i="1"/>
  <c r="AG355" i="1" s="1"/>
  <c r="R233" i="1"/>
  <c r="O233" i="1"/>
  <c r="X351" i="1"/>
  <c r="AG351" i="1" s="1"/>
  <c r="AA351" i="1"/>
  <c r="AJ351" i="1" s="1"/>
  <c r="AA302" i="1"/>
  <c r="AJ302" i="1" s="1"/>
  <c r="X302" i="1"/>
  <c r="AG302" i="1" s="1"/>
  <c r="X354" i="1"/>
  <c r="AG354" i="1" s="1"/>
  <c r="AA354" i="1"/>
  <c r="AJ354" i="1" s="1"/>
  <c r="X305" i="1"/>
  <c r="AG305" i="1" s="1"/>
  <c r="AA305" i="1"/>
  <c r="AJ305" i="1" s="1"/>
  <c r="X303" i="1"/>
  <c r="AG303" i="1" s="1"/>
  <c r="AA303" i="1"/>
  <c r="AJ303" i="1" s="1"/>
  <c r="AA352" i="1"/>
  <c r="AJ352" i="1" s="1"/>
  <c r="X352" i="1"/>
  <c r="AG352" i="1" s="1"/>
  <c r="X250" i="1"/>
  <c r="AG250" i="1" s="1"/>
  <c r="N250" i="1"/>
  <c r="AA250" i="1" s="1"/>
  <c r="AJ250" i="1" s="1"/>
  <c r="N160" i="1"/>
  <c r="AA160" i="1" s="1"/>
  <c r="AJ160" i="1" s="1"/>
  <c r="N189" i="1"/>
  <c r="AA189" i="1" s="1"/>
  <c r="AJ189" i="1" s="1"/>
  <c r="D20" i="29"/>
  <c r="R30" i="21"/>
  <c r="B20" i="49"/>
  <c r="R35" i="21"/>
  <c r="N201" i="1"/>
  <c r="AA201" i="1" s="1"/>
  <c r="AJ201" i="1" s="1"/>
  <c r="X181" i="1"/>
  <c r="AG181" i="1" s="1"/>
  <c r="N182" i="1"/>
  <c r="AA182" i="1" s="1"/>
  <c r="AJ182" i="1" s="1"/>
  <c r="N191" i="1"/>
  <c r="AA191" i="1" s="1"/>
  <c r="AJ191" i="1" s="1"/>
  <c r="N173" i="1"/>
  <c r="AA173" i="1" s="1"/>
  <c r="AJ173" i="1" s="1"/>
  <c r="X174" i="1"/>
  <c r="AG174" i="1" s="1"/>
  <c r="N203" i="1"/>
  <c r="AA203" i="1" s="1"/>
  <c r="AJ203" i="1" s="1"/>
  <c r="N202" i="1"/>
  <c r="AA202" i="1" s="1"/>
  <c r="AJ202" i="1" s="1"/>
  <c r="N168" i="1"/>
  <c r="AA168" i="1" s="1"/>
  <c r="AJ168" i="1" s="1"/>
  <c r="X245" i="1"/>
  <c r="AG245" i="1" s="1"/>
  <c r="N245" i="1"/>
  <c r="AA245" i="1" s="1"/>
  <c r="AJ245" i="1" s="1"/>
  <c r="X252" i="1"/>
  <c r="AG252" i="1" s="1"/>
  <c r="N252" i="1"/>
  <c r="AA252" i="1" s="1"/>
  <c r="AJ252" i="1" s="1"/>
  <c r="N274" i="1"/>
  <c r="X274" i="1"/>
  <c r="AG274" i="1" s="1"/>
  <c r="X254" i="1"/>
  <c r="AG254" i="1" s="1"/>
  <c r="N254" i="1"/>
  <c r="AA254" i="1" s="1"/>
  <c r="AJ254" i="1" s="1"/>
  <c r="N278" i="1"/>
  <c r="AA278" i="1" s="1"/>
  <c r="AJ278" i="1" s="1"/>
  <c r="X278" i="1"/>
  <c r="AG278" i="1" s="1"/>
  <c r="N275" i="1"/>
  <c r="AA275" i="1" s="1"/>
  <c r="AJ275" i="1" s="1"/>
  <c r="X275" i="1"/>
  <c r="AG275" i="1" s="1"/>
  <c r="X288" i="1"/>
  <c r="AG288" i="1" s="1"/>
  <c r="N288" i="1"/>
  <c r="AA288" i="1" s="1"/>
  <c r="AJ288" i="1" s="1"/>
  <c r="X268" i="1"/>
  <c r="AG268" i="1" s="1"/>
  <c r="N268" i="1"/>
  <c r="AA268" i="1" s="1"/>
  <c r="AJ268" i="1" s="1"/>
  <c r="N273" i="1"/>
  <c r="AA273" i="1" s="1"/>
  <c r="AJ273" i="1" s="1"/>
  <c r="X273" i="1"/>
  <c r="AG273" i="1" s="1"/>
  <c r="X239" i="1"/>
  <c r="AG239" i="1" s="1"/>
  <c r="N239" i="1"/>
  <c r="AA239" i="1" s="1"/>
  <c r="AJ239" i="1" s="1"/>
  <c r="X253" i="1"/>
  <c r="AG253" i="1" s="1"/>
  <c r="N253" i="1"/>
  <c r="AA253" i="1" s="1"/>
  <c r="AJ253" i="1" s="1"/>
  <c r="N236" i="1"/>
  <c r="AA236" i="1" s="1"/>
  <c r="AJ236" i="1" s="1"/>
  <c r="X236" i="1"/>
  <c r="AG236" i="1" s="1"/>
  <c r="X225" i="1"/>
  <c r="AG225" i="1" s="1"/>
  <c r="N225" i="1"/>
  <c r="AA225" i="1" s="1"/>
  <c r="AJ225" i="1" s="1"/>
  <c r="N270" i="1"/>
  <c r="AA270" i="1" s="1"/>
  <c r="AJ270" i="1" s="1"/>
  <c r="X270" i="1"/>
  <c r="AG270" i="1" s="1"/>
  <c r="X265" i="1"/>
  <c r="AG265" i="1" s="1"/>
  <c r="N265" i="1"/>
  <c r="AA265" i="1" s="1"/>
  <c r="AJ265" i="1" s="1"/>
  <c r="N286" i="1"/>
  <c r="AA286" i="1" s="1"/>
  <c r="AJ286" i="1" s="1"/>
  <c r="X286" i="1"/>
  <c r="AG286" i="1" s="1"/>
  <c r="N257" i="1"/>
  <c r="AA257" i="1" s="1"/>
  <c r="AJ257" i="1" s="1"/>
  <c r="X257" i="1"/>
  <c r="AG257" i="1" s="1"/>
  <c r="N175" i="1"/>
  <c r="AA175" i="1" s="1"/>
  <c r="AJ175" i="1" s="1"/>
  <c r="N271" i="1"/>
  <c r="X271" i="1"/>
  <c r="AG271" i="1" s="1"/>
  <c r="X248" i="1"/>
  <c r="AG248" i="1" s="1"/>
  <c r="N248" i="1"/>
  <c r="AA248" i="1" s="1"/>
  <c r="AJ248" i="1" s="1"/>
  <c r="X237" i="1"/>
  <c r="AG237" i="1" s="1"/>
  <c r="N237" i="1"/>
  <c r="AA237" i="1" s="1"/>
  <c r="AJ237" i="1" s="1"/>
  <c r="N289" i="1"/>
  <c r="AA289" i="1" s="1"/>
  <c r="AJ289" i="1" s="1"/>
  <c r="X289" i="1"/>
  <c r="AG289" i="1" s="1"/>
  <c r="X165" i="1"/>
  <c r="AG165" i="1" s="1"/>
  <c r="N258" i="1"/>
  <c r="AA258" i="1" s="1"/>
  <c r="AJ258" i="1" s="1"/>
  <c r="X258" i="1"/>
  <c r="AG258" i="1" s="1"/>
  <c r="X240" i="1"/>
  <c r="AG240" i="1" s="1"/>
  <c r="N240" i="1"/>
  <c r="AA240" i="1" s="1"/>
  <c r="AJ240" i="1" s="1"/>
  <c r="N262" i="1"/>
  <c r="AA262" i="1" s="1"/>
  <c r="AJ262" i="1" s="1"/>
  <c r="X262" i="1"/>
  <c r="AG262" i="1" s="1"/>
  <c r="N290" i="1"/>
  <c r="AA290" i="1" s="1"/>
  <c r="AJ290" i="1" s="1"/>
  <c r="X290" i="1"/>
  <c r="AG290" i="1" s="1"/>
  <c r="X269" i="1"/>
  <c r="AG269" i="1" s="1"/>
  <c r="N269" i="1"/>
  <c r="AA269" i="1" s="1"/>
  <c r="AJ269" i="1" s="1"/>
  <c r="X234" i="1"/>
  <c r="AG234" i="1" s="1"/>
  <c r="N234" i="1"/>
  <c r="AA234" i="1" s="1"/>
  <c r="AJ234" i="1" s="1"/>
  <c r="X256" i="1"/>
  <c r="AG256" i="1" s="1"/>
  <c r="N256" i="1"/>
  <c r="AA256" i="1" s="1"/>
  <c r="AJ256" i="1" s="1"/>
  <c r="N198" i="1"/>
  <c r="AA198" i="1" s="1"/>
  <c r="AJ198" i="1" s="1"/>
  <c r="X164" i="1"/>
  <c r="AG164" i="1" s="1"/>
  <c r="X287" i="1"/>
  <c r="AG287" i="1" s="1"/>
  <c r="N287" i="1"/>
  <c r="AA287" i="1" s="1"/>
  <c r="AJ287" i="1" s="1"/>
  <c r="X259" i="1"/>
  <c r="AG259" i="1" s="1"/>
  <c r="N259" i="1"/>
  <c r="AA259" i="1" s="1"/>
  <c r="AJ259" i="1" s="1"/>
  <c r="AA283" i="1"/>
  <c r="AJ283" i="1" s="1"/>
  <c r="X283" i="1"/>
  <c r="AG283" i="1" s="1"/>
  <c r="X242" i="1"/>
  <c r="AG242" i="1" s="1"/>
  <c r="N242" i="1"/>
  <c r="AA242" i="1" s="1"/>
  <c r="AJ242" i="1" s="1"/>
  <c r="N276" i="1"/>
  <c r="AA276" i="1" s="1"/>
  <c r="AJ276" i="1" s="1"/>
  <c r="X276" i="1"/>
  <c r="AG276" i="1" s="1"/>
  <c r="N222" i="1"/>
  <c r="AA222" i="1" s="1"/>
  <c r="AJ222" i="1" s="1"/>
  <c r="X222" i="1"/>
  <c r="AG222" i="1" s="1"/>
  <c r="X264" i="1"/>
  <c r="AG264" i="1" s="1"/>
  <c r="N264" i="1"/>
  <c r="AA264" i="1" s="1"/>
  <c r="AJ264" i="1" s="1"/>
  <c r="N192" i="1"/>
  <c r="AA192" i="1" s="1"/>
  <c r="AJ192" i="1" s="1"/>
  <c r="X285" i="1"/>
  <c r="AG285" i="1" s="1"/>
  <c r="N285" i="1"/>
  <c r="AA285" i="1" s="1"/>
  <c r="AJ285" i="1" s="1"/>
  <c r="N247" i="1"/>
  <c r="AA247" i="1" s="1"/>
  <c r="AJ247" i="1" s="1"/>
  <c r="X247" i="1"/>
  <c r="AG247" i="1" s="1"/>
  <c r="N263" i="1"/>
  <c r="AA263" i="1" s="1"/>
  <c r="AJ263" i="1" s="1"/>
  <c r="X263" i="1"/>
  <c r="AG263" i="1" s="1"/>
  <c r="X232" i="1"/>
  <c r="AG232" i="1" s="1"/>
  <c r="N232" i="1"/>
  <c r="AA232" i="1" s="1"/>
  <c r="AJ232" i="1" s="1"/>
  <c r="N260" i="1"/>
  <c r="AA260" i="1" s="1"/>
  <c r="AJ260" i="1" s="1"/>
  <c r="X260" i="1"/>
  <c r="AG260" i="1" s="1"/>
  <c r="X235" i="1"/>
  <c r="AG235" i="1" s="1"/>
  <c r="N235" i="1"/>
  <c r="AA235" i="1" s="1"/>
  <c r="AJ235" i="1" s="1"/>
  <c r="X261" i="1"/>
  <c r="AG261" i="1" s="1"/>
  <c r="N261" i="1"/>
  <c r="AA261" i="1" s="1"/>
  <c r="AJ261" i="1" s="1"/>
  <c r="X277" i="1"/>
  <c r="AG277" i="1" s="1"/>
  <c r="N277" i="1"/>
  <c r="AA277" i="1" s="1"/>
  <c r="AJ277" i="1" s="1"/>
  <c r="X284" i="1"/>
  <c r="AG284" i="1" s="1"/>
  <c r="N284" i="1"/>
  <c r="AA284" i="1" s="1"/>
  <c r="AJ284" i="1" s="1"/>
  <c r="X223" i="1"/>
  <c r="AG223" i="1" s="1"/>
  <c r="N223" i="1"/>
  <c r="AA223" i="1" s="1"/>
  <c r="AJ223" i="1" s="1"/>
  <c r="X229" i="1"/>
  <c r="AG229" i="1" s="1"/>
  <c r="N229" i="1"/>
  <c r="AA229" i="1" s="1"/>
  <c r="AJ229" i="1" s="1"/>
  <c r="X272" i="1"/>
  <c r="AG272" i="1" s="1"/>
  <c r="N272" i="1"/>
  <c r="AA272" i="1" s="1"/>
  <c r="AJ272" i="1" s="1"/>
  <c r="N266" i="1"/>
  <c r="AA266" i="1" s="1"/>
  <c r="AJ266" i="1" s="1"/>
  <c r="X266" i="1"/>
  <c r="AG266" i="1" s="1"/>
  <c r="N251" i="1"/>
  <c r="AA251" i="1" s="1"/>
  <c r="AJ251" i="1" s="1"/>
  <c r="X251" i="1"/>
  <c r="AG251" i="1" s="1"/>
  <c r="X255" i="1"/>
  <c r="AG255" i="1" s="1"/>
  <c r="N255" i="1"/>
  <c r="AA255" i="1" s="1"/>
  <c r="AJ255" i="1" s="1"/>
  <c r="X224" i="1"/>
  <c r="AG224" i="1" s="1"/>
  <c r="N224" i="1"/>
  <c r="AA224" i="1" s="1"/>
  <c r="AJ224" i="1" s="1"/>
  <c r="X281" i="1"/>
  <c r="AG281" i="1" s="1"/>
  <c r="AA281" i="1"/>
  <c r="AJ281" i="1" s="1"/>
  <c r="N246" i="1"/>
  <c r="AA246" i="1" s="1"/>
  <c r="AJ246" i="1" s="1"/>
  <c r="X246" i="1"/>
  <c r="AG246" i="1" s="1"/>
  <c r="X244" i="1"/>
  <c r="AG244" i="1" s="1"/>
  <c r="N244" i="1"/>
  <c r="AA244" i="1" s="1"/>
  <c r="AJ244" i="1" s="1"/>
  <c r="N249" i="1"/>
  <c r="AA249" i="1" s="1"/>
  <c r="AJ249" i="1" s="1"/>
  <c r="X249" i="1"/>
  <c r="AG249" i="1" s="1"/>
  <c r="X282" i="1"/>
  <c r="AG282" i="1" s="1"/>
  <c r="AA282" i="1"/>
  <c r="AJ282" i="1" s="1"/>
  <c r="X233" i="1"/>
  <c r="AG233" i="1" s="1"/>
  <c r="N233" i="1"/>
  <c r="AA233" i="1" s="1"/>
  <c r="AJ233" i="1" s="1"/>
  <c r="X280" i="1"/>
  <c r="AG280" i="1" s="1"/>
  <c r="AA280" i="1"/>
  <c r="AJ280" i="1" s="1"/>
  <c r="N231" i="1"/>
  <c r="AA231" i="1" s="1"/>
  <c r="AJ231" i="1" s="1"/>
  <c r="X231" i="1"/>
  <c r="AG231" i="1" s="1"/>
  <c r="AA279" i="1"/>
  <c r="AJ279" i="1" s="1"/>
  <c r="X279" i="1"/>
  <c r="AG279" i="1" s="1"/>
  <c r="X230" i="1"/>
  <c r="AG230" i="1" s="1"/>
  <c r="N230" i="1"/>
  <c r="AA230" i="1" s="1"/>
  <c r="AJ230" i="1" s="1"/>
  <c r="N238" i="1"/>
  <c r="AA238" i="1" s="1"/>
  <c r="AJ238" i="1" s="1"/>
  <c r="X238" i="1"/>
  <c r="AG238" i="1" s="1"/>
  <c r="X228" i="1"/>
  <c r="AG228" i="1" s="1"/>
  <c r="N228" i="1"/>
  <c r="AA228" i="1" s="1"/>
  <c r="AJ228" i="1" s="1"/>
  <c r="N227" i="1"/>
  <c r="AA227" i="1" s="1"/>
  <c r="AJ227" i="1" s="1"/>
  <c r="X227" i="1"/>
  <c r="AG227" i="1" s="1"/>
  <c r="N226" i="1"/>
  <c r="AA226" i="1" s="1"/>
  <c r="AJ226" i="1" s="1"/>
  <c r="X226" i="1"/>
  <c r="AG226" i="1" s="1"/>
  <c r="X155" i="1"/>
  <c r="AG155" i="1" s="1"/>
  <c r="X176" i="1"/>
  <c r="AG176" i="1" s="1"/>
  <c r="AH90" i="1"/>
  <c r="Y145" i="1"/>
  <c r="Z145" i="1" s="1"/>
  <c r="AA145" i="1" s="1"/>
  <c r="X147" i="1"/>
  <c r="AG147" i="1" s="1"/>
  <c r="N147" i="1"/>
  <c r="AA147" i="1" s="1"/>
  <c r="AJ147" i="1" s="1"/>
  <c r="X154" i="1"/>
  <c r="AG154" i="1" s="1"/>
  <c r="N154" i="1"/>
  <c r="AA154" i="1" s="1"/>
  <c r="AJ154" i="1" s="1"/>
  <c r="X149" i="1"/>
  <c r="AG149" i="1" s="1"/>
  <c r="N149" i="1"/>
  <c r="AA149" i="1" s="1"/>
  <c r="AJ149" i="1" s="1"/>
  <c r="X148" i="1"/>
  <c r="AG148" i="1" s="1"/>
  <c r="N148" i="1"/>
  <c r="AA148" i="1" s="1"/>
  <c r="AJ148" i="1" s="1"/>
  <c r="X146" i="1"/>
  <c r="AG146" i="1" s="1"/>
  <c r="N146" i="1"/>
  <c r="AA146" i="1" s="1"/>
  <c r="AJ146" i="1" s="1"/>
  <c r="N162" i="1"/>
  <c r="AA162" i="1" s="1"/>
  <c r="AJ162" i="1" s="1"/>
  <c r="N156" i="1"/>
  <c r="AA156" i="1" s="1"/>
  <c r="AJ156" i="1" s="1"/>
  <c r="N163" i="1"/>
  <c r="AA163" i="1" s="1"/>
  <c r="AJ163" i="1" s="1"/>
  <c r="X159" i="1"/>
  <c r="AG159" i="1" s="1"/>
  <c r="N159" i="1"/>
  <c r="AA159" i="1" s="1"/>
  <c r="AJ159" i="1" s="1"/>
  <c r="X161" i="1"/>
  <c r="AG161" i="1" s="1"/>
  <c r="X170" i="1"/>
  <c r="AG170" i="1" s="1"/>
  <c r="N170" i="1"/>
  <c r="AA170" i="1" s="1"/>
  <c r="AJ170" i="1" s="1"/>
  <c r="X128" i="1"/>
  <c r="AG128" i="1" s="1"/>
  <c r="N129" i="1"/>
  <c r="AA129" i="1" s="1"/>
  <c r="AJ129" i="1" s="1"/>
  <c r="N111" i="1"/>
  <c r="AA111" i="1" s="1"/>
  <c r="AJ111" i="1" s="1"/>
  <c r="N101" i="1"/>
  <c r="AA101" i="1" s="1"/>
  <c r="AJ101" i="1" s="1"/>
  <c r="N113" i="1"/>
  <c r="AA113" i="1" s="1"/>
  <c r="AJ113" i="1" s="1"/>
  <c r="N139" i="1"/>
  <c r="AA139" i="1" s="1"/>
  <c r="AJ139" i="1" s="1"/>
  <c r="N95" i="1"/>
  <c r="AA95" i="1" s="1"/>
  <c r="AJ95" i="1" s="1"/>
  <c r="N103" i="1"/>
  <c r="AA103" i="1" s="1"/>
  <c r="AJ103" i="1" s="1"/>
  <c r="N94" i="1"/>
  <c r="AA94" i="1" s="1"/>
  <c r="AJ94" i="1" s="1"/>
  <c r="N102" i="1"/>
  <c r="AA102" i="1" s="1"/>
  <c r="AJ102" i="1" s="1"/>
  <c r="N97" i="1"/>
  <c r="AA97" i="1" s="1"/>
  <c r="AJ97" i="1" s="1"/>
  <c r="N109" i="1"/>
  <c r="AA109" i="1" s="1"/>
  <c r="AJ109" i="1" s="1"/>
  <c r="N130" i="1"/>
  <c r="AA130" i="1" s="1"/>
  <c r="AJ130" i="1" s="1"/>
  <c r="N142" i="1"/>
  <c r="AA142" i="1" s="1"/>
  <c r="AJ142" i="1" s="1"/>
  <c r="N92" i="1"/>
  <c r="AA92" i="1" s="1"/>
  <c r="AJ92" i="1" s="1"/>
  <c r="N123" i="1"/>
  <c r="AA123" i="1" s="1"/>
  <c r="AJ123" i="1" s="1"/>
  <c r="N98" i="1"/>
  <c r="AA98" i="1" s="1"/>
  <c r="AJ98" i="1" s="1"/>
  <c r="N124" i="1"/>
  <c r="AA124" i="1" s="1"/>
  <c r="AJ124" i="1" s="1"/>
  <c r="N105" i="1"/>
  <c r="AA105" i="1" s="1"/>
  <c r="AJ105" i="1" s="1"/>
  <c r="N93" i="1"/>
  <c r="AA93" i="1" s="1"/>
  <c r="AJ93" i="1" s="1"/>
  <c r="N112" i="1"/>
  <c r="AA112" i="1" s="1"/>
  <c r="AJ112" i="1" s="1"/>
  <c r="N137" i="1"/>
  <c r="AA137" i="1" s="1"/>
  <c r="AJ137" i="1" s="1"/>
  <c r="N136" i="1"/>
  <c r="AA136" i="1" s="1"/>
  <c r="AJ136" i="1" s="1"/>
  <c r="N96" i="1"/>
  <c r="AA96" i="1" s="1"/>
  <c r="AJ96" i="1" s="1"/>
  <c r="N100" i="1"/>
  <c r="AA100" i="1" s="1"/>
  <c r="AJ100" i="1" s="1"/>
  <c r="R15" i="21"/>
  <c r="R16" i="21"/>
  <c r="Z89" i="1"/>
  <c r="AI89" i="1" s="1"/>
  <c r="Z77" i="1"/>
  <c r="AI77" i="1" s="1"/>
  <c r="Z140" i="1"/>
  <c r="AI140" i="1" s="1"/>
  <c r="Z88" i="1"/>
  <c r="AI88" i="1" s="1"/>
  <c r="Z141" i="1"/>
  <c r="AI141" i="1" s="1"/>
  <c r="Z120" i="1"/>
  <c r="AI120" i="1" s="1"/>
  <c r="Z143" i="1"/>
  <c r="AI143" i="1" s="1"/>
  <c r="Z107" i="1"/>
  <c r="AI107" i="1" s="1"/>
  <c r="Z135" i="1"/>
  <c r="AI135" i="1" s="1"/>
  <c r="Z95" i="1"/>
  <c r="AI95" i="1" s="1"/>
  <c r="Z118" i="1"/>
  <c r="AI118" i="1" s="1"/>
  <c r="Z126" i="1"/>
  <c r="AI126" i="1" s="1"/>
  <c r="Z91" i="1"/>
  <c r="AI91" i="1" s="1"/>
  <c r="Z134" i="1"/>
  <c r="AI134" i="1" s="1"/>
  <c r="Z87" i="1"/>
  <c r="AI87" i="1" s="1"/>
  <c r="Z75" i="1"/>
  <c r="AI75" i="1" s="1"/>
  <c r="N128" i="1"/>
  <c r="AA128" i="1" s="1"/>
  <c r="AJ128" i="1" s="1"/>
  <c r="Z128" i="1"/>
  <c r="AI128" i="1" s="1"/>
  <c r="N143" i="1"/>
  <c r="AA143" i="1" s="1"/>
  <c r="AJ143" i="1" s="1"/>
  <c r="Z139" i="1"/>
  <c r="AI139" i="1" s="1"/>
  <c r="Z117" i="1"/>
  <c r="AI117" i="1" s="1"/>
  <c r="Z115" i="1"/>
  <c r="AI115" i="1" s="1"/>
  <c r="Z92" i="1"/>
  <c r="AI92" i="1" s="1"/>
  <c r="N122" i="1"/>
  <c r="AA122" i="1" s="1"/>
  <c r="AJ122" i="1" s="1"/>
  <c r="Z122" i="1"/>
  <c r="AI122" i="1" s="1"/>
  <c r="Z114" i="1"/>
  <c r="AI114" i="1" s="1"/>
  <c r="N116" i="1"/>
  <c r="AA116" i="1" s="1"/>
  <c r="AJ116" i="1" s="1"/>
  <c r="Z116" i="1"/>
  <c r="AI116" i="1" s="1"/>
  <c r="N126" i="1"/>
  <c r="AA126" i="1" s="1"/>
  <c r="AJ126" i="1" s="1"/>
  <c r="N108" i="1"/>
  <c r="AA108" i="1" s="1"/>
  <c r="AJ108" i="1" s="1"/>
  <c r="Z108" i="1"/>
  <c r="AI108" i="1" s="1"/>
  <c r="Z102" i="1"/>
  <c r="AI102" i="1" s="1"/>
  <c r="Z130" i="1"/>
  <c r="AI130" i="1" s="1"/>
  <c r="Z103" i="1"/>
  <c r="AI103" i="1" s="1"/>
  <c r="Z113" i="1"/>
  <c r="AI113" i="1" s="1"/>
  <c r="Z83" i="1"/>
  <c r="AI83" i="1" s="1"/>
  <c r="Z86" i="1"/>
  <c r="AI86" i="1" s="1"/>
  <c r="Z85" i="1"/>
  <c r="AI85" i="1" s="1"/>
  <c r="Z84" i="1"/>
  <c r="AI84" i="1" s="1"/>
  <c r="Z119" i="1"/>
  <c r="AI119" i="1" s="1"/>
  <c r="N110" i="1"/>
  <c r="AA110" i="1" s="1"/>
  <c r="AJ110" i="1" s="1"/>
  <c r="Z110" i="1"/>
  <c r="AI110" i="1" s="1"/>
  <c r="N135" i="1"/>
  <c r="AA135" i="1" s="1"/>
  <c r="AJ135" i="1" s="1"/>
  <c r="N91" i="1"/>
  <c r="AA91" i="1" s="1"/>
  <c r="AJ91" i="1" s="1"/>
  <c r="N104" i="1"/>
  <c r="AA104" i="1" s="1"/>
  <c r="AJ104" i="1" s="1"/>
  <c r="Z104" i="1"/>
  <c r="AI104" i="1" s="1"/>
  <c r="N119" i="1"/>
  <c r="AA119" i="1" s="1"/>
  <c r="AJ119" i="1" s="1"/>
  <c r="Z82" i="1"/>
  <c r="AI82" i="1" s="1"/>
  <c r="Z137" i="1"/>
  <c r="AI137" i="1" s="1"/>
  <c r="Z124" i="1"/>
  <c r="AI124" i="1" s="1"/>
  <c r="Z105" i="1"/>
  <c r="AI105" i="1" s="1"/>
  <c r="Z96" i="1"/>
  <c r="AI96" i="1" s="1"/>
  <c r="Z112" i="1"/>
  <c r="AI112" i="1" s="1"/>
  <c r="Z76" i="1"/>
  <c r="AI76" i="1" s="1"/>
  <c r="Z144" i="1"/>
  <c r="AI144" i="1" s="1"/>
  <c r="Z81" i="1"/>
  <c r="AI81" i="1" s="1"/>
  <c r="N125" i="1"/>
  <c r="AA125" i="1" s="1"/>
  <c r="AJ125" i="1" s="1"/>
  <c r="Z125" i="1"/>
  <c r="AI125" i="1" s="1"/>
  <c r="Z138" i="1"/>
  <c r="AI138" i="1" s="1"/>
  <c r="Z133" i="1"/>
  <c r="AI133" i="1" s="1"/>
  <c r="N120" i="1"/>
  <c r="AA120" i="1" s="1"/>
  <c r="AJ120" i="1" s="1"/>
  <c r="Z80" i="1"/>
  <c r="AI80" i="1" s="1"/>
  <c r="N141" i="1"/>
  <c r="AA141" i="1" s="1"/>
  <c r="AJ141" i="1" s="1"/>
  <c r="Z129" i="1"/>
  <c r="AI129" i="1" s="1"/>
  <c r="Z136" i="1"/>
  <c r="AI136" i="1" s="1"/>
  <c r="Z101" i="1"/>
  <c r="AI101" i="1" s="1"/>
  <c r="Z131" i="1"/>
  <c r="AI131" i="1" s="1"/>
  <c r="Z97" i="1"/>
  <c r="AI97" i="1" s="1"/>
  <c r="Z99" i="1"/>
  <c r="AI99" i="1" s="1"/>
  <c r="N132" i="1"/>
  <c r="AA132" i="1" s="1"/>
  <c r="AJ132" i="1" s="1"/>
  <c r="Z132" i="1"/>
  <c r="AI132" i="1" s="1"/>
  <c r="Z127" i="1"/>
  <c r="AI127" i="1" s="1"/>
  <c r="N118" i="1"/>
  <c r="AA118" i="1" s="1"/>
  <c r="AJ118" i="1" s="1"/>
  <c r="Z79" i="1"/>
  <c r="AI79" i="1" s="1"/>
  <c r="N99" i="1"/>
  <c r="AA99" i="1" s="1"/>
  <c r="AJ99" i="1" s="1"/>
  <c r="N131" i="1"/>
  <c r="AA131" i="1" s="1"/>
  <c r="AJ131" i="1" s="1"/>
  <c r="N121" i="1"/>
  <c r="AA121" i="1" s="1"/>
  <c r="AJ121" i="1" s="1"/>
  <c r="Z121" i="1"/>
  <c r="AI121" i="1" s="1"/>
  <c r="N107" i="1"/>
  <c r="AA107" i="1" s="1"/>
  <c r="AJ107" i="1" s="1"/>
  <c r="Z78" i="1"/>
  <c r="AI78" i="1" s="1"/>
  <c r="N117" i="1"/>
  <c r="AA117" i="1" s="1"/>
  <c r="AJ117" i="1" s="1"/>
  <c r="Z106" i="1"/>
  <c r="AI106" i="1" s="1"/>
  <c r="N115" i="1"/>
  <c r="AA115" i="1" s="1"/>
  <c r="AJ115" i="1" s="1"/>
  <c r="Z111" i="1"/>
  <c r="AI111" i="1" s="1"/>
  <c r="Z100" i="1"/>
  <c r="AI100" i="1" s="1"/>
  <c r="Z109" i="1"/>
  <c r="AI109" i="1" s="1"/>
  <c r="Z123" i="1"/>
  <c r="AI123" i="1" s="1"/>
  <c r="Z142" i="1"/>
  <c r="AI142" i="1" s="1"/>
  <c r="Z98" i="1"/>
  <c r="AI98" i="1" s="1"/>
  <c r="Z94" i="1"/>
  <c r="AI94" i="1" s="1"/>
  <c r="Z93" i="1"/>
  <c r="AI93" i="1" s="1"/>
  <c r="N106" i="1"/>
  <c r="AA106" i="1" s="1"/>
  <c r="AJ106" i="1" s="1"/>
  <c r="H25" i="3"/>
  <c r="H19" i="3"/>
  <c r="N83" i="1"/>
  <c r="AA83" i="1" s="1"/>
  <c r="AJ83" i="1" s="1"/>
  <c r="N82" i="1"/>
  <c r="AA82" i="1" s="1"/>
  <c r="AJ82" i="1" s="1"/>
  <c r="N81" i="1"/>
  <c r="AA81" i="1" s="1"/>
  <c r="AJ81" i="1" s="1"/>
  <c r="N86" i="1"/>
  <c r="AA86" i="1" s="1"/>
  <c r="AJ86" i="1" s="1"/>
  <c r="N80" i="1"/>
  <c r="AA80" i="1" s="1"/>
  <c r="AJ80" i="1" s="1"/>
  <c r="N77" i="1"/>
  <c r="AA77" i="1" s="1"/>
  <c r="AJ77" i="1" s="1"/>
  <c r="N75" i="1"/>
  <c r="AA75" i="1" s="1"/>
  <c r="AJ75" i="1" s="1"/>
  <c r="N127" i="1"/>
  <c r="AA127" i="1" s="1"/>
  <c r="AJ127" i="1" s="1"/>
  <c r="N88" i="1"/>
  <c r="AA88" i="1" s="1"/>
  <c r="AJ88" i="1" s="1"/>
  <c r="N133" i="1"/>
  <c r="AA133" i="1" s="1"/>
  <c r="AJ133" i="1" s="1"/>
  <c r="N85" i="1"/>
  <c r="AA85" i="1" s="1"/>
  <c r="AJ85" i="1" s="1"/>
  <c r="N79" i="1"/>
  <c r="AA79" i="1" s="1"/>
  <c r="AJ79" i="1" s="1"/>
  <c r="N140" i="1"/>
  <c r="AA140" i="1" s="1"/>
  <c r="AJ140" i="1" s="1"/>
  <c r="N76" i="1"/>
  <c r="AA76" i="1" s="1"/>
  <c r="AJ76" i="1" s="1"/>
  <c r="N114" i="1"/>
  <c r="AA114" i="1" s="1"/>
  <c r="AJ114" i="1" s="1"/>
  <c r="N144" i="1"/>
  <c r="AA144" i="1" s="1"/>
  <c r="AJ144" i="1" s="1"/>
  <c r="N89" i="1"/>
  <c r="AA89" i="1" s="1"/>
  <c r="AJ89" i="1" s="1"/>
  <c r="N134" i="1"/>
  <c r="AA134" i="1" s="1"/>
  <c r="AJ134" i="1" s="1"/>
  <c r="N87" i="1"/>
  <c r="AA87" i="1" s="1"/>
  <c r="AJ87" i="1" s="1"/>
  <c r="N138" i="1"/>
  <c r="AA138" i="1" s="1"/>
  <c r="AJ138" i="1" s="1"/>
  <c r="N84" i="1"/>
  <c r="AA84" i="1" s="1"/>
  <c r="AJ84" i="1" s="1"/>
  <c r="N78" i="1"/>
  <c r="AA78" i="1" s="1"/>
  <c r="AJ78" i="1" s="1"/>
  <c r="C74" i="21"/>
  <c r="Q275" i="1" l="1"/>
  <c r="AA274" i="1"/>
  <c r="AJ274" i="1" s="1"/>
  <c r="Q274" i="1"/>
  <c r="AA271" i="1"/>
  <c r="AJ271" i="1" s="1"/>
  <c r="Q271" i="1"/>
  <c r="R14" i="21"/>
  <c r="C28" i="21"/>
  <c r="N19" i="2"/>
  <c r="P19" i="2" s="1"/>
  <c r="E19" i="2"/>
  <c r="G19" i="2" s="1"/>
  <c r="D19" i="2"/>
  <c r="E26" i="21"/>
  <c r="J41" i="1" l="1"/>
  <c r="W41" i="1" s="1"/>
  <c r="G52" i="1"/>
  <c r="L49" i="1"/>
  <c r="G49" i="1"/>
  <c r="L69" i="1"/>
  <c r="J69" i="1"/>
  <c r="W69" i="1" s="1"/>
  <c r="G69" i="1"/>
  <c r="C69" i="1"/>
  <c r="L68" i="1"/>
  <c r="J68" i="1"/>
  <c r="W68" i="1" s="1"/>
  <c r="G68" i="1"/>
  <c r="C68" i="1"/>
  <c r="L67" i="1"/>
  <c r="J67" i="1"/>
  <c r="W67" i="1" s="1"/>
  <c r="G67" i="1"/>
  <c r="C67" i="1"/>
  <c r="L66" i="1"/>
  <c r="J66" i="1"/>
  <c r="W66" i="1" s="1"/>
  <c r="G66" i="1"/>
  <c r="C66" i="1"/>
  <c r="L65" i="1"/>
  <c r="J65" i="1"/>
  <c r="W65" i="1" s="1"/>
  <c r="G65" i="1"/>
  <c r="C65" i="1"/>
  <c r="L64" i="1"/>
  <c r="J64" i="1"/>
  <c r="W64" i="1" s="1"/>
  <c r="G64" i="1"/>
  <c r="C64" i="1"/>
  <c r="L63" i="1"/>
  <c r="J63" i="1"/>
  <c r="W63" i="1" s="1"/>
  <c r="G63" i="1"/>
  <c r="C63" i="1"/>
  <c r="L62" i="1"/>
  <c r="J62" i="1"/>
  <c r="W62" i="1" s="1"/>
  <c r="G62" i="1"/>
  <c r="C62" i="1"/>
  <c r="J61" i="1"/>
  <c r="G61" i="1"/>
  <c r="C61" i="1"/>
  <c r="L60" i="1"/>
  <c r="J60" i="1"/>
  <c r="W60" i="1" s="1"/>
  <c r="G60" i="1"/>
  <c r="C60" i="1"/>
  <c r="L59" i="1"/>
  <c r="J59" i="1"/>
  <c r="W59" i="1" s="1"/>
  <c r="G59" i="1"/>
  <c r="C59" i="1"/>
  <c r="L58" i="1"/>
  <c r="J58" i="1"/>
  <c r="W58" i="1" s="1"/>
  <c r="G58" i="1"/>
  <c r="C58" i="1"/>
  <c r="L57" i="1"/>
  <c r="J57" i="1"/>
  <c r="W57" i="1" s="1"/>
  <c r="G57" i="1"/>
  <c r="C57" i="1"/>
  <c r="L56" i="1"/>
  <c r="J56" i="1"/>
  <c r="W56" i="1" s="1"/>
  <c r="G56" i="1"/>
  <c r="C56" i="1"/>
  <c r="L55" i="1"/>
  <c r="J55" i="1"/>
  <c r="W55" i="1" s="1"/>
  <c r="G55" i="1"/>
  <c r="C55" i="1"/>
  <c r="L54" i="1"/>
  <c r="J54" i="1"/>
  <c r="W54" i="1" s="1"/>
  <c r="G54" i="1"/>
  <c r="C54" i="1"/>
  <c r="L53" i="1"/>
  <c r="J53" i="1"/>
  <c r="W53" i="1" s="1"/>
  <c r="G53" i="1"/>
  <c r="C53" i="1"/>
  <c r="L52" i="1"/>
  <c r="J52" i="1"/>
  <c r="W52" i="1" s="1"/>
  <c r="C52" i="1"/>
  <c r="L51" i="1"/>
  <c r="J51" i="1"/>
  <c r="W51" i="1" s="1"/>
  <c r="G51" i="1"/>
  <c r="C51" i="1"/>
  <c r="L50" i="1"/>
  <c r="J50" i="1"/>
  <c r="W50" i="1" s="1"/>
  <c r="G50" i="1"/>
  <c r="C50" i="1"/>
  <c r="J49" i="1"/>
  <c r="W49" i="1" s="1"/>
  <c r="C49" i="1"/>
  <c r="L48" i="1"/>
  <c r="J48" i="1"/>
  <c r="W48" i="1" s="1"/>
  <c r="G48" i="1"/>
  <c r="C48" i="1"/>
  <c r="L47" i="1"/>
  <c r="J47" i="1"/>
  <c r="W47" i="1" s="1"/>
  <c r="G47" i="1"/>
  <c r="C47" i="1"/>
  <c r="L46" i="1"/>
  <c r="J46" i="1"/>
  <c r="W46" i="1" s="1"/>
  <c r="G46" i="1"/>
  <c r="C46" i="1"/>
  <c r="L45" i="1"/>
  <c r="J45" i="1"/>
  <c r="W45" i="1" s="1"/>
  <c r="G45" i="1"/>
  <c r="C45" i="1"/>
  <c r="L44" i="1"/>
  <c r="J44" i="1"/>
  <c r="W44" i="1" s="1"/>
  <c r="G44" i="1"/>
  <c r="C44" i="1"/>
  <c r="L43" i="1"/>
  <c r="J43" i="1"/>
  <c r="W43" i="1" s="1"/>
  <c r="G43" i="1"/>
  <c r="C43" i="1"/>
  <c r="L42" i="1"/>
  <c r="J42" i="1"/>
  <c r="W42" i="1" s="1"/>
  <c r="G42" i="1"/>
  <c r="C42" i="1"/>
  <c r="L41" i="1"/>
  <c r="G41" i="1"/>
  <c r="C41" i="1"/>
  <c r="L40" i="1"/>
  <c r="J40" i="1"/>
  <c r="W40" i="1" s="1"/>
  <c r="G40" i="1"/>
  <c r="C40" i="1"/>
  <c r="L39" i="1"/>
  <c r="J39" i="1"/>
  <c r="W39" i="1" s="1"/>
  <c r="G39" i="1"/>
  <c r="C39" i="1"/>
  <c r="L38" i="1"/>
  <c r="J38" i="1"/>
  <c r="W38" i="1" s="1"/>
  <c r="G38" i="1"/>
  <c r="C38" i="1"/>
  <c r="L37" i="1"/>
  <c r="J37" i="1"/>
  <c r="W37" i="1" s="1"/>
  <c r="G37" i="1"/>
  <c r="C37" i="1"/>
  <c r="L36" i="1"/>
  <c r="J36" i="1"/>
  <c r="W36" i="1" s="1"/>
  <c r="G36" i="1"/>
  <c r="C36" i="1"/>
  <c r="L35" i="1"/>
  <c r="J35" i="1"/>
  <c r="W35" i="1" s="1"/>
  <c r="G35" i="1"/>
  <c r="C35" i="1"/>
  <c r="L34" i="1"/>
  <c r="J34" i="1"/>
  <c r="W34" i="1" s="1"/>
  <c r="G34" i="1"/>
  <c r="C34" i="1"/>
  <c r="L33" i="1"/>
  <c r="J33" i="1"/>
  <c r="W33" i="1" s="1"/>
  <c r="G33" i="1"/>
  <c r="C33" i="1"/>
  <c r="J32" i="1"/>
  <c r="G32" i="1"/>
  <c r="C32" i="1"/>
  <c r="L31" i="1"/>
  <c r="J31" i="1"/>
  <c r="W31" i="1" s="1"/>
  <c r="G31" i="1"/>
  <c r="C31" i="1"/>
  <c r="L30" i="1"/>
  <c r="J30" i="1"/>
  <c r="W30" i="1" s="1"/>
  <c r="G30" i="1"/>
  <c r="C30" i="1"/>
  <c r="L29" i="1"/>
  <c r="J29" i="1"/>
  <c r="W29" i="1" s="1"/>
  <c r="G29" i="1"/>
  <c r="C29" i="1"/>
  <c r="L28" i="1"/>
  <c r="J28" i="1"/>
  <c r="W28" i="1" s="1"/>
  <c r="G28" i="1"/>
  <c r="C28" i="1"/>
  <c r="L27" i="1"/>
  <c r="J27" i="1"/>
  <c r="W27" i="1" s="1"/>
  <c r="G27" i="1"/>
  <c r="C27" i="1"/>
  <c r="L26" i="1"/>
  <c r="J26" i="1"/>
  <c r="W26" i="1" s="1"/>
  <c r="G26" i="1"/>
  <c r="C26" i="1"/>
  <c r="L25" i="1"/>
  <c r="J25" i="1"/>
  <c r="W25" i="1" s="1"/>
  <c r="G25" i="1"/>
  <c r="C25" i="1"/>
  <c r="L24" i="1"/>
  <c r="J24" i="1"/>
  <c r="W24" i="1" s="1"/>
  <c r="G24" i="1"/>
  <c r="C24" i="1"/>
  <c r="L23" i="1"/>
  <c r="J23" i="1"/>
  <c r="W23" i="1" s="1"/>
  <c r="G23" i="1"/>
  <c r="C23" i="1"/>
  <c r="L22" i="1"/>
  <c r="J22" i="1"/>
  <c r="W22" i="1" s="1"/>
  <c r="G22" i="1"/>
  <c r="C22" i="1"/>
  <c r="L21" i="1"/>
  <c r="J21" i="1"/>
  <c r="W21" i="1" s="1"/>
  <c r="G21" i="1"/>
  <c r="C21" i="1"/>
  <c r="M20" i="1"/>
  <c r="J20" i="1"/>
  <c r="G20" i="1"/>
  <c r="C20" i="1"/>
  <c r="L19" i="1"/>
  <c r="J19" i="1"/>
  <c r="W19" i="1" s="1"/>
  <c r="G19" i="1"/>
  <c r="C19" i="1"/>
  <c r="L18" i="1"/>
  <c r="J18" i="1"/>
  <c r="W18" i="1" s="1"/>
  <c r="G18" i="1"/>
  <c r="C18" i="1"/>
  <c r="L17" i="1"/>
  <c r="J17" i="1"/>
  <c r="W17" i="1" s="1"/>
  <c r="G17" i="1"/>
  <c r="C17" i="1"/>
  <c r="L16" i="1"/>
  <c r="J16" i="1"/>
  <c r="W16" i="1" s="1"/>
  <c r="G16" i="1"/>
  <c r="C16" i="1"/>
  <c r="L15" i="1"/>
  <c r="J15" i="1"/>
  <c r="W15" i="1" s="1"/>
  <c r="G15" i="1"/>
  <c r="C15" i="1"/>
  <c r="L14" i="1"/>
  <c r="J14" i="1"/>
  <c r="W14" i="1" s="1"/>
  <c r="G14" i="1"/>
  <c r="C14" i="1"/>
  <c r="L13" i="1"/>
  <c r="J13" i="1"/>
  <c r="W13" i="1" s="1"/>
  <c r="G13" i="1"/>
  <c r="C13" i="1"/>
  <c r="L12" i="1"/>
  <c r="J12" i="1"/>
  <c r="W12" i="1" s="1"/>
  <c r="G12" i="1"/>
  <c r="C12" i="1"/>
  <c r="L11" i="1"/>
  <c r="J11" i="1"/>
  <c r="W11" i="1" s="1"/>
  <c r="G11" i="1"/>
  <c r="C11" i="1"/>
  <c r="L10" i="1"/>
  <c r="J10" i="1"/>
  <c r="W10" i="1" s="1"/>
  <c r="G10" i="1"/>
  <c r="C10" i="1"/>
  <c r="L9" i="1"/>
  <c r="J9" i="1"/>
  <c r="W9" i="1" s="1"/>
  <c r="G9" i="1"/>
  <c r="C9" i="1"/>
  <c r="L8" i="1"/>
  <c r="J8" i="1"/>
  <c r="W8" i="1" s="1"/>
  <c r="G8" i="1"/>
  <c r="C8" i="1"/>
  <c r="L7" i="1"/>
  <c r="J7" i="1"/>
  <c r="W7" i="1" s="1"/>
  <c r="G7" i="1"/>
  <c r="C7" i="1"/>
  <c r="L6" i="1"/>
  <c r="Y6" i="1" s="1"/>
  <c r="AH6" i="1" s="1"/>
  <c r="W6" i="1"/>
  <c r="G6" i="1"/>
  <c r="C6" i="1"/>
  <c r="G5" i="1"/>
  <c r="C5" i="1"/>
  <c r="Y68" i="1" l="1"/>
  <c r="AH68" i="1" s="1"/>
  <c r="Y62" i="1"/>
  <c r="AH62" i="1" s="1"/>
  <c r="Y43" i="1"/>
  <c r="AH43" i="1" s="1"/>
  <c r="Y24" i="1"/>
  <c r="AH24" i="1" s="1"/>
  <c r="Y30" i="1"/>
  <c r="AH30" i="1" s="1"/>
  <c r="Y40" i="1"/>
  <c r="AH40" i="1" s="1"/>
  <c r="Y56" i="1"/>
  <c r="AH56" i="1" s="1"/>
  <c r="Y59" i="1"/>
  <c r="AH59" i="1" s="1"/>
  <c r="Y34" i="1"/>
  <c r="AH34" i="1" s="1"/>
  <c r="Y10" i="1"/>
  <c r="AH10" i="1" s="1"/>
  <c r="Y28" i="1"/>
  <c r="AH28" i="1" s="1"/>
  <c r="Y20" i="1"/>
  <c r="AH20" i="1" s="1"/>
  <c r="X20" i="1"/>
  <c r="AG20" i="1" s="1"/>
  <c r="Y38" i="1"/>
  <c r="AH38" i="1" s="1"/>
  <c r="Y54" i="1"/>
  <c r="AH54" i="1" s="1"/>
  <c r="Y8" i="1"/>
  <c r="AH8" i="1" s="1"/>
  <c r="Y11" i="1"/>
  <c r="AH11" i="1" s="1"/>
  <c r="Z20" i="1"/>
  <c r="AI20" i="1" s="1"/>
  <c r="Y23" i="1"/>
  <c r="AH23" i="1" s="1"/>
  <c r="Y26" i="1"/>
  <c r="AH26" i="1" s="1"/>
  <c r="Y51" i="1"/>
  <c r="AH51" i="1" s="1"/>
  <c r="Y22" i="1"/>
  <c r="AH22" i="1" s="1"/>
  <c r="Y44" i="1"/>
  <c r="AH44" i="1" s="1"/>
  <c r="Y19" i="1"/>
  <c r="AH19" i="1" s="1"/>
  <c r="Y45" i="1"/>
  <c r="AH45" i="1" s="1"/>
  <c r="Y64" i="1"/>
  <c r="AH64" i="1" s="1"/>
  <c r="Y25" i="1"/>
  <c r="AH25" i="1" s="1"/>
  <c r="Y66" i="1"/>
  <c r="AH66" i="1" s="1"/>
  <c r="Y36" i="1"/>
  <c r="AH36" i="1" s="1"/>
  <c r="Y47" i="1"/>
  <c r="AH47" i="1" s="1"/>
  <c r="Y15" i="1"/>
  <c r="AH15" i="1" s="1"/>
  <c r="M37" i="1"/>
  <c r="Y37" i="1"/>
  <c r="AH37" i="1" s="1"/>
  <c r="M7" i="1"/>
  <c r="Y7" i="1"/>
  <c r="AH7" i="1" s="1"/>
  <c r="M16" i="1"/>
  <c r="Y16" i="1"/>
  <c r="AH16" i="1" s="1"/>
  <c r="M31" i="1"/>
  <c r="Y31" i="1"/>
  <c r="AH31" i="1" s="1"/>
  <c r="M50" i="1"/>
  <c r="Y50" i="1"/>
  <c r="AH50" i="1" s="1"/>
  <c r="M41" i="1"/>
  <c r="Y41" i="1"/>
  <c r="AH41" i="1" s="1"/>
  <c r="M46" i="1"/>
  <c r="Y46" i="1"/>
  <c r="AH46" i="1" s="1"/>
  <c r="M65" i="1"/>
  <c r="Y65" i="1"/>
  <c r="AH65" i="1" s="1"/>
  <c r="M53" i="1"/>
  <c r="Y53" i="1"/>
  <c r="AH53" i="1" s="1"/>
  <c r="M13" i="1"/>
  <c r="Y13" i="1"/>
  <c r="AH13" i="1" s="1"/>
  <c r="M63" i="1"/>
  <c r="Y63" i="1"/>
  <c r="AH63" i="1" s="1"/>
  <c r="M69" i="1"/>
  <c r="Y69" i="1"/>
  <c r="AH69" i="1" s="1"/>
  <c r="M35" i="1"/>
  <c r="Y35" i="1"/>
  <c r="AH35" i="1" s="1"/>
  <c r="M57" i="1"/>
  <c r="Y57" i="1"/>
  <c r="AH57" i="1" s="1"/>
  <c r="M60" i="1"/>
  <c r="Y60" i="1"/>
  <c r="AH60" i="1" s="1"/>
  <c r="M14" i="1"/>
  <c r="Y14" i="1"/>
  <c r="AH14" i="1" s="1"/>
  <c r="M17" i="1"/>
  <c r="Y17" i="1"/>
  <c r="AH17" i="1" s="1"/>
  <c r="M29" i="1"/>
  <c r="Y29" i="1"/>
  <c r="AH29" i="1" s="1"/>
  <c r="M49" i="1"/>
  <c r="Y49" i="1"/>
  <c r="AH49" i="1" s="1"/>
  <c r="M42" i="1"/>
  <c r="Y42" i="1"/>
  <c r="AH42" i="1" s="1"/>
  <c r="M48" i="1"/>
  <c r="Y48" i="1"/>
  <c r="AH48" i="1" s="1"/>
  <c r="M67" i="1"/>
  <c r="Y67" i="1"/>
  <c r="AH67" i="1" s="1"/>
  <c r="M33" i="1"/>
  <c r="Y33" i="1"/>
  <c r="AH33" i="1" s="1"/>
  <c r="M39" i="1"/>
  <c r="Y39" i="1"/>
  <c r="AH39" i="1" s="1"/>
  <c r="M52" i="1"/>
  <c r="Y52" i="1"/>
  <c r="AH52" i="1" s="1"/>
  <c r="M55" i="1"/>
  <c r="Y55" i="1"/>
  <c r="AH55" i="1" s="1"/>
  <c r="M58" i="1"/>
  <c r="Y58" i="1"/>
  <c r="AH58" i="1" s="1"/>
  <c r="M9" i="1"/>
  <c r="Y9" i="1"/>
  <c r="AH9" i="1" s="1"/>
  <c r="M12" i="1"/>
  <c r="Y12" i="1"/>
  <c r="AH12" i="1" s="1"/>
  <c r="M18" i="1"/>
  <c r="Y18" i="1"/>
  <c r="AH18" i="1" s="1"/>
  <c r="M21" i="1"/>
  <c r="Y21" i="1"/>
  <c r="AH21" i="1" s="1"/>
  <c r="M27" i="1"/>
  <c r="Y27" i="1"/>
  <c r="AH27" i="1" s="1"/>
  <c r="W61" i="1"/>
  <c r="W32" i="1"/>
  <c r="W5" i="1"/>
  <c r="W20" i="1"/>
  <c r="L32" i="1"/>
  <c r="Y32" i="1" s="1"/>
  <c r="AH32" i="1" s="1"/>
  <c r="N20" i="1"/>
  <c r="AA20" i="1" s="1"/>
  <c r="AJ20" i="1" s="1"/>
  <c r="M25" i="1"/>
  <c r="M6" i="1"/>
  <c r="M8" i="1"/>
  <c r="M15" i="1"/>
  <c r="M23" i="1"/>
  <c r="M10" i="1"/>
  <c r="M19" i="1"/>
  <c r="M40" i="1"/>
  <c r="M47" i="1"/>
  <c r="M30" i="1"/>
  <c r="M38" i="1"/>
  <c r="M44" i="1"/>
  <c r="M11" i="1"/>
  <c r="M28" i="1"/>
  <c r="M36" i="1"/>
  <c r="M22" i="1"/>
  <c r="M24" i="1"/>
  <c r="M26" i="1"/>
  <c r="M34" i="1"/>
  <c r="M45" i="1"/>
  <c r="M64" i="1"/>
  <c r="M43" i="1"/>
  <c r="M51" i="1"/>
  <c r="M54" i="1"/>
  <c r="M62" i="1"/>
  <c r="M59" i="1"/>
  <c r="M56" i="1"/>
  <c r="M66" i="1"/>
  <c r="M68" i="1"/>
  <c r="Z62" i="1" l="1"/>
  <c r="AI62" i="1" s="1"/>
  <c r="Z42" i="1"/>
  <c r="AI42" i="1" s="1"/>
  <c r="Z30" i="1"/>
  <c r="AI30" i="1" s="1"/>
  <c r="Z47" i="1"/>
  <c r="AI47" i="1" s="1"/>
  <c r="Z18" i="1"/>
  <c r="AI18" i="1" s="1"/>
  <c r="Z69" i="1"/>
  <c r="AI69" i="1" s="1"/>
  <c r="Z45" i="1"/>
  <c r="AI45" i="1" s="1"/>
  <c r="Z40" i="1"/>
  <c r="AI40" i="1" s="1"/>
  <c r="Z19" i="1"/>
  <c r="AI19" i="1" s="1"/>
  <c r="Z26" i="1"/>
  <c r="AI26" i="1" s="1"/>
  <c r="Z59" i="1"/>
  <c r="AI59" i="1" s="1"/>
  <c r="Z28" i="1"/>
  <c r="AI28" i="1" s="1"/>
  <c r="Z25" i="1"/>
  <c r="AI25" i="1" s="1"/>
  <c r="Z27" i="1"/>
  <c r="AI27" i="1" s="1"/>
  <c r="Z65" i="1"/>
  <c r="AI65" i="1" s="1"/>
  <c r="Z43" i="1"/>
  <c r="AI43" i="1" s="1"/>
  <c r="Z64" i="1"/>
  <c r="AI64" i="1" s="1"/>
  <c r="Z39" i="1"/>
  <c r="AI39" i="1" s="1"/>
  <c r="Z29" i="1"/>
  <c r="AI29" i="1" s="1"/>
  <c r="Z41" i="1"/>
  <c r="AI41" i="1" s="1"/>
  <c r="Z34" i="1"/>
  <c r="AI34" i="1" s="1"/>
  <c r="Z12" i="1"/>
  <c r="AI12" i="1" s="1"/>
  <c r="Z33" i="1"/>
  <c r="AI33" i="1" s="1"/>
  <c r="Z17" i="1"/>
  <c r="AI17" i="1" s="1"/>
  <c r="Z63" i="1"/>
  <c r="AI63" i="1" s="1"/>
  <c r="Z50" i="1"/>
  <c r="AI50" i="1" s="1"/>
  <c r="Z10" i="1"/>
  <c r="AI10" i="1" s="1"/>
  <c r="Z68" i="1"/>
  <c r="AI68" i="1" s="1"/>
  <c r="Z24" i="1"/>
  <c r="AI24" i="1" s="1"/>
  <c r="Z23" i="1"/>
  <c r="AI23" i="1" s="1"/>
  <c r="Z9" i="1"/>
  <c r="AI9" i="1" s="1"/>
  <c r="Z67" i="1"/>
  <c r="AI67" i="1" s="1"/>
  <c r="Z14" i="1"/>
  <c r="AI14" i="1" s="1"/>
  <c r="Z13" i="1"/>
  <c r="AI13" i="1" s="1"/>
  <c r="Z31" i="1"/>
  <c r="AI31" i="1" s="1"/>
  <c r="Z66" i="1"/>
  <c r="AI66" i="1" s="1"/>
  <c r="Z22" i="1"/>
  <c r="AI22" i="1" s="1"/>
  <c r="Z15" i="1"/>
  <c r="AI15" i="1" s="1"/>
  <c r="Z56" i="1"/>
  <c r="AI56" i="1" s="1"/>
  <c r="Z36" i="1"/>
  <c r="AI36" i="1" s="1"/>
  <c r="Z8" i="1"/>
  <c r="AI8" i="1" s="1"/>
  <c r="Z58" i="1"/>
  <c r="AI58" i="1" s="1"/>
  <c r="Z48" i="1"/>
  <c r="AI48" i="1" s="1"/>
  <c r="Z60" i="1"/>
  <c r="AI60" i="1" s="1"/>
  <c r="Z53" i="1"/>
  <c r="AI53" i="1" s="1"/>
  <c r="Z16" i="1"/>
  <c r="AI16" i="1" s="1"/>
  <c r="Z6" i="1"/>
  <c r="AI6" i="1" s="1"/>
  <c r="Z11" i="1"/>
  <c r="AI11" i="1" s="1"/>
  <c r="Z55" i="1"/>
  <c r="AI55" i="1" s="1"/>
  <c r="Z57" i="1"/>
  <c r="AI57" i="1" s="1"/>
  <c r="Z7" i="1"/>
  <c r="AI7" i="1" s="1"/>
  <c r="Z54" i="1"/>
  <c r="AI54" i="1" s="1"/>
  <c r="Z44" i="1"/>
  <c r="AI44" i="1" s="1"/>
  <c r="Z51" i="1"/>
  <c r="AI51" i="1" s="1"/>
  <c r="Z38" i="1"/>
  <c r="AI38" i="1" s="1"/>
  <c r="Z21" i="1"/>
  <c r="AI21" i="1" s="1"/>
  <c r="Z52" i="1"/>
  <c r="AI52" i="1" s="1"/>
  <c r="Z49" i="1"/>
  <c r="AI49" i="1" s="1"/>
  <c r="Z35" i="1"/>
  <c r="AI35" i="1" s="1"/>
  <c r="Z46" i="1"/>
  <c r="AI46" i="1" s="1"/>
  <c r="Z37" i="1"/>
  <c r="AI37" i="1" s="1"/>
  <c r="M32" i="1"/>
  <c r="L5" i="1"/>
  <c r="Y5" i="1" s="1"/>
  <c r="AH5" i="1" s="1"/>
  <c r="L61" i="1"/>
  <c r="Y61" i="1" s="1"/>
  <c r="AH61" i="1" s="1"/>
  <c r="Z32" i="1" l="1"/>
  <c r="AI32" i="1" s="1"/>
  <c r="M61" i="1"/>
  <c r="M5" i="1"/>
  <c r="W2" i="28"/>
  <c r="W216" i="28" s="1"/>
  <c r="Y216" i="28" s="1"/>
  <c r="V2" i="28"/>
  <c r="V216" i="28" s="1"/>
  <c r="X216" i="28" s="1"/>
  <c r="S10" i="28"/>
  <c r="T10" i="28" s="1"/>
  <c r="U10" i="28" s="1"/>
  <c r="S11" i="28"/>
  <c r="T11" i="28" s="1"/>
  <c r="S12" i="28"/>
  <c r="T12" i="28" s="1"/>
  <c r="S13" i="28"/>
  <c r="T13" i="28" s="1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T21" i="28" s="1"/>
  <c r="U21" i="28" s="1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T28" i="28" s="1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U40" i="28" s="1"/>
  <c r="S41" i="28"/>
  <c r="S42" i="28"/>
  <c r="T42" i="28" s="1"/>
  <c r="U42" i="28" s="1"/>
  <c r="S43" i="28"/>
  <c r="T43" i="28" s="1"/>
  <c r="S44" i="28"/>
  <c r="T44" i="28" s="1"/>
  <c r="S45" i="28"/>
  <c r="T45" i="28" s="1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T56" i="28" s="1"/>
  <c r="S57" i="28"/>
  <c r="T57" i="28" s="1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T74" i="28" s="1"/>
  <c r="U74" i="28" s="1"/>
  <c r="S75" i="28"/>
  <c r="T75" i="28" s="1"/>
  <c r="S76" i="28"/>
  <c r="T76" i="28" s="1"/>
  <c r="S77" i="28"/>
  <c r="S78" i="28"/>
  <c r="S79" i="28"/>
  <c r="T79" i="28" s="1"/>
  <c r="S80" i="28"/>
  <c r="T80" i="28" s="1"/>
  <c r="S81" i="28"/>
  <c r="T81" i="28" s="1"/>
  <c r="U81" i="28" s="1"/>
  <c r="S82" i="28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T99" i="28" s="1"/>
  <c r="S100" i="28"/>
  <c r="T100" i="28" s="1"/>
  <c r="S101" i="28"/>
  <c r="S102" i="28"/>
  <c r="T102" i="28" s="1"/>
  <c r="S103" i="28"/>
  <c r="T103" i="28" s="1"/>
  <c r="S104" i="28"/>
  <c r="T104" i="28" s="1"/>
  <c r="S105" i="28"/>
  <c r="T105" i="28" s="1"/>
  <c r="U105" i="28" s="1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T117" i="28" s="1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T145" i="28" s="1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T153" i="28" s="1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T189" i="28" s="1"/>
  <c r="S190" i="28"/>
  <c r="T190" i="28" s="1"/>
  <c r="U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T201" i="28" s="1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3" i="28"/>
  <c r="T213" i="28" s="1"/>
  <c r="S214" i="28"/>
  <c r="T214" i="28" s="1"/>
  <c r="S215" i="28"/>
  <c r="T215" i="28" s="1"/>
  <c r="S217" i="28"/>
  <c r="T217" i="28" s="1"/>
  <c r="S218" i="28"/>
  <c r="T218" i="28" s="1"/>
  <c r="S219" i="28"/>
  <c r="T219" i="28" s="1"/>
  <c r="S220" i="28"/>
  <c r="T220" i="28" s="1"/>
  <c r="S221" i="28"/>
  <c r="T221" i="28" s="1"/>
  <c r="S222" i="28"/>
  <c r="T222" i="28" s="1"/>
  <c r="S223" i="28"/>
  <c r="T223" i="28" s="1"/>
  <c r="S224" i="28"/>
  <c r="T224" i="28" s="1"/>
  <c r="S225" i="28"/>
  <c r="T225" i="28" s="1"/>
  <c r="S226" i="28"/>
  <c r="T226" i="28" s="1"/>
  <c r="S227" i="28"/>
  <c r="T227" i="28" s="1"/>
  <c r="S228" i="28"/>
  <c r="T228" i="28" s="1"/>
  <c r="S229" i="28"/>
  <c r="T229" i="28" s="1"/>
  <c r="S230" i="28"/>
  <c r="T230" i="28" s="1"/>
  <c r="S231" i="28"/>
  <c r="T231" i="28" s="1"/>
  <c r="S232" i="28"/>
  <c r="T232" i="28" s="1"/>
  <c r="S233" i="28"/>
  <c r="T233" i="28" s="1"/>
  <c r="S234" i="28"/>
  <c r="T234" i="28" s="1"/>
  <c r="S235" i="28"/>
  <c r="T235" i="28" s="1"/>
  <c r="S236" i="28"/>
  <c r="T236" i="28" s="1"/>
  <c r="S237" i="28"/>
  <c r="T237" i="28" s="1"/>
  <c r="S238" i="28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T245" i="28" s="1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S254" i="28"/>
  <c r="S255" i="28"/>
  <c r="S256" i="28"/>
  <c r="F16" i="57"/>
  <c r="F15" i="57"/>
  <c r="D16" i="57"/>
  <c r="D15" i="57"/>
  <c r="C16" i="57"/>
  <c r="C15" i="57"/>
  <c r="B16" i="57"/>
  <c r="B15" i="57"/>
  <c r="T241" i="28"/>
  <c r="T238" i="28"/>
  <c r="T209" i="28"/>
  <c r="T197" i="28"/>
  <c r="U197" i="28"/>
  <c r="T185" i="28"/>
  <c r="T173" i="28"/>
  <c r="U173" i="28" s="1"/>
  <c r="T161" i="28"/>
  <c r="T149" i="28"/>
  <c r="T141" i="28"/>
  <c r="T137" i="28"/>
  <c r="T125" i="28"/>
  <c r="T113" i="28"/>
  <c r="T101" i="28"/>
  <c r="U101" i="28" s="1"/>
  <c r="T89" i="28"/>
  <c r="T82" i="28"/>
  <c r="U82" i="28" s="1"/>
  <c r="T78" i="28"/>
  <c r="U78" i="28" s="1"/>
  <c r="T77" i="28"/>
  <c r="U77" i="28" s="1"/>
  <c r="T65" i="28"/>
  <c r="T53" i="28"/>
  <c r="U53" i="28" s="1"/>
  <c r="T41" i="28"/>
  <c r="T31" i="28"/>
  <c r="U31" i="28" s="1"/>
  <c r="T29" i="28"/>
  <c r="T22" i="28"/>
  <c r="U22" i="28" s="1"/>
  <c r="T17" i="28"/>
  <c r="H8" i="8"/>
  <c r="C8" i="8"/>
  <c r="E8" i="8" s="1"/>
  <c r="H7" i="8"/>
  <c r="C7" i="8"/>
  <c r="L74" i="1"/>
  <c r="J74" i="1"/>
  <c r="W74" i="1" s="1"/>
  <c r="G74" i="1"/>
  <c r="C74" i="1"/>
  <c r="L73" i="1"/>
  <c r="J73" i="1"/>
  <c r="W73" i="1" s="1"/>
  <c r="G73" i="1"/>
  <c r="C73" i="1"/>
  <c r="L72" i="1"/>
  <c r="K72" i="1"/>
  <c r="J72" i="1"/>
  <c r="W72" i="1" s="1"/>
  <c r="G72" i="1"/>
  <c r="C72" i="1"/>
  <c r="L71" i="1"/>
  <c r="K71" i="1"/>
  <c r="J71" i="1"/>
  <c r="W71" i="1" s="1"/>
  <c r="G71" i="1"/>
  <c r="C71" i="1"/>
  <c r="L70" i="1"/>
  <c r="K70" i="1"/>
  <c r="J70" i="1"/>
  <c r="W70" i="1" s="1"/>
  <c r="G70" i="1"/>
  <c r="C70" i="1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R359" i="1" l="1"/>
  <c r="R360" i="1"/>
  <c r="O359" i="1"/>
  <c r="O356" i="1"/>
  <c r="O361" i="1"/>
  <c r="O362" i="1"/>
  <c r="O301" i="1"/>
  <c r="R356" i="1"/>
  <c r="R298" i="1"/>
  <c r="R361" i="1"/>
  <c r="R293" i="1"/>
  <c r="O360" i="1"/>
  <c r="R295" i="1"/>
  <c r="R294" i="1"/>
  <c r="R357" i="1"/>
  <c r="R296" i="1"/>
  <c r="O296" i="1"/>
  <c r="R299" i="1"/>
  <c r="O294" i="1"/>
  <c r="O363" i="1"/>
  <c r="R358" i="1"/>
  <c r="O298" i="1"/>
  <c r="O357" i="1"/>
  <c r="R362" i="1"/>
  <c r="O297" i="1"/>
  <c r="O300" i="1"/>
  <c r="O299" i="1"/>
  <c r="O293" i="1"/>
  <c r="R297" i="1"/>
  <c r="O358" i="1"/>
  <c r="O295" i="1"/>
  <c r="R300" i="1"/>
  <c r="R363" i="1"/>
  <c r="R301" i="1"/>
  <c r="T301" i="1" s="1"/>
  <c r="AC338" i="1"/>
  <c r="AC303" i="1"/>
  <c r="AC308" i="1"/>
  <c r="AC312" i="1"/>
  <c r="S295" i="1"/>
  <c r="AC315" i="1"/>
  <c r="S301" i="1"/>
  <c r="AC317" i="1"/>
  <c r="AC334" i="1"/>
  <c r="S360" i="1"/>
  <c r="P294" i="1"/>
  <c r="AC294" i="1" s="1"/>
  <c r="P301" i="1"/>
  <c r="AC301" i="1" s="1"/>
  <c r="AC343" i="1"/>
  <c r="AC324" i="1"/>
  <c r="P360" i="1"/>
  <c r="AC360" i="1" s="1"/>
  <c r="AC316" i="1"/>
  <c r="S294" i="1"/>
  <c r="AC336" i="1"/>
  <c r="S293" i="1"/>
  <c r="P295" i="1"/>
  <c r="AC295" i="1" s="1"/>
  <c r="AC326" i="1"/>
  <c r="AC328" i="1"/>
  <c r="P293" i="1"/>
  <c r="AC293" i="1" s="1"/>
  <c r="AC319" i="1"/>
  <c r="P297" i="1"/>
  <c r="AC297" i="1" s="1"/>
  <c r="AC342" i="1"/>
  <c r="S299" i="1"/>
  <c r="P299" i="1"/>
  <c r="AC299" i="1" s="1"/>
  <c r="AC313" i="1"/>
  <c r="AC339" i="1"/>
  <c r="AC347" i="1"/>
  <c r="AC302" i="1"/>
  <c r="AC348" i="1"/>
  <c r="AC335" i="1"/>
  <c r="AC352" i="1"/>
  <c r="AC307" i="1"/>
  <c r="S297" i="1"/>
  <c r="AC350" i="1"/>
  <c r="AC325" i="1"/>
  <c r="AC340" i="1"/>
  <c r="AC306" i="1"/>
  <c r="AC354" i="1"/>
  <c r="S359" i="1"/>
  <c r="AC332" i="1"/>
  <c r="S296" i="1"/>
  <c r="AC330" i="1"/>
  <c r="AC309" i="1"/>
  <c r="AC355" i="1"/>
  <c r="AC344" i="1"/>
  <c r="AC345" i="1"/>
  <c r="P296" i="1"/>
  <c r="AC296" i="1" s="1"/>
  <c r="P359" i="1"/>
  <c r="AC359" i="1" s="1"/>
  <c r="AC333" i="1"/>
  <c r="P363" i="1"/>
  <c r="AC363" i="1" s="1"/>
  <c r="AC346" i="1"/>
  <c r="P298" i="1"/>
  <c r="AC298" i="1" s="1"/>
  <c r="P357" i="1"/>
  <c r="AC357" i="1" s="1"/>
  <c r="S362" i="1"/>
  <c r="AC314" i="1"/>
  <c r="S357" i="1"/>
  <c r="S358" i="1"/>
  <c r="T358" i="1" s="1"/>
  <c r="P361" i="1"/>
  <c r="AC361" i="1" s="1"/>
  <c r="S356" i="1"/>
  <c r="AC327" i="1"/>
  <c r="AC329" i="1"/>
  <c r="P362" i="1"/>
  <c r="AC362" i="1" s="1"/>
  <c r="P358" i="1"/>
  <c r="AC358" i="1" s="1"/>
  <c r="AC321" i="1"/>
  <c r="P356" i="1"/>
  <c r="AC356" i="1" s="1"/>
  <c r="S300" i="1"/>
  <c r="S361" i="1"/>
  <c r="AC320" i="1"/>
  <c r="AC305" i="1"/>
  <c r="AC353" i="1"/>
  <c r="AC304" i="1"/>
  <c r="AC318" i="1"/>
  <c r="AC341" i="1"/>
  <c r="S298" i="1"/>
  <c r="S363" i="1"/>
  <c r="AC351" i="1"/>
  <c r="AC322" i="1"/>
  <c r="AC310" i="1"/>
  <c r="AC331" i="1"/>
  <c r="P300" i="1"/>
  <c r="AC300" i="1" s="1"/>
  <c r="AC311" i="1"/>
  <c r="AC337" i="1"/>
  <c r="AC349" i="1"/>
  <c r="AC323" i="1"/>
  <c r="R241" i="1"/>
  <c r="O241" i="1"/>
  <c r="S241" i="1"/>
  <c r="P241" i="1"/>
  <c r="AC241" i="1" s="1"/>
  <c r="O267" i="1"/>
  <c r="R267" i="1"/>
  <c r="S267" i="1"/>
  <c r="P267" i="1"/>
  <c r="AC267" i="1" s="1"/>
  <c r="Z216" i="28"/>
  <c r="AA216" i="28" s="1"/>
  <c r="P243" i="1"/>
  <c r="AC243" i="1" s="1"/>
  <c r="S243" i="1"/>
  <c r="O243" i="1"/>
  <c r="R243" i="1"/>
  <c r="S221" i="1"/>
  <c r="P221" i="1"/>
  <c r="AC221" i="1" s="1"/>
  <c r="O221" i="1"/>
  <c r="R221" i="1"/>
  <c r="P250" i="1"/>
  <c r="AC250" i="1" s="1"/>
  <c r="S250" i="1"/>
  <c r="R250" i="1"/>
  <c r="O250" i="1"/>
  <c r="S291" i="1"/>
  <c r="P291" i="1"/>
  <c r="AC291" i="1" s="1"/>
  <c r="R72" i="1"/>
  <c r="O291" i="1"/>
  <c r="R291" i="1"/>
  <c r="V252" i="28"/>
  <c r="X252" i="28" s="1"/>
  <c r="V212" i="28"/>
  <c r="X212" i="28" s="1"/>
  <c r="W250" i="28"/>
  <c r="Y250" i="28" s="1"/>
  <c r="W212" i="28"/>
  <c r="Y212" i="28" s="1"/>
  <c r="R242" i="1"/>
  <c r="O242" i="1"/>
  <c r="P242" i="1"/>
  <c r="AC242" i="1" s="1"/>
  <c r="S242" i="1"/>
  <c r="R239" i="1"/>
  <c r="O239" i="1"/>
  <c r="S239" i="1"/>
  <c r="P239" i="1"/>
  <c r="AC239" i="1" s="1"/>
  <c r="O258" i="1"/>
  <c r="R248" i="1"/>
  <c r="R262" i="1"/>
  <c r="R268" i="1"/>
  <c r="R261" i="1"/>
  <c r="O248" i="1"/>
  <c r="O236" i="1"/>
  <c r="O276" i="1"/>
  <c r="O262" i="1"/>
  <c r="R225" i="1"/>
  <c r="O252" i="1"/>
  <c r="R253" i="1"/>
  <c r="R254" i="1"/>
  <c r="R222" i="1"/>
  <c r="O238" i="1"/>
  <c r="O245" i="1"/>
  <c r="O269" i="1"/>
  <c r="R240" i="1"/>
  <c r="R260" i="1"/>
  <c r="O289" i="1"/>
  <c r="O260" i="1"/>
  <c r="R230" i="1"/>
  <c r="R265" i="1"/>
  <c r="R277" i="1"/>
  <c r="R290" i="1"/>
  <c r="O222" i="1"/>
  <c r="R264" i="1"/>
  <c r="O249" i="1"/>
  <c r="R234" i="1"/>
  <c r="O240" i="1"/>
  <c r="O288" i="1"/>
  <c r="R235" i="1"/>
  <c r="O228" i="1"/>
  <c r="O277" i="1"/>
  <c r="R244" i="1"/>
  <c r="O223" i="1"/>
  <c r="O251" i="1"/>
  <c r="O234" i="1"/>
  <c r="R273" i="1"/>
  <c r="R224" i="1"/>
  <c r="O230" i="1"/>
  <c r="O257" i="1"/>
  <c r="R288" i="1"/>
  <c r="O272" i="1"/>
  <c r="R228" i="1"/>
  <c r="R257" i="1"/>
  <c r="O265" i="1"/>
  <c r="R252" i="1"/>
  <c r="O229" i="1"/>
  <c r="R270" i="1"/>
  <c r="O244" i="1"/>
  <c r="O261" i="1"/>
  <c r="R232" i="1"/>
  <c r="R289" i="1"/>
  <c r="R272" i="1"/>
  <c r="O246" i="1"/>
  <c r="O247" i="1"/>
  <c r="R276" i="1"/>
  <c r="R251" i="1"/>
  <c r="R227" i="1"/>
  <c r="O255" i="1"/>
  <c r="O226" i="1"/>
  <c r="R231" i="1"/>
  <c r="R269" i="1"/>
  <c r="R278" i="1"/>
  <c r="O287" i="1"/>
  <c r="R245" i="1"/>
  <c r="R226" i="1"/>
  <c r="O237" i="1"/>
  <c r="O231" i="1"/>
  <c r="O278" i="1"/>
  <c r="R249" i="1"/>
  <c r="O290" i="1"/>
  <c r="R237" i="1"/>
  <c r="O232" i="1"/>
  <c r="O225" i="1"/>
  <c r="R238" i="1"/>
  <c r="O263" i="1"/>
  <c r="O266" i="1"/>
  <c r="R286" i="1"/>
  <c r="R236" i="1"/>
  <c r="O284" i="1"/>
  <c r="R266" i="1"/>
  <c r="R285" i="1"/>
  <c r="O254" i="1"/>
  <c r="R223" i="1"/>
  <c r="R258" i="1"/>
  <c r="O285" i="1"/>
  <c r="R259" i="1"/>
  <c r="R229" i="1"/>
  <c r="R246" i="1"/>
  <c r="O224" i="1"/>
  <c r="O227" i="1"/>
  <c r="R247" i="1"/>
  <c r="O259" i="1"/>
  <c r="R255" i="1"/>
  <c r="O270" i="1"/>
  <c r="O273" i="1"/>
  <c r="O264" i="1"/>
  <c r="O268" i="1"/>
  <c r="O235" i="1"/>
  <c r="R287" i="1"/>
  <c r="O253" i="1"/>
  <c r="R263" i="1"/>
  <c r="R284" i="1"/>
  <c r="O286" i="1"/>
  <c r="S261" i="1"/>
  <c r="P276" i="1"/>
  <c r="AC276" i="1" s="1"/>
  <c r="P254" i="1"/>
  <c r="AC254" i="1" s="1"/>
  <c r="S249" i="1"/>
  <c r="P261" i="1"/>
  <c r="AC261" i="1" s="1"/>
  <c r="P249" i="1"/>
  <c r="AC249" i="1" s="1"/>
  <c r="P284" i="1"/>
  <c r="AC284" i="1" s="1"/>
  <c r="S251" i="1"/>
  <c r="P224" i="1"/>
  <c r="AC224" i="1" s="1"/>
  <c r="P237" i="1"/>
  <c r="AC237" i="1" s="1"/>
  <c r="P289" i="1"/>
  <c r="AC289" i="1" s="1"/>
  <c r="P263" i="1"/>
  <c r="AC263" i="1" s="1"/>
  <c r="P272" i="1"/>
  <c r="AC272" i="1" s="1"/>
  <c r="S276" i="1"/>
  <c r="P266" i="1"/>
  <c r="AC266" i="1" s="1"/>
  <c r="P238" i="1"/>
  <c r="AC238" i="1" s="1"/>
  <c r="S237" i="1"/>
  <c r="P245" i="1"/>
  <c r="AC245" i="1" s="1"/>
  <c r="P227" i="1"/>
  <c r="AC227" i="1" s="1"/>
  <c r="P231" i="1"/>
  <c r="AC231" i="1" s="1"/>
  <c r="S278" i="1"/>
  <c r="P290" i="1"/>
  <c r="AC290" i="1" s="1"/>
  <c r="S275" i="1"/>
  <c r="P240" i="1"/>
  <c r="AC240" i="1" s="1"/>
  <c r="AC280" i="1"/>
  <c r="S271" i="1"/>
  <c r="P251" i="1"/>
  <c r="AC251" i="1" s="1"/>
  <c r="S258" i="1"/>
  <c r="S270" i="1"/>
  <c r="AC275" i="1"/>
  <c r="P236" i="1"/>
  <c r="AC236" i="1" s="1"/>
  <c r="P257" i="1"/>
  <c r="AC257" i="1" s="1"/>
  <c r="S272" i="1"/>
  <c r="S260" i="1"/>
  <c r="S240" i="1"/>
  <c r="S262" i="1"/>
  <c r="P235" i="1"/>
  <c r="AC235" i="1" s="1"/>
  <c r="S245" i="1"/>
  <c r="S227" i="1"/>
  <c r="S247" i="1"/>
  <c r="AC271" i="1"/>
  <c r="P286" i="1"/>
  <c r="AC286" i="1" s="1"/>
  <c r="S231" i="1"/>
  <c r="AC279" i="1"/>
  <c r="P223" i="1"/>
  <c r="AC223" i="1" s="1"/>
  <c r="S289" i="1"/>
  <c r="S288" i="1"/>
  <c r="S255" i="1"/>
  <c r="P270" i="1"/>
  <c r="AC270" i="1" s="1"/>
  <c r="S266" i="1"/>
  <c r="S222" i="1"/>
  <c r="S253" i="1"/>
  <c r="P228" i="1"/>
  <c r="AC228" i="1" s="1"/>
  <c r="S274" i="1"/>
  <c r="S228" i="1"/>
  <c r="P253" i="1"/>
  <c r="AC253" i="1" s="1"/>
  <c r="S284" i="1"/>
  <c r="S223" i="1"/>
  <c r="P247" i="1"/>
  <c r="AC247" i="1" s="1"/>
  <c r="P233" i="1"/>
  <c r="AC233" i="1" s="1"/>
  <c r="P255" i="1"/>
  <c r="AC255" i="1" s="1"/>
  <c r="P252" i="1"/>
  <c r="AC252" i="1" s="1"/>
  <c r="S263" i="1"/>
  <c r="P273" i="1"/>
  <c r="AC273" i="1" s="1"/>
  <c r="P278" i="1"/>
  <c r="AC278" i="1" s="1"/>
  <c r="S246" i="1"/>
  <c r="S236" i="1"/>
  <c r="S257" i="1"/>
  <c r="P222" i="1"/>
  <c r="AC222" i="1" s="1"/>
  <c r="AC282" i="1"/>
  <c r="S273" i="1"/>
  <c r="S254" i="1"/>
  <c r="S287" i="1"/>
  <c r="P258" i="1"/>
  <c r="AC258" i="1" s="1"/>
  <c r="S235" i="1"/>
  <c r="P246" i="1"/>
  <c r="AC246" i="1" s="1"/>
  <c r="S290" i="1"/>
  <c r="P226" i="1"/>
  <c r="AC226" i="1" s="1"/>
  <c r="S252" i="1"/>
  <c r="AC274" i="1"/>
  <c r="AC283" i="1"/>
  <c r="P262" i="1"/>
  <c r="AC262" i="1" s="1"/>
  <c r="P260" i="1"/>
  <c r="AC260" i="1" s="1"/>
  <c r="S224" i="1"/>
  <c r="P287" i="1"/>
  <c r="AC287" i="1" s="1"/>
  <c r="S238" i="1"/>
  <c r="S226" i="1"/>
  <c r="S286" i="1"/>
  <c r="S268" i="1"/>
  <c r="S277" i="1"/>
  <c r="P259" i="1"/>
  <c r="AC259" i="1" s="1"/>
  <c r="S233" i="1"/>
  <c r="P225" i="1"/>
  <c r="AC225" i="1" s="1"/>
  <c r="S264" i="1"/>
  <c r="S248" i="1"/>
  <c r="S229" i="1"/>
  <c r="P244" i="1"/>
  <c r="AC244" i="1" s="1"/>
  <c r="P230" i="1"/>
  <c r="AC230" i="1" s="1"/>
  <c r="P256" i="1"/>
  <c r="AC256" i="1" s="1"/>
  <c r="P268" i="1"/>
  <c r="AC268" i="1" s="1"/>
  <c r="P265" i="1"/>
  <c r="AC265" i="1" s="1"/>
  <c r="S234" i="1"/>
  <c r="P277" i="1"/>
  <c r="AC277" i="1" s="1"/>
  <c r="S259" i="1"/>
  <c r="P234" i="1"/>
  <c r="AC234" i="1" s="1"/>
  <c r="P232" i="1"/>
  <c r="AC232" i="1" s="1"/>
  <c r="AC281" i="1"/>
  <c r="S232" i="1"/>
  <c r="P288" i="1"/>
  <c r="AC288" i="1" s="1"/>
  <c r="P264" i="1"/>
  <c r="AC264" i="1" s="1"/>
  <c r="P248" i="1"/>
  <c r="AC248" i="1" s="1"/>
  <c r="S244" i="1"/>
  <c r="S256" i="1"/>
  <c r="S265" i="1"/>
  <c r="S269" i="1"/>
  <c r="S230" i="1"/>
  <c r="S225" i="1"/>
  <c r="P269" i="1"/>
  <c r="AC269" i="1" s="1"/>
  <c r="S285" i="1"/>
  <c r="P229" i="1"/>
  <c r="AC229" i="1" s="1"/>
  <c r="P285" i="1"/>
  <c r="AC285" i="1" s="1"/>
  <c r="S171" i="1"/>
  <c r="P175" i="1"/>
  <c r="AC175" i="1" s="1"/>
  <c r="O193" i="1"/>
  <c r="R193" i="1"/>
  <c r="R164" i="1"/>
  <c r="O164" i="1"/>
  <c r="R185" i="1"/>
  <c r="S193" i="1"/>
  <c r="P193" i="1"/>
  <c r="AC193" i="1" s="1"/>
  <c r="S164" i="1"/>
  <c r="P164" i="1"/>
  <c r="AC164" i="1" s="1"/>
  <c r="R192" i="1"/>
  <c r="O192" i="1"/>
  <c r="S192" i="1"/>
  <c r="P192" i="1"/>
  <c r="AC192" i="1" s="1"/>
  <c r="S166" i="1"/>
  <c r="P166" i="1"/>
  <c r="AC166" i="1" s="1"/>
  <c r="S216" i="1"/>
  <c r="P216" i="1"/>
  <c r="AC216" i="1" s="1"/>
  <c r="O166" i="1"/>
  <c r="R166" i="1"/>
  <c r="R216" i="1"/>
  <c r="O216" i="1"/>
  <c r="O157" i="1"/>
  <c r="R157" i="1"/>
  <c r="S157" i="1"/>
  <c r="P157" i="1"/>
  <c r="AC157" i="1" s="1"/>
  <c r="O154" i="1"/>
  <c r="R154" i="1"/>
  <c r="S154" i="1"/>
  <c r="P154" i="1"/>
  <c r="AC154" i="1" s="1"/>
  <c r="O196" i="1"/>
  <c r="R196" i="1"/>
  <c r="S196" i="1"/>
  <c r="P196" i="1"/>
  <c r="AC196" i="1" s="1"/>
  <c r="R70" i="1"/>
  <c r="R187" i="1"/>
  <c r="O187" i="1"/>
  <c r="S187" i="1"/>
  <c r="P187" i="1"/>
  <c r="AC187" i="1" s="1"/>
  <c r="O180" i="1"/>
  <c r="R180" i="1"/>
  <c r="S180" i="1"/>
  <c r="P180" i="1"/>
  <c r="AC180" i="1" s="1"/>
  <c r="O171" i="1"/>
  <c r="R171" i="1"/>
  <c r="P171" i="1"/>
  <c r="AC171" i="1" s="1"/>
  <c r="R71" i="1"/>
  <c r="O215" i="1"/>
  <c r="R177" i="1"/>
  <c r="R208" i="1"/>
  <c r="O208" i="1"/>
  <c r="R90" i="1"/>
  <c r="R20" i="1"/>
  <c r="R200" i="1"/>
  <c r="O198" i="1"/>
  <c r="O200" i="1"/>
  <c r="R179" i="1"/>
  <c r="R207" i="1"/>
  <c r="R198" i="1"/>
  <c r="R197" i="1"/>
  <c r="R211" i="1"/>
  <c r="O211" i="1"/>
  <c r="R203" i="1"/>
  <c r="R159" i="1"/>
  <c r="O204" i="1"/>
  <c r="O197" i="1"/>
  <c r="R204" i="1"/>
  <c r="O203" i="1"/>
  <c r="R183" i="1"/>
  <c r="O159" i="1"/>
  <c r="O207" i="1"/>
  <c r="O174" i="1"/>
  <c r="O183" i="1"/>
  <c r="R189" i="1"/>
  <c r="O179" i="1"/>
  <c r="O189" i="1"/>
  <c r="R191" i="1"/>
  <c r="O191" i="1"/>
  <c r="O188" i="1"/>
  <c r="O146" i="1"/>
  <c r="R152" i="1"/>
  <c r="R151" i="1"/>
  <c r="O212" i="1"/>
  <c r="R156" i="1"/>
  <c r="R213" i="1"/>
  <c r="O182" i="1"/>
  <c r="R217" i="1"/>
  <c r="R219" i="1"/>
  <c r="O194" i="1"/>
  <c r="O151" i="1"/>
  <c r="R215" i="1"/>
  <c r="O152" i="1"/>
  <c r="R173" i="1"/>
  <c r="O167" i="1"/>
  <c r="O172" i="1"/>
  <c r="R148" i="1"/>
  <c r="O213" i="1"/>
  <c r="O165" i="1"/>
  <c r="R206" i="1"/>
  <c r="O185" i="1"/>
  <c r="R170" i="1"/>
  <c r="R175" i="1"/>
  <c r="O220" i="1"/>
  <c r="R161" i="1"/>
  <c r="R209" i="1"/>
  <c r="O199" i="1"/>
  <c r="O219" i="1"/>
  <c r="R182" i="1"/>
  <c r="O160" i="1"/>
  <c r="O206" i="1"/>
  <c r="O150" i="1"/>
  <c r="O158" i="1"/>
  <c r="R181" i="1"/>
  <c r="R172" i="1"/>
  <c r="O173" i="1"/>
  <c r="R199" i="1"/>
  <c r="O168" i="1"/>
  <c r="O162" i="1"/>
  <c r="R160" i="1"/>
  <c r="O181" i="1"/>
  <c r="R214" i="1"/>
  <c r="R184" i="1"/>
  <c r="R190" i="1"/>
  <c r="R205" i="1"/>
  <c r="O214" i="1"/>
  <c r="R202" i="1"/>
  <c r="R218" i="1"/>
  <c r="O148" i="1"/>
  <c r="R153" i="1"/>
  <c r="O177" i="1"/>
  <c r="R188" i="1"/>
  <c r="O155" i="1"/>
  <c r="O201" i="1"/>
  <c r="O149" i="1"/>
  <c r="O217" i="1"/>
  <c r="O186" i="1"/>
  <c r="R158" i="1"/>
  <c r="O169" i="1"/>
  <c r="O190" i="1"/>
  <c r="O153" i="1"/>
  <c r="O195" i="1"/>
  <c r="R163" i="1"/>
  <c r="O209" i="1"/>
  <c r="R165" i="1"/>
  <c r="R210" i="1"/>
  <c r="O210" i="1"/>
  <c r="O147" i="1"/>
  <c r="R167" i="1"/>
  <c r="O163" i="1"/>
  <c r="O205" i="1"/>
  <c r="R147" i="1"/>
  <c r="R169" i="1"/>
  <c r="O170" i="1"/>
  <c r="O175" i="1"/>
  <c r="R150" i="1"/>
  <c r="R220" i="1"/>
  <c r="O218" i="1"/>
  <c r="R174" i="1"/>
  <c r="R146" i="1"/>
  <c r="R155" i="1"/>
  <c r="R195" i="1"/>
  <c r="O202" i="1"/>
  <c r="R292" i="1"/>
  <c r="R186" i="1"/>
  <c r="O292" i="1"/>
  <c r="O161" i="1"/>
  <c r="O184" i="1"/>
  <c r="R162" i="1"/>
  <c r="R212" i="1"/>
  <c r="O178" i="1"/>
  <c r="R201" i="1"/>
  <c r="R168" i="1"/>
  <c r="R178" i="1"/>
  <c r="R149" i="1"/>
  <c r="O156" i="1"/>
  <c r="R194" i="1"/>
  <c r="R176" i="1"/>
  <c r="O176" i="1"/>
  <c r="R83" i="1"/>
  <c r="R88" i="1"/>
  <c r="R127" i="1"/>
  <c r="R110" i="1"/>
  <c r="R105" i="1"/>
  <c r="R75" i="1"/>
  <c r="R84" i="1"/>
  <c r="R113" i="1"/>
  <c r="R141" i="1"/>
  <c r="R104" i="1"/>
  <c r="R108" i="1"/>
  <c r="R77" i="1"/>
  <c r="R131" i="1"/>
  <c r="R58" i="1"/>
  <c r="R80" i="1"/>
  <c r="R133" i="1"/>
  <c r="R92" i="1"/>
  <c r="R120" i="1"/>
  <c r="R106" i="1"/>
  <c r="R98" i="1"/>
  <c r="R109" i="1"/>
  <c r="R118" i="1"/>
  <c r="R134" i="1"/>
  <c r="R122" i="1"/>
  <c r="R130" i="1"/>
  <c r="R87" i="1"/>
  <c r="R111" i="1"/>
  <c r="R142" i="1"/>
  <c r="R99" i="1"/>
  <c r="R112" i="1"/>
  <c r="R95" i="1"/>
  <c r="R136" i="1"/>
  <c r="R139" i="1"/>
  <c r="R135" i="1"/>
  <c r="R117" i="1"/>
  <c r="R137" i="1"/>
  <c r="R101" i="1"/>
  <c r="R125" i="1"/>
  <c r="R116" i="1"/>
  <c r="R107" i="1"/>
  <c r="R132" i="1"/>
  <c r="R115" i="1"/>
  <c r="R143" i="1"/>
  <c r="R89" i="1"/>
  <c r="R119" i="1"/>
  <c r="R124" i="1"/>
  <c r="R129" i="1"/>
  <c r="R126" i="1"/>
  <c r="R96" i="1"/>
  <c r="R121" i="1"/>
  <c r="R79" i="1"/>
  <c r="R78" i="1"/>
  <c r="R140" i="1"/>
  <c r="R81" i="1"/>
  <c r="R97" i="1"/>
  <c r="R144" i="1"/>
  <c r="R102" i="1"/>
  <c r="R86" i="1"/>
  <c r="R138" i="1"/>
  <c r="R82" i="1"/>
  <c r="R85" i="1"/>
  <c r="R114" i="1"/>
  <c r="R123" i="1"/>
  <c r="R94" i="1"/>
  <c r="R100" i="1"/>
  <c r="R76" i="1"/>
  <c r="R91" i="1"/>
  <c r="R103" i="1"/>
  <c r="R93" i="1"/>
  <c r="R128" i="1"/>
  <c r="S5" i="1"/>
  <c r="P174" i="1"/>
  <c r="AC174" i="1" s="1"/>
  <c r="S186" i="1"/>
  <c r="P163" i="1"/>
  <c r="AC163" i="1" s="1"/>
  <c r="S160" i="1"/>
  <c r="P150" i="1"/>
  <c r="AC150" i="1" s="1"/>
  <c r="P209" i="1"/>
  <c r="AC209" i="1" s="1"/>
  <c r="P176" i="1"/>
  <c r="AC176" i="1" s="1"/>
  <c r="P208" i="1"/>
  <c r="AC208" i="1" s="1"/>
  <c r="P219" i="1"/>
  <c r="S148" i="1"/>
  <c r="P215" i="1"/>
  <c r="AC215" i="1" s="1"/>
  <c r="S202" i="1"/>
  <c r="S172" i="1"/>
  <c r="S219" i="1"/>
  <c r="S217" i="1"/>
  <c r="S188" i="1"/>
  <c r="P199" i="1"/>
  <c r="AC199" i="1" s="1"/>
  <c r="P186" i="1"/>
  <c r="AC186" i="1" s="1"/>
  <c r="S214" i="1"/>
  <c r="P217" i="1"/>
  <c r="P165" i="1"/>
  <c r="AC165" i="1" s="1"/>
  <c r="S149" i="1"/>
  <c r="P202" i="1"/>
  <c r="AC202" i="1" s="1"/>
  <c r="P214" i="1"/>
  <c r="AC214" i="1" s="1"/>
  <c r="S292" i="1"/>
  <c r="P200" i="1"/>
  <c r="AC200" i="1" s="1"/>
  <c r="S165" i="1"/>
  <c r="S155" i="1"/>
  <c r="S207" i="1"/>
  <c r="S191" i="1"/>
  <c r="S179" i="1"/>
  <c r="S174" i="1"/>
  <c r="S199" i="1"/>
  <c r="S198" i="1"/>
  <c r="P148" i="1"/>
  <c r="AC148" i="1" s="1"/>
  <c r="P204" i="1"/>
  <c r="AC204" i="1" s="1"/>
  <c r="S146" i="1"/>
  <c r="P179" i="1"/>
  <c r="AC179" i="1" s="1"/>
  <c r="S203" i="1"/>
  <c r="P198" i="1"/>
  <c r="AC198" i="1" s="1"/>
  <c r="S215" i="1"/>
  <c r="P205" i="1"/>
  <c r="AC205" i="1" s="1"/>
  <c r="S204" i="1"/>
  <c r="S208" i="1"/>
  <c r="S218" i="1"/>
  <c r="P146" i="1"/>
  <c r="AC146" i="1" s="1"/>
  <c r="P203" i="1"/>
  <c r="AC203" i="1" s="1"/>
  <c r="S153" i="1"/>
  <c r="P220" i="1"/>
  <c r="P153" i="1"/>
  <c r="AC153" i="1" s="1"/>
  <c r="P161" i="1"/>
  <c r="AC161" i="1" s="1"/>
  <c r="P201" i="1"/>
  <c r="AC201" i="1" s="1"/>
  <c r="P178" i="1"/>
  <c r="AC178" i="1" s="1"/>
  <c r="P188" i="1"/>
  <c r="AC188" i="1" s="1"/>
  <c r="P197" i="1"/>
  <c r="AC197" i="1" s="1"/>
  <c r="S161" i="1"/>
  <c r="S163" i="1"/>
  <c r="S220" i="1"/>
  <c r="S150" i="1"/>
  <c r="P160" i="1"/>
  <c r="AC160" i="1" s="1"/>
  <c r="S173" i="1"/>
  <c r="P191" i="1"/>
  <c r="AC191" i="1" s="1"/>
  <c r="S200" i="1"/>
  <c r="S147" i="1"/>
  <c r="S178" i="1"/>
  <c r="S197" i="1"/>
  <c r="P292" i="1"/>
  <c r="S205" i="1"/>
  <c r="P172" i="1"/>
  <c r="AC172" i="1" s="1"/>
  <c r="P212" i="1"/>
  <c r="AC212" i="1" s="1"/>
  <c r="P155" i="1"/>
  <c r="AC155" i="1" s="1"/>
  <c r="S212" i="1"/>
  <c r="S162" i="1"/>
  <c r="S158" i="1"/>
  <c r="P158" i="1"/>
  <c r="AC158" i="1" s="1"/>
  <c r="S176" i="1"/>
  <c r="P149" i="1"/>
  <c r="AC149" i="1" s="1"/>
  <c r="S151" i="1"/>
  <c r="S209" i="1"/>
  <c r="P162" i="1"/>
  <c r="AC162" i="1" s="1"/>
  <c r="P169" i="1"/>
  <c r="AC169" i="1" s="1"/>
  <c r="P207" i="1"/>
  <c r="AC207" i="1" s="1"/>
  <c r="P185" i="1"/>
  <c r="AC185" i="1" s="1"/>
  <c r="S201" i="1"/>
  <c r="S211" i="1"/>
  <c r="P211" i="1"/>
  <c r="AC211" i="1" s="1"/>
  <c r="P173" i="1"/>
  <c r="AC173" i="1" s="1"/>
  <c r="P218" i="1"/>
  <c r="P170" i="1"/>
  <c r="AC170" i="1" s="1"/>
  <c r="S167" i="1"/>
  <c r="P177" i="1"/>
  <c r="AC177" i="1" s="1"/>
  <c r="P194" i="1"/>
  <c r="AC194" i="1" s="1"/>
  <c r="S182" i="1"/>
  <c r="S156" i="1"/>
  <c r="S210" i="1"/>
  <c r="P184" i="1"/>
  <c r="AC184" i="1" s="1"/>
  <c r="P213" i="1"/>
  <c r="AC213" i="1" s="1"/>
  <c r="P156" i="1"/>
  <c r="AC156" i="1" s="1"/>
  <c r="P210" i="1"/>
  <c r="AC210" i="1" s="1"/>
  <c r="S194" i="1"/>
  <c r="P182" i="1"/>
  <c r="AC182" i="1" s="1"/>
  <c r="S168" i="1"/>
  <c r="P147" i="1"/>
  <c r="AC147" i="1" s="1"/>
  <c r="S169" i="1"/>
  <c r="S189" i="1"/>
  <c r="S152" i="1"/>
  <c r="S195" i="1"/>
  <c r="P168" i="1"/>
  <c r="AC168" i="1" s="1"/>
  <c r="P152" i="1"/>
  <c r="AC152" i="1" s="1"/>
  <c r="S190" i="1"/>
  <c r="P195" i="1"/>
  <c r="AC195" i="1" s="1"/>
  <c r="S159" i="1"/>
  <c r="P183" i="1"/>
  <c r="AC183" i="1" s="1"/>
  <c r="S177" i="1"/>
  <c r="S184" i="1"/>
  <c r="S213" i="1"/>
  <c r="P189" i="1"/>
  <c r="AC189" i="1" s="1"/>
  <c r="S206" i="1"/>
  <c r="S175" i="1"/>
  <c r="P206" i="1"/>
  <c r="AC206" i="1" s="1"/>
  <c r="S183" i="1"/>
  <c r="P151" i="1"/>
  <c r="AC151" i="1" s="1"/>
  <c r="S181" i="1"/>
  <c r="S170" i="1"/>
  <c r="P159" i="1"/>
  <c r="AC159" i="1" s="1"/>
  <c r="P167" i="1"/>
  <c r="AC167" i="1" s="1"/>
  <c r="P190" i="1"/>
  <c r="AC190" i="1" s="1"/>
  <c r="P181" i="1"/>
  <c r="AC181" i="1" s="1"/>
  <c r="S185" i="1"/>
  <c r="S90" i="1"/>
  <c r="S117" i="1"/>
  <c r="S87" i="1"/>
  <c r="S77" i="1"/>
  <c r="S126" i="1"/>
  <c r="S119" i="1"/>
  <c r="S84" i="1"/>
  <c r="S108" i="1"/>
  <c r="S124" i="1"/>
  <c r="S116" i="1"/>
  <c r="S118" i="1"/>
  <c r="S107" i="1"/>
  <c r="S120" i="1"/>
  <c r="S80" i="1"/>
  <c r="S129" i="1"/>
  <c r="S103" i="1"/>
  <c r="S142" i="1"/>
  <c r="S93" i="1"/>
  <c r="S85" i="1"/>
  <c r="S144" i="1"/>
  <c r="S128" i="1"/>
  <c r="S115" i="1"/>
  <c r="S133" i="1"/>
  <c r="S91" i="1"/>
  <c r="S127" i="1"/>
  <c r="S100" i="1"/>
  <c r="S140" i="1"/>
  <c r="S82" i="1"/>
  <c r="S88" i="1"/>
  <c r="S121" i="1"/>
  <c r="S111" i="1"/>
  <c r="S94" i="1"/>
  <c r="S92" i="1"/>
  <c r="S112" i="1"/>
  <c r="S75" i="1"/>
  <c r="S81" i="1"/>
  <c r="S76" i="1"/>
  <c r="S79" i="1"/>
  <c r="S86" i="1"/>
  <c r="S143" i="1"/>
  <c r="S134" i="1"/>
  <c r="S138" i="1"/>
  <c r="S101" i="1"/>
  <c r="S102" i="1"/>
  <c r="S123" i="1"/>
  <c r="S137" i="1"/>
  <c r="S122" i="1"/>
  <c r="S131" i="1"/>
  <c r="S106" i="1"/>
  <c r="S114" i="1"/>
  <c r="S89" i="1"/>
  <c r="S78" i="1"/>
  <c r="S113" i="1"/>
  <c r="S97" i="1"/>
  <c r="S98" i="1"/>
  <c r="S136" i="1"/>
  <c r="S110" i="1"/>
  <c r="S135" i="1"/>
  <c r="S83" i="1"/>
  <c r="S125" i="1"/>
  <c r="S99" i="1"/>
  <c r="S139" i="1"/>
  <c r="S109" i="1"/>
  <c r="S96" i="1"/>
  <c r="S141" i="1"/>
  <c r="S132" i="1"/>
  <c r="S104" i="1"/>
  <c r="S95" i="1"/>
  <c r="S130" i="1"/>
  <c r="S105" i="1"/>
  <c r="S20" i="1"/>
  <c r="S10" i="1"/>
  <c r="S59" i="1"/>
  <c r="S33" i="1"/>
  <c r="S6" i="1"/>
  <c r="S7" i="1"/>
  <c r="S16" i="1"/>
  <c r="S57" i="1"/>
  <c r="S27" i="1"/>
  <c r="S15" i="1"/>
  <c r="S56" i="1"/>
  <c r="S38" i="1"/>
  <c r="S42" i="1"/>
  <c r="S68" i="1"/>
  <c r="S28" i="1"/>
  <c r="S17" i="1"/>
  <c r="S62" i="1"/>
  <c r="S8" i="1"/>
  <c r="S64" i="1"/>
  <c r="S39" i="1"/>
  <c r="S47" i="1"/>
  <c r="S69" i="1"/>
  <c r="S9" i="1"/>
  <c r="S41" i="1"/>
  <c r="S14" i="1"/>
  <c r="S54" i="1"/>
  <c r="S58" i="1"/>
  <c r="S40" i="1"/>
  <c r="S52" i="1"/>
  <c r="S53" i="1"/>
  <c r="S23" i="1"/>
  <c r="S11" i="1"/>
  <c r="S63" i="1"/>
  <c r="S29" i="1"/>
  <c r="S35" i="1"/>
  <c r="S26" i="1"/>
  <c r="S31" i="1"/>
  <c r="S44" i="1"/>
  <c r="S48" i="1"/>
  <c r="S24" i="1"/>
  <c r="S37" i="1"/>
  <c r="S55" i="1"/>
  <c r="S25" i="1"/>
  <c r="S50" i="1"/>
  <c r="S18" i="1"/>
  <c r="S43" i="1"/>
  <c r="S67" i="1"/>
  <c r="S65" i="1"/>
  <c r="S30" i="1"/>
  <c r="S13" i="1"/>
  <c r="S66" i="1"/>
  <c r="S34" i="1"/>
  <c r="S22" i="1"/>
  <c r="S19" i="1"/>
  <c r="S36" i="1"/>
  <c r="S45" i="1"/>
  <c r="S21" i="1"/>
  <c r="S51" i="1"/>
  <c r="S49" i="1"/>
  <c r="S60" i="1"/>
  <c r="S46" i="1"/>
  <c r="S12" i="1"/>
  <c r="S61" i="1"/>
  <c r="S32" i="1"/>
  <c r="Y74" i="1"/>
  <c r="AH74" i="1" s="1"/>
  <c r="Y73" i="1"/>
  <c r="AH73" i="1" s="1"/>
  <c r="Y70" i="1"/>
  <c r="AH70" i="1" s="1"/>
  <c r="P90" i="1"/>
  <c r="AC90" i="1" s="1"/>
  <c r="P20" i="1"/>
  <c r="AC20" i="1" s="1"/>
  <c r="P114" i="1"/>
  <c r="AC114" i="1" s="1"/>
  <c r="P103" i="1"/>
  <c r="AC103" i="1" s="1"/>
  <c r="P82" i="1"/>
  <c r="AC82" i="1" s="1"/>
  <c r="P89" i="1"/>
  <c r="AC89" i="1" s="1"/>
  <c r="P143" i="1"/>
  <c r="AC143" i="1" s="1"/>
  <c r="P91" i="1"/>
  <c r="AC91" i="1" s="1"/>
  <c r="P139" i="1"/>
  <c r="AC139" i="1" s="1"/>
  <c r="P119" i="1"/>
  <c r="AC119" i="1" s="1"/>
  <c r="P97" i="1"/>
  <c r="AC97" i="1" s="1"/>
  <c r="P111" i="1"/>
  <c r="AC111" i="1" s="1"/>
  <c r="P94" i="1"/>
  <c r="AC94" i="1" s="1"/>
  <c r="P77" i="1"/>
  <c r="AC77" i="1" s="1"/>
  <c r="P113" i="1"/>
  <c r="AC113" i="1" s="1"/>
  <c r="P137" i="1"/>
  <c r="AC137" i="1" s="1"/>
  <c r="P144" i="1"/>
  <c r="AC144" i="1" s="1"/>
  <c r="P80" i="1"/>
  <c r="AC80" i="1" s="1"/>
  <c r="P107" i="1"/>
  <c r="AC107" i="1" s="1"/>
  <c r="P134" i="1"/>
  <c r="AC134" i="1" s="1"/>
  <c r="P117" i="1"/>
  <c r="AC117" i="1" s="1"/>
  <c r="P116" i="1"/>
  <c r="AC116" i="1" s="1"/>
  <c r="P99" i="1"/>
  <c r="AC99" i="1" s="1"/>
  <c r="P100" i="1"/>
  <c r="AC100" i="1" s="1"/>
  <c r="P93" i="1"/>
  <c r="AC93" i="1" s="1"/>
  <c r="P110" i="1"/>
  <c r="AC110" i="1" s="1"/>
  <c r="P124" i="1"/>
  <c r="AC124" i="1" s="1"/>
  <c r="P81" i="1"/>
  <c r="AC81" i="1" s="1"/>
  <c r="P121" i="1"/>
  <c r="AC121" i="1" s="1"/>
  <c r="P88" i="1"/>
  <c r="AC88" i="1" s="1"/>
  <c r="P105" i="1"/>
  <c r="AC105" i="1" s="1"/>
  <c r="P132" i="1"/>
  <c r="AC132" i="1" s="1"/>
  <c r="P78" i="1"/>
  <c r="AC78" i="1" s="1"/>
  <c r="P95" i="1"/>
  <c r="AC95" i="1" s="1"/>
  <c r="P75" i="1"/>
  <c r="AC75" i="1" s="1"/>
  <c r="P92" i="1"/>
  <c r="AC92" i="1" s="1"/>
  <c r="P108" i="1"/>
  <c r="AC108" i="1" s="1"/>
  <c r="P86" i="1"/>
  <c r="AC86" i="1" s="1"/>
  <c r="P96" i="1"/>
  <c r="AC96" i="1" s="1"/>
  <c r="P125" i="1"/>
  <c r="AC125" i="1" s="1"/>
  <c r="P136" i="1"/>
  <c r="AC136" i="1" s="1"/>
  <c r="P123" i="1"/>
  <c r="AC123" i="1" s="1"/>
  <c r="P102" i="1"/>
  <c r="AC102" i="1" s="1"/>
  <c r="P85" i="1"/>
  <c r="AC85" i="1" s="1"/>
  <c r="P101" i="1"/>
  <c r="AC101" i="1" s="1"/>
  <c r="P127" i="1"/>
  <c r="AC127" i="1" s="1"/>
  <c r="P118" i="1"/>
  <c r="AC118" i="1" s="1"/>
  <c r="P104" i="1"/>
  <c r="AC104" i="1" s="1"/>
  <c r="P138" i="1"/>
  <c r="AC138" i="1" s="1"/>
  <c r="P142" i="1"/>
  <c r="AC142" i="1" s="1"/>
  <c r="P122" i="1"/>
  <c r="AC122" i="1" s="1"/>
  <c r="P84" i="1"/>
  <c r="AC84" i="1" s="1"/>
  <c r="P112" i="1"/>
  <c r="AC112" i="1" s="1"/>
  <c r="P126" i="1"/>
  <c r="AC126" i="1" s="1"/>
  <c r="P76" i="1"/>
  <c r="AC76" i="1" s="1"/>
  <c r="P131" i="1"/>
  <c r="AC131" i="1" s="1"/>
  <c r="P140" i="1"/>
  <c r="AC140" i="1" s="1"/>
  <c r="P135" i="1"/>
  <c r="AC135" i="1" s="1"/>
  <c r="P87" i="1"/>
  <c r="AC87" i="1" s="1"/>
  <c r="P115" i="1"/>
  <c r="AC115" i="1" s="1"/>
  <c r="P83" i="1"/>
  <c r="AC83" i="1" s="1"/>
  <c r="P129" i="1"/>
  <c r="AC129" i="1" s="1"/>
  <c r="P109" i="1"/>
  <c r="AC109" i="1" s="1"/>
  <c r="P141" i="1"/>
  <c r="AC141" i="1" s="1"/>
  <c r="P128" i="1"/>
  <c r="AC128" i="1" s="1"/>
  <c r="P106" i="1"/>
  <c r="AC106" i="1" s="1"/>
  <c r="P120" i="1"/>
  <c r="AC120" i="1" s="1"/>
  <c r="P130" i="1"/>
  <c r="AC130" i="1" s="1"/>
  <c r="P133" i="1"/>
  <c r="AC133" i="1" s="1"/>
  <c r="P79" i="1"/>
  <c r="AC79" i="1" s="1"/>
  <c r="P98" i="1"/>
  <c r="AC98" i="1" s="1"/>
  <c r="P30" i="1"/>
  <c r="AC30" i="1" s="1"/>
  <c r="P56" i="1"/>
  <c r="AC56" i="1" s="1"/>
  <c r="P7" i="1"/>
  <c r="AC7" i="1" s="1"/>
  <c r="P52" i="1"/>
  <c r="AC52" i="1" s="1"/>
  <c r="P26" i="1"/>
  <c r="AC26" i="1" s="1"/>
  <c r="P12" i="1"/>
  <c r="AC12" i="1" s="1"/>
  <c r="P13" i="1"/>
  <c r="AC13" i="1" s="1"/>
  <c r="P36" i="1"/>
  <c r="AC36" i="1" s="1"/>
  <c r="P16" i="1"/>
  <c r="AC16" i="1" s="1"/>
  <c r="P54" i="1"/>
  <c r="AC54" i="1" s="1"/>
  <c r="P49" i="1"/>
  <c r="AC49" i="1" s="1"/>
  <c r="P47" i="1"/>
  <c r="AC47" i="1" s="1"/>
  <c r="P43" i="1"/>
  <c r="AC43" i="1" s="1"/>
  <c r="P18" i="1"/>
  <c r="AC18" i="1" s="1"/>
  <c r="P24" i="1"/>
  <c r="AC24" i="1" s="1"/>
  <c r="P8" i="1"/>
  <c r="AC8" i="1" s="1"/>
  <c r="P33" i="1"/>
  <c r="AC33" i="1" s="1"/>
  <c r="P31" i="1"/>
  <c r="AC31" i="1" s="1"/>
  <c r="P44" i="1"/>
  <c r="AC44" i="1" s="1"/>
  <c r="P35" i="1"/>
  <c r="AC35" i="1" s="1"/>
  <c r="P39" i="1"/>
  <c r="AC39" i="1" s="1"/>
  <c r="P23" i="1"/>
  <c r="AC23" i="1" s="1"/>
  <c r="P66" i="1"/>
  <c r="AC66" i="1" s="1"/>
  <c r="P11" i="1"/>
  <c r="AC11" i="1" s="1"/>
  <c r="P51" i="1"/>
  <c r="AC51" i="1" s="1"/>
  <c r="P69" i="1"/>
  <c r="AC69" i="1" s="1"/>
  <c r="P17" i="1"/>
  <c r="AC17" i="1" s="1"/>
  <c r="P25" i="1"/>
  <c r="AC25" i="1" s="1"/>
  <c r="P9" i="1"/>
  <c r="AC9" i="1" s="1"/>
  <c r="P62" i="1"/>
  <c r="AC62" i="1" s="1"/>
  <c r="P45" i="1"/>
  <c r="AC45" i="1" s="1"/>
  <c r="P29" i="1"/>
  <c r="AC29" i="1" s="1"/>
  <c r="P63" i="1"/>
  <c r="AC63" i="1" s="1"/>
  <c r="P55" i="1"/>
  <c r="AC55" i="1" s="1"/>
  <c r="P37" i="1"/>
  <c r="AC37" i="1" s="1"/>
  <c r="P27" i="1"/>
  <c r="AC27" i="1" s="1"/>
  <c r="P21" i="1"/>
  <c r="AC21" i="1" s="1"/>
  <c r="P50" i="1"/>
  <c r="AC50" i="1" s="1"/>
  <c r="P15" i="1"/>
  <c r="AC15" i="1" s="1"/>
  <c r="P19" i="1"/>
  <c r="AC19" i="1" s="1"/>
  <c r="P65" i="1"/>
  <c r="AC65" i="1" s="1"/>
  <c r="P34" i="1"/>
  <c r="AC34" i="1" s="1"/>
  <c r="P10" i="1"/>
  <c r="AC10" i="1" s="1"/>
  <c r="P14" i="1"/>
  <c r="AC14" i="1" s="1"/>
  <c r="P53" i="1"/>
  <c r="AC53" i="1" s="1"/>
  <c r="P68" i="1"/>
  <c r="AC68" i="1" s="1"/>
  <c r="P59" i="1"/>
  <c r="AC59" i="1" s="1"/>
  <c r="P6" i="1"/>
  <c r="AC6" i="1" s="1"/>
  <c r="P64" i="1"/>
  <c r="AC64" i="1" s="1"/>
  <c r="P28" i="1"/>
  <c r="AC28" i="1" s="1"/>
  <c r="P58" i="1"/>
  <c r="AC58" i="1" s="1"/>
  <c r="P46" i="1"/>
  <c r="AC46" i="1" s="1"/>
  <c r="P48" i="1"/>
  <c r="AC48" i="1" s="1"/>
  <c r="P22" i="1"/>
  <c r="AC22" i="1" s="1"/>
  <c r="P38" i="1"/>
  <c r="AC38" i="1" s="1"/>
  <c r="P42" i="1"/>
  <c r="AC42" i="1" s="1"/>
  <c r="P60" i="1"/>
  <c r="AC60" i="1" s="1"/>
  <c r="P40" i="1"/>
  <c r="AC40" i="1" s="1"/>
  <c r="P41" i="1"/>
  <c r="AC41" i="1" s="1"/>
  <c r="P67" i="1"/>
  <c r="AC67" i="1" s="1"/>
  <c r="P57" i="1"/>
  <c r="AC57" i="1" s="1"/>
  <c r="P32" i="1"/>
  <c r="AC32" i="1" s="1"/>
  <c r="P61" i="1"/>
  <c r="AC61" i="1" s="1"/>
  <c r="Z61" i="1"/>
  <c r="AI61" i="1" s="1"/>
  <c r="X72" i="1"/>
  <c r="AG72" i="1" s="1"/>
  <c r="O72" i="1"/>
  <c r="AB72" i="1" s="1"/>
  <c r="AK72" i="1" s="1"/>
  <c r="M72" i="1"/>
  <c r="Y72" i="1"/>
  <c r="AH72" i="1" s="1"/>
  <c r="X70" i="1"/>
  <c r="AG70" i="1" s="1"/>
  <c r="O70" i="1"/>
  <c r="AB70" i="1" s="1"/>
  <c r="AK70" i="1" s="1"/>
  <c r="M71" i="1"/>
  <c r="S71" i="1" s="1"/>
  <c r="Y71" i="1"/>
  <c r="AH71" i="1" s="1"/>
  <c r="O90" i="1"/>
  <c r="AB90" i="1" s="1"/>
  <c r="AK90" i="1" s="1"/>
  <c r="O20" i="1"/>
  <c r="AB20" i="1" s="1"/>
  <c r="AK20" i="1" s="1"/>
  <c r="O121" i="1"/>
  <c r="AB121" i="1" s="1"/>
  <c r="AK121" i="1" s="1"/>
  <c r="O140" i="1"/>
  <c r="AB140" i="1" s="1"/>
  <c r="AK140" i="1" s="1"/>
  <c r="O115" i="1"/>
  <c r="AB115" i="1" s="1"/>
  <c r="AK115" i="1" s="1"/>
  <c r="O85" i="1"/>
  <c r="AB85" i="1" s="1"/>
  <c r="AK85" i="1" s="1"/>
  <c r="O97" i="1"/>
  <c r="AB97" i="1" s="1"/>
  <c r="AK97" i="1" s="1"/>
  <c r="O111" i="1"/>
  <c r="AB111" i="1" s="1"/>
  <c r="AK111" i="1" s="1"/>
  <c r="O84" i="1"/>
  <c r="AB84" i="1" s="1"/>
  <c r="AK84" i="1" s="1"/>
  <c r="O96" i="1"/>
  <c r="AB96" i="1" s="1"/>
  <c r="AK96" i="1" s="1"/>
  <c r="O134" i="1"/>
  <c r="AB134" i="1" s="1"/>
  <c r="AK134" i="1" s="1"/>
  <c r="O78" i="1"/>
  <c r="AB78" i="1" s="1"/>
  <c r="AK78" i="1" s="1"/>
  <c r="O102" i="1"/>
  <c r="AB102" i="1" s="1"/>
  <c r="AK102" i="1" s="1"/>
  <c r="O104" i="1"/>
  <c r="AB104" i="1" s="1"/>
  <c r="AK104" i="1" s="1"/>
  <c r="O120" i="1"/>
  <c r="AB120" i="1" s="1"/>
  <c r="AK120" i="1" s="1"/>
  <c r="O92" i="1"/>
  <c r="AB92" i="1" s="1"/>
  <c r="AK92" i="1" s="1"/>
  <c r="O87" i="1"/>
  <c r="AB87" i="1" s="1"/>
  <c r="AK87" i="1" s="1"/>
  <c r="O144" i="1"/>
  <c r="AB144" i="1" s="1"/>
  <c r="AK144" i="1" s="1"/>
  <c r="O76" i="1"/>
  <c r="AB76" i="1" s="1"/>
  <c r="AK76" i="1" s="1"/>
  <c r="O88" i="1"/>
  <c r="AB88" i="1" s="1"/>
  <c r="AK88" i="1" s="1"/>
  <c r="O100" i="1"/>
  <c r="AB100" i="1" s="1"/>
  <c r="AK100" i="1" s="1"/>
  <c r="O125" i="1"/>
  <c r="AB125" i="1" s="1"/>
  <c r="AK125" i="1" s="1"/>
  <c r="O131" i="1"/>
  <c r="AB131" i="1" s="1"/>
  <c r="AK131" i="1" s="1"/>
  <c r="O116" i="1"/>
  <c r="AB116" i="1" s="1"/>
  <c r="AK116" i="1" s="1"/>
  <c r="O138" i="1"/>
  <c r="AB138" i="1" s="1"/>
  <c r="AK138" i="1" s="1"/>
  <c r="O94" i="1"/>
  <c r="AB94" i="1" s="1"/>
  <c r="AK94" i="1" s="1"/>
  <c r="O107" i="1"/>
  <c r="AB107" i="1" s="1"/>
  <c r="AK107" i="1" s="1"/>
  <c r="O109" i="1"/>
  <c r="AB109" i="1" s="1"/>
  <c r="AK109" i="1" s="1"/>
  <c r="O139" i="1"/>
  <c r="AB139" i="1" s="1"/>
  <c r="AK139" i="1" s="1"/>
  <c r="O95" i="1"/>
  <c r="AB95" i="1" s="1"/>
  <c r="AK95" i="1" s="1"/>
  <c r="O112" i="1"/>
  <c r="AB112" i="1" s="1"/>
  <c r="AK112" i="1" s="1"/>
  <c r="O103" i="1"/>
  <c r="AB103" i="1" s="1"/>
  <c r="AK103" i="1" s="1"/>
  <c r="O83" i="1"/>
  <c r="AB83" i="1" s="1"/>
  <c r="AK83" i="1" s="1"/>
  <c r="O86" i="1"/>
  <c r="AB86" i="1" s="1"/>
  <c r="AK86" i="1" s="1"/>
  <c r="O114" i="1"/>
  <c r="AB114" i="1" s="1"/>
  <c r="AK114" i="1" s="1"/>
  <c r="O105" i="1"/>
  <c r="AB105" i="1" s="1"/>
  <c r="AK105" i="1" s="1"/>
  <c r="O141" i="1"/>
  <c r="AB141" i="1" s="1"/>
  <c r="AK141" i="1" s="1"/>
  <c r="O99" i="1"/>
  <c r="AB99" i="1" s="1"/>
  <c r="AK99" i="1" s="1"/>
  <c r="O142" i="1"/>
  <c r="AB142" i="1" s="1"/>
  <c r="AK142" i="1" s="1"/>
  <c r="O117" i="1"/>
  <c r="AB117" i="1" s="1"/>
  <c r="AK117" i="1" s="1"/>
  <c r="O128" i="1"/>
  <c r="AB128" i="1" s="1"/>
  <c r="O118" i="1"/>
  <c r="AB118" i="1" s="1"/>
  <c r="AK118" i="1" s="1"/>
  <c r="O91" i="1"/>
  <c r="AB91" i="1" s="1"/>
  <c r="AK91" i="1" s="1"/>
  <c r="O130" i="1"/>
  <c r="AB130" i="1" s="1"/>
  <c r="AK130" i="1" s="1"/>
  <c r="O122" i="1"/>
  <c r="AB122" i="1" s="1"/>
  <c r="AK122" i="1" s="1"/>
  <c r="O137" i="1"/>
  <c r="AB137" i="1" s="1"/>
  <c r="AK137" i="1" s="1"/>
  <c r="O89" i="1"/>
  <c r="AB89" i="1" s="1"/>
  <c r="AK89" i="1" s="1"/>
  <c r="O123" i="1"/>
  <c r="AB123" i="1" s="1"/>
  <c r="AK123" i="1" s="1"/>
  <c r="O133" i="1"/>
  <c r="AB133" i="1" s="1"/>
  <c r="AK133" i="1" s="1"/>
  <c r="O124" i="1"/>
  <c r="AB124" i="1" s="1"/>
  <c r="AK124" i="1" s="1"/>
  <c r="O81" i="1"/>
  <c r="AB81" i="1" s="1"/>
  <c r="AK81" i="1" s="1"/>
  <c r="O127" i="1"/>
  <c r="AB127" i="1" s="1"/>
  <c r="AK127" i="1" s="1"/>
  <c r="O119" i="1"/>
  <c r="AB119" i="1" s="1"/>
  <c r="AK119" i="1" s="1"/>
  <c r="O110" i="1"/>
  <c r="AB110" i="1" s="1"/>
  <c r="AK110" i="1" s="1"/>
  <c r="O77" i="1"/>
  <c r="AB77" i="1" s="1"/>
  <c r="AK77" i="1" s="1"/>
  <c r="O113" i="1"/>
  <c r="AB113" i="1" s="1"/>
  <c r="AK113" i="1" s="1"/>
  <c r="O129" i="1"/>
  <c r="AB129" i="1" s="1"/>
  <c r="AK129" i="1" s="1"/>
  <c r="O98" i="1"/>
  <c r="AB98" i="1" s="1"/>
  <c r="AK98" i="1" s="1"/>
  <c r="O79" i="1"/>
  <c r="AB79" i="1" s="1"/>
  <c r="AK79" i="1" s="1"/>
  <c r="O132" i="1"/>
  <c r="AB132" i="1" s="1"/>
  <c r="AK132" i="1" s="1"/>
  <c r="O82" i="1"/>
  <c r="AB82" i="1" s="1"/>
  <c r="AK82" i="1" s="1"/>
  <c r="O143" i="1"/>
  <c r="AB143" i="1" s="1"/>
  <c r="AK143" i="1" s="1"/>
  <c r="O108" i="1"/>
  <c r="AB108" i="1" s="1"/>
  <c r="AK108" i="1" s="1"/>
  <c r="O136" i="1"/>
  <c r="AB136" i="1" s="1"/>
  <c r="AK136" i="1" s="1"/>
  <c r="O126" i="1"/>
  <c r="AB126" i="1" s="1"/>
  <c r="AK126" i="1" s="1"/>
  <c r="O101" i="1"/>
  <c r="AB101" i="1" s="1"/>
  <c r="AK101" i="1" s="1"/>
  <c r="O106" i="1"/>
  <c r="AB106" i="1" s="1"/>
  <c r="AK106" i="1" s="1"/>
  <c r="O93" i="1"/>
  <c r="AB93" i="1" s="1"/>
  <c r="AK93" i="1" s="1"/>
  <c r="O135" i="1"/>
  <c r="AB135" i="1" s="1"/>
  <c r="AK135" i="1" s="1"/>
  <c r="O80" i="1"/>
  <c r="AB80" i="1" s="1"/>
  <c r="AK80" i="1" s="1"/>
  <c r="O75" i="1"/>
  <c r="AB75" i="1" s="1"/>
  <c r="AK75" i="1" s="1"/>
  <c r="Z5" i="1"/>
  <c r="AI5" i="1" s="1"/>
  <c r="P5" i="1"/>
  <c r="AC5" i="1" s="1"/>
  <c r="X71" i="1"/>
  <c r="AG71" i="1" s="1"/>
  <c r="O71" i="1"/>
  <c r="AB71" i="1" s="1"/>
  <c r="AK71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34" i="28"/>
  <c r="U231" i="28"/>
  <c r="U230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V59" i="28"/>
  <c r="X59" i="28" s="1"/>
  <c r="V61" i="28"/>
  <c r="X61" i="28" s="1"/>
  <c r="V37" i="28"/>
  <c r="X37" i="28" s="1"/>
  <c r="V203" i="28"/>
  <c r="X203" i="28" s="1"/>
  <c r="V226" i="28"/>
  <c r="X226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228" i="28"/>
  <c r="X228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29" i="28"/>
  <c r="X229" i="28" s="1"/>
  <c r="V246" i="28"/>
  <c r="X246" i="28" s="1"/>
  <c r="W207" i="28"/>
  <c r="Y207" i="28" s="1"/>
  <c r="F30" i="55"/>
  <c r="W79" i="28"/>
  <c r="Y79" i="28" s="1"/>
  <c r="W107" i="28"/>
  <c r="Y107" i="28" s="1"/>
  <c r="W235" i="28"/>
  <c r="Y235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23" i="28"/>
  <c r="X223" i="28" s="1"/>
  <c r="V225" i="28"/>
  <c r="X225" i="28" s="1"/>
  <c r="V227" i="28"/>
  <c r="X227" i="28" s="1"/>
  <c r="V235" i="28"/>
  <c r="X23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4" i="28"/>
  <c r="X234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27" i="28"/>
  <c r="Y227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31" i="28"/>
  <c r="Y231" i="28" s="1"/>
  <c r="W247" i="28"/>
  <c r="Y247" i="28" s="1"/>
  <c r="K74" i="1"/>
  <c r="R74" i="1" s="1"/>
  <c r="K49" i="1"/>
  <c r="R49" i="1" s="1"/>
  <c r="K68" i="1"/>
  <c r="R68" i="1" s="1"/>
  <c r="K64" i="1"/>
  <c r="R64" i="1" s="1"/>
  <c r="K60" i="1"/>
  <c r="R60" i="1" s="1"/>
  <c r="K57" i="1"/>
  <c r="R57" i="1" s="1"/>
  <c r="K53" i="1"/>
  <c r="R53" i="1" s="1"/>
  <c r="K46" i="1"/>
  <c r="R46" i="1" s="1"/>
  <c r="K42" i="1"/>
  <c r="R42" i="1" s="1"/>
  <c r="K37" i="1"/>
  <c r="R37" i="1" s="1"/>
  <c r="K33" i="1"/>
  <c r="R33" i="1" s="1"/>
  <c r="K29" i="1"/>
  <c r="R29" i="1" s="1"/>
  <c r="K25" i="1"/>
  <c r="R25" i="1" s="1"/>
  <c r="K21" i="1"/>
  <c r="R21" i="1" s="1"/>
  <c r="K16" i="1"/>
  <c r="R16" i="1" s="1"/>
  <c r="K12" i="1"/>
  <c r="R12" i="1" s="1"/>
  <c r="K8" i="1"/>
  <c r="R8" i="1" s="1"/>
  <c r="K67" i="1"/>
  <c r="R67" i="1" s="1"/>
  <c r="K63" i="1"/>
  <c r="R63" i="1" s="1"/>
  <c r="K59" i="1"/>
  <c r="R59" i="1" s="1"/>
  <c r="K56" i="1"/>
  <c r="R56" i="1" s="1"/>
  <c r="K45" i="1"/>
  <c r="R45" i="1" s="1"/>
  <c r="K41" i="1"/>
  <c r="R41" i="1" s="1"/>
  <c r="K40" i="1"/>
  <c r="R40" i="1" s="1"/>
  <c r="K36" i="1"/>
  <c r="R36" i="1" s="1"/>
  <c r="K32" i="1"/>
  <c r="R32" i="1" s="1"/>
  <c r="K28" i="1"/>
  <c r="R28" i="1" s="1"/>
  <c r="K24" i="1"/>
  <c r="R24" i="1" s="1"/>
  <c r="K19" i="1"/>
  <c r="R19" i="1" s="1"/>
  <c r="K15" i="1"/>
  <c r="R15" i="1" s="1"/>
  <c r="K11" i="1"/>
  <c r="R11" i="1" s="1"/>
  <c r="K7" i="1"/>
  <c r="R7" i="1" s="1"/>
  <c r="K66" i="1"/>
  <c r="R66" i="1" s="1"/>
  <c r="K62" i="1"/>
  <c r="R62" i="1" s="1"/>
  <c r="K55" i="1"/>
  <c r="R55" i="1" s="1"/>
  <c r="K52" i="1"/>
  <c r="R52" i="1" s="1"/>
  <c r="K51" i="1"/>
  <c r="R51" i="1" s="1"/>
  <c r="K48" i="1"/>
  <c r="R48" i="1" s="1"/>
  <c r="K44" i="1"/>
  <c r="R44" i="1" s="1"/>
  <c r="K39" i="1"/>
  <c r="R39" i="1" s="1"/>
  <c r="K35" i="1"/>
  <c r="R35" i="1" s="1"/>
  <c r="K31" i="1"/>
  <c r="R31" i="1" s="1"/>
  <c r="K27" i="1"/>
  <c r="R27" i="1" s="1"/>
  <c r="K23" i="1"/>
  <c r="R23" i="1" s="1"/>
  <c r="K18" i="1"/>
  <c r="R18" i="1" s="1"/>
  <c r="K14" i="1"/>
  <c r="R14" i="1" s="1"/>
  <c r="K10" i="1"/>
  <c r="R10" i="1" s="1"/>
  <c r="K6" i="1"/>
  <c r="R6" i="1" s="1"/>
  <c r="K69" i="1"/>
  <c r="R69" i="1" s="1"/>
  <c r="K65" i="1"/>
  <c r="R65" i="1" s="1"/>
  <c r="K61" i="1"/>
  <c r="R61" i="1" s="1"/>
  <c r="K54" i="1"/>
  <c r="R54" i="1" s="1"/>
  <c r="K50" i="1"/>
  <c r="R50" i="1" s="1"/>
  <c r="K47" i="1"/>
  <c r="R47" i="1" s="1"/>
  <c r="K43" i="1"/>
  <c r="R43" i="1" s="1"/>
  <c r="K38" i="1"/>
  <c r="R38" i="1" s="1"/>
  <c r="K34" i="1"/>
  <c r="R34" i="1" s="1"/>
  <c r="K30" i="1"/>
  <c r="R30" i="1" s="1"/>
  <c r="K26" i="1"/>
  <c r="R26" i="1" s="1"/>
  <c r="K22" i="1"/>
  <c r="R22" i="1" s="1"/>
  <c r="K17" i="1"/>
  <c r="R17" i="1" s="1"/>
  <c r="K13" i="1"/>
  <c r="R13" i="1" s="1"/>
  <c r="K9" i="1"/>
  <c r="R9" i="1" s="1"/>
  <c r="K5" i="1"/>
  <c r="R5" i="1" s="1"/>
  <c r="H4" i="29"/>
  <c r="R3" i="21" s="1"/>
  <c r="E9" i="21" s="1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26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U232" i="28"/>
  <c r="U228" i="28"/>
  <c r="K73" i="1"/>
  <c r="R73" i="1" s="1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35" i="28"/>
  <c r="U227" i="28"/>
  <c r="U223" i="28"/>
  <c r="U219" i="28"/>
  <c r="U211" i="28"/>
  <c r="U203" i="28"/>
  <c r="U199" i="28"/>
  <c r="U195" i="28"/>
  <c r="U229" i="28"/>
  <c r="U241" i="28"/>
  <c r="U245" i="28"/>
  <c r="U253" i="28"/>
  <c r="U249" i="28"/>
  <c r="U233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20" i="28"/>
  <c r="Y220" i="28" s="1"/>
  <c r="W224" i="28"/>
  <c r="Y224" i="28" s="1"/>
  <c r="W228" i="28"/>
  <c r="Y228" i="28" s="1"/>
  <c r="W232" i="28"/>
  <c r="Y232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29" i="28"/>
  <c r="Y229" i="28" s="1"/>
  <c r="W233" i="28"/>
  <c r="Y233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26" i="28"/>
  <c r="Y226" i="28" s="1"/>
  <c r="W230" i="28"/>
  <c r="Y230" i="28" s="1"/>
  <c r="W234" i="28"/>
  <c r="Y234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30" i="28"/>
  <c r="X230" i="28" s="1"/>
  <c r="V231" i="28"/>
  <c r="X231" i="28" s="1"/>
  <c r="V232" i="28"/>
  <c r="X232" i="28" s="1"/>
  <c r="V233" i="28"/>
  <c r="X233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M73" i="1"/>
  <c r="S73" i="1" s="1"/>
  <c r="M70" i="1"/>
  <c r="S70" i="1" s="1"/>
  <c r="M74" i="1"/>
  <c r="S74" i="1" s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T361" i="1" l="1"/>
  <c r="T362" i="1"/>
  <c r="T360" i="1"/>
  <c r="T295" i="1"/>
  <c r="T357" i="1"/>
  <c r="AB352" i="1"/>
  <c r="AK352" i="1" s="1"/>
  <c r="AD352" i="1"/>
  <c r="AB343" i="1"/>
  <c r="AK343" i="1" s="1"/>
  <c r="AD343" i="1"/>
  <c r="AB299" i="1"/>
  <c r="AK299" i="1" s="1"/>
  <c r="Q299" i="1"/>
  <c r="AD299" i="1" s="1"/>
  <c r="AB325" i="1"/>
  <c r="AK325" i="1" s="1"/>
  <c r="AD325" i="1"/>
  <c r="AB298" i="1"/>
  <c r="AK298" i="1" s="1"/>
  <c r="Q298" i="1"/>
  <c r="AD298" i="1" s="1"/>
  <c r="AB296" i="1"/>
  <c r="AK296" i="1" s="1"/>
  <c r="Q296" i="1"/>
  <c r="AD296" i="1" s="1"/>
  <c r="AB346" i="1"/>
  <c r="AK346" i="1" s="1"/>
  <c r="AD346" i="1"/>
  <c r="AB327" i="1"/>
  <c r="AK327" i="1" s="1"/>
  <c r="AD327" i="1"/>
  <c r="AB342" i="1"/>
  <c r="AK342" i="1" s="1"/>
  <c r="AD342" i="1"/>
  <c r="T363" i="1"/>
  <c r="AB354" i="1"/>
  <c r="AK354" i="1" s="1"/>
  <c r="AD354" i="1"/>
  <c r="AB323" i="1"/>
  <c r="AK323" i="1" s="1"/>
  <c r="AD323" i="1"/>
  <c r="AB302" i="1"/>
  <c r="AK302" i="1" s="1"/>
  <c r="AD302" i="1"/>
  <c r="AB313" i="1"/>
  <c r="AK313" i="1" s="1"/>
  <c r="AD313" i="1"/>
  <c r="AB308" i="1"/>
  <c r="AK308" i="1" s="1"/>
  <c r="AD308" i="1"/>
  <c r="AB301" i="1"/>
  <c r="AK301" i="1" s="1"/>
  <c r="Q301" i="1"/>
  <c r="AD301" i="1" s="1"/>
  <c r="AB359" i="1"/>
  <c r="AK359" i="1" s="1"/>
  <c r="Q359" i="1"/>
  <c r="AD359" i="1" s="1"/>
  <c r="T298" i="1"/>
  <c r="T356" i="1"/>
  <c r="AB345" i="1"/>
  <c r="AK345" i="1" s="1"/>
  <c r="AD345" i="1"/>
  <c r="AB329" i="1"/>
  <c r="AK329" i="1" s="1"/>
  <c r="AD329" i="1"/>
  <c r="AB357" i="1"/>
  <c r="AK357" i="1" s="1"/>
  <c r="Q357" i="1"/>
  <c r="AD357" i="1" s="1"/>
  <c r="AB348" i="1"/>
  <c r="AK348" i="1" s="1"/>
  <c r="AD348" i="1"/>
  <c r="AB319" i="1"/>
  <c r="AK319" i="1" s="1"/>
  <c r="AD319" i="1"/>
  <c r="AB314" i="1"/>
  <c r="AK314" i="1" s="1"/>
  <c r="AD314" i="1"/>
  <c r="AB362" i="1"/>
  <c r="AK362" i="1" s="1"/>
  <c r="Q362" i="1"/>
  <c r="AD362" i="1" s="1"/>
  <c r="AB351" i="1"/>
  <c r="AK351" i="1" s="1"/>
  <c r="AD351" i="1"/>
  <c r="AB303" i="1"/>
  <c r="AK303" i="1" s="1"/>
  <c r="AD303" i="1"/>
  <c r="AB328" i="1"/>
  <c r="AK328" i="1" s="1"/>
  <c r="AD328" i="1"/>
  <c r="AB330" i="1"/>
  <c r="AK330" i="1" s="1"/>
  <c r="AD330" i="1"/>
  <c r="AB344" i="1"/>
  <c r="AK344" i="1" s="1"/>
  <c r="AD344" i="1"/>
  <c r="AB361" i="1"/>
  <c r="AK361" i="1" s="1"/>
  <c r="Q361" i="1"/>
  <c r="AD361" i="1" s="1"/>
  <c r="T359" i="1"/>
  <c r="T293" i="1"/>
  <c r="AB322" i="1"/>
  <c r="AK322" i="1" s="1"/>
  <c r="AD322" i="1"/>
  <c r="AB336" i="1"/>
  <c r="AK336" i="1" s="1"/>
  <c r="AD336" i="1"/>
  <c r="AB353" i="1"/>
  <c r="AK353" i="1" s="1"/>
  <c r="AD353" i="1"/>
  <c r="AB317" i="1"/>
  <c r="AK317" i="1" s="1"/>
  <c r="AD317" i="1"/>
  <c r="AB340" i="1"/>
  <c r="AK340" i="1" s="1"/>
  <c r="AD340" i="1"/>
  <c r="AB349" i="1"/>
  <c r="AK349" i="1" s="1"/>
  <c r="AD349" i="1"/>
  <c r="AB333" i="1"/>
  <c r="AK333" i="1" s="1"/>
  <c r="AD333" i="1"/>
  <c r="AB315" i="1"/>
  <c r="AK315" i="1" s="1"/>
  <c r="AD315" i="1"/>
  <c r="AB306" i="1"/>
  <c r="AK306" i="1" s="1"/>
  <c r="AD306" i="1"/>
  <c r="AB321" i="1"/>
  <c r="AK321" i="1" s="1"/>
  <c r="AD321" i="1"/>
  <c r="AB341" i="1"/>
  <c r="AK341" i="1" s="1"/>
  <c r="AD341" i="1"/>
  <c r="AB307" i="1"/>
  <c r="AK307" i="1" s="1"/>
  <c r="AD307" i="1"/>
  <c r="T297" i="1"/>
  <c r="T299" i="1"/>
  <c r="AB293" i="1"/>
  <c r="AK293" i="1" s="1"/>
  <c r="Q293" i="1"/>
  <c r="AD293" i="1" s="1"/>
  <c r="AB337" i="1"/>
  <c r="AK337" i="1" s="1"/>
  <c r="AD337" i="1"/>
  <c r="AB339" i="1"/>
  <c r="AK339" i="1" s="1"/>
  <c r="AD339" i="1"/>
  <c r="AB335" i="1"/>
  <c r="AK335" i="1" s="1"/>
  <c r="AD335" i="1"/>
  <c r="AB347" i="1"/>
  <c r="AK347" i="1" s="1"/>
  <c r="AD347" i="1"/>
  <c r="AB356" i="1"/>
  <c r="AK356" i="1" s="1"/>
  <c r="Q356" i="1"/>
  <c r="AD356" i="1" s="1"/>
  <c r="AB295" i="1"/>
  <c r="AK295" i="1" s="1"/>
  <c r="Q295" i="1"/>
  <c r="AD295" i="1" s="1"/>
  <c r="AB300" i="1"/>
  <c r="AK300" i="1" s="1"/>
  <c r="Q300" i="1"/>
  <c r="AD300" i="1" s="1"/>
  <c r="AB360" i="1"/>
  <c r="AK360" i="1" s="1"/>
  <c r="Q360" i="1"/>
  <c r="AD360" i="1" s="1"/>
  <c r="AB326" i="1"/>
  <c r="AK326" i="1" s="1"/>
  <c r="AD326" i="1"/>
  <c r="AB332" i="1"/>
  <c r="AK332" i="1" s="1"/>
  <c r="AD332" i="1"/>
  <c r="AB320" i="1"/>
  <c r="AK320" i="1" s="1"/>
  <c r="AD320" i="1"/>
  <c r="T300" i="1"/>
  <c r="AB355" i="1"/>
  <c r="AK355" i="1" s="1"/>
  <c r="AD355" i="1"/>
  <c r="AB297" i="1"/>
  <c r="AK297" i="1" s="1"/>
  <c r="Q297" i="1"/>
  <c r="AD297" i="1" s="1"/>
  <c r="AB324" i="1"/>
  <c r="AK324" i="1" s="1"/>
  <c r="AD324" i="1"/>
  <c r="AB350" i="1"/>
  <c r="AK350" i="1" s="1"/>
  <c r="AD350" i="1"/>
  <c r="T294" i="1"/>
  <c r="AB316" i="1"/>
  <c r="AK316" i="1" s="1"/>
  <c r="AD316" i="1"/>
  <c r="AB334" i="1"/>
  <c r="AK334" i="1" s="1"/>
  <c r="AD334" i="1"/>
  <c r="AB304" i="1"/>
  <c r="AK304" i="1" s="1"/>
  <c r="AD304" i="1"/>
  <c r="AB305" i="1"/>
  <c r="AK305" i="1" s="1"/>
  <c r="AD305" i="1"/>
  <c r="AB358" i="1"/>
  <c r="AK358" i="1" s="1"/>
  <c r="Q358" i="1"/>
  <c r="AD358" i="1" s="1"/>
  <c r="AB309" i="1"/>
  <c r="AK309" i="1" s="1"/>
  <c r="AD309" i="1"/>
  <c r="AB338" i="1"/>
  <c r="AK338" i="1" s="1"/>
  <c r="AD338" i="1"/>
  <c r="AB294" i="1"/>
  <c r="AK294" i="1" s="1"/>
  <c r="Q294" i="1"/>
  <c r="AD294" i="1" s="1"/>
  <c r="AB331" i="1"/>
  <c r="AK331" i="1" s="1"/>
  <c r="AD331" i="1"/>
  <c r="AD312" i="1"/>
  <c r="AB312" i="1"/>
  <c r="AK312" i="1" s="1"/>
  <c r="T296" i="1"/>
  <c r="AB363" i="1"/>
  <c r="AK363" i="1" s="1"/>
  <c r="Q363" i="1"/>
  <c r="AD363" i="1" s="1"/>
  <c r="AB310" i="1"/>
  <c r="AK310" i="1" s="1"/>
  <c r="AD310" i="1"/>
  <c r="AB311" i="1"/>
  <c r="AK311" i="1" s="1"/>
  <c r="AD311" i="1"/>
  <c r="AB318" i="1"/>
  <c r="AK318" i="1" s="1"/>
  <c r="AD318" i="1"/>
  <c r="AB241" i="1"/>
  <c r="AK241" i="1" s="1"/>
  <c r="Q241" i="1"/>
  <c r="AD241" i="1" s="1"/>
  <c r="T241" i="1"/>
  <c r="T267" i="1"/>
  <c r="T221" i="1"/>
  <c r="AB267" i="1"/>
  <c r="AK267" i="1" s="1"/>
  <c r="Q267" i="1"/>
  <c r="AD267" i="1" s="1"/>
  <c r="T243" i="1"/>
  <c r="AB243" i="1"/>
  <c r="AK243" i="1" s="1"/>
  <c r="Q243" i="1"/>
  <c r="AD243" i="1" s="1"/>
  <c r="AB221" i="1"/>
  <c r="AK221" i="1" s="1"/>
  <c r="Q221" i="1"/>
  <c r="AD221" i="1" s="1"/>
  <c r="T250" i="1"/>
  <c r="T291" i="1"/>
  <c r="AB250" i="1"/>
  <c r="AK250" i="1" s="1"/>
  <c r="Q250" i="1"/>
  <c r="AD250" i="1" s="1"/>
  <c r="AB291" i="1"/>
  <c r="AK291" i="1" s="1"/>
  <c r="Q291" i="1"/>
  <c r="AD291" i="1" s="1"/>
  <c r="Z212" i="28"/>
  <c r="AA212" i="28" s="1"/>
  <c r="T67" i="1"/>
  <c r="T229" i="1"/>
  <c r="T232" i="1"/>
  <c r="T224" i="1"/>
  <c r="T227" i="1"/>
  <c r="T265" i="1"/>
  <c r="T234" i="1"/>
  <c r="T236" i="1"/>
  <c r="T239" i="1"/>
  <c r="T273" i="1"/>
  <c r="AB242" i="1"/>
  <c r="AK242" i="1" s="1"/>
  <c r="Q242" i="1"/>
  <c r="AD242" i="1" s="1"/>
  <c r="T242" i="1"/>
  <c r="T230" i="1"/>
  <c r="T277" i="1"/>
  <c r="T252" i="1"/>
  <c r="T271" i="1"/>
  <c r="T287" i="1"/>
  <c r="T247" i="1"/>
  <c r="T285" i="1"/>
  <c r="T237" i="1"/>
  <c r="T289" i="1"/>
  <c r="T275" i="1"/>
  <c r="T266" i="1"/>
  <c r="T288" i="1"/>
  <c r="AB239" i="1"/>
  <c r="AK239" i="1" s="1"/>
  <c r="Q239" i="1"/>
  <c r="AD239" i="1" s="1"/>
  <c r="T251" i="1"/>
  <c r="T270" i="1"/>
  <c r="T249" i="1"/>
  <c r="T284" i="1"/>
  <c r="AB222" i="1"/>
  <c r="AK222" i="1" s="1"/>
  <c r="Q222" i="1"/>
  <c r="AD222" i="1" s="1"/>
  <c r="T290" i="1"/>
  <c r="AB262" i="1"/>
  <c r="AK262" i="1" s="1"/>
  <c r="Q262" i="1"/>
  <c r="AD262" i="1" s="1"/>
  <c r="AB226" i="1"/>
  <c r="AK226" i="1" s="1"/>
  <c r="Q226" i="1"/>
  <c r="AD226" i="1" s="1"/>
  <c r="AB276" i="1"/>
  <c r="AK276" i="1" s="1"/>
  <c r="Q276" i="1"/>
  <c r="AD276" i="1" s="1"/>
  <c r="T246" i="1"/>
  <c r="AB245" i="1"/>
  <c r="AK245" i="1" s="1"/>
  <c r="Q245" i="1"/>
  <c r="AD245" i="1" s="1"/>
  <c r="AB264" i="1"/>
  <c r="AK264" i="1" s="1"/>
  <c r="Q264" i="1"/>
  <c r="AD264" i="1" s="1"/>
  <c r="AB266" i="1"/>
  <c r="AK266" i="1" s="1"/>
  <c r="Q266" i="1"/>
  <c r="AD266" i="1" s="1"/>
  <c r="AB248" i="1"/>
  <c r="AK248" i="1" s="1"/>
  <c r="Q248" i="1"/>
  <c r="AD248" i="1" s="1"/>
  <c r="AB263" i="1"/>
  <c r="AK263" i="1" s="1"/>
  <c r="Q263" i="1"/>
  <c r="AD263" i="1" s="1"/>
  <c r="AB270" i="1"/>
  <c r="AK270" i="1" s="1"/>
  <c r="Q270" i="1"/>
  <c r="AD270" i="1" s="1"/>
  <c r="T238" i="1"/>
  <c r="T276" i="1"/>
  <c r="AB229" i="1"/>
  <c r="AK229" i="1" s="1"/>
  <c r="Q229" i="1"/>
  <c r="AD229" i="1" s="1"/>
  <c r="T235" i="1"/>
  <c r="T244" i="1"/>
  <c r="T255" i="1"/>
  <c r="T258" i="1"/>
  <c r="AB274" i="1"/>
  <c r="AK274" i="1" s="1"/>
  <c r="AD274" i="1"/>
  <c r="T245" i="1"/>
  <c r="AB247" i="1"/>
  <c r="AK247" i="1" s="1"/>
  <c r="Q247" i="1"/>
  <c r="AD247" i="1" s="1"/>
  <c r="AB265" i="1"/>
  <c r="AK265" i="1" s="1"/>
  <c r="Q265" i="1"/>
  <c r="AD265" i="1" s="1"/>
  <c r="T274" i="1"/>
  <c r="AB240" i="1"/>
  <c r="AK240" i="1" s="1"/>
  <c r="Q240" i="1"/>
  <c r="AD240" i="1" s="1"/>
  <c r="AB289" i="1"/>
  <c r="AK289" i="1" s="1"/>
  <c r="Q289" i="1"/>
  <c r="AD289" i="1" s="1"/>
  <c r="T262" i="1"/>
  <c r="AB252" i="1"/>
  <c r="AK252" i="1" s="1"/>
  <c r="Q252" i="1"/>
  <c r="AD252" i="1" s="1"/>
  <c r="AB235" i="1"/>
  <c r="AK235" i="1" s="1"/>
  <c r="Q235" i="1"/>
  <c r="AD235" i="1" s="1"/>
  <c r="AB227" i="1"/>
  <c r="AK227" i="1" s="1"/>
  <c r="Q227" i="1"/>
  <c r="AD227" i="1" s="1"/>
  <c r="AB290" i="1"/>
  <c r="AK290" i="1" s="1"/>
  <c r="Q290" i="1"/>
  <c r="AD290" i="1" s="1"/>
  <c r="AB271" i="1"/>
  <c r="AK271" i="1" s="1"/>
  <c r="AD271" i="1"/>
  <c r="T225" i="1"/>
  <c r="AB268" i="1"/>
  <c r="AK268" i="1" s="1"/>
  <c r="Q268" i="1"/>
  <c r="AD268" i="1" s="1"/>
  <c r="T286" i="1"/>
  <c r="AB275" i="1"/>
  <c r="AK275" i="1" s="1"/>
  <c r="AD275" i="1"/>
  <c r="AB255" i="1"/>
  <c r="AK255" i="1" s="1"/>
  <c r="Q255" i="1"/>
  <c r="AD255" i="1" s="1"/>
  <c r="AB244" i="1"/>
  <c r="AK244" i="1" s="1"/>
  <c r="Q244" i="1"/>
  <c r="AD244" i="1" s="1"/>
  <c r="AB230" i="1"/>
  <c r="AK230" i="1" s="1"/>
  <c r="Q230" i="1"/>
  <c r="AD230" i="1" s="1"/>
  <c r="AB236" i="1"/>
  <c r="AK236" i="1" s="1"/>
  <c r="Q236" i="1"/>
  <c r="AD236" i="1" s="1"/>
  <c r="AB231" i="1"/>
  <c r="AK231" i="1" s="1"/>
  <c r="Q231" i="1"/>
  <c r="AD231" i="1" s="1"/>
  <c r="AB233" i="1"/>
  <c r="AK233" i="1" s="1"/>
  <c r="Q233" i="1"/>
  <c r="AD233" i="1" s="1"/>
  <c r="AB279" i="1"/>
  <c r="AK279" i="1" s="1"/>
  <c r="AD279" i="1"/>
  <c r="AB238" i="1"/>
  <c r="AK238" i="1" s="1"/>
  <c r="Q238" i="1"/>
  <c r="AD238" i="1" s="1"/>
  <c r="T259" i="1"/>
  <c r="AB280" i="1"/>
  <c r="AK280" i="1" s="1"/>
  <c r="AD280" i="1"/>
  <c r="AB237" i="1"/>
  <c r="AK237" i="1" s="1"/>
  <c r="Q237" i="1"/>
  <c r="AD237" i="1" s="1"/>
  <c r="T263" i="1"/>
  <c r="T223" i="1"/>
  <c r="AB287" i="1"/>
  <c r="AK287" i="1" s="1"/>
  <c r="Q287" i="1"/>
  <c r="AD287" i="1" s="1"/>
  <c r="AB246" i="1"/>
  <c r="AK246" i="1" s="1"/>
  <c r="Q246" i="1"/>
  <c r="AD246" i="1" s="1"/>
  <c r="T257" i="1"/>
  <c r="AB234" i="1"/>
  <c r="AK234" i="1" s="1"/>
  <c r="Q234" i="1"/>
  <c r="AD234" i="1" s="1"/>
  <c r="T260" i="1"/>
  <c r="T253" i="1"/>
  <c r="T248" i="1"/>
  <c r="AB272" i="1"/>
  <c r="AK272" i="1" s="1"/>
  <c r="Q272" i="1"/>
  <c r="AD272" i="1" s="1"/>
  <c r="AB223" i="1"/>
  <c r="AK223" i="1" s="1"/>
  <c r="Q223" i="1"/>
  <c r="AD223" i="1" s="1"/>
  <c r="T240" i="1"/>
  <c r="AD282" i="1"/>
  <c r="AB282" i="1"/>
  <c r="AK282" i="1" s="1"/>
  <c r="AB284" i="1"/>
  <c r="AK284" i="1" s="1"/>
  <c r="Q284" i="1"/>
  <c r="AD284" i="1" s="1"/>
  <c r="T231" i="1"/>
  <c r="AB257" i="1"/>
  <c r="AK257" i="1" s="1"/>
  <c r="Q257" i="1"/>
  <c r="AD257" i="1" s="1"/>
  <c r="AB269" i="1"/>
  <c r="AK269" i="1" s="1"/>
  <c r="Q269" i="1"/>
  <c r="AD269" i="1" s="1"/>
  <c r="AB224" i="1"/>
  <c r="AK224" i="1" s="1"/>
  <c r="Q224" i="1"/>
  <c r="AD224" i="1" s="1"/>
  <c r="AB278" i="1"/>
  <c r="AK278" i="1" s="1"/>
  <c r="Q278" i="1"/>
  <c r="AD278" i="1" s="1"/>
  <c r="Q261" i="1"/>
  <c r="AD261" i="1" s="1"/>
  <c r="AB261" i="1"/>
  <c r="AK261" i="1" s="1"/>
  <c r="AB277" i="1"/>
  <c r="AK277" i="1" s="1"/>
  <c r="Q277" i="1"/>
  <c r="AD277" i="1" s="1"/>
  <c r="T269" i="1"/>
  <c r="T264" i="1"/>
  <c r="AB286" i="1"/>
  <c r="AK286" i="1" s="1"/>
  <c r="Q286" i="1"/>
  <c r="AD286" i="1" s="1"/>
  <c r="AB273" i="1"/>
  <c r="AK273" i="1" s="1"/>
  <c r="Q273" i="1"/>
  <c r="AD273" i="1" s="1"/>
  <c r="AB256" i="1"/>
  <c r="AK256" i="1" s="1"/>
  <c r="Q256" i="1"/>
  <c r="AD256" i="1" s="1"/>
  <c r="AB281" i="1"/>
  <c r="AK281" i="1" s="1"/>
  <c r="AD281" i="1"/>
  <c r="AB228" i="1"/>
  <c r="AK228" i="1" s="1"/>
  <c r="Q228" i="1"/>
  <c r="AD228" i="1" s="1"/>
  <c r="T222" i="1"/>
  <c r="T261" i="1"/>
  <c r="AB260" i="1"/>
  <c r="AK260" i="1" s="1"/>
  <c r="Q260" i="1"/>
  <c r="AD260" i="1" s="1"/>
  <c r="T256" i="1"/>
  <c r="T233" i="1"/>
  <c r="T254" i="1"/>
  <c r="AB285" i="1"/>
  <c r="AK285" i="1" s="1"/>
  <c r="Q285" i="1"/>
  <c r="AD285" i="1" s="1"/>
  <c r="AB225" i="1"/>
  <c r="AK225" i="1" s="1"/>
  <c r="Q225" i="1"/>
  <c r="AD225" i="1" s="1"/>
  <c r="T226" i="1"/>
  <c r="AB283" i="1"/>
  <c r="AK283" i="1" s="1"/>
  <c r="AD283" i="1"/>
  <c r="AB288" i="1"/>
  <c r="AK288" i="1" s="1"/>
  <c r="Q288" i="1"/>
  <c r="AD288" i="1" s="1"/>
  <c r="T268" i="1"/>
  <c r="AB253" i="1"/>
  <c r="AK253" i="1" s="1"/>
  <c r="Q253" i="1"/>
  <c r="AD253" i="1" s="1"/>
  <c r="AB259" i="1"/>
  <c r="AK259" i="1" s="1"/>
  <c r="Q259" i="1"/>
  <c r="AD259" i="1" s="1"/>
  <c r="AB254" i="1"/>
  <c r="AK254" i="1" s="1"/>
  <c r="Q254" i="1"/>
  <c r="AD254" i="1" s="1"/>
  <c r="AB232" i="1"/>
  <c r="AK232" i="1" s="1"/>
  <c r="Q232" i="1"/>
  <c r="AD232" i="1" s="1"/>
  <c r="T278" i="1"/>
  <c r="T272" i="1"/>
  <c r="T228" i="1"/>
  <c r="AB251" i="1"/>
  <c r="AK251" i="1" s="1"/>
  <c r="Q251" i="1"/>
  <c r="AD251" i="1" s="1"/>
  <c r="AB249" i="1"/>
  <c r="AK249" i="1" s="1"/>
  <c r="Q249" i="1"/>
  <c r="AD249" i="1" s="1"/>
  <c r="AB258" i="1"/>
  <c r="AK258" i="1" s="1"/>
  <c r="Q258" i="1"/>
  <c r="AD258" i="1" s="1"/>
  <c r="T166" i="1"/>
  <c r="W173" i="1"/>
  <c r="AF173" i="1" s="1"/>
  <c r="T173" i="1"/>
  <c r="V173" i="1"/>
  <c r="V198" i="1"/>
  <c r="T164" i="1"/>
  <c r="W189" i="1"/>
  <c r="AF189" i="1" s="1"/>
  <c r="V189" i="1"/>
  <c r="Q164" i="1"/>
  <c r="AD164" i="1" s="1"/>
  <c r="T193" i="1"/>
  <c r="AB193" i="1"/>
  <c r="AK193" i="1" s="1"/>
  <c r="Q193" i="1"/>
  <c r="AD193" i="1" s="1"/>
  <c r="V182" i="1"/>
  <c r="W182" i="1"/>
  <c r="AF182" i="1" s="1"/>
  <c r="W198" i="1"/>
  <c r="AF198" i="1" s="1"/>
  <c r="T46" i="1"/>
  <c r="AB192" i="1"/>
  <c r="AK192" i="1" s="1"/>
  <c r="Q192" i="1"/>
  <c r="AD192" i="1" s="1"/>
  <c r="T192" i="1"/>
  <c r="AB166" i="1"/>
  <c r="AK166" i="1" s="1"/>
  <c r="Q166" i="1"/>
  <c r="AD166" i="1" s="1"/>
  <c r="AB216" i="1"/>
  <c r="AK216" i="1" s="1"/>
  <c r="Q216" i="1"/>
  <c r="AD216" i="1" s="1"/>
  <c r="T216" i="1"/>
  <c r="T70" i="1"/>
  <c r="T157" i="1"/>
  <c r="AB157" i="1"/>
  <c r="AK157" i="1" s="1"/>
  <c r="Q157" i="1"/>
  <c r="AD157" i="1" s="1"/>
  <c r="T154" i="1"/>
  <c r="AB154" i="1"/>
  <c r="AK154" i="1" s="1"/>
  <c r="Q154" i="1"/>
  <c r="AD154" i="1" s="1"/>
  <c r="T47" i="1"/>
  <c r="T30" i="1"/>
  <c r="T14" i="1"/>
  <c r="T196" i="1"/>
  <c r="AB196" i="1"/>
  <c r="AK196" i="1" s="1"/>
  <c r="Q196" i="1"/>
  <c r="AD196" i="1" s="1"/>
  <c r="T15" i="1"/>
  <c r="T117" i="1"/>
  <c r="T118" i="1"/>
  <c r="AB187" i="1"/>
  <c r="AK187" i="1" s="1"/>
  <c r="Q187" i="1"/>
  <c r="AD187" i="1" s="1"/>
  <c r="T187" i="1"/>
  <c r="T108" i="1"/>
  <c r="T197" i="1"/>
  <c r="T180" i="1"/>
  <c r="AB180" i="1"/>
  <c r="AK180" i="1" s="1"/>
  <c r="Q180" i="1"/>
  <c r="AD180" i="1" s="1"/>
  <c r="T80" i="1"/>
  <c r="T79" i="1"/>
  <c r="T71" i="1"/>
  <c r="T168" i="1"/>
  <c r="T66" i="1"/>
  <c r="T42" i="1"/>
  <c r="T135" i="1"/>
  <c r="T137" i="1"/>
  <c r="T171" i="1"/>
  <c r="T104" i="1"/>
  <c r="T170" i="1"/>
  <c r="AB171" i="1"/>
  <c r="AK171" i="1" s="1"/>
  <c r="Q171" i="1"/>
  <c r="AD171" i="1" s="1"/>
  <c r="T35" i="1"/>
  <c r="T113" i="1"/>
  <c r="T36" i="1"/>
  <c r="T25" i="1"/>
  <c r="T143" i="1"/>
  <c r="T204" i="1"/>
  <c r="T212" i="1"/>
  <c r="Q292" i="1"/>
  <c r="T161" i="1"/>
  <c r="T114" i="1"/>
  <c r="T100" i="1"/>
  <c r="T146" i="1"/>
  <c r="T97" i="1"/>
  <c r="T93" i="1"/>
  <c r="T58" i="1"/>
  <c r="T159" i="1"/>
  <c r="T119" i="1"/>
  <c r="T125" i="1"/>
  <c r="T59" i="1"/>
  <c r="T31" i="1"/>
  <c r="T9" i="1"/>
  <c r="T49" i="1"/>
  <c r="T21" i="1"/>
  <c r="T86" i="1"/>
  <c r="T140" i="1"/>
  <c r="T129" i="1"/>
  <c r="T87" i="1"/>
  <c r="T209" i="1"/>
  <c r="T220" i="1"/>
  <c r="T205" i="1"/>
  <c r="T206" i="1"/>
  <c r="T191" i="1"/>
  <c r="T183" i="1"/>
  <c r="T103" i="1"/>
  <c r="T109" i="1"/>
  <c r="T181" i="1"/>
  <c r="T62" i="1"/>
  <c r="T45" i="1"/>
  <c r="T37" i="1"/>
  <c r="T139" i="1"/>
  <c r="T208" i="1"/>
  <c r="T190" i="1"/>
  <c r="T34" i="1"/>
  <c r="T18" i="1"/>
  <c r="T56" i="1"/>
  <c r="T106" i="1"/>
  <c r="T127" i="1"/>
  <c r="T151" i="1"/>
  <c r="T165" i="1"/>
  <c r="T179" i="1"/>
  <c r="T55" i="1"/>
  <c r="T89" i="1"/>
  <c r="T177" i="1"/>
  <c r="T38" i="1"/>
  <c r="T23" i="1"/>
  <c r="T7" i="1"/>
  <c r="T131" i="1"/>
  <c r="T91" i="1"/>
  <c r="T176" i="1"/>
  <c r="T43" i="1"/>
  <c r="T27" i="1"/>
  <c r="T11" i="1"/>
  <c r="T63" i="1"/>
  <c r="T53" i="1"/>
  <c r="T83" i="1"/>
  <c r="T122" i="1"/>
  <c r="T194" i="1"/>
  <c r="T147" i="1"/>
  <c r="Q217" i="1"/>
  <c r="Q220" i="1"/>
  <c r="T148" i="1"/>
  <c r="T50" i="1"/>
  <c r="T19" i="1"/>
  <c r="T8" i="1"/>
  <c r="T60" i="1"/>
  <c r="T292" i="1"/>
  <c r="T141" i="1"/>
  <c r="T39" i="1"/>
  <c r="T64" i="1"/>
  <c r="T95" i="1"/>
  <c r="T136" i="1"/>
  <c r="T102" i="1"/>
  <c r="T144" i="1"/>
  <c r="T174" i="1"/>
  <c r="T57" i="1"/>
  <c r="T16" i="1"/>
  <c r="T98" i="1"/>
  <c r="T84" i="1"/>
  <c r="T195" i="1"/>
  <c r="T128" i="1"/>
  <c r="AB163" i="1"/>
  <c r="AK163" i="1" s="1"/>
  <c r="AD163" i="1"/>
  <c r="AB201" i="1"/>
  <c r="AK201" i="1" s="1"/>
  <c r="Q201" i="1"/>
  <c r="AD201" i="1" s="1"/>
  <c r="AB199" i="1"/>
  <c r="AK199" i="1" s="1"/>
  <c r="Q199" i="1"/>
  <c r="AD199" i="1" s="1"/>
  <c r="T198" i="1"/>
  <c r="AB153" i="1"/>
  <c r="AK153" i="1" s="1"/>
  <c r="AD153" i="1"/>
  <c r="AB155" i="1"/>
  <c r="AK155" i="1" s="1"/>
  <c r="AD155" i="1"/>
  <c r="AB158" i="1"/>
  <c r="AK158" i="1" s="1"/>
  <c r="Q158" i="1"/>
  <c r="AD158" i="1" s="1"/>
  <c r="T120" i="1"/>
  <c r="AB195" i="1"/>
  <c r="AK195" i="1" s="1"/>
  <c r="Q195" i="1"/>
  <c r="AD195" i="1" s="1"/>
  <c r="AB190" i="1"/>
  <c r="AK190" i="1" s="1"/>
  <c r="Q190" i="1"/>
  <c r="AD190" i="1" s="1"/>
  <c r="AB148" i="1"/>
  <c r="AK148" i="1" s="1"/>
  <c r="Q148" i="1"/>
  <c r="AD148" i="1" s="1"/>
  <c r="AB151" i="1"/>
  <c r="AK151" i="1" s="1"/>
  <c r="Q151" i="1"/>
  <c r="AD151" i="1" s="1"/>
  <c r="AB179" i="1"/>
  <c r="AK179" i="1" s="1"/>
  <c r="Q179" i="1"/>
  <c r="AD179" i="1" s="1"/>
  <c r="T75" i="1"/>
  <c r="T105" i="1"/>
  <c r="T112" i="1"/>
  <c r="T115" i="1"/>
  <c r="T116" i="1"/>
  <c r="T167" i="1"/>
  <c r="T158" i="1"/>
  <c r="AB181" i="1"/>
  <c r="AK181" i="1" s="1"/>
  <c r="Q181" i="1"/>
  <c r="AD181" i="1" s="1"/>
  <c r="AB183" i="1"/>
  <c r="AK183" i="1" s="1"/>
  <c r="Q183" i="1"/>
  <c r="AD183" i="1" s="1"/>
  <c r="AB204" i="1"/>
  <c r="AK204" i="1" s="1"/>
  <c r="Q204" i="1"/>
  <c r="AD204" i="1" s="1"/>
  <c r="T200" i="1"/>
  <c r="T5" i="1"/>
  <c r="T54" i="1"/>
  <c r="T24" i="1"/>
  <c r="T12" i="1"/>
  <c r="T130" i="1"/>
  <c r="T110" i="1"/>
  <c r="T123" i="1"/>
  <c r="T92" i="1"/>
  <c r="T124" i="1"/>
  <c r="T175" i="1"/>
  <c r="T160" i="1"/>
  <c r="AB172" i="1"/>
  <c r="AK172" i="1" s="1"/>
  <c r="Q172" i="1"/>
  <c r="AD172" i="1" s="1"/>
  <c r="T20" i="1"/>
  <c r="AB175" i="1"/>
  <c r="AK175" i="1" s="1"/>
  <c r="Q175" i="1"/>
  <c r="AD175" i="1" s="1"/>
  <c r="AB165" i="1"/>
  <c r="AK165" i="1" s="1"/>
  <c r="Q165" i="1"/>
  <c r="AD165" i="1" s="1"/>
  <c r="AB203" i="1"/>
  <c r="AK203" i="1" s="1"/>
  <c r="Q203" i="1"/>
  <c r="AD203" i="1" s="1"/>
  <c r="T99" i="1"/>
  <c r="AB194" i="1"/>
  <c r="AK194" i="1" s="1"/>
  <c r="Q194" i="1"/>
  <c r="AD194" i="1" s="1"/>
  <c r="T133" i="1"/>
  <c r="T214" i="1"/>
  <c r="AB198" i="1"/>
  <c r="AK198" i="1" s="1"/>
  <c r="Q198" i="1"/>
  <c r="T28" i="1"/>
  <c r="AB164" i="1"/>
  <c r="AK164" i="1" s="1"/>
  <c r="AB207" i="1"/>
  <c r="AK207" i="1" s="1"/>
  <c r="Q207" i="1"/>
  <c r="AD207" i="1" s="1"/>
  <c r="T17" i="1"/>
  <c r="T69" i="1"/>
  <c r="T51" i="1"/>
  <c r="T132" i="1"/>
  <c r="T138" i="1"/>
  <c r="T121" i="1"/>
  <c r="T207" i="1"/>
  <c r="AB156" i="1"/>
  <c r="AK156" i="1" s="1"/>
  <c r="Q156" i="1"/>
  <c r="AD156" i="1" s="1"/>
  <c r="T201" i="1"/>
  <c r="T162" i="1"/>
  <c r="AB202" i="1"/>
  <c r="AK202" i="1" s="1"/>
  <c r="Q202" i="1"/>
  <c r="AD202" i="1" s="1"/>
  <c r="Q218" i="1"/>
  <c r="AB160" i="1"/>
  <c r="AK160" i="1" s="1"/>
  <c r="Q160" i="1"/>
  <c r="AD160" i="1" s="1"/>
  <c r="AB185" i="1"/>
  <c r="AK185" i="1" s="1"/>
  <c r="AD185" i="1"/>
  <c r="AB188" i="1"/>
  <c r="AK188" i="1" s="1"/>
  <c r="Q188" i="1"/>
  <c r="AD188" i="1" s="1"/>
  <c r="AB211" i="1"/>
  <c r="AK211" i="1" s="1"/>
  <c r="Q211" i="1"/>
  <c r="AD211" i="1" s="1"/>
  <c r="T76" i="1"/>
  <c r="AB170" i="1"/>
  <c r="AK170" i="1" s="1"/>
  <c r="Q170" i="1"/>
  <c r="AD170" i="1" s="1"/>
  <c r="AB213" i="1"/>
  <c r="AK213" i="1" s="1"/>
  <c r="Q213" i="1"/>
  <c r="AD213" i="1" s="1"/>
  <c r="T81" i="1"/>
  <c r="AB169" i="1"/>
  <c r="AK169" i="1" s="1"/>
  <c r="Q169" i="1"/>
  <c r="AD169" i="1" s="1"/>
  <c r="AB150" i="1"/>
  <c r="AK150" i="1" s="1"/>
  <c r="Q150" i="1"/>
  <c r="AD150" i="1" s="1"/>
  <c r="AB200" i="1"/>
  <c r="AK200" i="1" s="1"/>
  <c r="Q200" i="1"/>
  <c r="AD200" i="1" s="1"/>
  <c r="AB147" i="1"/>
  <c r="AK147" i="1" s="1"/>
  <c r="Q147" i="1"/>
  <c r="AD147" i="1" s="1"/>
  <c r="T44" i="1"/>
  <c r="AB174" i="1"/>
  <c r="AK174" i="1" s="1"/>
  <c r="Q174" i="1"/>
  <c r="AD174" i="1" s="1"/>
  <c r="T32" i="1"/>
  <c r="T101" i="1"/>
  <c r="T178" i="1"/>
  <c r="AB208" i="1"/>
  <c r="AK208" i="1" s="1"/>
  <c r="Q208" i="1"/>
  <c r="AD208" i="1" s="1"/>
  <c r="T22" i="1"/>
  <c r="T6" i="1"/>
  <c r="T52" i="1"/>
  <c r="T40" i="1"/>
  <c r="T29" i="1"/>
  <c r="T134" i="1"/>
  <c r="T88" i="1"/>
  <c r="T142" i="1"/>
  <c r="T126" i="1"/>
  <c r="T213" i="1"/>
  <c r="T189" i="1"/>
  <c r="T210" i="1"/>
  <c r="AB184" i="1"/>
  <c r="AK184" i="1" s="1"/>
  <c r="Q184" i="1"/>
  <c r="AD184" i="1" s="1"/>
  <c r="AB210" i="1"/>
  <c r="AK210" i="1" s="1"/>
  <c r="Q210" i="1"/>
  <c r="AD210" i="1" s="1"/>
  <c r="T202" i="1"/>
  <c r="AB173" i="1"/>
  <c r="AK173" i="1" s="1"/>
  <c r="Q173" i="1"/>
  <c r="T182" i="1"/>
  <c r="AB152" i="1"/>
  <c r="AK152" i="1" s="1"/>
  <c r="AD152" i="1"/>
  <c r="T211" i="1"/>
  <c r="AB161" i="1"/>
  <c r="AK161" i="1" s="1"/>
  <c r="Q161" i="1"/>
  <c r="AD161" i="1" s="1"/>
  <c r="AB182" i="1"/>
  <c r="AK182" i="1" s="1"/>
  <c r="Q182" i="1"/>
  <c r="AB189" i="1"/>
  <c r="AK189" i="1" s="1"/>
  <c r="Q189" i="1"/>
  <c r="T107" i="1"/>
  <c r="T149" i="1"/>
  <c r="AB209" i="1"/>
  <c r="AK209" i="1" s="1"/>
  <c r="Q209" i="1"/>
  <c r="AD209" i="1" s="1"/>
  <c r="T188" i="1"/>
  <c r="T186" i="1"/>
  <c r="AB212" i="1"/>
  <c r="AK212" i="1" s="1"/>
  <c r="Q212" i="1"/>
  <c r="AD212" i="1" s="1"/>
  <c r="AB197" i="1"/>
  <c r="AK197" i="1" s="1"/>
  <c r="Q197" i="1"/>
  <c r="AD197" i="1" s="1"/>
  <c r="T61" i="1"/>
  <c r="T68" i="1"/>
  <c r="T94" i="1"/>
  <c r="AB162" i="1"/>
  <c r="AK162" i="1" s="1"/>
  <c r="Q162" i="1"/>
  <c r="AD162" i="1" s="1"/>
  <c r="T219" i="1"/>
  <c r="AB146" i="1"/>
  <c r="AK146" i="1" s="1"/>
  <c r="Q146" i="1"/>
  <c r="AD146" i="1" s="1"/>
  <c r="T90" i="1"/>
  <c r="T13" i="1"/>
  <c r="T65" i="1"/>
  <c r="T48" i="1"/>
  <c r="T111" i="1"/>
  <c r="T85" i="1"/>
  <c r="T218" i="1"/>
  <c r="AB168" i="1"/>
  <c r="AK168" i="1" s="1"/>
  <c r="Q168" i="1"/>
  <c r="AD168" i="1" s="1"/>
  <c r="AB206" i="1"/>
  <c r="AK206" i="1" s="1"/>
  <c r="Q206" i="1"/>
  <c r="AD206" i="1" s="1"/>
  <c r="AB167" i="1"/>
  <c r="AK167" i="1" s="1"/>
  <c r="Q167" i="1"/>
  <c r="AD167" i="1" s="1"/>
  <c r="T203" i="1"/>
  <c r="T26" i="1"/>
  <c r="T10" i="1"/>
  <c r="T41" i="1"/>
  <c r="T33" i="1"/>
  <c r="T96" i="1"/>
  <c r="T78" i="1"/>
  <c r="T82" i="1"/>
  <c r="T77" i="1"/>
  <c r="T184" i="1"/>
  <c r="T169" i="1"/>
  <c r="T156" i="1"/>
  <c r="AB176" i="1"/>
  <c r="AK176" i="1" s="1"/>
  <c r="Q176" i="1"/>
  <c r="AD176" i="1" s="1"/>
  <c r="AB178" i="1"/>
  <c r="AK178" i="1" s="1"/>
  <c r="Q178" i="1"/>
  <c r="AD178" i="1" s="1"/>
  <c r="T150" i="1"/>
  <c r="AB205" i="1"/>
  <c r="AK205" i="1" s="1"/>
  <c r="Q205" i="1"/>
  <c r="AD205" i="1" s="1"/>
  <c r="AB186" i="1"/>
  <c r="AK186" i="1" s="1"/>
  <c r="Q186" i="1"/>
  <c r="AD186" i="1" s="1"/>
  <c r="AB149" i="1"/>
  <c r="AK149" i="1" s="1"/>
  <c r="Q149" i="1"/>
  <c r="AD149" i="1" s="1"/>
  <c r="AB177" i="1"/>
  <c r="AK177" i="1" s="1"/>
  <c r="Q177" i="1"/>
  <c r="AD177" i="1" s="1"/>
  <c r="AB214" i="1"/>
  <c r="AK214" i="1" s="1"/>
  <c r="Q214" i="1"/>
  <c r="AD214" i="1" s="1"/>
  <c r="T199" i="1"/>
  <c r="T172" i="1"/>
  <c r="Q219" i="1"/>
  <c r="T215" i="1"/>
  <c r="T217" i="1"/>
  <c r="AB191" i="1"/>
  <c r="AK191" i="1" s="1"/>
  <c r="Q191" i="1"/>
  <c r="AD191" i="1" s="1"/>
  <c r="AB159" i="1"/>
  <c r="AK159" i="1" s="1"/>
  <c r="Q159" i="1"/>
  <c r="AD159" i="1" s="1"/>
  <c r="AB215" i="1"/>
  <c r="AK215" i="1" s="1"/>
  <c r="Q215" i="1"/>
  <c r="AD215" i="1" s="1"/>
  <c r="T74" i="1"/>
  <c r="T73" i="1"/>
  <c r="N72" i="1"/>
  <c r="AA72" i="1" s="1"/>
  <c r="AJ72" i="1" s="1"/>
  <c r="S72" i="1"/>
  <c r="T72" i="1" s="1"/>
  <c r="H3" i="29"/>
  <c r="G16" i="49"/>
  <c r="G15" i="49"/>
  <c r="G11" i="50"/>
  <c r="G34" i="50"/>
  <c r="G41" i="50" s="1"/>
  <c r="G14" i="50" s="1"/>
  <c r="AK128" i="1"/>
  <c r="Z73" i="1"/>
  <c r="AI73" i="1" s="1"/>
  <c r="P73" i="1"/>
  <c r="AC73" i="1" s="1"/>
  <c r="O18" i="1"/>
  <c r="AB18" i="1" s="1"/>
  <c r="AK18" i="1" s="1"/>
  <c r="X18" i="1"/>
  <c r="AG18" i="1" s="1"/>
  <c r="X42" i="1"/>
  <c r="AG42" i="1" s="1"/>
  <c r="O42" i="1"/>
  <c r="AB42" i="1" s="1"/>
  <c r="AK42" i="1" s="1"/>
  <c r="X7" i="1"/>
  <c r="AG7" i="1" s="1"/>
  <c r="O7" i="1"/>
  <c r="AB7" i="1" s="1"/>
  <c r="AK7" i="1" s="1"/>
  <c r="X5" i="1"/>
  <c r="AG5" i="1" s="1"/>
  <c r="O5" i="1"/>
  <c r="AB5" i="1" s="1"/>
  <c r="AK5" i="1" s="1"/>
  <c r="X19" i="1"/>
  <c r="AG19" i="1" s="1"/>
  <c r="O19" i="1"/>
  <c r="AB19" i="1" s="1"/>
  <c r="AK19" i="1" s="1"/>
  <c r="X60" i="1"/>
  <c r="AG60" i="1" s="1"/>
  <c r="O60" i="1"/>
  <c r="AB60" i="1" s="1"/>
  <c r="AK60" i="1" s="1"/>
  <c r="X9" i="1"/>
  <c r="AG9" i="1" s="1"/>
  <c r="O9" i="1"/>
  <c r="AB9" i="1" s="1"/>
  <c r="AK9" i="1" s="1"/>
  <c r="X24" i="1"/>
  <c r="AG24" i="1" s="1"/>
  <c r="O24" i="1"/>
  <c r="AB24" i="1" s="1"/>
  <c r="AK24" i="1" s="1"/>
  <c r="X12" i="1"/>
  <c r="AG12" i="1" s="1"/>
  <c r="O12" i="1"/>
  <c r="AB12" i="1" s="1"/>
  <c r="AK12" i="1" s="1"/>
  <c r="O13" i="1"/>
  <c r="AB13" i="1" s="1"/>
  <c r="AK13" i="1" s="1"/>
  <c r="X13" i="1"/>
  <c r="AG13" i="1" s="1"/>
  <c r="O38" i="1"/>
  <c r="AB38" i="1" s="1"/>
  <c r="AK38" i="1" s="1"/>
  <c r="X38" i="1"/>
  <c r="AG38" i="1" s="1"/>
  <c r="X66" i="1"/>
  <c r="AG66" i="1" s="1"/>
  <c r="O66" i="1"/>
  <c r="AB66" i="1" s="1"/>
  <c r="AK66" i="1" s="1"/>
  <c r="X23" i="1"/>
  <c r="AG23" i="1" s="1"/>
  <c r="O23" i="1"/>
  <c r="AB23" i="1" s="1"/>
  <c r="AK23" i="1" s="1"/>
  <c r="X54" i="1"/>
  <c r="AG54" i="1" s="1"/>
  <c r="O54" i="1"/>
  <c r="AB54" i="1" s="1"/>
  <c r="AK54" i="1" s="1"/>
  <c r="O8" i="1"/>
  <c r="AB8" i="1" s="1"/>
  <c r="AK8" i="1" s="1"/>
  <c r="X8" i="1"/>
  <c r="AG8" i="1" s="1"/>
  <c r="O39" i="1"/>
  <c r="AB39" i="1" s="1"/>
  <c r="AK39" i="1" s="1"/>
  <c r="X39" i="1"/>
  <c r="AG39" i="1" s="1"/>
  <c r="O64" i="1"/>
  <c r="AB64" i="1" s="1"/>
  <c r="AK64" i="1" s="1"/>
  <c r="X64" i="1"/>
  <c r="AG64" i="1" s="1"/>
  <c r="X17" i="1"/>
  <c r="AG17" i="1" s="1"/>
  <c r="O17" i="1"/>
  <c r="AB17" i="1" s="1"/>
  <c r="AK17" i="1" s="1"/>
  <c r="X65" i="1"/>
  <c r="AG65" i="1" s="1"/>
  <c r="O65" i="1"/>
  <c r="AB65" i="1" s="1"/>
  <c r="AK65" i="1" s="1"/>
  <c r="X32" i="1"/>
  <c r="AG32" i="1" s="1"/>
  <c r="O32" i="1"/>
  <c r="AB32" i="1" s="1"/>
  <c r="AK32" i="1" s="1"/>
  <c r="X21" i="1"/>
  <c r="AG21" i="1" s="1"/>
  <c r="O21" i="1"/>
  <c r="AB21" i="1" s="1"/>
  <c r="AK21" i="1" s="1"/>
  <c r="O49" i="1"/>
  <c r="AB49" i="1" s="1"/>
  <c r="AK49" i="1" s="1"/>
  <c r="X49" i="1"/>
  <c r="AG49" i="1" s="1"/>
  <c r="Z71" i="1"/>
  <c r="AI71" i="1" s="1"/>
  <c r="P71" i="1"/>
  <c r="AC71" i="1" s="1"/>
  <c r="O22" i="1"/>
  <c r="AB22" i="1" s="1"/>
  <c r="AK22" i="1" s="1"/>
  <c r="X22" i="1"/>
  <c r="AG22" i="1" s="1"/>
  <c r="X69" i="1"/>
  <c r="AG69" i="1" s="1"/>
  <c r="O69" i="1"/>
  <c r="AB69" i="1" s="1"/>
  <c r="AK69" i="1" s="1"/>
  <c r="X51" i="1"/>
  <c r="AG51" i="1" s="1"/>
  <c r="O51" i="1"/>
  <c r="AB51" i="1" s="1"/>
  <c r="AK51" i="1" s="1"/>
  <c r="X36" i="1"/>
  <c r="AG36" i="1" s="1"/>
  <c r="O36" i="1"/>
  <c r="AB36" i="1" s="1"/>
  <c r="AK36" i="1" s="1"/>
  <c r="X74" i="1"/>
  <c r="AG74" i="1" s="1"/>
  <c r="O74" i="1"/>
  <c r="AB74" i="1" s="1"/>
  <c r="AK74" i="1" s="1"/>
  <c r="X26" i="1"/>
  <c r="AG26" i="1" s="1"/>
  <c r="O26" i="1"/>
  <c r="AB26" i="1" s="1"/>
  <c r="AK26" i="1" s="1"/>
  <c r="O6" i="1"/>
  <c r="AB6" i="1" s="1"/>
  <c r="AK6" i="1" s="1"/>
  <c r="X6" i="1"/>
  <c r="AG6" i="1" s="1"/>
  <c r="X52" i="1"/>
  <c r="AG52" i="1" s="1"/>
  <c r="O52" i="1"/>
  <c r="AB52" i="1" s="1"/>
  <c r="AK52" i="1" s="1"/>
  <c r="X40" i="1"/>
  <c r="AG40" i="1" s="1"/>
  <c r="O40" i="1"/>
  <c r="AB40" i="1" s="1"/>
  <c r="AK40" i="1" s="1"/>
  <c r="X29" i="1"/>
  <c r="AG29" i="1" s="1"/>
  <c r="O29" i="1"/>
  <c r="AB29" i="1" s="1"/>
  <c r="AK29" i="1" s="1"/>
  <c r="P74" i="1"/>
  <c r="AC74" i="1" s="1"/>
  <c r="Z74" i="1"/>
  <c r="AI74" i="1" s="1"/>
  <c r="X30" i="1"/>
  <c r="AG30" i="1" s="1"/>
  <c r="O30" i="1"/>
  <c r="AB30" i="1" s="1"/>
  <c r="AK30" i="1" s="1"/>
  <c r="O10" i="1"/>
  <c r="AB10" i="1" s="1"/>
  <c r="AK10" i="1" s="1"/>
  <c r="X10" i="1"/>
  <c r="AG10" i="1" s="1"/>
  <c r="X55" i="1"/>
  <c r="AG55" i="1" s="1"/>
  <c r="O55" i="1"/>
  <c r="AB55" i="1" s="1"/>
  <c r="AK55" i="1" s="1"/>
  <c r="X41" i="1"/>
  <c r="AG41" i="1" s="1"/>
  <c r="O41" i="1"/>
  <c r="AB41" i="1" s="1"/>
  <c r="AK41" i="1" s="1"/>
  <c r="O33" i="1"/>
  <c r="AB33" i="1" s="1"/>
  <c r="AK33" i="1" s="1"/>
  <c r="X33" i="1"/>
  <c r="AG33" i="1" s="1"/>
  <c r="X59" i="1"/>
  <c r="AG59" i="1" s="1"/>
  <c r="O59" i="1"/>
  <c r="AB59" i="1" s="1"/>
  <c r="AK59" i="1" s="1"/>
  <c r="X35" i="1"/>
  <c r="AG35" i="1" s="1"/>
  <c r="O35" i="1"/>
  <c r="AB35" i="1" s="1"/>
  <c r="AK35" i="1" s="1"/>
  <c r="X58" i="1"/>
  <c r="O58" i="1"/>
  <c r="O61" i="1"/>
  <c r="AB61" i="1" s="1"/>
  <c r="AK61" i="1" s="1"/>
  <c r="X61" i="1"/>
  <c r="AG61" i="1" s="1"/>
  <c r="X44" i="1"/>
  <c r="AG44" i="1" s="1"/>
  <c r="O44" i="1"/>
  <c r="AB44" i="1" s="1"/>
  <c r="AK44" i="1" s="1"/>
  <c r="X28" i="1"/>
  <c r="AG28" i="1" s="1"/>
  <c r="O28" i="1"/>
  <c r="AB28" i="1" s="1"/>
  <c r="AK28" i="1" s="1"/>
  <c r="X16" i="1"/>
  <c r="AG16" i="1" s="1"/>
  <c r="O16" i="1"/>
  <c r="AB16" i="1" s="1"/>
  <c r="AK16" i="1" s="1"/>
  <c r="X68" i="1"/>
  <c r="AG68" i="1" s="1"/>
  <c r="O68" i="1"/>
  <c r="AB68" i="1" s="1"/>
  <c r="AK68" i="1" s="1"/>
  <c r="X48" i="1"/>
  <c r="AG48" i="1" s="1"/>
  <c r="O48" i="1"/>
  <c r="AB48" i="1" s="1"/>
  <c r="AK48" i="1" s="1"/>
  <c r="O25" i="1"/>
  <c r="AB25" i="1" s="1"/>
  <c r="AK25" i="1" s="1"/>
  <c r="X25" i="1"/>
  <c r="AG25" i="1" s="1"/>
  <c r="P70" i="1"/>
  <c r="AC70" i="1" s="1"/>
  <c r="Z70" i="1"/>
  <c r="AI70" i="1" s="1"/>
  <c r="X34" i="1"/>
  <c r="AG34" i="1" s="1"/>
  <c r="O34" i="1"/>
  <c r="AB34" i="1" s="1"/>
  <c r="AK34" i="1" s="1"/>
  <c r="X14" i="1"/>
  <c r="AG14" i="1" s="1"/>
  <c r="O14" i="1"/>
  <c r="AB14" i="1" s="1"/>
  <c r="AK14" i="1" s="1"/>
  <c r="X62" i="1"/>
  <c r="AG62" i="1" s="1"/>
  <c r="O62" i="1"/>
  <c r="AB62" i="1" s="1"/>
  <c r="AK62" i="1" s="1"/>
  <c r="X45" i="1"/>
  <c r="AG45" i="1" s="1"/>
  <c r="O45" i="1"/>
  <c r="AB45" i="1" s="1"/>
  <c r="AK45" i="1" s="1"/>
  <c r="O37" i="1"/>
  <c r="AB37" i="1" s="1"/>
  <c r="AK37" i="1" s="1"/>
  <c r="X37" i="1"/>
  <c r="AG37" i="1" s="1"/>
  <c r="P72" i="1"/>
  <c r="AC72" i="1" s="1"/>
  <c r="Z72" i="1"/>
  <c r="AI72" i="1" s="1"/>
  <c r="X56" i="1"/>
  <c r="AG56" i="1" s="1"/>
  <c r="O56" i="1"/>
  <c r="AB56" i="1" s="1"/>
  <c r="AK56" i="1" s="1"/>
  <c r="X43" i="1"/>
  <c r="AG43" i="1" s="1"/>
  <c r="O43" i="1"/>
  <c r="AB43" i="1" s="1"/>
  <c r="AK43" i="1" s="1"/>
  <c r="O46" i="1"/>
  <c r="AB46" i="1" s="1"/>
  <c r="AK46" i="1" s="1"/>
  <c r="X46" i="1"/>
  <c r="AG46" i="1" s="1"/>
  <c r="N71" i="1"/>
  <c r="AA71" i="1" s="1"/>
  <c r="AJ71" i="1" s="1"/>
  <c r="X73" i="1"/>
  <c r="AG73" i="1" s="1"/>
  <c r="O73" i="1"/>
  <c r="AB73" i="1" s="1"/>
  <c r="AK73" i="1" s="1"/>
  <c r="X47" i="1"/>
  <c r="AG47" i="1" s="1"/>
  <c r="O47" i="1"/>
  <c r="AB47" i="1" s="1"/>
  <c r="AK47" i="1" s="1"/>
  <c r="X27" i="1"/>
  <c r="AG27" i="1" s="1"/>
  <c r="O27" i="1"/>
  <c r="AB27" i="1" s="1"/>
  <c r="AK27" i="1" s="1"/>
  <c r="X11" i="1"/>
  <c r="AG11" i="1" s="1"/>
  <c r="O11" i="1"/>
  <c r="AB11" i="1" s="1"/>
  <c r="AK11" i="1" s="1"/>
  <c r="O63" i="1"/>
  <c r="AB63" i="1" s="1"/>
  <c r="AK63" i="1" s="1"/>
  <c r="X63" i="1"/>
  <c r="AG63" i="1" s="1"/>
  <c r="O53" i="1"/>
  <c r="AB53" i="1" s="1"/>
  <c r="AK53" i="1" s="1"/>
  <c r="X53" i="1"/>
  <c r="AG53" i="1" s="1"/>
  <c r="O50" i="1"/>
  <c r="AB50" i="1" s="1"/>
  <c r="AK50" i="1" s="1"/>
  <c r="X50" i="1"/>
  <c r="AG50" i="1" s="1"/>
  <c r="X31" i="1"/>
  <c r="AG31" i="1" s="1"/>
  <c r="O31" i="1"/>
  <c r="AB31" i="1" s="1"/>
  <c r="AK31" i="1" s="1"/>
  <c r="X15" i="1"/>
  <c r="AG15" i="1" s="1"/>
  <c r="O15" i="1"/>
  <c r="AB15" i="1" s="1"/>
  <c r="AK15" i="1" s="1"/>
  <c r="O67" i="1"/>
  <c r="AB67" i="1" s="1"/>
  <c r="AK67" i="1" s="1"/>
  <c r="X67" i="1"/>
  <c r="AG67" i="1" s="1"/>
  <c r="O57" i="1"/>
  <c r="AB57" i="1" s="1"/>
  <c r="AK57" i="1" s="1"/>
  <c r="X57" i="1"/>
  <c r="AG57" i="1" s="1"/>
  <c r="G30" i="56"/>
  <c r="D34" i="50"/>
  <c r="D41" i="50" s="1"/>
  <c r="D14" i="50" s="1"/>
  <c r="F12" i="45"/>
  <c r="Q106" i="1"/>
  <c r="AD106" i="1" s="1"/>
  <c r="Q116" i="1"/>
  <c r="AD116" i="1" s="1"/>
  <c r="Q111" i="1"/>
  <c r="AD111" i="1" s="1"/>
  <c r="Q75" i="1"/>
  <c r="AD75" i="1" s="1"/>
  <c r="Q94" i="1"/>
  <c r="AD94" i="1" s="1"/>
  <c r="Q78" i="1"/>
  <c r="AD78" i="1" s="1"/>
  <c r="F26" i="49"/>
  <c r="Q88" i="1"/>
  <c r="AD88" i="1" s="1"/>
  <c r="Q81" i="1"/>
  <c r="AD81" i="1" s="1"/>
  <c r="Q86" i="1"/>
  <c r="AD86" i="1" s="1"/>
  <c r="Q141" i="1"/>
  <c r="AD141" i="1" s="1"/>
  <c r="Q123" i="1"/>
  <c r="AD123" i="1" s="1"/>
  <c r="Q103" i="1"/>
  <c r="AD103" i="1" s="1"/>
  <c r="Q142" i="1"/>
  <c r="AD142" i="1" s="1"/>
  <c r="Q83" i="1"/>
  <c r="AD83" i="1" s="1"/>
  <c r="Q80" i="1"/>
  <c r="AD80" i="1" s="1"/>
  <c r="F40" i="49"/>
  <c r="F13" i="49" s="1"/>
  <c r="F33" i="29"/>
  <c r="F40" i="29" s="1"/>
  <c r="Q114" i="1"/>
  <c r="AD114" i="1" s="1"/>
  <c r="Q108" i="1"/>
  <c r="AD108" i="1" s="1"/>
  <c r="Q144" i="1"/>
  <c r="AD144" i="1" s="1"/>
  <c r="Q104" i="1"/>
  <c r="AD104" i="1" s="1"/>
  <c r="Q79" i="1"/>
  <c r="AD79" i="1" s="1"/>
  <c r="Q82" i="1"/>
  <c r="AD82" i="1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Q127" i="1"/>
  <c r="AD127" i="1" s="1"/>
  <c r="Q93" i="1"/>
  <c r="AD93" i="1" s="1"/>
  <c r="Q113" i="1"/>
  <c r="AD113" i="1" s="1"/>
  <c r="Q138" i="1"/>
  <c r="AD138" i="1" s="1"/>
  <c r="Q77" i="1"/>
  <c r="AD77" i="1" s="1"/>
  <c r="Q84" i="1"/>
  <c r="AD84" i="1" s="1"/>
  <c r="Q117" i="1"/>
  <c r="AD117" i="1" s="1"/>
  <c r="Q110" i="1"/>
  <c r="AD110" i="1" s="1"/>
  <c r="Q102" i="1"/>
  <c r="AD102" i="1" s="1"/>
  <c r="Q76" i="1"/>
  <c r="AD76" i="1" s="1"/>
  <c r="Q91" i="1"/>
  <c r="AD91" i="1" s="1"/>
  <c r="F10" i="45"/>
  <c r="F26" i="45" s="1"/>
  <c r="Q118" i="1"/>
  <c r="AD118" i="1" s="1"/>
  <c r="Q137" i="1"/>
  <c r="AD137" i="1" s="1"/>
  <c r="Q125" i="1"/>
  <c r="AD125" i="1" s="1"/>
  <c r="Q100" i="1"/>
  <c r="AD100" i="1" s="1"/>
  <c r="Q120" i="1"/>
  <c r="AD120" i="1" s="1"/>
  <c r="Q99" i="1"/>
  <c r="AD99" i="1" s="1"/>
  <c r="Q105" i="1"/>
  <c r="AD105" i="1" s="1"/>
  <c r="Q140" i="1"/>
  <c r="AD140" i="1" s="1"/>
  <c r="Q136" i="1"/>
  <c r="AD136" i="1" s="1"/>
  <c r="Q112" i="1"/>
  <c r="AD112" i="1" s="1"/>
  <c r="Q124" i="1"/>
  <c r="AD124" i="1" s="1"/>
  <c r="Q87" i="1"/>
  <c r="AD87" i="1" s="1"/>
  <c r="Q143" i="1"/>
  <c r="AD143" i="1" s="1"/>
  <c r="Q107" i="1"/>
  <c r="AD107" i="1" s="1"/>
  <c r="Q134" i="1"/>
  <c r="AD134" i="1" s="1"/>
  <c r="Q126" i="1"/>
  <c r="AD126" i="1" s="1"/>
  <c r="Q122" i="1"/>
  <c r="AD122" i="1" s="1"/>
  <c r="Q92" i="1"/>
  <c r="AD92" i="1" s="1"/>
  <c r="Q97" i="1"/>
  <c r="AD97" i="1" s="1"/>
  <c r="Q98" i="1"/>
  <c r="AD98" i="1" s="1"/>
  <c r="Q128" i="1"/>
  <c r="AD128" i="1" s="1"/>
  <c r="Q130" i="1"/>
  <c r="AD130" i="1" s="1"/>
  <c r="Q109" i="1"/>
  <c r="AD109" i="1" s="1"/>
  <c r="Q85" i="1"/>
  <c r="AD85" i="1" s="1"/>
  <c r="F11" i="45"/>
  <c r="Q133" i="1"/>
  <c r="AD133" i="1" s="1"/>
  <c r="Q121" i="1"/>
  <c r="AD121" i="1" s="1"/>
  <c r="Q132" i="1"/>
  <c r="AD132" i="1" s="1"/>
  <c r="Q135" i="1"/>
  <c r="AD135" i="1" s="1"/>
  <c r="Q129" i="1"/>
  <c r="AD129" i="1" s="1"/>
  <c r="Q96" i="1"/>
  <c r="AD96" i="1" s="1"/>
  <c r="Q89" i="1"/>
  <c r="AD89" i="1" s="1"/>
  <c r="Q115" i="1"/>
  <c r="AD115" i="1" s="1"/>
  <c r="F38" i="49"/>
  <c r="F11" i="49" s="1"/>
  <c r="F31" i="29"/>
  <c r="F38" i="29" s="1"/>
  <c r="F13" i="45"/>
  <c r="F14" i="45"/>
  <c r="Q131" i="1"/>
  <c r="AD131" i="1" s="1"/>
  <c r="Q139" i="1"/>
  <c r="AD139" i="1" s="1"/>
  <c r="Q95" i="1"/>
  <c r="AD95" i="1" s="1"/>
  <c r="Q101" i="1"/>
  <c r="AD101" i="1" s="1"/>
  <c r="Q119" i="1"/>
  <c r="AD119" i="1" s="1"/>
  <c r="Q90" i="1"/>
  <c r="AD90" i="1" s="1"/>
  <c r="C30" i="29"/>
  <c r="I18" i="44"/>
  <c r="D40" i="55"/>
  <c r="D13" i="55" s="1"/>
  <c r="E40" i="45"/>
  <c r="E13" i="45" s="1"/>
  <c r="D40" i="46"/>
  <c r="D34" i="49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26" i="28"/>
  <c r="AA226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71" i="28"/>
  <c r="AA71" i="28" s="1"/>
  <c r="Z207" i="28"/>
  <c r="AA207" i="28" s="1"/>
  <c r="Z179" i="28"/>
  <c r="AA179" i="28" s="1"/>
  <c r="Z200" i="28"/>
  <c r="AA200" i="28" s="1"/>
  <c r="Z129" i="28"/>
  <c r="AA129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35" i="28"/>
  <c r="AA235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234" i="28"/>
  <c r="AA234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31" i="28"/>
  <c r="AA231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227" i="28"/>
  <c r="AA227" i="28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233" i="28"/>
  <c r="AA233" i="28" s="1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32" i="28"/>
  <c r="AA232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228" i="28"/>
  <c r="AA228" i="28" s="1"/>
  <c r="Z148" i="28"/>
  <c r="AA148" i="28" s="1"/>
  <c r="Z100" i="28"/>
  <c r="AA100" i="28" s="1"/>
  <c r="N13" i="1"/>
  <c r="AA13" i="1" s="1"/>
  <c r="AJ13" i="1" s="1"/>
  <c r="N30" i="1"/>
  <c r="AA30" i="1" s="1"/>
  <c r="AJ30" i="1" s="1"/>
  <c r="N47" i="1"/>
  <c r="AA47" i="1" s="1"/>
  <c r="AJ47" i="1" s="1"/>
  <c r="N61" i="1"/>
  <c r="N10" i="1"/>
  <c r="AA10" i="1" s="1"/>
  <c r="AJ10" i="1" s="1"/>
  <c r="N27" i="1"/>
  <c r="AA27" i="1" s="1"/>
  <c r="AJ27" i="1" s="1"/>
  <c r="N44" i="1"/>
  <c r="AA44" i="1" s="1"/>
  <c r="AJ44" i="1" s="1"/>
  <c r="N55" i="1"/>
  <c r="AA55" i="1" s="1"/>
  <c r="AJ55" i="1" s="1"/>
  <c r="N11" i="1"/>
  <c r="AA11" i="1" s="1"/>
  <c r="AJ11" i="1" s="1"/>
  <c r="N28" i="1"/>
  <c r="AA28" i="1" s="1"/>
  <c r="AJ28" i="1" s="1"/>
  <c r="N41" i="1"/>
  <c r="AA41" i="1" s="1"/>
  <c r="AJ41" i="1" s="1"/>
  <c r="N63" i="1"/>
  <c r="AA63" i="1" s="1"/>
  <c r="AJ63" i="1" s="1"/>
  <c r="N16" i="1"/>
  <c r="AA16" i="1" s="1"/>
  <c r="AJ16" i="1" s="1"/>
  <c r="N33" i="1"/>
  <c r="AA33" i="1" s="1"/>
  <c r="AJ33" i="1" s="1"/>
  <c r="N53" i="1"/>
  <c r="AA53" i="1" s="1"/>
  <c r="AJ53" i="1" s="1"/>
  <c r="N68" i="1"/>
  <c r="AA68" i="1" s="1"/>
  <c r="AJ68" i="1" s="1"/>
  <c r="N17" i="1"/>
  <c r="AA17" i="1" s="1"/>
  <c r="AJ17" i="1" s="1"/>
  <c r="N34" i="1"/>
  <c r="AA34" i="1" s="1"/>
  <c r="AJ34" i="1" s="1"/>
  <c r="N50" i="1"/>
  <c r="AA50" i="1" s="1"/>
  <c r="AJ50" i="1" s="1"/>
  <c r="N65" i="1"/>
  <c r="AA65" i="1" s="1"/>
  <c r="AJ65" i="1" s="1"/>
  <c r="N14" i="1"/>
  <c r="AA14" i="1" s="1"/>
  <c r="AJ14" i="1" s="1"/>
  <c r="N31" i="1"/>
  <c r="AA31" i="1" s="1"/>
  <c r="AJ31" i="1" s="1"/>
  <c r="N48" i="1"/>
  <c r="AA48" i="1" s="1"/>
  <c r="AJ48" i="1" s="1"/>
  <c r="N62" i="1"/>
  <c r="AA62" i="1" s="1"/>
  <c r="AJ62" i="1" s="1"/>
  <c r="N15" i="1"/>
  <c r="AA15" i="1" s="1"/>
  <c r="AJ15" i="1" s="1"/>
  <c r="N32" i="1"/>
  <c r="N45" i="1"/>
  <c r="AA45" i="1" s="1"/>
  <c r="AJ45" i="1" s="1"/>
  <c r="N67" i="1"/>
  <c r="AA67" i="1" s="1"/>
  <c r="AJ67" i="1" s="1"/>
  <c r="N21" i="1"/>
  <c r="AA21" i="1" s="1"/>
  <c r="AJ21" i="1" s="1"/>
  <c r="N37" i="1"/>
  <c r="AA37" i="1" s="1"/>
  <c r="AJ37" i="1" s="1"/>
  <c r="N57" i="1"/>
  <c r="AA57" i="1" s="1"/>
  <c r="AJ57" i="1" s="1"/>
  <c r="N49" i="1"/>
  <c r="AA49" i="1" s="1"/>
  <c r="AJ49" i="1" s="1"/>
  <c r="N5" i="1"/>
  <c r="N22" i="1"/>
  <c r="AA22" i="1" s="1"/>
  <c r="AJ22" i="1" s="1"/>
  <c r="N38" i="1"/>
  <c r="AA38" i="1" s="1"/>
  <c r="AJ38" i="1" s="1"/>
  <c r="N54" i="1"/>
  <c r="AA54" i="1" s="1"/>
  <c r="AJ54" i="1" s="1"/>
  <c r="N69" i="1"/>
  <c r="AA69" i="1" s="1"/>
  <c r="AJ69" i="1" s="1"/>
  <c r="N18" i="1"/>
  <c r="AA18" i="1" s="1"/>
  <c r="AJ18" i="1" s="1"/>
  <c r="N35" i="1"/>
  <c r="AA35" i="1" s="1"/>
  <c r="AJ35" i="1" s="1"/>
  <c r="N51" i="1"/>
  <c r="AA51" i="1" s="1"/>
  <c r="AJ51" i="1" s="1"/>
  <c r="N66" i="1"/>
  <c r="AA66" i="1" s="1"/>
  <c r="AJ66" i="1" s="1"/>
  <c r="N19" i="1"/>
  <c r="AA19" i="1" s="1"/>
  <c r="AJ19" i="1" s="1"/>
  <c r="N36" i="1"/>
  <c r="AA36" i="1" s="1"/>
  <c r="AJ36" i="1" s="1"/>
  <c r="N56" i="1"/>
  <c r="AA56" i="1" s="1"/>
  <c r="AJ56" i="1" s="1"/>
  <c r="N8" i="1"/>
  <c r="AA8" i="1" s="1"/>
  <c r="AJ8" i="1" s="1"/>
  <c r="N25" i="1"/>
  <c r="AA25" i="1" s="1"/>
  <c r="AJ25" i="1" s="1"/>
  <c r="N42" i="1"/>
  <c r="AA42" i="1" s="1"/>
  <c r="AJ42" i="1" s="1"/>
  <c r="N60" i="1"/>
  <c r="AA60" i="1" s="1"/>
  <c r="AJ60" i="1" s="1"/>
  <c r="N9" i="1"/>
  <c r="AA9" i="1" s="1"/>
  <c r="AJ9" i="1" s="1"/>
  <c r="N26" i="1"/>
  <c r="AA26" i="1" s="1"/>
  <c r="AJ26" i="1" s="1"/>
  <c r="N43" i="1"/>
  <c r="AA43" i="1" s="1"/>
  <c r="AJ43" i="1" s="1"/>
  <c r="N58" i="1"/>
  <c r="AA58" i="1" s="1"/>
  <c r="AJ58" i="1" s="1"/>
  <c r="N6" i="1"/>
  <c r="AA6" i="1" s="1"/>
  <c r="AJ6" i="1" s="1"/>
  <c r="N23" i="1"/>
  <c r="AA23" i="1" s="1"/>
  <c r="AJ23" i="1" s="1"/>
  <c r="N39" i="1"/>
  <c r="AA39" i="1" s="1"/>
  <c r="AJ39" i="1" s="1"/>
  <c r="N52" i="1"/>
  <c r="AA52" i="1" s="1"/>
  <c r="AJ52" i="1" s="1"/>
  <c r="N7" i="1"/>
  <c r="AA7" i="1" s="1"/>
  <c r="AJ7" i="1" s="1"/>
  <c r="N24" i="1"/>
  <c r="AA24" i="1" s="1"/>
  <c r="AJ24" i="1" s="1"/>
  <c r="N40" i="1"/>
  <c r="AA40" i="1" s="1"/>
  <c r="AJ40" i="1" s="1"/>
  <c r="N59" i="1"/>
  <c r="AA59" i="1" s="1"/>
  <c r="AJ59" i="1" s="1"/>
  <c r="N12" i="1"/>
  <c r="AA12" i="1" s="1"/>
  <c r="AJ12" i="1" s="1"/>
  <c r="N29" i="1"/>
  <c r="AA29" i="1" s="1"/>
  <c r="AJ29" i="1" s="1"/>
  <c r="N46" i="1"/>
  <c r="AA46" i="1" s="1"/>
  <c r="AJ46" i="1" s="1"/>
  <c r="N64" i="1"/>
  <c r="AA64" i="1" s="1"/>
  <c r="AJ64" i="1" s="1"/>
  <c r="C34" i="49"/>
  <c r="Q20" i="1"/>
  <c r="AD20" i="1" s="1"/>
  <c r="N73" i="1"/>
  <c r="AA73" i="1" s="1"/>
  <c r="AJ73" i="1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229" i="28"/>
  <c r="AA229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Z230" i="28"/>
  <c r="AA230" i="28" s="1"/>
  <c r="B20" i="55"/>
  <c r="B20" i="54"/>
  <c r="C23" i="2"/>
  <c r="N74" i="1"/>
  <c r="AA74" i="1" s="1"/>
  <c r="AJ74" i="1" s="1"/>
  <c r="N70" i="1"/>
  <c r="AA70" i="1" s="1"/>
  <c r="AJ70" i="1" s="1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G33" i="50" l="1"/>
  <c r="G40" i="50" s="1"/>
  <c r="G13" i="50" s="1"/>
  <c r="G25" i="50" s="1"/>
  <c r="U182" i="1"/>
  <c r="U173" i="1"/>
  <c r="U189" i="1"/>
  <c r="U198" i="1"/>
  <c r="AD198" i="1"/>
  <c r="AD182" i="1"/>
  <c r="AD189" i="1"/>
  <c r="AD173" i="1"/>
  <c r="G15" i="29"/>
  <c r="G15" i="57"/>
  <c r="G16" i="29"/>
  <c r="G16" i="57"/>
  <c r="G34" i="49"/>
  <c r="G41" i="49" s="1"/>
  <c r="G14" i="49" s="1"/>
  <c r="AG58" i="1"/>
  <c r="G31" i="49"/>
  <c r="AB58" i="1"/>
  <c r="Q72" i="1"/>
  <c r="AD72" i="1" s="1"/>
  <c r="Q32" i="1"/>
  <c r="AD32" i="1" s="1"/>
  <c r="AA32" i="1"/>
  <c r="AJ32" i="1" s="1"/>
  <c r="Q5" i="1"/>
  <c r="AD5" i="1" s="1"/>
  <c r="AA5" i="1"/>
  <c r="AJ5" i="1" s="1"/>
  <c r="Q71" i="1"/>
  <c r="AD71" i="1" s="1"/>
  <c r="Q61" i="1"/>
  <c r="AD61" i="1" s="1"/>
  <c r="AA61" i="1"/>
  <c r="AJ61" i="1" s="1"/>
  <c r="D12" i="29"/>
  <c r="F17" i="45"/>
  <c r="F18" i="45" s="1"/>
  <c r="F24" i="45"/>
  <c r="F25" i="45"/>
  <c r="D34" i="57"/>
  <c r="D41" i="57" s="1"/>
  <c r="C33" i="50"/>
  <c r="C40" i="50" s="1"/>
  <c r="C13" i="50" s="1"/>
  <c r="F13" i="29"/>
  <c r="D34" i="56"/>
  <c r="D41" i="56" s="1"/>
  <c r="C41" i="49"/>
  <c r="C14" i="49" s="1"/>
  <c r="Q70" i="1"/>
  <c r="AD70" i="1" s="1"/>
  <c r="F14" i="29"/>
  <c r="D33" i="50"/>
  <c r="D40" i="50" s="1"/>
  <c r="D13" i="50" s="1"/>
  <c r="D17" i="50" s="1"/>
  <c r="D18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Q62" i="1"/>
  <c r="AD62" i="1" s="1"/>
  <c r="Q63" i="1"/>
  <c r="AD63" i="1" s="1"/>
  <c r="D41" i="49"/>
  <c r="D14" i="49" s="1"/>
  <c r="D14" i="29" s="1"/>
  <c r="D34" i="29"/>
  <c r="D41" i="29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AF105" i="1"/>
  <c r="AF103" i="1"/>
  <c r="AF138" i="1"/>
  <c r="AF129" i="1"/>
  <c r="AF127" i="1"/>
  <c r="AF123" i="1"/>
  <c r="AF121" i="1"/>
  <c r="AF114" i="1"/>
  <c r="AF132" i="1"/>
  <c r="AF104" i="1"/>
  <c r="AF118" i="1"/>
  <c r="AF117" i="1"/>
  <c r="AF115" i="1"/>
  <c r="AF107" i="1"/>
  <c r="AF122" i="1"/>
  <c r="AF106" i="1"/>
  <c r="AF119" i="1"/>
  <c r="AF131" i="1"/>
  <c r="AF80" i="1"/>
  <c r="AF134" i="1"/>
  <c r="AF116" i="1"/>
  <c r="AF124" i="1"/>
  <c r="AF120" i="1"/>
  <c r="AF125" i="1"/>
  <c r="AF133" i="1"/>
  <c r="AF128" i="1"/>
  <c r="AF126" i="1"/>
  <c r="AF135" i="1"/>
  <c r="AF137" i="1"/>
  <c r="AF76" i="1"/>
  <c r="AF130" i="1"/>
  <c r="AF143" i="1"/>
  <c r="AF139" i="1"/>
  <c r="AF88" i="1"/>
  <c r="AF83" i="1"/>
  <c r="AF140" i="1"/>
  <c r="AF144" i="1"/>
  <c r="AF108" i="1"/>
  <c r="AF89" i="1"/>
  <c r="AF136" i="1"/>
  <c r="AF86" i="1"/>
  <c r="AF141" i="1"/>
  <c r="AF111" i="1"/>
  <c r="AF97" i="1"/>
  <c r="AF142" i="1"/>
  <c r="AF109" i="1"/>
  <c r="AF81" i="1"/>
  <c r="AF113" i="1"/>
  <c r="AF112" i="1"/>
  <c r="AF110" i="1"/>
  <c r="AF78" i="1"/>
  <c r="AF96" i="1"/>
  <c r="AF93" i="1"/>
  <c r="AF102" i="1"/>
  <c r="AF91" i="1"/>
  <c r="AF85" i="1"/>
  <c r="AF79" i="1"/>
  <c r="AF99" i="1"/>
  <c r="AF82" i="1"/>
  <c r="AF94" i="1"/>
  <c r="AF92" i="1"/>
  <c r="AF101" i="1"/>
  <c r="AF98" i="1"/>
  <c r="AF77" i="1"/>
  <c r="AF100" i="1"/>
  <c r="AF95" i="1"/>
  <c r="AF90" i="1"/>
  <c r="AF87" i="1"/>
  <c r="AF75" i="1"/>
  <c r="AF84" i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AF62" i="1"/>
  <c r="AF11" i="1"/>
  <c r="AF31" i="1"/>
  <c r="AF58" i="1"/>
  <c r="AF30" i="1"/>
  <c r="AF49" i="1"/>
  <c r="AF41" i="1"/>
  <c r="AF50" i="1"/>
  <c r="AF67" i="1"/>
  <c r="AF68" i="1"/>
  <c r="AF13" i="1"/>
  <c r="AF56" i="1"/>
  <c r="AF14" i="1"/>
  <c r="AF47" i="1"/>
  <c r="AF43" i="1"/>
  <c r="AF25" i="1"/>
  <c r="AF35" i="1"/>
  <c r="AF60" i="1"/>
  <c r="AF17" i="1"/>
  <c r="AF69" i="1"/>
  <c r="AF65" i="1"/>
  <c r="AF59" i="1"/>
  <c r="AF38" i="1"/>
  <c r="AF26" i="1"/>
  <c r="AF15" i="1"/>
  <c r="AF27" i="1"/>
  <c r="AF46" i="1"/>
  <c r="AF23" i="1"/>
  <c r="AF57" i="1"/>
  <c r="AF53" i="1"/>
  <c r="AF16" i="1"/>
  <c r="AF36" i="1"/>
  <c r="AF9" i="1"/>
  <c r="AF39" i="1"/>
  <c r="AF55" i="1"/>
  <c r="AF40" i="1"/>
  <c r="AF29" i="1"/>
  <c r="AF42" i="1"/>
  <c r="AF10" i="1"/>
  <c r="AF28" i="1"/>
  <c r="AF64" i="1"/>
  <c r="AF6" i="1"/>
  <c r="AF7" i="1"/>
  <c r="AF51" i="1"/>
  <c r="AF45" i="1"/>
  <c r="AF22" i="1"/>
  <c r="AF66" i="1"/>
  <c r="AF19" i="1"/>
  <c r="AF34" i="1"/>
  <c r="AF48" i="1"/>
  <c r="AF44" i="1"/>
  <c r="AF33" i="1"/>
  <c r="AF63" i="1"/>
  <c r="AF12" i="1"/>
  <c r="AF24" i="1"/>
  <c r="AF54" i="1"/>
  <c r="AF37" i="1"/>
  <c r="AF52" i="1"/>
  <c r="AF18" i="1"/>
  <c r="AF21" i="1"/>
  <c r="AF8" i="1"/>
  <c r="AF32" i="1"/>
  <c r="AF5" i="1"/>
  <c r="AF61" i="1"/>
  <c r="AF20" i="1"/>
  <c r="AF72" i="1"/>
  <c r="AF71" i="1"/>
  <c r="AF73" i="1"/>
  <c r="AF70" i="1"/>
  <c r="AF74" i="1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Q33" i="1"/>
  <c r="AD33" i="1" s="1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Q37" i="1"/>
  <c r="AD37" i="1" s="1"/>
  <c r="Q46" i="1"/>
  <c r="AD46" i="1" s="1"/>
  <c r="Q40" i="1"/>
  <c r="AD40" i="1" s="1"/>
  <c r="Q35" i="1"/>
  <c r="AD35" i="1" s="1"/>
  <c r="Q31" i="1"/>
  <c r="AD31" i="1" s="1"/>
  <c r="Q24" i="1"/>
  <c r="AD24" i="1" s="1"/>
  <c r="Q19" i="1"/>
  <c r="AD19" i="1" s="1"/>
  <c r="Q17" i="1"/>
  <c r="AD17" i="1" s="1"/>
  <c r="Q14" i="1"/>
  <c r="AD14" i="1" s="1"/>
  <c r="Q16" i="1"/>
  <c r="AD16" i="1" s="1"/>
  <c r="Q44" i="1"/>
  <c r="AD44" i="1" s="1"/>
  <c r="H11" i="55"/>
  <c r="J11" i="55" s="1"/>
  <c r="H11" i="47"/>
  <c r="J11" i="47" s="1"/>
  <c r="Q30" i="1"/>
  <c r="AD30" i="1" s="1"/>
  <c r="Q10" i="1"/>
  <c r="AD10" i="1" s="1"/>
  <c r="Q27" i="1"/>
  <c r="AD27" i="1" s="1"/>
  <c r="F14" i="56"/>
  <c r="Q53" i="1"/>
  <c r="AD53" i="1" s="1"/>
  <c r="Q23" i="1"/>
  <c r="AD23" i="1" s="1"/>
  <c r="Q26" i="1"/>
  <c r="AD26" i="1" s="1"/>
  <c r="G24" i="55"/>
  <c r="H14" i="54"/>
  <c r="J14" i="54" s="1"/>
  <c r="B25" i="44"/>
  <c r="Q55" i="1"/>
  <c r="AD55" i="1" s="1"/>
  <c r="Q52" i="1"/>
  <c r="AD52" i="1" s="1"/>
  <c r="Q54" i="1"/>
  <c r="AD54" i="1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Q34" i="1"/>
  <c r="AD34" i="1" s="1"/>
  <c r="Q58" i="1"/>
  <c r="AD58" i="1" s="1"/>
  <c r="Q25" i="1"/>
  <c r="AD25" i="1" s="1"/>
  <c r="Q68" i="1"/>
  <c r="AD68" i="1" s="1"/>
  <c r="Q29" i="1"/>
  <c r="AD29" i="1" s="1"/>
  <c r="Q60" i="1"/>
  <c r="AD60" i="1" s="1"/>
  <c r="Q9" i="1"/>
  <c r="AD9" i="1" s="1"/>
  <c r="Q22" i="1"/>
  <c r="AD22" i="1" s="1"/>
  <c r="Q65" i="1"/>
  <c r="AD65" i="1" s="1"/>
  <c r="Q28" i="1"/>
  <c r="AD28" i="1" s="1"/>
  <c r="Q67" i="1"/>
  <c r="AD67" i="1" s="1"/>
  <c r="E24" i="55"/>
  <c r="H13" i="45"/>
  <c r="J13" i="45" s="1"/>
  <c r="B24" i="47"/>
  <c r="Q39" i="1"/>
  <c r="AD39" i="1" s="1"/>
  <c r="Q51" i="1"/>
  <c r="AD51" i="1" s="1"/>
  <c r="Q12" i="1"/>
  <c r="AD12" i="1" s="1"/>
  <c r="Q18" i="1"/>
  <c r="AD18" i="1" s="1"/>
  <c r="Q56" i="1"/>
  <c r="AD56" i="1" s="1"/>
  <c r="Q6" i="1"/>
  <c r="AD6" i="1" s="1"/>
  <c r="Q43" i="1"/>
  <c r="AD43" i="1" s="1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Q66" i="1"/>
  <c r="AD66" i="1" s="1"/>
  <c r="Q57" i="1"/>
  <c r="AD57" i="1" s="1"/>
  <c r="Q38" i="1"/>
  <c r="AD38" i="1" s="1"/>
  <c r="C32" i="49"/>
  <c r="C39" i="49" s="1"/>
  <c r="C12" i="49" s="1"/>
  <c r="E25" i="55"/>
  <c r="D24" i="45"/>
  <c r="D17" i="54"/>
  <c r="D18" i="54" s="1"/>
  <c r="C30" i="57"/>
  <c r="F10" i="57"/>
  <c r="F26" i="57" s="1"/>
  <c r="F12" i="56"/>
  <c r="Q15" i="1"/>
  <c r="AD15" i="1" s="1"/>
  <c r="Q11" i="1"/>
  <c r="AD11" i="1" s="1"/>
  <c r="Q47" i="1"/>
  <c r="AD47" i="1" s="1"/>
  <c r="Q13" i="1"/>
  <c r="AD13" i="1" s="1"/>
  <c r="Q8" i="1"/>
  <c r="AD8" i="1" s="1"/>
  <c r="Q50" i="1"/>
  <c r="AD50" i="1" s="1"/>
  <c r="Q69" i="1"/>
  <c r="AD69" i="1" s="1"/>
  <c r="Q41" i="1"/>
  <c r="AD41" i="1" s="1"/>
  <c r="Q36" i="1"/>
  <c r="AD36" i="1" s="1"/>
  <c r="D10" i="57"/>
  <c r="D26" i="57" s="1"/>
  <c r="D24" i="54"/>
  <c r="F24" i="44"/>
  <c r="Q21" i="1"/>
  <c r="AD21" i="1" s="1"/>
  <c r="Q45" i="1"/>
  <c r="AD45" i="1" s="1"/>
  <c r="Q42" i="1"/>
  <c r="AD42" i="1" s="1"/>
  <c r="Q59" i="1"/>
  <c r="AD59" i="1" s="1"/>
  <c r="Q48" i="1"/>
  <c r="AD48" i="1" s="1"/>
  <c r="Q7" i="1"/>
  <c r="AD7" i="1" s="1"/>
  <c r="Q49" i="1"/>
  <c r="AD49" i="1" s="1"/>
  <c r="Q64" i="1"/>
  <c r="AD64" i="1" s="1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Q74" i="1"/>
  <c r="AD74" i="1" s="1"/>
  <c r="H14" i="45"/>
  <c r="J14" i="45" s="1"/>
  <c r="Q73" i="1"/>
  <c r="AD73" i="1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G17" i="50" l="1"/>
  <c r="G18" i="50" s="1"/>
  <c r="G24" i="50"/>
  <c r="J11" i="50"/>
  <c r="AK58" i="1"/>
  <c r="H5" i="8" s="1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H15" i="49"/>
  <c r="E15" i="29"/>
  <c r="D24" i="50"/>
  <c r="D33" i="29"/>
  <c r="D40" i="29" s="1"/>
  <c r="H13" i="50"/>
  <c r="D14" i="57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B13" i="29" l="1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I12" i="21" s="1"/>
  <c r="C16" i="21"/>
  <c r="I18" i="21" l="1"/>
  <c r="E21" i="21"/>
  <c r="E22" i="21" s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E30" i="21" l="1"/>
  <c r="E31" i="21" s="1"/>
  <c r="F21" i="21"/>
  <c r="I21" i="21"/>
  <c r="C22" i="21"/>
  <c r="D22" i="21" s="1"/>
  <c r="C27" i="21"/>
  <c r="F22" i="21" l="1"/>
  <c r="I30" i="21"/>
  <c r="D27" i="21"/>
  <c r="C29" i="21"/>
  <c r="F30" i="21" l="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<sst xmlns="http://schemas.openxmlformats.org/spreadsheetml/2006/main" count="1896" uniqueCount="604">
  <si>
    <t>Flights Per Week</t>
  </si>
  <si>
    <t>Flights Per Year</t>
  </si>
  <si>
    <t xml:space="preserve">Load </t>
  </si>
  <si>
    <t>Description</t>
  </si>
  <si>
    <t xml:space="preserve">Grand Total </t>
  </si>
  <si>
    <t>Virgin Atlantic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</si>
  <si>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</si>
  <si>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</si>
  <si>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</si>
  <si>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</si>
  <si>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</si>
  <si>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</si>
  <si>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</si>
  <si>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</si>
  <si>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</si>
  <si>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>$705 PER FLIGHT OVERHEAD CHARGE</t>
  </si>
  <si>
    <t xml:space="preserve">Mark up on Food Labor </t>
  </si>
  <si>
    <t>Revenue Other</t>
  </si>
  <si>
    <t xml:space="preserve">Mark up on Handling </t>
  </si>
  <si>
    <t>Net Revenue</t>
  </si>
  <si>
    <t>Food Cost</t>
  </si>
  <si>
    <t xml:space="preserve">VA ATL TOTAL HANDLING </t>
  </si>
  <si>
    <t>Other product cost</t>
  </si>
  <si>
    <t>A330</t>
  </si>
  <si>
    <t xml:space="preserve"> Total Direct Materials</t>
  </si>
  <si>
    <t>A350</t>
  </si>
  <si>
    <t>Direct Labor - Wages</t>
  </si>
  <si>
    <t>Direct Labor - OT Premium</t>
  </si>
  <si>
    <t>Direct Labor - Benefit Cost</t>
  </si>
  <si>
    <t>Direct Labor - Other</t>
  </si>
  <si>
    <t>VA ATL TRANSPORT</t>
  </si>
  <si>
    <t>Direct Management Labor Cost</t>
  </si>
  <si>
    <t>A330 TURNAROUND</t>
  </si>
  <si>
    <t>Total Direct Labor</t>
  </si>
  <si>
    <t>A350 TURNAROUND</t>
  </si>
  <si>
    <t>Gross Profit Margin (CM1)</t>
  </si>
  <si>
    <t>787 TURNAROUND</t>
  </si>
  <si>
    <t>VA ATL Avg. Revenue Per Flight</t>
  </si>
  <si>
    <t>Indirect Management Labor Cost</t>
  </si>
  <si>
    <t>extra management?</t>
  </si>
  <si>
    <t xml:space="preserve"> Avg. Price Per Pax </t>
  </si>
  <si>
    <t>VA ATL INTERNATIONAL GARBAGE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</si>
  <si>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</si>
  <si>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</si>
  <si>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</si>
  <si>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</si>
  <si>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</si>
  <si>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</si>
  <si>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</si>
  <si>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</si>
  <si>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</si>
  <si>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Utility</t>
  </si>
  <si>
    <t xml:space="preserve"> $-   </t>
  </si>
  <si>
    <t>Operating Expense-Fixed</t>
  </si>
  <si>
    <t>??? Freezer and Cooler</t>
  </si>
  <si>
    <t>Overhead</t>
  </si>
  <si>
    <t>Other OPEX Cost</t>
  </si>
  <si>
    <t xml:space="preserve">PY </t>
  </si>
  <si>
    <t>YC</t>
  </si>
  <si>
    <t>CC</t>
  </si>
  <si>
    <t>VA ATL WASH UP</t>
  </si>
  <si>
    <t>EBITDA</t>
  </si>
  <si>
    <t>Note - On the P&amp;L we can update the Flights per week, AC type, Load Factor, Cycle &amp; Mark up's</t>
  </si>
  <si>
    <t>Overhead =(2/3)*(property tax+utility)</t>
  </si>
  <si>
    <t xml:space="preserve">VA ATL PACKING </t>
  </si>
  <si>
    <t>customer service account manager</t>
  </si>
  <si>
    <t xml:space="preserve">culinary operation duty manager </t>
  </si>
  <si>
    <t xml:space="preserve">hourly invoice assisant </t>
  </si>
  <si>
    <t xml:space="preserve">ramp duty manager </t>
  </si>
  <si>
    <t>CONTRACTORS</t>
  </si>
  <si>
    <t>EXTERIOR SIGNAGE</t>
  </si>
  <si>
    <t>MULTITEMP FREEZERS</t>
  </si>
  <si>
    <t>DISHWASHER RETAL (YEARLY)</t>
  </si>
  <si>
    <t>PERMITTING</t>
  </si>
  <si>
    <t>RENT/LEASE (YEARLY)</t>
  </si>
  <si>
    <t>TRUCK (2 TRUCKS)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</si>
  <si>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</si>
  <si>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</si>
  <si>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</si>
  <si>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</si>
  <si>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</si>
  <si>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</si>
  <si>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</si>
  <si>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</si>
  <si>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</si>
  <si>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</si>
  <si>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</si>
  <si>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</si>
  <si>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</si>
  <si>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</si>
  <si>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</si>
  <si>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</si>
  <si>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</si>
  <si>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</si>
  <si>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</si>
  <si>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</si>
  <si>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</si>
  <si>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</si>
  <si>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</si>
  <si>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</si>
  <si>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</si>
  <si>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</si>
  <si>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</si>
  <si>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</si>
  <si>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</si>
  <si>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</si>
  <si>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</si>
  <si>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</si>
  <si>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</si>
  <si>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</si>
  <si>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</si>
  <si>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</si>
  <si>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</si>
  <si>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</si>
  <si>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</si>
  <si>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</si>
  <si>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</si>
  <si>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</si>
  <si>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</si>
  <si>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</si>
  <si>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</si>
  <si>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</si>
  <si>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</si>
  <si>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</si>
  <si>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</si>
  <si>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</si>
  <si>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</si>
  <si>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</si>
  <si>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</si>
  <si>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</si>
  <si>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</si>
  <si>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</si>
  <si>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</si>
  <si>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</si>
  <si>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</si>
  <si>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</si>
  <si>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</si>
  <si>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</si>
  <si>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</si>
  <si>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</si>
  <si>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</si>
  <si>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</si>
  <si>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</si>
  <si>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</si>
  <si>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</si>
  <si>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</si>
  <si>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</si>
  <si>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</si>
  <si>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</si>
  <si>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</si>
  <si>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</si>
  <si>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</si>
  <si>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</si>
  <si>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</si>
  <si>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</si>
  <si>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</si>
  <si>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</si>
  <si>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</si>
  <si>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</si>
  <si>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</si>
  <si>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</si>
  <si>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</si>
  <si>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</si>
  <si>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</si>
  <si>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</si>
  <si>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</si>
  <si>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</si>
  <si>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</si>
  <si>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</si>
  <si>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</si>
  <si>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</si>
  <si>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</si>
  <si>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</si>
  <si>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</si>
  <si>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</si>
  <si>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</si>
  <si>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</si>
  <si>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</si>
  <si>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</si>
  <si>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</si>
  <si>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</si>
  <si>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</si>
  <si>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</si>
  <si>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</si>
  <si>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</si>
  <si>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</si>
  <si>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</si>
  <si>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</si>
  <si>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</si>
  <si>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CABIN CREW CLASS</t>
  </si>
  <si>
    <t>NM cost added</t>
  </si>
  <si>
    <t>HANDLING CALCULATOR</t>
  </si>
  <si>
    <t>ALL AC TYPE</t>
  </si>
  <si>
    <t>STATION</t>
  </si>
  <si>
    <t>Aircraft type</t>
  </si>
  <si>
    <t>AC TYPE</t>
  </si>
  <si>
    <t xml:space="preserve">Long Hual with Food 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</si>
  <si>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</si>
  <si>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</si>
  <si>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</si>
  <si>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</si>
  <si>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</si>
  <si>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</si>
  <si>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</si>
  <si>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</si>
  <si>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</si>
  <si>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</si>
  <si>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</si>
  <si>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</si>
  <si>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</si>
  <si>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</si>
  <si>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</si>
  <si>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</si>
  <si>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</si>
  <si>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</si>
  <si>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</si>
  <si>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</si>
  <si>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</si>
  <si>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</si>
  <si>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</si>
  <si>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</si>
  <si>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</si>
  <si>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</si>
  <si>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</si>
  <si>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</si>
  <si>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</si>
  <si>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</si>
  <si>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</si>
  <si>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</si>
  <si>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</si>
  <si>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</si>
  <si>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</si>
  <si>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</si>
  <si>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</si>
  <si>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</si>
  <si>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</si>
  <si>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</si>
  <si>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</si>
  <si>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</si>
  <si>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</si>
  <si>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</si>
  <si>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</si>
  <si>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</si>
  <si>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</si>
  <si>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</si>
  <si>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</si>
  <si>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</si>
  <si>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</si>
  <si>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</si>
  <si>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</si>
  <si>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WASHUP</t>
  </si>
  <si>
    <t xml:space="preserve">EQUIPMENT PACKING </t>
  </si>
  <si>
    <t xml:space="preserve">TRANSPORT &amp; HANDLING </t>
  </si>
  <si>
    <t xml:space="preserve">INTERNATIONAL TRASH </t>
  </si>
  <si>
    <t>Category</t>
  </si>
  <si>
    <t>Aircraft</t>
  </si>
  <si>
    <t>Packing Category</t>
  </si>
  <si>
    <t>Total Man Minutes per Aircraft</t>
  </si>
  <si>
    <t>Price per MM</t>
  </si>
  <si>
    <t xml:space="preserve">ATL Price </t>
  </si>
  <si>
    <t>ATL</t>
  </si>
  <si>
    <t>A330-300</t>
  </si>
  <si>
    <t>A330-900</t>
  </si>
  <si>
    <t>A350-1000</t>
  </si>
  <si>
    <t>A350-1000B</t>
  </si>
  <si>
    <t>B787-900</t>
  </si>
  <si>
    <t>China / Glassware (inc cutlery)</t>
  </si>
  <si>
    <t>Activity</t>
  </si>
  <si>
    <t>Total Cost ($)</t>
  </si>
  <si>
    <t>Turnaround (Strip and Load)</t>
  </si>
  <si>
    <t>Total factors - All flights</t>
  </si>
  <si>
    <t>Driver Man Minutes</t>
  </si>
  <si>
    <t>J-Class Equipment</t>
  </si>
  <si>
    <t>Quantities</t>
  </si>
  <si>
    <t>MM</t>
  </si>
  <si>
    <t>Price per Man Minutes</t>
  </si>
  <si>
    <t>Crockery</t>
  </si>
  <si>
    <t>Driver Cost</t>
  </si>
  <si>
    <t>Glassware</t>
  </si>
  <si>
    <t>Flt Co-ord Man Minutes</t>
  </si>
  <si>
    <t>Cutlery*</t>
  </si>
  <si>
    <t>WY Bar alcohol packing</t>
  </si>
  <si>
    <t>Tray 1/1</t>
  </si>
  <si>
    <t>Flt Co-ord Cost</t>
  </si>
  <si>
    <t>Sundries Items</t>
  </si>
  <si>
    <t>Dispatch Man Minutes</t>
  </si>
  <si>
    <t>Total Volume of Washing per Aircraft</t>
  </si>
  <si>
    <t>Dispatch Cost</t>
  </si>
  <si>
    <t>Price per Man Minute</t>
  </si>
  <si>
    <t>[Add resource as appropriate]</t>
  </si>
  <si>
    <t>Cost per Flight</t>
  </si>
  <si>
    <t>WY Bar packing</t>
  </si>
  <si>
    <t>[Add resource labour rate as appropriate]</t>
  </si>
  <si>
    <t>W-Class Equipment</t>
  </si>
  <si>
    <t>Cost</t>
  </si>
  <si>
    <t>Total Cost Per Flight</t>
  </si>
  <si>
    <t>Strip Only</t>
  </si>
  <si>
    <t>Tray (1/1 &amp; 1/2)</t>
  </si>
  <si>
    <t>Y-Class Equipment</t>
  </si>
  <si>
    <t>Tray 1/2</t>
  </si>
  <si>
    <t>Plastics</t>
  </si>
  <si>
    <t>Carts, Ovens &amp; Boxes</t>
  </si>
  <si>
    <t xml:space="preserve">Load Only 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</si>
  <si>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</si>
  <si>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</si>
  <si>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</si>
  <si>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</si>
  <si>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</si>
  <si>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</si>
  <si>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</si>
  <si>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</si>
  <si>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</si>
  <si>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</si>
  <si>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</si>
  <si>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</si>
  <si>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</si>
  <si>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</si>
  <si>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</si>
  <si>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</si>
  <si>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</si>
  <si>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</si>
  <si>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</si>
  <si>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</si>
  <si>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</si>
  <si>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</si>
  <si>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</si>
  <si>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AC350</t>
  </si>
  <si>
    <t>AC330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</si>
  <si>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</si>
  <si>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</si>
  <si>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</si>
  <si>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</si>
  <si>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</si>
  <si>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</si>
  <si>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</si>
  <si>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</si>
  <si>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</si>
  <si>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</si>
  <si>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</si>
  <si>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</si>
  <si>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>Food+MU</t>
  </si>
  <si>
    <t>Labor +MU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</si>
  <si>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</si>
  <si>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</si>
  <si>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</si>
  <si>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</si>
  <si>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</si>
  <si>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</si>
  <si>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</si>
  <si>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</si>
  <si>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</si>
  <si>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</si>
  <si>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</si>
  <si>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</si>
  <si>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</si>
  <si>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</si>
  <si>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STD</t>
  </si>
  <si>
    <t xml:space="preserve">adjust the mark up for price adjustment 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</si>
  <si>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</si>
  <si>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</si>
  <si>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</si>
  <si>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</si>
  <si>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</si>
  <si>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</si>
  <si>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</si>
  <si>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</si>
  <si>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</si>
  <si>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</si>
  <si>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</si>
  <si>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</si>
  <si>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</si>
  <si>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</si>
  <si>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</si>
  <si>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</si>
  <si>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</si>
  <si>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</si>
  <si>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</si>
  <si>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</si>
  <si>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</si>
  <si>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</si>
  <si>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</si>
  <si>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</si>
  <si>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</si>
  <si>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</si>
  <si>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</si>
  <si>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</si>
  <si>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</si>
  <si>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</si>
  <si>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</si>
  <si>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</si>
  <si>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</si>
  <si>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</si>
  <si>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</si>
  <si>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</si>
  <si>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</si>
  <si>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</si>
  <si>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</si>
  <si>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</si>
  <si>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</si>
  <si>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</si>
  <si>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</si>
  <si>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</si>
  <si>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</si>
  <si>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</si>
  <si>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</si>
  <si>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</si>
  <si>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</si>
  <si>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</si>
  <si>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</si>
  <si>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</si>
  <si>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</si>
  <si>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</si>
  <si>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</si>
  <si>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</si>
  <si>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</si>
  <si>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</si>
  <si>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</si>
  <si>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</si>
  <si>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</si>
  <si>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</si>
  <si>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</si>
  <si>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</si>
  <si>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</si>
  <si>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</si>
  <si>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</si>
  <si>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</si>
  <si>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</si>
  <si>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</si>
  <si>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</si>
  <si>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</si>
  <si>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</si>
  <si>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</si>
  <si>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</si>
  <si>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</si>
  <si>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</si>
  <si>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</si>
  <si>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</si>
  <si>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</si>
  <si>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</si>
  <si>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1 MESCLUN MIX, CUCUMBER, CARROT, CHERRY TOMATO</t>
  </si>
  <si>
    <t>YC C1 DINNER STARTER 2 RED QUINOA, CORN CAVIAR, SUNFLOWER SEED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</si>
  <si>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</si>
  <si>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</si>
  <si>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</si>
  <si>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</si>
  <si>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</si>
  <si>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</si>
  <si>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</si>
  <si>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</si>
  <si>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</si>
  <si>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</si>
  <si>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</si>
  <si>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</si>
  <si>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</si>
  <si>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</si>
  <si>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</si>
  <si>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</si>
  <si>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</si>
  <si>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</si>
  <si>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</si>
  <si>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</si>
  <si>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</si>
  <si>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</si>
  <si>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</si>
  <si>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</si>
  <si>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</si>
  <si>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</si>
  <si>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</si>
  <si>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</si>
  <si>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</si>
  <si>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2 GRILLED HERB CHICKEN WITH QUINOA AND STEAMED VEGETABLES</t>
  </si>
  <si>
    <t>CREW C3 DINNER ENTRÉE 3 MOZZARELLA RAVIOLI WITH POMEDORI SAUCE, PESTO MARINATED BURATTA AND GARLIC SPINACH</t>
  </si>
  <si>
    <t xml:space="preserve">CREW C3 DINNER ENTRÉE 4 WILD MUSHROOM RAVIOLI WITH SAUTEED SPINACH AND ALFREDO SAUCE 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</si>
  <si>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</si>
  <si>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</si>
  <si>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</si>
  <si>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</si>
  <si>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</si>
  <si>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>CREW C3 MIDNIGHT SNACK BUFFALO CHICKEN TENDERS WITH TATER TOTS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</si>
  <si>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</si>
  <si>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</si>
  <si>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</si>
  <si>
    <t>BC C1 DINNER COLD STARTER 1 PROSCUITTO WRAPPED GRILLED PEACHES, FRISSEE, LIME MINT WATERMELON CHUNK, FETA CUBES, MINT LIME VINAIGRETTE GEL</t>
  </si>
  <si>
    <t xml:space="preserve">BC C1 DINNER HOT STARTER 2 PIMENTO CHEESE, GREEN TOMATO FRITTER, DOU SOUTH RED PEPPER JELLY </t>
  </si>
  <si>
    <t>BC C1 DINNER HOT STARTER 1 GRILLED PRAWN, MANGO CURRY AIOLI, SWEET PEPPER CILANTRO SLAW</t>
  </si>
  <si>
    <t>BC C1 DINNER COLD STARTER 2 BURRATA CCHEESE, MARINATED HEIRLOOM TOMATOES, ARUGULA, BALSAMIC PEARLS</t>
  </si>
  <si>
    <t>BC C1 DINNER GARNISH ARUGULA</t>
  </si>
  <si>
    <t>BC C1 DINNER ENTRÉE 1 LEMON CHICKEN BREAST, WILD MUSHROOM CONSERVA, LEMON CHICKEN JUS, ROASTED FINGERLING POTATOES, HARICOT VERT</t>
  </si>
  <si>
    <t>BC C1 DINNER ENTRÉE 2 HALIBUT, TOMATO CITRUS NAGE, FENNEL CAPER OLIVE RELISH, SAFFRON COUSCOUS, BLISTERED TOMATO</t>
  </si>
  <si>
    <t>BC C1 DINNER ENTRÉE 3 TRUFFLE PARM RISSOTTO, GRILLED BABY ZUCCHINI, MUSHROOM VONSERVA, ASPARAGUS, BABY ARTICHOKE</t>
  </si>
  <si>
    <t>BC C1 DINNER ENTRÉE 4 CHALLAH GRILLED TOAST, TRUFFLE CHEESE FILLING, PROVOLONE CHEESE SLICE, SMOKED TOMATO BISQUE</t>
  </si>
  <si>
    <t xml:space="preserve">BC C1 DINNER ENTRÉE GARNISH BASIL OIL </t>
  </si>
  <si>
    <t xml:space="preserve">BC C1 DINNER DESSERT 1 CHOCOLATE CAKE, COCOA BUTTER CREAM STRAWBERRY COULIS, CHOCOLATE PEARLS, CHANTILLY CREAM </t>
  </si>
  <si>
    <t xml:space="preserve">BC C1 DINNER DESSERT 2 STICKY TOFFEE PUDDINGM TOFFEE SAUCE, CHANTILLY CREAM </t>
  </si>
  <si>
    <t>BC C1 DINNER DESSERT 1 BANANA PUDDING CHEESECAKE, BISCOFF CRUMBLES, BLUEBERRIES, CARAMEL SAUCE, CHANTILLY CREAM</t>
  </si>
  <si>
    <t>BC C1 DINNER DESSERT 2 BLACKBERRY PEACH COBBLER TART, BRULEE SLICED PEACHES, CRÈME FRAICHE</t>
  </si>
  <si>
    <t>BC C1 DINNER CHEESE PLATE HUMBOLT GOF, LAMB CHOPPER, CHEDDAR, SOULSHINE CUCUMBERS, MUSCADINE JELLY, GRAPE, CRACKER</t>
  </si>
  <si>
    <t xml:space="preserve">BC C1 BREAKFAST ENTRÉE 1 CURED SALMON, EVERTHING CREAM CHEESE, HALF EGG, PICKLED ONION </t>
  </si>
  <si>
    <t xml:space="preserve">BC C1 BREAKFAST ENTRÉE 2 SCRAMBLED EGG, BAKED BEAN, BACON, PORK SAUSAGE, HALF ROASTED TOMATO, </t>
  </si>
  <si>
    <t>BC C1 BREAKFAST ENTRÉE 3 BANANA BREAD FRENCH TOAST, HALF TOAST POINTS, BLUBERRY COULIS, BRULEE PEACHES</t>
  </si>
  <si>
    <t>BC C1 BREAKFAST ENTRÉE 4 ENGLEMANS ROLL, SPOTTED TROTTER - BACON, HP SAUCE</t>
  </si>
  <si>
    <t>BC C1 BREAKFAST SIDE 1 FRUIT PLATE KIWI, PINEAPPLE, ORANGE, BLUEBERRIES, STRAWBERRIES 140G</t>
  </si>
  <si>
    <t xml:space="preserve">BC C1 BREAKFAST SIDE 3 COCONUT YOGURT </t>
  </si>
  <si>
    <t>BC C1 BREAKFAST SIDE 4 SUPER SEED GRANOLA</t>
  </si>
  <si>
    <t>PY C1 DINNER TSU</t>
  </si>
  <si>
    <t>PY C1 DINNER BREAD HOUSEMADE SWEETWATER BEER AND CHEESE ROLL</t>
  </si>
  <si>
    <t>PY C1 DINNER BUTTER</t>
  </si>
  <si>
    <t xml:space="preserve">PY C1 DINNER STARTER MESCLUN MIX, CUCUMBER, GRAPE TOMATO, RADISH, BALSAMIC DRESSING </t>
  </si>
  <si>
    <t xml:space="preserve">PY C1 DINNER ENTRÉE 1 CRAB CAKE, POTATO RED ONION HASH, KALE, RED PEPPER CREAM SAUCE </t>
  </si>
  <si>
    <t>PY C1 DINNER ENTRÉE 2 CHICKEN KEBAB, HONEY HARISSA GLAZE, RED PEPPER, LEMON HERB RICE, FETA CHEESE</t>
  </si>
  <si>
    <t xml:space="preserve">PY C1 DINNER ENTRÉE 3 SMOKED MOZZARELLA RAVIOLI, MARINARA SAUCE, PESTO MARINATED BOCCONCINI MOZZARELLA, SHREDDED PARMESAN, SPINACH </t>
  </si>
  <si>
    <t xml:space="preserve">PY C1 DINENR DESSERT PEACH COBBLEER TART, CRÈME FRAICHE </t>
  </si>
  <si>
    <t>PY C1 DINENR CHEESE PLATE - CHEDDAR, MUENSTER CHEESE, DRIED APROCIT, JAM, CRACKER</t>
  </si>
  <si>
    <t>PY C1 BREAKFAST TSU</t>
  </si>
  <si>
    <t xml:space="preserve">PY C1 BREAKFAST ENTRÉE 1 SCRAMBLED EGGS, BAKED BEANS, PORK SAUSAGE, MUSHROOMS AND GRAPE TOMATO </t>
  </si>
  <si>
    <t>PY C1 BREAKFAST ENTRÉE 2 FETA EGG BITES, POTATOES AND RED ONION HASH, SHAKSHUKA SAUCE, FETA CHEESE CRUMBLES</t>
  </si>
  <si>
    <t xml:space="preserve">PY C1 BREAKFAST ENTRÉE 3 CHALLAH FRENCH TOAST CASSEROLE WITH ORANGE WHIPPED RICOTTA, AND MORELLO CHERRY COMPOTE </t>
  </si>
  <si>
    <t xml:space="preserve">PY C1 BREAKFAST SIDE 1 PEACH SLICE, STRAWBERRIES, BLUEBERRIES, AND MINT </t>
  </si>
  <si>
    <t>PY C1 BREAKFAST SIDE 2 GREEK YOGURT 112G</t>
  </si>
  <si>
    <t>YC C1 DINNER TSU</t>
  </si>
  <si>
    <t xml:space="preserve">YC C1 DINNER BREAD SOURDOUGH ROLL </t>
  </si>
  <si>
    <t>YC C1 DINNER BUTTER</t>
  </si>
  <si>
    <t xml:space="preserve">YC C1 DINNER STARTER MIX GREENS, CUCUMBER AND GRAPE TOMATO </t>
  </si>
  <si>
    <t>YC C1 DINNER ENTRÉE 1 THAI CHICKEN MEATBALL, GREEN CURRY</t>
  </si>
  <si>
    <t>YC C1 DINNER ENTRÉE 2 ORRECHIETTE, MARINARA SAUCE, HERB WHIPPED RICOTTA, VEGETABLE BOLOGNESE SAUCE</t>
  </si>
  <si>
    <t>YC C1 DINNER DESSERT BANANA PUDDING, NILLA WAFTER, NILLA WAFER CRUMBLE</t>
  </si>
  <si>
    <t>YC C1 BREAKFAST TSU</t>
  </si>
  <si>
    <t>YC C1 BREAKFAST SANDWICH BANANA MUFFIN</t>
  </si>
  <si>
    <t>YC C1 BREAKFAST BOX SIDES CHOBANI YOGURT, MIX GRUIT CUP</t>
  </si>
  <si>
    <t xml:space="preserve">CREW C1 DINNER WHOLE FRUIT APPLE AND ORANGE </t>
  </si>
  <si>
    <t>CREW C1 DINNER ENTRÉE 1 VEGAN TOFU THAI GREEN CURRY WITH WHITE RICE, STIR FRIED VEGETABLES</t>
  </si>
  <si>
    <t xml:space="preserve">CREW C1 DINNER ENTRÉE 2 CRUSTED SALMON, MISO GLAZE, SHITAKE STICKY RICE, ROOT VEG WIT PERILLA </t>
  </si>
  <si>
    <t>CREW C1 DINNER ENTRÉE 3 LEMON CONFIT CHICKEN BREAST, GRAPE DEMI GLACE, WITH MASHED POTATO AND GREEN BEANS</t>
  </si>
  <si>
    <t xml:space="preserve">CREW C1 DINNER ENTRÉE 4 CAVATAPI WITH RED WINE TOMATO RAGU SAUCE, AND IMPOSSIBLE MEATBALL </t>
  </si>
  <si>
    <t xml:space="preserve">CREW C1 DINNER ENTRÉE 5 POTATO GNOCCHI WITH SAGE BROW BUTTER SAUCE AND MARINATED KALE </t>
  </si>
  <si>
    <t>CREW C1 SANDWICH 1 HUMMUS, SPROUT TORTILLA WRAP</t>
  </si>
  <si>
    <t xml:space="preserve">CREW C1 SANDWICH 2 HAM AND PROVOLINE ON WHITE </t>
  </si>
  <si>
    <t>CREW C1 SANDWICH 3 ROAST BEEF AND CHEDDAR ON HOAGIE</t>
  </si>
  <si>
    <t>CREW C1 SANDWICH 4 CAPRESES SANDWICH ON CIABATA</t>
  </si>
  <si>
    <t>CREW C1 SANDWICH 5 TUNA SALAD ON WHEAT</t>
  </si>
  <si>
    <t>CREW C1 BREAKFAST HOT SANDWICH 1 CROISSANT AND AGED CHEDDAR</t>
  </si>
  <si>
    <t>CREW C1 BREAKFAST HOT SANDWICH 2 CHICKEN SAUSAGE BISCUIT</t>
  </si>
  <si>
    <t xml:space="preserve">CREW C1 BREAKFAST HOT SANDWICH 3 BACON ROLL </t>
  </si>
  <si>
    <t>YC C1 DINNER TILLAMOOK CHEESE</t>
  </si>
  <si>
    <t xml:space="preserve">YC C1 DINNER SALAD DRESSING </t>
  </si>
  <si>
    <t xml:space="preserve">PY C1 DINNER ENTRÉE 1 SHRIMP SCAMPI, POTATO AND RED ONION HASH, KALE, AND RED PEPPER CREAM SAUCE </t>
  </si>
  <si>
    <t>BC C1 DINNER PLAIN WHIPPED BUTTER WITH FLAKE SALT</t>
  </si>
  <si>
    <t>BC C1 DINNER WHOLE FRUIT PLATTER (BANANA, GREEN APPLE, ORANGE, PEAR, TTL 12PC)</t>
  </si>
  <si>
    <t>BC C1 DINNER CHOCOLATE DANISH (OPTIMUM 623)</t>
  </si>
  <si>
    <t>BC C2 DINNER COCKTAIL PRAWN, APPLE FENNEL SALAD, CITRUS AIOLI</t>
  </si>
  <si>
    <t>BC C2 DINNER HERB BAKED GOAT CHEESE, ARUGULA, HOT HONEY GLAZE, VIBIANO BLOOD ORANGE DRESSING</t>
  </si>
  <si>
    <t>BC C2 DINNER AHI TUNA, PICKLED DAIKON AND CUCUMBER SALAD, SCALLION, AND YUZU PONZU AIOLI</t>
  </si>
  <si>
    <t>BC C2 DINNER ROASTED VEG TIKKA PUFF BITE, TOMATO, SWEET TAMARIND CHUTNEY, CORIANDER YOGURT</t>
  </si>
  <si>
    <t>BC C2 DINNER DUBAI CHOCOLATE CRUCH BAR, CHANTILLY CREAM, PISTACHIO</t>
  </si>
  <si>
    <t>BC C2 DINNER EARL GREY CAKE WITH BLACK TEA ANGLAISE, CITRUS PEEL AND ROFFEE CRUNCH</t>
  </si>
  <si>
    <t>BC C2 DINNER RED HEAD MOUSSE CAKE WITH WHIPPED BERRY CREAM, STRAWBERRY AND CROQUANT</t>
  </si>
  <si>
    <t>BC C2 DINNER WARMED APPLE TART</t>
  </si>
  <si>
    <t>BC C2 DINNER DESSERT GARNISH VANILLA ICE CREAM BULK (WITH CRY ICE)</t>
  </si>
  <si>
    <t>BC C2 DINNER ENTREE 1 PERI PERI CHICKEN</t>
  </si>
  <si>
    <t>BC C2 DINNER ENTREE 2 CRAB CAKE</t>
  </si>
  <si>
    <t>BC C2 DINNER ENTREE 3  PASTA CAPPELLETTI</t>
  </si>
  <si>
    <t>BC C2 DINNER ENTREE 4 SOUP AND SANDWICH</t>
  </si>
  <si>
    <t>BC C2 BREAKFAST TRAY SETUP</t>
  </si>
  <si>
    <t xml:space="preserve">BC C2 BREAKFAST TRAY SETUP WITH COLD PLATE </t>
  </si>
  <si>
    <t>BC C2 BRK PASTRIES - CROISSANT</t>
  </si>
  <si>
    <t>BC C2 BRK NOVA CURED SALMON, CREAM CHEESE, EGG, RED ONION,</t>
  </si>
  <si>
    <t>BC C2 BRK CHEDDAR SREAMBLE EGG, BAKED BEAN, PUDDING, PORK SAUSAGE, TOMATO POTATO HASH</t>
  </si>
  <si>
    <t>BC C2 BRK BELGIUM WAFFLE, PEACH COMPOTE, CITRUS WHIPPED RICCOTA</t>
  </si>
  <si>
    <t>BC C2 BRK SIDE ITEM LAYED YOGURT</t>
  </si>
  <si>
    <t>BC C2 BRK SIDE ITEM MINI JAM JAR</t>
  </si>
  <si>
    <t>PY C2 DINNER SALAD TOMAT SLICE, MOZZARELLA, BASIL, BALSAMIC DRESSING</t>
  </si>
  <si>
    <t>PY C2 DINNER ENTRÉE 1 ROAST CHICKEN BREAST, WILD RICE, BROCCOLI, SNAP PEA, THYME JUS</t>
  </si>
  <si>
    <t>PY C2 DINNER ENTRÉE 2 SEARED SALMON, SMOKED CORN CREAM, POTATO, SUCCOTASH, SPINACH</t>
  </si>
  <si>
    <t>PY C2 DINNER ENTRÉE 3 MUSHROOM RAVIOLI, PANA CREAM SAUCE, WILD MUSHROOM CONSERVA</t>
  </si>
  <si>
    <t>PY C2 DINNER CHOCOLATE FLAN</t>
  </si>
  <si>
    <t xml:space="preserve">PY C2 BRK ENTRÉE 1 CHEDDAR SCRAMBEL EGG, BAKED, BEAN, PORK SAUSAGE, MISHROOM, AND TOMATO </t>
  </si>
  <si>
    <t>PY C2 BRK ENTRÉE 2 NOVA SALMON, ARUGULA, CHIVE CREAM CHEESE, EGG, RED ONION, BAGEL</t>
  </si>
  <si>
    <t>PY C2 BRK ENTRÉE 3 CHEESE BLINTZ, CINNAMON SUGAR PEACHES, BERRY CRÈME ANGLAISE</t>
  </si>
  <si>
    <t>PY C2 BRK SIDE ITEM LAYERED YOGURT</t>
  </si>
  <si>
    <t>YC C2 DINNER BREAD HONEY WHEAT</t>
  </si>
  <si>
    <t xml:space="preserve">YC C2 DINNER SALAD MIXED GREEN, CUCUMBER, SHREDDED CARROT WITH ITALIAN DRESSING </t>
  </si>
  <si>
    <t>YC C2 DINNER ENTRÉE 1 TERIYAKI CHICKEN, BULGOLGO SAUCE, SCALLION, FRIED RICE, SIR FRIED VEGETABLE</t>
  </si>
  <si>
    <t>YC C2 DINNER ENTRÉE 2 CANNELLONI, MARINARA SAUCE, JULIENCE VEG, PECORINNO CHEESE</t>
  </si>
  <si>
    <t>YC C2 DINNER DESSERT BROWNIE BAR</t>
  </si>
  <si>
    <t>YC C2 BRK CINNAMON OAT MUFFIN</t>
  </si>
  <si>
    <t>YC C2 BRK VANILLA YOGURT, BLUEBERRY COMPOTE</t>
  </si>
  <si>
    <t>CC C2 SANDWICH TOFU BANH MI</t>
  </si>
  <si>
    <t>CC C2 SANDWICH TURKEY SWISS HOAGIE</t>
  </si>
  <si>
    <t>CC C2 SANDWICH BLT WHOLE WHEAT</t>
  </si>
  <si>
    <t>CC C2 SANDWICH VEGETABLE ON CIABATTA</t>
  </si>
  <si>
    <t xml:space="preserve">CC C2 SANDWICH CHICKEN SALAD CROISSANT </t>
  </si>
  <si>
    <t>CC C2 SANDWICH CROISSANT AND AGED CHEDDAR</t>
  </si>
  <si>
    <t>CC C2 SANDWICH CHICKEN SAUSAGE, BISCUIT</t>
  </si>
  <si>
    <t xml:space="preserve">BC C2 BRK ENGLEMANS PARKER HOUSE BACON BUN </t>
  </si>
  <si>
    <t>BC C2 GARNISH GRAPEFRUIT SEGMENT 20CT</t>
  </si>
  <si>
    <t>BC DINNER TRAY SET UP</t>
  </si>
  <si>
    <t>BC BREAKFAST TRAY SET UP</t>
  </si>
  <si>
    <t xml:space="preserve">PY BREAKFAST TRAY SET UP </t>
  </si>
  <si>
    <t>YC CRACKER</t>
  </si>
  <si>
    <t>BC C2 CRACKER BULK LOAD</t>
  </si>
  <si>
    <t>BC C2 BRK HHH1 BAGEL WITH GRIED EGG AND CHEESE</t>
  </si>
  <si>
    <t>PY C2 BRK HHH1 ENGLISH MUGGIN WITH FRIED EGG AND TURKEY SAUSAGE</t>
  </si>
  <si>
    <t>1ST SERVICE</t>
  </si>
  <si>
    <t>2D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</si>
</sst>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4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88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9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3" borderId="0" xfId="0" applyFill="1"/>
    <xf numFmtId="0" fontId="0" fillId="20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1" borderId="7" xfId="5" applyNumberFormat="1" applyFont="1" applyFill="1" applyBorder="1" applyAlignment="1">
      <alignment horizontal="center" vertical="center"/>
    </xf>
    <xf numFmtId="0" fontId="17" fillId="21" borderId="7" xfId="10" applyNumberFormat="1" applyFont="1" applyFill="1" applyBorder="1" applyAlignment="1">
      <alignment horizontal="center" vertical="center"/>
    </xf>
    <xf numFmtId="9" fontId="17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1" borderId="7" xfId="5" applyNumberFormat="1" applyFont="1" applyFill="1" applyBorder="1" applyAlignment="1">
      <alignment horizontal="center" vertical="center"/>
    </xf>
    <xf numFmtId="44" fontId="0" fillId="24" borderId="0" xfId="1" applyFont="1" applyFill="1"/>
    <xf numFmtId="9" fontId="0" fillId="24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8" borderId="47" xfId="0" applyFont="1" applyFill="1" applyBorder="1" applyAlignment="1">
      <alignment horizontal="left"/>
    </xf>
    <xf numFmtId="0" fontId="4" fillId="8" borderId="52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3" fillId="13" borderId="0" xfId="0" applyFont="1" applyFill="1" applyAlignment="1">
      <alignment horizontal="left"/>
    </xf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167" fontId="0" fillId="13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7" borderId="7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6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0" fontId="0" fillId="0" borderId="39" xfId="0" applyBorder="1" applyAlignment="1">
      <alignment horizontal="left" vertical="center"/>
    </xf>
    <xf numFmtId="0" fontId="6" fillId="22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9" borderId="0" xfId="0" applyFont="1" applyFill="1"/>
    <xf numFmtId="0" fontId="28" fillId="0" borderId="1" xfId="0" applyFont="1" applyBorder="1" applyAlignment="1">
      <alignment horizontal="center" vertical="center"/>
    </xf>
    <xf numFmtId="3" fontId="31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2" borderId="0" xfId="0" applyFont="1" applyFill="1"/>
    <xf numFmtId="0" fontId="28" fillId="32" borderId="2" xfId="0" applyFont="1" applyFill="1" applyBorder="1" applyAlignment="1">
      <alignment horizontal="center"/>
    </xf>
    <xf numFmtId="0" fontId="28" fillId="32" borderId="1" xfId="0" applyFont="1" applyFill="1" applyBorder="1" applyAlignment="1">
      <alignment horizontal="center"/>
    </xf>
    <xf numFmtId="0" fontId="28" fillId="32" borderId="1" xfId="0" applyFont="1" applyFill="1" applyBorder="1"/>
    <xf numFmtId="0" fontId="27" fillId="28" borderId="1" xfId="0" applyFont="1" applyFill="1" applyBorder="1" applyAlignment="1">
      <alignment horizontal="center" vertical="center"/>
    </xf>
    <xf numFmtId="8" fontId="34" fillId="28" borderId="1" xfId="0" applyNumberFormat="1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 wrapText="1"/>
    </xf>
    <xf numFmtId="0" fontId="35" fillId="30" borderId="25" xfId="0" applyFont="1" applyFill="1" applyBorder="1" applyAlignment="1">
      <alignment vertical="center"/>
    </xf>
    <xf numFmtId="0" fontId="35" fillId="30" borderId="37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horizontal="center" vertical="center"/>
    </xf>
    <xf numFmtId="0" fontId="28" fillId="30" borderId="37" xfId="0" applyFont="1" applyFill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38" fillId="34" borderId="59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left" vertical="center"/>
    </xf>
    <xf numFmtId="0" fontId="38" fillId="29" borderId="37" xfId="0" applyFont="1" applyFill="1" applyBorder="1" applyAlignment="1">
      <alignment horizontal="left" vertical="center"/>
    </xf>
    <xf numFmtId="0" fontId="38" fillId="29" borderId="26" xfId="0" applyFont="1" applyFill="1" applyBorder="1" applyAlignment="1">
      <alignment horizontal="left" vertical="center"/>
    </xf>
    <xf numFmtId="0" fontId="28" fillId="29" borderId="1" xfId="0" applyFont="1" applyFill="1" applyBorder="1"/>
    <xf numFmtId="0" fontId="28" fillId="31" borderId="1" xfId="0" applyFont="1" applyFill="1" applyBorder="1" applyAlignment="1">
      <alignment horizontal="center"/>
    </xf>
    <xf numFmtId="0" fontId="39" fillId="30" borderId="1" xfId="0" applyFont="1" applyFill="1" applyBorder="1"/>
    <xf numFmtId="0" fontId="39" fillId="30" borderId="1" xfId="0" applyFont="1" applyFill="1" applyBorder="1" applyAlignment="1">
      <alignment horizontal="center"/>
    </xf>
    <xf numFmtId="0" fontId="40" fillId="29" borderId="1" xfId="0" applyFont="1" applyFill="1" applyBorder="1"/>
    <xf numFmtId="0" fontId="36" fillId="28" borderId="1" xfId="0" applyFont="1" applyFill="1" applyBorder="1"/>
    <xf numFmtId="0" fontId="34" fillId="28" borderId="1" xfId="0" applyFont="1" applyFill="1" applyBorder="1" applyAlignment="1">
      <alignment horizontal="center"/>
    </xf>
    <xf numFmtId="0" fontId="28" fillId="29" borderId="25" xfId="0" applyFont="1" applyFill="1" applyBorder="1"/>
    <xf numFmtId="8" fontId="28" fillId="31" borderId="1" xfId="0" applyNumberFormat="1" applyFont="1" applyFill="1" applyBorder="1" applyAlignment="1">
      <alignment horizontal="center"/>
    </xf>
    <xf numFmtId="0" fontId="28" fillId="29" borderId="0" xfId="0" applyFont="1" applyFill="1" applyAlignment="1">
      <alignment horizontal="center"/>
    </xf>
    <xf numFmtId="0" fontId="41" fillId="29" borderId="23" xfId="0" applyFont="1" applyFill="1" applyBorder="1"/>
    <xf numFmtId="0" fontId="42" fillId="29" borderId="22" xfId="0" applyFont="1" applyFill="1" applyBorder="1"/>
    <xf numFmtId="0" fontId="41" fillId="29" borderId="27" xfId="0" applyFont="1" applyFill="1" applyBorder="1"/>
    <xf numFmtId="0" fontId="41" fillId="29" borderId="0" xfId="0" applyFont="1" applyFill="1"/>
    <xf numFmtId="0" fontId="27" fillId="28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5" borderId="1" xfId="0" applyFont="1" applyFill="1" applyBorder="1" applyAlignment="1">
      <alignment horizontal="center"/>
    </xf>
    <xf numFmtId="9" fontId="28" fillId="35" borderId="1" xfId="0" applyNumberFormat="1" applyFont="1" applyFill="1" applyBorder="1"/>
    <xf numFmtId="0" fontId="33" fillId="28" borderId="59" xfId="0" applyFont="1" applyFill="1" applyBorder="1" applyAlignment="1">
      <alignment vertical="center" textRotation="180" wrapText="1"/>
    </xf>
    <xf numFmtId="44" fontId="35" fillId="35" borderId="1" xfId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33" fillId="28" borderId="0" xfId="0" applyFont="1" applyFill="1" applyAlignment="1">
      <alignment horizontal="center" vertical="center"/>
    </xf>
    <xf numFmtId="0" fontId="26" fillId="28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center" vertical="center" wrapText="1"/>
    </xf>
    <xf numFmtId="0" fontId="29" fillId="29" borderId="0" xfId="0" applyFont="1" applyFill="1" applyAlignment="1">
      <alignment horizontal="center" vertical="center" wrapText="1"/>
    </xf>
    <xf numFmtId="0" fontId="31" fillId="31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8" fontId="34" fillId="28" borderId="0" xfId="0" applyNumberFormat="1" applyFont="1" applyFill="1" applyAlignment="1">
      <alignment horizontal="center" vertical="center"/>
    </xf>
    <xf numFmtId="44" fontId="35" fillId="35" borderId="0" xfId="1" applyFont="1" applyFill="1" applyBorder="1" applyAlignment="1">
      <alignment horizontal="center"/>
    </xf>
    <xf numFmtId="0" fontId="45" fillId="36" borderId="0" xfId="12" applyFont="1" applyFill="1"/>
    <xf numFmtId="0" fontId="46" fillId="36" borderId="1" xfId="12" applyFont="1" applyFill="1" applyBorder="1" applyAlignment="1">
      <alignment horizontal="center" vertical="center"/>
    </xf>
    <xf numFmtId="0" fontId="28" fillId="36" borderId="0" xfId="12" applyFont="1" applyFill="1"/>
    <xf numFmtId="0" fontId="28" fillId="23" borderId="1" xfId="12" applyFont="1" applyFill="1" applyBorder="1" applyAlignment="1">
      <alignment horizontal="center" vertical="center"/>
    </xf>
    <xf numFmtId="0" fontId="35" fillId="23" borderId="1" xfId="12" applyFont="1" applyFill="1" applyBorder="1" applyAlignment="1">
      <alignment horizontal="center" vertical="center"/>
    </xf>
    <xf numFmtId="0" fontId="28" fillId="36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164" fontId="0" fillId="24" borderId="0" xfId="0" applyNumberFormat="1" applyFill="1"/>
    <xf numFmtId="2" fontId="0" fillId="38" borderId="0" xfId="0" applyNumberFormat="1" applyFill="1" applyAlignment="1">
      <alignment horizontal="right"/>
    </xf>
    <xf numFmtId="164" fontId="0" fillId="39" borderId="0" xfId="0" applyNumberFormat="1" applyFill="1"/>
    <xf numFmtId="166" fontId="0" fillId="38" borderId="0" xfId="0" applyNumberFormat="1" applyFill="1"/>
    <xf numFmtId="8" fontId="0" fillId="0" borderId="0" xfId="0" applyNumberFormat="1" applyAlignment="1">
      <alignment horizontal="center" vertical="center"/>
    </xf>
    <xf numFmtId="0" fontId="0" fillId="38" borderId="0" xfId="0" applyFill="1"/>
    <xf numFmtId="167" fontId="3" fillId="0" borderId="57" xfId="1" applyNumberFormat="1" applyFont="1" applyFill="1" applyBorder="1" applyAlignment="1">
      <alignment horizontal="center" vertical="center"/>
    </xf>
    <xf numFmtId="0" fontId="4" fillId="13" borderId="1" xfId="0" applyFont="1" applyFill="1" applyBorder="1"/>
    <xf numFmtId="0" fontId="4" fillId="21" borderId="1" xfId="0" applyFont="1" applyFill="1" applyBorder="1"/>
    <xf numFmtId="44" fontId="0" fillId="0" borderId="1" xfId="1" applyFont="1" applyBorder="1"/>
    <xf numFmtId="0" fontId="0" fillId="38" borderId="0" xfId="0" applyFill="1" applyAlignment="1">
      <alignment wrapText="1"/>
    </xf>
    <xf numFmtId="0" fontId="0" fillId="0" borderId="50" xfId="0" applyBorder="1" applyAlignment="1">
      <alignment horizontal="center"/>
    </xf>
    <xf numFmtId="44" fontId="10" fillId="0" borderId="0" xfId="9" applyNumberFormat="1" applyFont="1"/>
    <xf numFmtId="166" fontId="0" fillId="40" borderId="0" xfId="0" applyNumberFormat="1" applyFill="1"/>
    <xf numFmtId="2" fontId="0" fillId="17" borderId="0" xfId="0" applyNumberFormat="1" applyFill="1" applyAlignment="1">
      <alignment horizontal="right"/>
    </xf>
    <xf numFmtId="164" fontId="0" fillId="0" borderId="0" xfId="9" applyNumberFormat="1" applyFont="1" applyAlignment="1">
      <alignment horizontal="center" vertical="center"/>
    </xf>
    <xf numFmtId="164" fontId="0" fillId="38" borderId="0" xfId="0" applyNumberFormat="1" applyFill="1"/>
    <xf numFmtId="164" fontId="10" fillId="13" borderId="0" xfId="0" applyNumberFormat="1" applyFont="1" applyFill="1"/>
    <xf numFmtId="170" fontId="9" fillId="38" borderId="0" xfId="0" applyNumberFormat="1" applyFont="1" applyFill="1"/>
    <xf numFmtId="2" fontId="9" fillId="38" borderId="0" xfId="0" applyNumberFormat="1" applyFont="1" applyFill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37" borderId="3" xfId="5" applyFont="1" applyFill="1" applyBorder="1" applyAlignment="1">
      <alignment horizontal="center" vertical="center"/>
    </xf>
    <xf numFmtId="0" fontId="8" fillId="37" borderId="4" xfId="5" applyFont="1" applyFill="1" applyBorder="1" applyAlignment="1">
      <alignment horizontal="center" vertical="center"/>
    </xf>
    <xf numFmtId="0" fontId="8" fillId="37" borderId="5" xfId="5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left"/>
    </xf>
    <xf numFmtId="0" fontId="21" fillId="18" borderId="4" xfId="0" applyFont="1" applyFill="1" applyBorder="1" applyAlignment="1">
      <alignment horizontal="left"/>
    </xf>
    <xf numFmtId="0" fontId="21" fillId="18" borderId="5" xfId="0" applyFont="1" applyFill="1" applyBorder="1" applyAlignment="1">
      <alignment horizontal="left"/>
    </xf>
    <xf numFmtId="0" fontId="14" fillId="16" borderId="45" xfId="0" applyFont="1" applyFill="1" applyBorder="1" applyAlignment="1">
      <alignment horizontal="center" vertical="center"/>
    </xf>
    <xf numFmtId="0" fontId="14" fillId="16" borderId="46" xfId="0" applyFont="1" applyFill="1" applyBorder="1" applyAlignment="1">
      <alignment horizontal="center" vertical="center"/>
    </xf>
    <xf numFmtId="0" fontId="14" fillId="16" borderId="19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9" fillId="29" borderId="16" xfId="0" applyFont="1" applyFill="1" applyBorder="1" applyAlignment="1">
      <alignment horizontal="center" vertical="center" wrapText="1"/>
    </xf>
    <xf numFmtId="0" fontId="30" fillId="29" borderId="25" xfId="0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wrapText="1"/>
    </xf>
    <xf numFmtId="0" fontId="20" fillId="13" borderId="16" xfId="0" applyFont="1" applyFill="1" applyBorder="1" applyAlignment="1">
      <alignment horizontal="center"/>
    </xf>
    <xf numFmtId="0" fontId="37" fillId="28" borderId="25" xfId="0" applyFont="1" applyFill="1" applyBorder="1" applyAlignment="1">
      <alignment horizontal="center"/>
    </xf>
    <xf numFmtId="0" fontId="37" fillId="28" borderId="37" xfId="0" applyFont="1" applyFill="1" applyBorder="1" applyAlignment="1">
      <alignment horizontal="center"/>
    </xf>
    <xf numFmtId="0" fontId="44" fillId="13" borderId="16" xfId="0" applyFont="1" applyFill="1" applyBorder="1" applyAlignment="1">
      <alignment horizontal="center"/>
    </xf>
    <xf numFmtId="0" fontId="25" fillId="28" borderId="22" xfId="0" applyFont="1" applyFill="1" applyBorder="1" applyAlignment="1">
      <alignment horizontal="center" vertical="center"/>
    </xf>
    <xf numFmtId="0" fontId="25" fillId="28" borderId="24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28" xfId="0" applyFont="1" applyFill="1" applyBorder="1" applyAlignment="1">
      <alignment horizontal="center" vertical="center"/>
    </xf>
    <xf numFmtId="0" fontId="25" fillId="28" borderId="15" xfId="0" applyFont="1" applyFill="1" applyBorder="1" applyAlignment="1">
      <alignment horizontal="center" vertical="center"/>
    </xf>
    <xf numFmtId="0" fontId="25" fillId="28" borderId="17" xfId="0" applyFont="1" applyFill="1" applyBorder="1" applyAlignment="1">
      <alignment horizontal="center" vertical="center"/>
    </xf>
    <xf numFmtId="0" fontId="26" fillId="28" borderId="25" xfId="0" applyFont="1" applyFill="1" applyBorder="1" applyAlignment="1">
      <alignment horizontal="center" vertical="center"/>
    </xf>
    <xf numFmtId="0" fontId="26" fillId="28" borderId="37" xfId="0" applyFont="1" applyFill="1" applyBorder="1" applyAlignment="1">
      <alignment horizontal="center" vertical="center"/>
    </xf>
    <xf numFmtId="0" fontId="27" fillId="28" borderId="59" xfId="0" applyFont="1" applyFill="1" applyBorder="1" applyAlignment="1">
      <alignment horizontal="center" vertical="center" wrapText="1"/>
    </xf>
    <xf numFmtId="0" fontId="27" fillId="28" borderId="60" xfId="0" applyFont="1" applyFill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 wrapText="1"/>
    </xf>
    <xf numFmtId="0" fontId="30" fillId="29" borderId="37" xfId="0" applyFont="1" applyFill="1" applyBorder="1" applyAlignment="1">
      <alignment horizontal="center" vertical="center"/>
    </xf>
    <xf numFmtId="0" fontId="31" fillId="30" borderId="25" xfId="0" applyFont="1" applyFill="1" applyBorder="1" applyAlignment="1">
      <alignment horizontal="center" vertical="center"/>
    </xf>
    <xf numFmtId="0" fontId="31" fillId="30" borderId="26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32" fillId="30" borderId="26" xfId="0" applyFont="1" applyFill="1" applyBorder="1" applyAlignment="1">
      <alignment horizontal="center" vertical="center"/>
    </xf>
    <xf numFmtId="0" fontId="43" fillId="28" borderId="25" xfId="0" applyFont="1" applyFill="1" applyBorder="1" applyAlignment="1">
      <alignment horizontal="right" wrapText="1"/>
    </xf>
    <xf numFmtId="0" fontId="43" fillId="28" borderId="37" xfId="0" applyFont="1" applyFill="1" applyBorder="1" applyAlignment="1">
      <alignment horizontal="right" wrapText="1"/>
    </xf>
    <xf numFmtId="0" fontId="28" fillId="29" borderId="25" xfId="0" applyFont="1" applyFill="1" applyBorder="1" applyAlignment="1">
      <alignment horizontal="center" vertical="center"/>
    </xf>
    <xf numFmtId="0" fontId="28" fillId="29" borderId="26" xfId="0" applyFont="1" applyFill="1" applyBorder="1" applyAlignment="1">
      <alignment horizontal="center" vertical="center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/>
    </xf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7" tint="0.59999389629810485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9" formatCode="0.000"/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0.00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2152558.3755381475</c:v>
                </c:pt>
                <c:pt idx="1">
                  <c:v>1103369.6606400001</c:v>
                </c:pt>
                <c:pt idx="2">
                  <c:v>476580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835.30694178922693</c:v>
                </c:pt>
                <c:pt idx="2">
                  <c:v>659.66326546893129</c:v>
                </c:pt>
                <c:pt idx="3">
                  <c:v>1586.1511254796637</c:v>
                </c:pt>
                <c:pt idx="4">
                  <c:v>0</c:v>
                </c:pt>
                <c:pt idx="5">
                  <c:v>103.13661924168555</c:v>
                </c:pt>
                <c:pt idx="7">
                  <c:v>1632.2036400000002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144465</xdr:colOff>
      <xdr:row>34</xdr:row>
      <xdr:rowOff>143799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C6B61-C0E6-CF2A-723C-F043F0AB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93490" cy="6620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C257" totalsRowCount="1" headerRowDxfId="58" dataDxfId="57" dataCellStyle="Currency">
  <autoFilter ref="A9:AC256" xr:uid="{00000000-0009-0000-0100-000001000000}"/>
  <tableColumns count="29">
    <tableColumn id="1" xr3:uid="{C1A95376-BFC5-48B7-A176-529715FEEBA1}" name="Item #" dataDxfId="55" totalsRowDxfId="56"/>
    <tableColumn id="2" xr3:uid="{DF583C00-442A-4A2A-86F8-205CC09498A2}" name="Item Description" dataDxfId="54"/>
    <tableColumn id="4" xr3:uid="{544D79C4-F963-4D7A-8FC4-67068474C720}" name="Price Code" dataDxfId="52" totalsRowDxfId="53"/>
    <tableColumn id="7" xr3:uid="{880CBAF4-DA2C-4CD1-9867-62A9E8338874}" name="EQ1" dataDxfId="50" totalsRowDxfId="51"/>
    <tableColumn id="8" xr3:uid="{7CA8FC1A-443D-4330-9322-4A7BCB6A9BB5}" name="EQ2" dataDxfId="48" totalsRowDxfId="49"/>
    <tableColumn id="9" xr3:uid="{EB7E2000-AFE5-4C14-80EB-D212865FD280}" name="EQ3" dataDxfId="46" totalsRowDxfId="47"/>
    <tableColumn id="10" xr3:uid="{BA3E9D60-D02B-4D62-98EA-C7616AD9E775}" name="EQ4" dataDxfId="44" totalsRowDxfId="45"/>
    <tableColumn id="11" xr3:uid="{8CE11E9B-FE7F-4C4E-8769-7256957A9181}" name="EQ5" dataDxfId="42" totalsRowDxfId="43"/>
    <tableColumn id="12" xr3:uid="{293F2FB6-A648-4C6D-973C-CC21DB24E7CD}" name="Unit Weight/ Count" dataDxfId="40" totalsRowDxfId="41"/>
    <tableColumn id="13" xr3:uid="{E2B307F6-1A47-49E1-A917-D3D4CA08551A}" name="UOM" dataDxfId="38" totalsRowDxfId="39"/>
    <tableColumn id="14" xr3:uid="{62BBD560-83D2-4E14-AD22-FB7762963A1B}" name="Final Work Center" dataDxfId="36" totalsRowDxfId="37"/>
    <tableColumn id="15" xr3:uid="{A56B9C5B-5319-42C3-A8DF-58630B4E6B5D}" name="Req / No processing needed" dataDxfId="34" totalsRowDxfId="35"/>
    <tableColumn id="16" xr3:uid="{FD63D3A8-A757-4EE9-A64B-47DEE12D95E1}" name="Prep Center" dataDxfId="32" totalsRowDxfId="33"/>
    <tableColumn id="17" xr3:uid="{03D61BF8-1875-4530-A5B3-8085E1C35B6C}" name="Item Weight" dataDxfId="30" totalsRowDxfId="31"/>
    <tableColumn id="18" xr3:uid="{DA7619CF-8EC4-4539-BBF0-2DD4A17FC9FD}" name="unit cost" dataDxfId="28" totalsRowDxfId="29"/>
    <tableColumn id="19" xr3:uid="{B5DCEF56-9344-4678-8006-2AED418A46CD}" name="cost per quantity" dataDxfId="26" totalsRowDxfId="27">
      <calculatedColumnFormula>I10*O10</calculatedColumnFormula>
    </tableColumn>
    <tableColumn id="20" xr3:uid="{2A7F2232-49A3-4C55-BEE8-7E16BFDA1741}" name="man minutes" dataDxfId="24" totalsRowDxfId="25"/>
    <tableColumn id="21" xr3:uid="{3A17D7DA-9394-4162-BEB6-3FEA5ED1BBEB}" name="labor factor" dataDxfId="22" totalsRowDxfId="23"/>
    <tableColumn id="22" xr3:uid="{70B8BD2A-73D6-42F1-8DF8-71104B294284}" name="labor rate" dataDxfId="20" totalsRowDxfId="21" dataCellStyle="Currency">
      <calculatedColumnFormula>$S$2</calculatedColumnFormula>
    </tableColumn>
    <tableColumn id="23" xr3:uid="{66A8CCD0-8874-43AD-85BD-E4E826523120}" name="labor cost" dataDxfId="18" totalsRowDxfId="19" dataCellStyle="Currency">
      <calculatedColumnFormula>Table1[[#This Row],[man minutes]]*Table1[[#This Row],[labor rate]]</calculatedColumnFormula>
    </tableColumn>
    <tableColumn id="24" xr3:uid="{A7F19146-6B9A-4ED0-BBEF-398D83FBD8EB}" name="total cost" dataDxfId="16" totalsRowDxfId="17" dataCellStyle="Currency">
      <calculatedColumnFormula>P10+T10</calculatedColumnFormula>
    </tableColumn>
    <tableColumn id="25" xr3:uid="{5599B597-69A2-4707-9E8C-17FDA7036612}" name="food markup" dataDxfId="14" totalsRowDxfId="15" dataCellStyle="Percent"/>
    <tableColumn id="26" xr3:uid="{2DCFA1FF-13F0-4C5A-A6CE-D47AC27ABF10}" name="labor m/u" dataDxfId="12" totalsRowDxfId="13" dataCellStyle="Percent"/>
    <tableColumn id="27" xr3:uid="{1E953153-AB0C-4A62-9875-70ECA8063077}" name="food sale price" dataDxfId="10" totalsRowDxfId="11" dataCellStyle="Currency">
      <calculatedColumnFormula>P10/V10</calculatedColumnFormula>
    </tableColumn>
    <tableColumn id="28" xr3:uid="{8D093CD2-CB12-421D-AA48-A17C799399C3}" name="labor sale price" dataDxfId="8" totalsRowDxfId="9" dataCellStyle="Currency">
      <calculatedColumnFormula>T10+(T10*W10)</calculatedColumnFormula>
    </tableColumn>
    <tableColumn id="29" xr3:uid="{A1028A2C-1329-4778-B8EC-6A0449A0E8E8}" name="calculated sale price" dataDxfId="6" totalsRowDxfId="7" dataCellStyle="Currency">
      <calculatedColumnFormula>IFERROR(ROUNDUP(X10+Y10,2)," ")</calculatedColumnFormula>
    </tableColumn>
    <tableColumn id="30" xr3:uid="{9A56FBFC-AAD1-4047-B2A6-05D98CFA5585}" name="Item         Price" dataDxfId="4" totalsRowDxfId="5" dataCellStyle="Currency"/>
    <tableColumn id="3" xr3:uid="{36153AE1-C663-49E2-BA60-22AA5D28491D}" name="Final Food Cost %" dataDxfId="2" totalsRowDxfId="3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0" totalsRowDxfId="1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AA74"/>
  <sheetViews>
    <sheetView showGridLines="0" tabSelected="1" topLeftCell="A20" zoomScale="115" zoomScaleNormal="115" workbookViewId="0">
      <selection activeCell="R3" sqref="R3"/>
    </sheetView>
  </sheetViews>
  <sheetFormatPr defaultColWidth="8.7109375" defaultRowHeight="15"/>
  <cols>
    <col min="1" max="1" width="6.85546875" style="136" customWidth="1"/>
    <col min="2" max="2" width="30.5703125" style="136" customWidth="1"/>
    <col min="3" max="3" width="22.28515625" style="136" hidden="1" customWidth="1"/>
    <col min="4" max="4" width="10.5703125" style="136" hidden="1" customWidth="1"/>
    <col min="5" max="5" width="22.7109375" style="136" customWidth="1"/>
    <col min="6" max="6" width="9.28515625" style="136" customWidth="1"/>
    <col min="7" max="7" width="16.42578125" style="136" hidden="1" customWidth="1"/>
    <col min="8" max="8" width="2.42578125" style="136" hidden="1" customWidth="1"/>
    <col min="9" max="9" width="19.85546875" customWidth="1"/>
    <col min="10" max="10" width="5.7109375" style="136" hidden="1" customWidth="1"/>
    <col min="11" max="11" width="9.5703125" style="136" customWidth="1"/>
    <col min="12" max="12" width="9.7109375" style="136" customWidth="1"/>
    <col min="13" max="13" width="10.7109375" style="136" customWidth="1"/>
    <col min="14" max="14" width="10.42578125" style="136" customWidth="1"/>
    <col min="15" max="15" width="9.42578125" style="136" customWidth="1"/>
    <col min="16" max="16" width="9.28515625" style="136" customWidth="1"/>
    <col min="17" max="17" width="5.28515625" customWidth="1"/>
    <col min="18" max="18" width="8.28515625" style="136" bestFit="1" customWidth="1"/>
    <col min="19" max="19" width="21.5703125" style="303" customWidth="1"/>
    <col min="20" max="20" width="14.85546875" style="136" bestFit="1" customWidth="1"/>
    <col min="21" max="21" width="10" style="136" bestFit="1" customWidth="1"/>
    <col min="22" max="22" width="4.140625" style="136" customWidth="1"/>
    <col min="23" max="23" width="13.28515625" style="136" bestFit="1" customWidth="1"/>
    <col min="24" max="24" width="14.42578125" style="136" bestFit="1" customWidth="1"/>
    <col min="25" max="25" width="14.85546875" style="136" bestFit="1" customWidth="1"/>
    <col min="26" max="16384" width="8.7109375" style="136"/>
  </cols>
  <sheetData>
    <row r="1" spans="2:27" ht="15.75" thickBot="1"/>
    <row r="2" spans="2:27" ht="15.75" thickBot="1">
      <c r="B2" s="144"/>
      <c r="C2" s="144"/>
      <c r="D2" s="146"/>
      <c r="E2" s="144"/>
      <c r="F2" s="146"/>
      <c r="G2" s="145"/>
      <c r="H2" s="146"/>
      <c r="R2" s="250">
        <v>13</v>
      </c>
      <c r="S2" s="428" t="s">
        <v>0</v>
      </c>
      <c r="T2" s="429"/>
      <c r="U2" s="429"/>
      <c r="V2" s="429"/>
      <c r="W2"/>
      <c r="X2"/>
      <c r="Y2"/>
      <c r="Z2"/>
      <c r="AA2"/>
    </row>
    <row r="3" spans="2:27" ht="15.75" thickBot="1">
      <c r="B3" s="147"/>
      <c r="C3" s="147"/>
      <c r="D3" s="148"/>
      <c r="E3" s="174"/>
      <c r="F3" s="148"/>
      <c r="H3" s="148"/>
      <c r="R3" s="250">
        <f>'Summary '!H4</f>
        <v>676</v>
      </c>
      <c r="S3" s="428" t="s">
        <v>1</v>
      </c>
      <c r="T3" s="429"/>
      <c r="U3" s="429"/>
      <c r="V3" s="429"/>
      <c r="W3"/>
      <c r="X3"/>
      <c r="Y3"/>
      <c r="Z3"/>
      <c r="AA3"/>
    </row>
    <row r="4" spans="2:27" ht="15.75" thickBot="1">
      <c r="B4" s="147"/>
      <c r="C4" s="147"/>
      <c r="D4" s="148"/>
      <c r="E4" s="147"/>
      <c r="F4" s="148"/>
      <c r="H4" s="148"/>
      <c r="R4" s="223">
        <v>0.8</v>
      </c>
      <c r="S4" s="428" t="s">
        <v>2</v>
      </c>
      <c r="T4" s="429"/>
      <c r="U4" s="429"/>
      <c r="V4" s="429"/>
      <c r="W4"/>
      <c r="X4"/>
      <c r="Y4"/>
      <c r="Z4"/>
      <c r="AA4"/>
    </row>
    <row r="5" spans="2:27" ht="16.5" thickBot="1">
      <c r="B5" s="440" t="s">
        <v>3</v>
      </c>
      <c r="C5" s="438" t="s">
        <v>4</v>
      </c>
      <c r="D5" s="439"/>
      <c r="E5" s="438" t="s">
        <v>5</v>
      </c>
      <c r="F5" s="439"/>
      <c r="G5" s="438" t="s">
        <v>6</v>
      </c>
      <c r="H5" s="439"/>
      <c r="J5" s="212"/>
      <c r="R5" s="224">
        <v>2</v>
      </c>
      <c r="S5" s="428" t="s">
        <v>7</v>
      </c>
      <c r="T5" s="429"/>
      <c r="U5" s="429"/>
      <c r="V5" s="429"/>
      <c r="W5"/>
      <c r="X5"/>
      <c r="Y5"/>
      <c r="Z5"/>
      <c r="AA5"/>
    </row>
    <row r="6" spans="2:27" ht="16.5" thickBot="1">
      <c r="B6" s="441"/>
      <c r="C6" s="324" t="s">
        <v>8</v>
      </c>
      <c r="D6" s="149" t="s">
        <v>9</v>
      </c>
      <c r="E6" s="324" t="s">
        <v>8</v>
      </c>
      <c r="F6" s="149" t="s">
        <v>9</v>
      </c>
      <c r="G6" s="162" t="s">
        <v>8</v>
      </c>
      <c r="H6" s="149" t="s">
        <v>9</v>
      </c>
      <c r="J6" s="212"/>
      <c r="R6" s="223">
        <v>0</v>
      </c>
      <c r="S6" s="428" t="s">
        <v>10</v>
      </c>
      <c r="T6" s="429"/>
      <c r="U6" s="429"/>
      <c r="V6" s="429"/>
      <c r="W6"/>
      <c r="X6"/>
      <c r="Y6"/>
      <c r="Z6"/>
      <c r="AA6"/>
    </row>
    <row r="7" spans="2:27" ht="15.75" thickBot="1">
      <c r="B7" s="329" t="s">
        <v>11</v>
      </c>
      <c r="C7" s="325">
        <f>SUM(E7,G7)</f>
        <v>2152558.3755481476</v>
      </c>
      <c r="D7" s="161">
        <f>C7/$C$12</f>
        <v>0.57670562385351598</v>
      </c>
      <c r="E7" s="325">
        <f>SUM('Summary '!J11:J14)</f>
        <v>2152558.3755381475</v>
      </c>
      <c r="F7" s="161">
        <f>E7/$E$12</f>
        <v>0.576705623852382</v>
      </c>
      <c r="G7" s="314">
        <v>1.0000000000000001E-5</v>
      </c>
      <c r="H7" s="161">
        <f>G7/$G$12</f>
        <v>1</v>
      </c>
      <c r="J7" s="213"/>
      <c r="W7"/>
      <c r="X7"/>
      <c r="Y7"/>
      <c r="Z7"/>
      <c r="AA7"/>
    </row>
    <row r="8" spans="2:27" ht="15.75" thickBot="1">
      <c r="B8" s="329" t="s">
        <v>12</v>
      </c>
      <c r="C8" s="325">
        <f>SUM(E8,G8)</f>
        <v>1103369.6606400001</v>
      </c>
      <c r="D8" s="161">
        <f>C8/$C$12</f>
        <v>0.29561079304917581</v>
      </c>
      <c r="E8" s="325">
        <f>SUM('Summary '!J15:J16)</f>
        <v>1103369.6606400001</v>
      </c>
      <c r="F8" s="161">
        <f t="shared" ref="F8:F21" si="0">E8/$E$12</f>
        <v>0.29561079304996785</v>
      </c>
      <c r="G8" s="160"/>
      <c r="H8" s="161">
        <f t="shared" ref="H8:H22" si="1">G8/$G$12</f>
        <v>0</v>
      </c>
      <c r="J8" s="213"/>
      <c r="R8" s="225">
        <v>0.22</v>
      </c>
      <c r="S8" s="430" t="s">
        <v>13</v>
      </c>
      <c r="T8" s="431"/>
      <c r="U8" s="431"/>
      <c r="V8" s="431"/>
      <c r="W8"/>
      <c r="X8"/>
      <c r="Y8"/>
      <c r="Z8"/>
      <c r="AA8"/>
    </row>
    <row r="9" spans="2:27" ht="15.75" thickBot="1">
      <c r="B9" s="329" t="s">
        <v>14</v>
      </c>
      <c r="C9" s="325">
        <f>SUM(E9,G9)</f>
        <v>476580</v>
      </c>
      <c r="D9" s="161">
        <f t="shared" ref="D9:D20" si="2">C9/$C$12</f>
        <v>0.12768358309730818</v>
      </c>
      <c r="E9" s="325">
        <f>705*R3</f>
        <v>476580</v>
      </c>
      <c r="F9" s="161">
        <f t="shared" si="0"/>
        <v>0.12768358309765029</v>
      </c>
      <c r="G9" s="160"/>
      <c r="H9" s="161">
        <f t="shared" si="1"/>
        <v>0</v>
      </c>
      <c r="I9" t="s">
        <v>15</v>
      </c>
      <c r="J9" s="213"/>
      <c r="R9" s="225">
        <v>0.2</v>
      </c>
      <c r="S9" s="430" t="s">
        <v>16</v>
      </c>
      <c r="T9" s="431"/>
      <c r="U9" s="431"/>
      <c r="V9" s="431"/>
      <c r="W9"/>
      <c r="X9"/>
      <c r="Y9"/>
      <c r="Z9"/>
      <c r="AA9"/>
    </row>
    <row r="10" spans="2:27" ht="15.75" thickBot="1">
      <c r="B10" s="329" t="s">
        <v>17</v>
      </c>
      <c r="C10" s="325">
        <f>SUM(E10,G10)</f>
        <v>0</v>
      </c>
      <c r="D10" s="161">
        <f t="shared" si="2"/>
        <v>0</v>
      </c>
      <c r="E10" s="325"/>
      <c r="F10" s="161">
        <f t="shared" si="0"/>
        <v>0</v>
      </c>
      <c r="G10" s="160"/>
      <c r="H10" s="161">
        <f t="shared" si="1"/>
        <v>0</v>
      </c>
      <c r="I10" s="315"/>
      <c r="J10" s="213"/>
      <c r="R10" s="225">
        <v>0.13</v>
      </c>
      <c r="S10" s="430" t="s">
        <v>18</v>
      </c>
      <c r="T10" s="431"/>
      <c r="U10" s="431"/>
      <c r="V10" s="431"/>
      <c r="W10"/>
      <c r="X10"/>
      <c r="Y10"/>
      <c r="Z10"/>
      <c r="AA10"/>
    </row>
    <row r="11" spans="2:27">
      <c r="B11" s="329" t="s">
        <v>10</v>
      </c>
      <c r="C11" s="325">
        <f>SUM(E11,G11)</f>
        <v>0</v>
      </c>
      <c r="D11" s="161">
        <f t="shared" si="2"/>
        <v>0</v>
      </c>
      <c r="E11" s="325">
        <f>SUM(E7:E9)*R6</f>
        <v>0</v>
      </c>
      <c r="F11" s="161">
        <f>E11/$E$12</f>
        <v>0</v>
      </c>
      <c r="G11" s="160"/>
      <c r="H11" s="161">
        <f t="shared" si="1"/>
        <v>0</v>
      </c>
      <c r="J11" s="213"/>
      <c r="R11" s="247"/>
      <c r="W11"/>
      <c r="X11"/>
      <c r="Y11"/>
      <c r="Z11"/>
      <c r="AA11"/>
    </row>
    <row r="12" spans="2:27" ht="15.75" thickBot="1">
      <c r="B12" s="330" t="s">
        <v>19</v>
      </c>
      <c r="C12" s="326">
        <f>SUM(C7:C11)</f>
        <v>3732508.036188148</v>
      </c>
      <c r="D12" s="226">
        <f t="shared" si="2"/>
        <v>1</v>
      </c>
      <c r="E12" s="326">
        <f>SUM(E7:E11)</f>
        <v>3732508.0361781474</v>
      </c>
      <c r="F12" s="226">
        <f t="shared" si="0"/>
        <v>1</v>
      </c>
      <c r="G12" s="227">
        <f>SUM(G7:G11)</f>
        <v>1.0000000000000001E-5</v>
      </c>
      <c r="H12" s="226">
        <f t="shared" si="1"/>
        <v>1</v>
      </c>
      <c r="I12" s="414">
        <f>E12/12</f>
        <v>311042.33634817897</v>
      </c>
      <c r="J12" s="214"/>
      <c r="W12"/>
      <c r="X12"/>
      <c r="Y12"/>
      <c r="Z12"/>
      <c r="AA12"/>
    </row>
    <row r="13" spans="2:27" ht="15.75" thickBot="1">
      <c r="B13" s="329" t="s">
        <v>20</v>
      </c>
      <c r="C13" s="325">
        <f>SUM(E13,G13)</f>
        <v>1176804.4172181822</v>
      </c>
      <c r="D13" s="161">
        <f t="shared" si="2"/>
        <v>0.31528516638372805</v>
      </c>
      <c r="E13" s="325">
        <f>'Summary '!J11</f>
        <v>1176804.4172181822</v>
      </c>
      <c r="F13" s="400">
        <f>E13/$E$12</f>
        <v>0.31528516638457277</v>
      </c>
      <c r="G13" s="314"/>
      <c r="H13" s="161">
        <f t="shared" si="1"/>
        <v>0</v>
      </c>
      <c r="J13" s="213"/>
      <c r="R13" s="425" t="s">
        <v>21</v>
      </c>
      <c r="S13" s="426"/>
      <c r="T13" s="426"/>
      <c r="U13" s="426"/>
      <c r="V13" s="427"/>
      <c r="W13"/>
      <c r="X13"/>
      <c r="Y13"/>
      <c r="Z13"/>
      <c r="AA13"/>
    </row>
    <row r="14" spans="2:27" ht="15.75" thickBot="1">
      <c r="B14" s="329" t="s">
        <v>22</v>
      </c>
      <c r="C14" s="325">
        <f>SUM(E14,G14)</f>
        <v>0</v>
      </c>
      <c r="D14" s="161">
        <f t="shared" si="2"/>
        <v>0</v>
      </c>
      <c r="E14" s="325">
        <v>0</v>
      </c>
      <c r="F14" s="161">
        <f t="shared" si="0"/>
        <v>0</v>
      </c>
      <c r="G14" s="160"/>
      <c r="H14" s="161">
        <f t="shared" si="1"/>
        <v>0</v>
      </c>
      <c r="J14" s="213"/>
      <c r="R14" s="260">
        <f>R20+R25+R30+R35</f>
        <v>1575.559</v>
      </c>
      <c r="S14" s="422" t="s">
        <v>23</v>
      </c>
      <c r="T14" s="423"/>
      <c r="U14" s="423"/>
      <c r="V14" s="424"/>
      <c r="W14"/>
      <c r="X14"/>
      <c r="Y14"/>
      <c r="Z14"/>
      <c r="AA14"/>
    </row>
    <row r="15" spans="2:27" ht="15.75" thickBot="1">
      <c r="B15" s="330" t="s">
        <v>24</v>
      </c>
      <c r="C15" s="326">
        <f>SUM(C13:C14)</f>
        <v>1176804.4172181822</v>
      </c>
      <c r="D15" s="226">
        <f t="shared" si="2"/>
        <v>0.31528516638372805</v>
      </c>
      <c r="E15" s="326">
        <f>SUM(E13:E14)</f>
        <v>1176804.4172181822</v>
      </c>
      <c r="F15" s="226">
        <f t="shared" si="0"/>
        <v>0.31528516638457277</v>
      </c>
      <c r="G15" s="227">
        <f>SUM(G13:G14)</f>
        <v>0</v>
      </c>
      <c r="H15" s="226">
        <f t="shared" si="1"/>
        <v>0</v>
      </c>
      <c r="J15" s="214"/>
      <c r="R15" s="260">
        <f>R21+R26+R31+R36</f>
        <v>1932.8198</v>
      </c>
      <c r="S15" s="422" t="s">
        <v>25</v>
      </c>
      <c r="T15" s="423"/>
      <c r="U15" s="423"/>
      <c r="V15" s="424"/>
      <c r="W15"/>
      <c r="X15"/>
      <c r="Y15"/>
      <c r="Z15"/>
      <c r="AA15"/>
    </row>
    <row r="16" spans="2:27" ht="15.75" thickBot="1">
      <c r="B16" s="329" t="s">
        <v>26</v>
      </c>
      <c r="C16" s="325">
        <f>SUM(E16,G16)</f>
        <v>1322391.5145674422</v>
      </c>
      <c r="D16" s="161">
        <f t="shared" si="2"/>
        <v>0.35429033286635453</v>
      </c>
      <c r="E16" s="325">
        <f>'Summary '!L16</f>
        <v>1322391.5145674422</v>
      </c>
      <c r="F16" s="400">
        <f>E16/$E$12</f>
        <v>0.35429033286730377</v>
      </c>
      <c r="G16" s="314"/>
      <c r="H16" s="161">
        <f t="shared" si="1"/>
        <v>0</v>
      </c>
      <c r="J16" s="213"/>
      <c r="R16" s="260">
        <f>R22+R27+R32+R37</f>
        <v>1529.3419999999999</v>
      </c>
      <c r="S16" s="422">
        <v>787</v>
      </c>
      <c r="T16" s="423"/>
      <c r="U16" s="423"/>
      <c r="V16" s="424"/>
      <c r="W16"/>
      <c r="X16"/>
      <c r="Y16"/>
      <c r="Z16"/>
      <c r="AA16"/>
    </row>
    <row r="17" spans="2:27">
      <c r="B17" s="329" t="s">
        <v>27</v>
      </c>
      <c r="C17" s="325">
        <f>SUM(E17,G17)</f>
        <v>0</v>
      </c>
      <c r="D17" s="161">
        <f t="shared" si="2"/>
        <v>0</v>
      </c>
      <c r="E17" s="325">
        <v>0</v>
      </c>
      <c r="F17" s="161">
        <f t="shared" si="0"/>
        <v>0</v>
      </c>
      <c r="G17" s="160"/>
      <c r="H17" s="161">
        <f t="shared" si="1"/>
        <v>0</v>
      </c>
      <c r="J17" s="213"/>
      <c r="W17"/>
      <c r="X17"/>
      <c r="Y17"/>
      <c r="Z17"/>
      <c r="AA17"/>
    </row>
    <row r="18" spans="2:27" ht="15.75" thickBot="1">
      <c r="B18" s="329" t="s">
        <v>28</v>
      </c>
      <c r="C18" s="325">
        <f>SUM(E18,G18)</f>
        <v>270851.27406803035</v>
      </c>
      <c r="D18" s="161">
        <f t="shared" si="2"/>
        <v>7.2565489864193103E-2</v>
      </c>
      <c r="E18" s="325">
        <f>'Summary '!L17</f>
        <v>270851.27406803035</v>
      </c>
      <c r="F18" s="400">
        <f t="shared" si="0"/>
        <v>7.2565489864387531E-2</v>
      </c>
      <c r="G18" s="314"/>
      <c r="H18" s="161">
        <f t="shared" si="1"/>
        <v>0</v>
      </c>
      <c r="I18">
        <f>E18/E16</f>
        <v>0.20481927710843376</v>
      </c>
      <c r="J18" s="213"/>
      <c r="W18"/>
      <c r="X18"/>
      <c r="Y18"/>
      <c r="Z18"/>
      <c r="AA18"/>
    </row>
    <row r="19" spans="2:27" ht="15.75" thickBot="1">
      <c r="B19" s="329" t="s">
        <v>29</v>
      </c>
      <c r="C19" s="325">
        <f>SUM(E19,G19)</f>
        <v>0</v>
      </c>
      <c r="D19" s="161">
        <f t="shared" si="2"/>
        <v>0</v>
      </c>
      <c r="E19" s="325">
        <v>0</v>
      </c>
      <c r="F19" s="161">
        <f t="shared" si="0"/>
        <v>0</v>
      </c>
      <c r="G19" s="160"/>
      <c r="H19" s="161">
        <f t="shared" si="1"/>
        <v>0</v>
      </c>
      <c r="J19" s="213"/>
      <c r="R19" s="432" t="s">
        <v>30</v>
      </c>
      <c r="S19" s="433"/>
      <c r="T19" s="433"/>
      <c r="U19" s="433"/>
      <c r="V19" s="434"/>
      <c r="W19"/>
      <c r="X19"/>
      <c r="Y19"/>
      <c r="Z19"/>
      <c r="AA19"/>
    </row>
    <row r="20" spans="2:27" ht="15.75" thickBot="1">
      <c r="B20" s="329" t="s">
        <v>31</v>
      </c>
      <c r="C20" s="325">
        <f>SUM(E20,G20)</f>
        <v>0</v>
      </c>
      <c r="D20" s="161">
        <f t="shared" si="2"/>
        <v>0</v>
      </c>
      <c r="E20" s="325">
        <v>0</v>
      </c>
      <c r="F20" s="161">
        <f t="shared" si="0"/>
        <v>0</v>
      </c>
      <c r="G20" s="314"/>
      <c r="H20" s="161">
        <f t="shared" si="1"/>
        <v>0</v>
      </c>
      <c r="J20" s="213"/>
      <c r="R20" s="260">
        <f>Handling!V53</f>
        <v>313.23599999999993</v>
      </c>
      <c r="S20" s="422" t="s">
        <v>32</v>
      </c>
      <c r="T20" s="423"/>
      <c r="U20" s="423"/>
      <c r="V20" s="424"/>
      <c r="W20"/>
      <c r="X20"/>
      <c r="Y20"/>
      <c r="Z20"/>
      <c r="AA20"/>
    </row>
    <row r="21" spans="2:27" ht="15.75" thickBot="1">
      <c r="B21" s="330" t="s">
        <v>33</v>
      </c>
      <c r="C21" s="326">
        <f>SUM(C16:C20)</f>
        <v>1593242.7886354725</v>
      </c>
      <c r="D21" s="226">
        <f>C21/$C$12</f>
        <v>0.42685582273054762</v>
      </c>
      <c r="E21" s="326">
        <f>SUM(E16:E20)</f>
        <v>1593242.7886354725</v>
      </c>
      <c r="F21" s="226">
        <f t="shared" si="0"/>
        <v>0.42685582273169131</v>
      </c>
      <c r="G21" s="227">
        <f>SUM(G16:G20)</f>
        <v>0</v>
      </c>
      <c r="H21" s="226">
        <f t="shared" si="1"/>
        <v>0</v>
      </c>
      <c r="I21" s="401">
        <f>E21-E8</f>
        <v>489873.1279954724</v>
      </c>
      <c r="J21" s="214"/>
      <c r="P21" s="231"/>
      <c r="R21" s="260">
        <f>Handling!X53</f>
        <v>362.95599999999996</v>
      </c>
      <c r="S21" s="422" t="s">
        <v>34</v>
      </c>
      <c r="T21" s="423"/>
      <c r="U21" s="423"/>
      <c r="V21" s="424"/>
      <c r="W21"/>
      <c r="X21"/>
      <c r="Y21"/>
      <c r="Z21"/>
      <c r="AA21"/>
    </row>
    <row r="22" spans="2:27" ht="19.5" thickBot="1">
      <c r="B22" s="331" t="s">
        <v>35</v>
      </c>
      <c r="C22" s="327">
        <f>C12-C15-C21</f>
        <v>962460.83033449319</v>
      </c>
      <c r="D22" s="221">
        <f>C22/$C$12</f>
        <v>0.25785901088572433</v>
      </c>
      <c r="E22" s="327">
        <f>E12-E15-E21</f>
        <v>962460.83032449265</v>
      </c>
      <c r="F22" s="399">
        <f>E22/$E$12</f>
        <v>0.25785901088373592</v>
      </c>
      <c r="G22" s="222">
        <f>G12-G15-G21</f>
        <v>1.0000000000000001E-5</v>
      </c>
      <c r="H22" s="221">
        <f t="shared" si="1"/>
        <v>1</v>
      </c>
      <c r="J22" s="215"/>
      <c r="P22" s="231"/>
      <c r="R22" s="260">
        <f>Handling!Z53</f>
        <v>313.23599999999993</v>
      </c>
      <c r="S22" s="422" t="s">
        <v>36</v>
      </c>
      <c r="T22" s="423"/>
      <c r="U22" s="423"/>
      <c r="V22" s="424"/>
      <c r="W22"/>
      <c r="X22"/>
      <c r="Y22"/>
      <c r="Z22"/>
      <c r="AA22"/>
    </row>
    <row r="23" spans="2:27" ht="15.75" thickBot="1">
      <c r="B23" s="147"/>
      <c r="C23" s="325"/>
      <c r="D23" s="161"/>
      <c r="E23" s="325"/>
      <c r="F23" s="161"/>
      <c r="G23" s="160"/>
      <c r="H23" s="161"/>
      <c r="J23" s="213"/>
      <c r="K23" s="444" t="s">
        <v>37</v>
      </c>
      <c r="L23" s="445"/>
      <c r="M23" s="445"/>
      <c r="N23" s="445"/>
      <c r="O23" s="446">
        <f>'Summary '!H17+705</f>
        <v>5521.4615919795078</v>
      </c>
      <c r="P23" s="447"/>
      <c r="Q23" s="317">
        <f>4993+705</f>
        <v>5698</v>
      </c>
      <c r="R23" s="177"/>
      <c r="W23"/>
      <c r="X23"/>
      <c r="Y23"/>
      <c r="Z23"/>
      <c r="AA23"/>
    </row>
    <row r="24" spans="2:27" ht="15.75" thickBot="1">
      <c r="B24" s="329" t="s">
        <v>38</v>
      </c>
      <c r="C24" s="325">
        <f>SUM(E24,G24)</f>
        <v>80500</v>
      </c>
      <c r="D24" s="161">
        <f t="shared" ref="D24:D30" si="3">C24/$C$12</f>
        <v>2.1567267697623294E-2</v>
      </c>
      <c r="E24" s="325">
        <f>70000*1.15</f>
        <v>80500</v>
      </c>
      <c r="F24" s="161">
        <f>E24/$C$12</f>
        <v>2.1567267697623294E-2</v>
      </c>
      <c r="G24" s="314"/>
      <c r="H24" s="161">
        <f t="shared" ref="H24:H30" si="4">G24/$G$12</f>
        <v>0</v>
      </c>
      <c r="I24" s="317" t="s">
        <v>39</v>
      </c>
      <c r="J24" s="213"/>
      <c r="K24" s="448" t="s">
        <v>40</v>
      </c>
      <c r="L24" s="449"/>
      <c r="M24" s="449"/>
      <c r="N24" s="449"/>
      <c r="O24" s="449"/>
      <c r="P24" s="450"/>
      <c r="R24" s="432" t="s">
        <v>41</v>
      </c>
      <c r="S24" s="433"/>
      <c r="T24" s="433"/>
      <c r="U24" s="433"/>
      <c r="V24" s="434"/>
      <c r="W24"/>
      <c r="X24"/>
      <c r="Y24"/>
      <c r="Z24"/>
      <c r="AA24"/>
    </row>
    <row r="25" spans="2:27" ht="15.75" thickBot="1">
      <c r="B25" s="329" t="s">
        <v>42</v>
      </c>
      <c r="C25" s="325">
        <f>SUM(E25,G25)</f>
        <v>0</v>
      </c>
      <c r="D25" s="161">
        <f t="shared" si="3"/>
        <v>0</v>
      </c>
      <c r="E25" s="325">
        <v>0</v>
      </c>
      <c r="F25" s="161">
        <f>E25/$C$12</f>
        <v>0</v>
      </c>
      <c r="G25" s="314"/>
      <c r="H25" s="161">
        <f t="shared" si="4"/>
        <v>0</v>
      </c>
      <c r="J25" s="213"/>
      <c r="K25" s="297" t="s">
        <v>43</v>
      </c>
      <c r="L25" s="298" t="s">
        <v>44</v>
      </c>
      <c r="M25" s="298" t="s">
        <v>45</v>
      </c>
      <c r="N25" s="298" t="s">
        <v>46</v>
      </c>
      <c r="O25" s="298" t="s">
        <v>47</v>
      </c>
      <c r="P25" s="299" t="s">
        <v>48</v>
      </c>
      <c r="R25" s="260">
        <f>Handling!AD39</f>
        <v>338.99999999999994</v>
      </c>
      <c r="S25" s="422" t="s">
        <v>23</v>
      </c>
      <c r="T25" s="423"/>
      <c r="U25" s="423"/>
      <c r="V25" s="424"/>
      <c r="W25"/>
      <c r="X25"/>
      <c r="Y25"/>
      <c r="Z25"/>
      <c r="AA25"/>
    </row>
    <row r="26" spans="2:27" ht="15.75" thickBot="1">
      <c r="B26" s="330" t="s">
        <v>49</v>
      </c>
      <c r="C26" s="326">
        <f>SUM(C24:C25)</f>
        <v>80500</v>
      </c>
      <c r="D26" s="226">
        <f t="shared" si="3"/>
        <v>2.1567267697623294E-2</v>
      </c>
      <c r="E26" s="326">
        <f>SUM(E24:E25)</f>
        <v>80500</v>
      </c>
      <c r="F26" s="226">
        <f>E26/$E$12</f>
        <v>2.1567267697681081E-2</v>
      </c>
      <c r="G26" s="227">
        <f>SUM(G24:G25)</f>
        <v>0</v>
      </c>
      <c r="H26" s="226">
        <f t="shared" si="4"/>
        <v>0</v>
      </c>
      <c r="J26" s="214"/>
      <c r="K26" s="259">
        <f>'Summary '!B24</f>
        <v>0</v>
      </c>
      <c r="L26" s="259">
        <f>'Summary '!C24</f>
        <v>32.127190068816418</v>
      </c>
      <c r="M26" s="259">
        <f>'Summary '!D24</f>
        <v>17.828736904565709</v>
      </c>
      <c r="N26" s="259">
        <f>'Summary '!E24</f>
        <v>10.367000820128522</v>
      </c>
      <c r="O26" s="259">
        <f>'Summary '!F24</f>
        <v>0</v>
      </c>
      <c r="P26" s="259">
        <f>'Summary '!G24</f>
        <v>20.62732384833711</v>
      </c>
      <c r="R26" s="260">
        <f>Handling!AD41</f>
        <v>395.49999999999994</v>
      </c>
      <c r="S26" s="422" t="s">
        <v>25</v>
      </c>
      <c r="T26" s="423"/>
      <c r="U26" s="423"/>
      <c r="V26" s="424"/>
      <c r="W26"/>
      <c r="X26"/>
      <c r="Y26"/>
      <c r="Z26"/>
      <c r="AA26"/>
    </row>
    <row r="27" spans="2:27" ht="15.75" thickBot="1">
      <c r="B27" s="329" t="s">
        <v>50</v>
      </c>
      <c r="C27" s="325">
        <f>SUM(E27,G27)</f>
        <v>84000</v>
      </c>
      <c r="D27" s="161">
        <f t="shared" si="3"/>
        <v>2.2504974988824308E-2</v>
      </c>
      <c r="E27" s="328">
        <f>7000*12</f>
        <v>84000</v>
      </c>
      <c r="F27" s="161">
        <f>E27/E12</f>
        <v>2.2504974988884603E-2</v>
      </c>
      <c r="G27" s="314"/>
      <c r="H27" s="161">
        <f t="shared" si="4"/>
        <v>0</v>
      </c>
      <c r="I27" t="s">
        <v>51</v>
      </c>
      <c r="J27" s="213"/>
      <c r="L27" s="406">
        <v>34.4</v>
      </c>
      <c r="M27" s="406">
        <v>23.8</v>
      </c>
      <c r="N27" s="406">
        <v>12.42</v>
      </c>
      <c r="O27" s="136" t="s">
        <v>52</v>
      </c>
      <c r="P27" s="406">
        <v>36.119999999999997</v>
      </c>
      <c r="R27" s="260">
        <f>Handling!AD43</f>
        <v>338.99999999999994</v>
      </c>
      <c r="S27" s="422">
        <v>787</v>
      </c>
      <c r="T27" s="423"/>
      <c r="U27" s="423"/>
      <c r="V27" s="424"/>
      <c r="W27"/>
    </row>
    <row r="28" spans="2:27" ht="15.75" thickBot="1">
      <c r="B28" s="329" t="s">
        <v>53</v>
      </c>
      <c r="C28" s="325">
        <f>SUM(E28,G28)</f>
        <v>66666.666666666672</v>
      </c>
      <c r="D28" s="161">
        <f t="shared" si="3"/>
        <v>1.7861091260971674E-2</v>
      </c>
      <c r="E28" s="408">
        <f>200000/3</f>
        <v>66666.666666666672</v>
      </c>
      <c r="F28" s="292">
        <f>E28/E12</f>
        <v>1.7861091261019528E-2</v>
      </c>
      <c r="G28" s="314"/>
      <c r="H28" s="161">
        <f t="shared" si="4"/>
        <v>0</v>
      </c>
      <c r="I28" s="317" t="s">
        <v>54</v>
      </c>
      <c r="J28" s="213"/>
      <c r="K28" s="442" t="s">
        <v>55</v>
      </c>
      <c r="L28" s="443"/>
      <c r="M28" s="443"/>
      <c r="N28" s="443"/>
      <c r="O28" s="443"/>
      <c r="P28" s="443"/>
      <c r="W28"/>
    </row>
    <row r="29" spans="2:27" ht="15.75" thickBot="1">
      <c r="B29" s="330" t="s">
        <v>56</v>
      </c>
      <c r="C29" s="326">
        <f>SUM(C27:C28)</f>
        <v>150666.66666666669</v>
      </c>
      <c r="D29" s="226">
        <f t="shared" si="3"/>
        <v>4.0366066249795982E-2</v>
      </c>
      <c r="E29" s="326">
        <f>SUM(E27:E28)</f>
        <v>150666.66666666669</v>
      </c>
      <c r="F29" s="226">
        <f>E29/E12</f>
        <v>4.0366066249904138E-2</v>
      </c>
      <c r="G29" s="227">
        <f>SUM(G27:G28)</f>
        <v>0</v>
      </c>
      <c r="H29" s="226">
        <f t="shared" si="4"/>
        <v>0</v>
      </c>
      <c r="J29" s="214"/>
      <c r="K29" s="254" t="s">
        <v>43</v>
      </c>
      <c r="L29" s="253" t="s">
        <v>44</v>
      </c>
      <c r="M29" s="253" t="s">
        <v>57</v>
      </c>
      <c r="N29" s="253" t="s">
        <v>58</v>
      </c>
      <c r="O29" s="253" t="s">
        <v>47</v>
      </c>
      <c r="P29" s="255" t="s">
        <v>59</v>
      </c>
      <c r="R29" s="432" t="s">
        <v>60</v>
      </c>
      <c r="S29" s="433"/>
      <c r="T29" s="433"/>
      <c r="U29" s="433"/>
      <c r="V29" s="434"/>
      <c r="W29"/>
    </row>
    <row r="30" spans="2:27" ht="19.5" thickBot="1">
      <c r="B30" s="331" t="s">
        <v>61</v>
      </c>
      <c r="C30" s="327">
        <f>C22-C26-C29</f>
        <v>731294.16366782645</v>
      </c>
      <c r="D30" s="221">
        <f t="shared" si="3"/>
        <v>0.19592567693830504</v>
      </c>
      <c r="E30" s="327">
        <f>E22-E26-E29</f>
        <v>731294.16365782591</v>
      </c>
      <c r="F30" s="399">
        <f>E30/$E$12</f>
        <v>0.19592567693615068</v>
      </c>
      <c r="G30" s="222">
        <f>G22-G26-G29</f>
        <v>1.0000000000000001E-5</v>
      </c>
      <c r="H30" s="221">
        <f t="shared" si="4"/>
        <v>1</v>
      </c>
      <c r="I30" s="323">
        <f>E30/12</f>
        <v>60941.180304818823</v>
      </c>
      <c r="J30" s="213"/>
      <c r="K30" s="256">
        <v>0</v>
      </c>
      <c r="L30" s="257">
        <v>0</v>
      </c>
      <c r="M30" s="257">
        <v>0</v>
      </c>
      <c r="N30" s="257">
        <v>0</v>
      </c>
      <c r="O30" s="257">
        <v>0</v>
      </c>
      <c r="P30" s="258">
        <v>0</v>
      </c>
      <c r="R30" s="260">
        <f>Handling!C84</f>
        <v>704.10300000000007</v>
      </c>
      <c r="S30" s="422" t="s">
        <v>23</v>
      </c>
      <c r="T30" s="423"/>
      <c r="U30" s="423"/>
      <c r="V30" s="424"/>
      <c r="W30"/>
    </row>
    <row r="31" spans="2:27" ht="19.5" thickBot="1">
      <c r="E31" s="417">
        <f>E30/12</f>
        <v>60941.180304818823</v>
      </c>
      <c r="F31" s="247"/>
      <c r="I31">
        <f>11000*30</f>
        <v>330000</v>
      </c>
      <c r="J31" s="215"/>
      <c r="K31" s="231">
        <f>I31*12</f>
        <v>3960000</v>
      </c>
      <c r="L31" s="231"/>
      <c r="M31" s="231"/>
      <c r="N31" s="231"/>
      <c r="O31" s="231"/>
      <c r="P31" s="231"/>
      <c r="R31" s="260">
        <f>Handling!E84</f>
        <v>878.30380000000014</v>
      </c>
      <c r="S31" s="422" t="s">
        <v>25</v>
      </c>
      <c r="T31" s="423"/>
      <c r="U31" s="423"/>
      <c r="V31" s="424"/>
      <c r="W31"/>
    </row>
    <row r="32" spans="2:27" ht="15.75" thickBot="1">
      <c r="B32" s="435" t="s">
        <v>62</v>
      </c>
      <c r="C32" s="436"/>
      <c r="D32" s="436"/>
      <c r="E32" s="436"/>
      <c r="F32" s="436"/>
      <c r="G32" s="436"/>
      <c r="H32" s="437"/>
      <c r="R32" s="260">
        <f>Handling!G84</f>
        <v>653.36599999999999</v>
      </c>
      <c r="S32" s="422">
        <v>787</v>
      </c>
      <c r="T32" s="423"/>
      <c r="U32" s="423"/>
      <c r="V32" s="424"/>
      <c r="W32"/>
    </row>
    <row r="33" spans="2:23" s="231" customFormat="1" ht="15.75" thickBot="1">
      <c r="I33"/>
      <c r="K33" s="136"/>
      <c r="L33" s="136"/>
      <c r="M33" s="136"/>
      <c r="N33" s="136"/>
      <c r="O33" s="136"/>
      <c r="P33" s="136"/>
      <c r="Q33"/>
      <c r="R33" s="303"/>
      <c r="S33"/>
      <c r="T33"/>
      <c r="U33"/>
      <c r="V33"/>
      <c r="W33"/>
    </row>
    <row r="34" spans="2:23" s="231" customFormat="1" ht="15.75" thickBot="1">
      <c r="B34" s="316"/>
      <c r="E34" s="231" t="s">
        <v>63</v>
      </c>
      <c r="I34"/>
      <c r="J34" s="136"/>
      <c r="K34" s="136"/>
      <c r="L34" s="136"/>
      <c r="M34" s="136"/>
      <c r="N34" s="136"/>
      <c r="O34" s="136"/>
      <c r="P34" s="136"/>
      <c r="Q34"/>
      <c r="R34" s="432" t="s">
        <v>64</v>
      </c>
      <c r="S34" s="433"/>
      <c r="T34" s="433"/>
      <c r="U34" s="433"/>
      <c r="V34" s="434"/>
      <c r="W34"/>
    </row>
    <row r="35" spans="2:23" s="231" customFormat="1" ht="15.75" thickBot="1">
      <c r="I35"/>
      <c r="K35" s="136"/>
      <c r="L35" s="136"/>
      <c r="M35" s="136"/>
      <c r="N35" s="136"/>
      <c r="O35" s="136"/>
      <c r="P35" s="136"/>
      <c r="Q35"/>
      <c r="R35" s="260">
        <f>Handling!S39+Handling!S45</f>
        <v>219.21999999999997</v>
      </c>
      <c r="S35" s="422" t="s">
        <v>23</v>
      </c>
      <c r="T35" s="423"/>
      <c r="U35" s="423"/>
      <c r="V35" s="424"/>
      <c r="W35"/>
    </row>
    <row r="36" spans="2:23" s="231" customFormat="1" ht="15.75" thickBot="1">
      <c r="B36" s="316" t="s">
        <v>65</v>
      </c>
      <c r="I36"/>
      <c r="K36" s="136"/>
      <c r="L36" s="136"/>
      <c r="M36" s="136"/>
      <c r="N36" s="136"/>
      <c r="O36" s="136"/>
      <c r="P36" s="136"/>
      <c r="Q36"/>
      <c r="R36" s="260">
        <f>Handling!S41+Handling!S47</f>
        <v>296.05999999999995</v>
      </c>
      <c r="S36" s="422" t="s">
        <v>25</v>
      </c>
      <c r="T36" s="423"/>
      <c r="U36" s="423"/>
      <c r="V36" s="424"/>
      <c r="W36"/>
    </row>
    <row r="37" spans="2:23" s="231" customFormat="1" ht="15.75" thickBot="1">
      <c r="B37" s="316" t="s">
        <v>66</v>
      </c>
      <c r="I37"/>
      <c r="K37" s="136"/>
      <c r="L37" s="136"/>
      <c r="M37"/>
      <c r="N37" s="136"/>
      <c r="O37" s="136"/>
      <c r="P37" s="136"/>
      <c r="Q37"/>
      <c r="R37" s="260">
        <f>Handling!S43+Handling!S50</f>
        <v>223.74</v>
      </c>
      <c r="S37" s="422">
        <v>787</v>
      </c>
      <c r="T37" s="423"/>
      <c r="U37" s="423"/>
      <c r="V37" s="424"/>
      <c r="W37"/>
    </row>
    <row r="38" spans="2:23" s="231" customFormat="1">
      <c r="B38" s="316" t="s">
        <v>67</v>
      </c>
      <c r="I38"/>
      <c r="K38" s="136"/>
      <c r="L38" s="136"/>
      <c r="M38" s="136"/>
      <c r="N38" s="136"/>
      <c r="O38" s="136"/>
      <c r="P38" s="136"/>
      <c r="Q38"/>
      <c r="W38"/>
    </row>
    <row r="39" spans="2:23" s="231" customFormat="1">
      <c r="B39" s="316" t="s">
        <v>68</v>
      </c>
      <c r="I39"/>
      <c r="K39" s="136"/>
      <c r="L39" s="136"/>
      <c r="O39" s="136"/>
      <c r="P39" s="136"/>
      <c r="Q39"/>
      <c r="W39"/>
    </row>
    <row r="40" spans="2:23">
      <c r="W40"/>
    </row>
    <row r="52" spans="22:22">
      <c r="V52" s="248"/>
    </row>
    <row r="66" spans="2:3">
      <c r="B66" s="303"/>
    </row>
    <row r="67" spans="2:3">
      <c r="B67" s="321" t="s">
        <v>69</v>
      </c>
      <c r="C67" s="322">
        <v>271755</v>
      </c>
    </row>
    <row r="68" spans="2:3">
      <c r="B68" s="321" t="s">
        <v>70</v>
      </c>
      <c r="C68" s="322">
        <v>2000</v>
      </c>
    </row>
    <row r="69" spans="2:3">
      <c r="B69" s="321" t="s">
        <v>71</v>
      </c>
      <c r="C69" s="322">
        <v>164340</v>
      </c>
    </row>
    <row r="70" spans="2:3">
      <c r="B70" s="321" t="s">
        <v>72</v>
      </c>
      <c r="C70" s="322">
        <v>3840</v>
      </c>
    </row>
    <row r="71" spans="2:3">
      <c r="B71" s="321" t="s">
        <v>73</v>
      </c>
      <c r="C71" s="322">
        <v>19000</v>
      </c>
    </row>
    <row r="72" spans="2:3">
      <c r="B72" s="321" t="s">
        <v>74</v>
      </c>
      <c r="C72" s="322">
        <v>261360</v>
      </c>
    </row>
    <row r="73" spans="2:3">
      <c r="B73" s="321" t="s">
        <v>75</v>
      </c>
      <c r="C73" s="322">
        <v>675000</v>
      </c>
    </row>
    <row r="74" spans="2:3">
      <c r="B74" s="321" t="s">
        <v>76</v>
      </c>
      <c r="C74" s="322">
        <f>116139*5</f>
        <v>580695</v>
      </c>
    </row>
  </sheetData>
  <mergeCells count="37"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21:V21"/>
    <mergeCell ref="R13:V13"/>
    <mergeCell ref="S14:V14"/>
    <mergeCell ref="S15:V15"/>
    <mergeCell ref="S16:V16"/>
  </mergeCell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A6F802-614A-4C09-BBD7-0BEE3D5EC057}">
          <x14:formula1>
            <xm:f>'Summary '!$M$3:$M$4</xm:f>
          </x14:formula1>
          <xm:sqref>R5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>
      <c r="A1" s="71" t="s">
        <v>77</v>
      </c>
      <c r="B1" s="72"/>
      <c r="C1" s="73"/>
      <c r="D1" s="73"/>
      <c r="E1" s="73"/>
      <c r="F1" s="73"/>
      <c r="G1" s="73"/>
      <c r="H1" s="73"/>
      <c r="I1" s="74"/>
    </row>
    <row r="2" spans="1:9">
      <c r="A2" s="75" t="s">
        <v>78</v>
      </c>
      <c r="B2" s="76" t="s">
        <v>79</v>
      </c>
      <c r="C2" s="77"/>
      <c r="D2" s="77"/>
      <c r="E2" s="77"/>
      <c r="F2" s="77"/>
      <c r="G2" s="77"/>
      <c r="H2" s="77"/>
      <c r="I2" s="78"/>
    </row>
    <row r="3" spans="1:9">
      <c r="A3" s="75" t="s">
        <v>80</v>
      </c>
      <c r="B3" s="76" t="s">
        <v>81</v>
      </c>
      <c r="C3" s="77"/>
      <c r="D3" s="77"/>
      <c r="E3" s="77"/>
      <c r="F3" s="77"/>
      <c r="G3" s="77"/>
      <c r="H3" s="77"/>
      <c r="I3" s="78"/>
    </row>
    <row r="4" spans="1:9">
      <c r="A4" s="75" t="s">
        <v>82</v>
      </c>
      <c r="B4" s="79"/>
      <c r="C4" s="77"/>
      <c r="D4" s="77"/>
      <c r="E4" s="77"/>
      <c r="F4" s="77"/>
      <c r="G4" s="77"/>
      <c r="H4" s="77"/>
      <c r="I4" s="78"/>
    </row>
    <row r="5" spans="1:9">
      <c r="A5" s="75" t="s">
        <v>83</v>
      </c>
      <c r="B5" s="80"/>
      <c r="C5" s="81"/>
      <c r="D5" s="77"/>
      <c r="E5" s="77"/>
      <c r="F5" s="77"/>
      <c r="G5" s="77"/>
      <c r="H5" s="77"/>
      <c r="I5" s="78"/>
    </row>
    <row r="6" spans="1:9">
      <c r="A6" s="75" t="s">
        <v>84</v>
      </c>
      <c r="B6" s="82"/>
      <c r="C6" s="77"/>
      <c r="D6" s="77"/>
      <c r="E6" s="77"/>
      <c r="F6" s="77"/>
      <c r="G6" s="77"/>
      <c r="H6" s="77"/>
      <c r="I6" s="78"/>
    </row>
    <row r="7" spans="1:9">
      <c r="A7" s="75" t="s">
        <v>85</v>
      </c>
      <c r="B7" s="82"/>
      <c r="C7" s="77"/>
      <c r="D7" s="77"/>
      <c r="E7" s="77"/>
      <c r="F7" s="77"/>
      <c r="G7" s="77"/>
      <c r="H7" s="77"/>
      <c r="I7" s="78"/>
    </row>
    <row r="8" spans="1:9">
      <c r="A8" s="75" t="s">
        <v>86</v>
      </c>
      <c r="B8" s="82"/>
      <c r="C8" s="77"/>
      <c r="D8" s="77"/>
      <c r="E8" s="77"/>
      <c r="F8" s="77"/>
      <c r="G8" s="77"/>
      <c r="H8" s="77"/>
      <c r="I8" s="78"/>
    </row>
    <row r="9" spans="1:9">
      <c r="A9" s="75" t="s">
        <v>87</v>
      </c>
      <c r="B9" s="83"/>
      <c r="C9" s="77"/>
      <c r="D9" s="77"/>
      <c r="E9" s="77"/>
      <c r="F9" s="77"/>
      <c r="G9" s="77"/>
      <c r="H9" s="77"/>
      <c r="I9" s="78"/>
    </row>
    <row r="10" spans="1:9">
      <c r="A10" s="75"/>
      <c r="B10" s="77"/>
      <c r="C10" s="77"/>
      <c r="D10" s="77"/>
      <c r="E10" s="77"/>
      <c r="F10" s="77"/>
      <c r="G10" s="77"/>
      <c r="H10" s="77"/>
      <c r="I10" s="78"/>
    </row>
    <row r="11" spans="1:9">
      <c r="A11" s="75"/>
      <c r="B11" s="77"/>
      <c r="C11" s="77"/>
      <c r="D11" s="77"/>
      <c r="E11" s="77"/>
      <c r="F11" s="77"/>
      <c r="G11" s="77"/>
      <c r="H11" s="77"/>
      <c r="I11" s="78"/>
    </row>
    <row r="12" spans="1:9">
      <c r="A12" s="75" t="s">
        <v>88</v>
      </c>
      <c r="B12" s="80">
        <v>787</v>
      </c>
      <c r="C12" s="80"/>
      <c r="D12" s="80"/>
      <c r="E12" s="80"/>
      <c r="F12" s="80" t="s">
        <v>89</v>
      </c>
      <c r="G12" s="80" t="s">
        <v>89</v>
      </c>
      <c r="H12" s="80" t="s">
        <v>89</v>
      </c>
      <c r="I12" s="80" t="s">
        <v>89</v>
      </c>
    </row>
    <row r="13" spans="1:9">
      <c r="A13" s="75" t="s">
        <v>90</v>
      </c>
      <c r="B13" s="80">
        <f>+'FlightConfig '!B3</f>
        <v>0</v>
      </c>
      <c r="C13" s="80"/>
      <c r="D13" s="80"/>
      <c r="E13" s="80"/>
      <c r="F13" s="80" t="s">
        <v>89</v>
      </c>
      <c r="G13" s="80" t="s">
        <v>89</v>
      </c>
      <c r="H13" s="80" t="s">
        <v>89</v>
      </c>
      <c r="I13" s="80" t="s">
        <v>89</v>
      </c>
    </row>
    <row r="14" spans="1:9">
      <c r="A14" s="75" t="s">
        <v>91</v>
      </c>
      <c r="B14" s="80">
        <f>+'FlightConfig '!C3</f>
        <v>34</v>
      </c>
      <c r="C14" s="80"/>
      <c r="D14" s="80"/>
      <c r="E14" s="80"/>
      <c r="F14" s="80" t="s">
        <v>89</v>
      </c>
      <c r="G14" s="80" t="s">
        <v>89</v>
      </c>
      <c r="H14" s="80" t="s">
        <v>89</v>
      </c>
      <c r="I14" s="80" t="s">
        <v>89</v>
      </c>
    </row>
    <row r="15" spans="1:9">
      <c r="A15" s="75" t="s">
        <v>92</v>
      </c>
      <c r="B15" s="80">
        <f>SUM('FlightConfig '!D3:E3)</f>
        <v>246</v>
      </c>
      <c r="C15" s="80"/>
      <c r="D15" s="80"/>
      <c r="E15" s="80"/>
      <c r="F15" s="80" t="s">
        <v>89</v>
      </c>
      <c r="G15" s="80" t="s">
        <v>89</v>
      </c>
      <c r="H15" s="80" t="s">
        <v>89</v>
      </c>
      <c r="I15" s="80" t="s">
        <v>89</v>
      </c>
    </row>
    <row r="16" spans="1:9">
      <c r="A16" s="75" t="s">
        <v>93</v>
      </c>
      <c r="B16" s="84">
        <v>0.2673611111111111</v>
      </c>
      <c r="C16" s="80"/>
      <c r="D16" s="80"/>
      <c r="E16" s="80"/>
      <c r="F16" s="80" t="s">
        <v>89</v>
      </c>
      <c r="G16" s="80" t="s">
        <v>89</v>
      </c>
      <c r="H16" s="80" t="s">
        <v>89</v>
      </c>
      <c r="I16" s="80" t="s">
        <v>89</v>
      </c>
    </row>
    <row r="17" spans="1:9">
      <c r="A17" s="75" t="s">
        <v>94</v>
      </c>
      <c r="B17" s="84">
        <v>0.93402777777777779</v>
      </c>
      <c r="C17" s="80"/>
      <c r="D17" s="80"/>
      <c r="E17" s="80"/>
      <c r="F17" s="80" t="s">
        <v>89</v>
      </c>
      <c r="G17" s="80" t="s">
        <v>89</v>
      </c>
      <c r="H17" s="80" t="s">
        <v>89</v>
      </c>
      <c r="I17" s="80" t="s">
        <v>89</v>
      </c>
    </row>
    <row r="18" spans="1:9">
      <c r="A18" s="75" t="s">
        <v>95</v>
      </c>
      <c r="B18" s="119">
        <f>+'FlightConfig '!K2</f>
        <v>0</v>
      </c>
      <c r="C18" s="80"/>
      <c r="D18" s="80"/>
      <c r="E18" s="80"/>
      <c r="F18" s="80" t="s">
        <v>89</v>
      </c>
      <c r="G18" s="80" t="s">
        <v>89</v>
      </c>
      <c r="H18" s="80" t="s">
        <v>89</v>
      </c>
      <c r="I18" s="80" t="s">
        <v>89</v>
      </c>
    </row>
    <row r="19" spans="1:9">
      <c r="A19" s="75" t="s">
        <v>96</v>
      </c>
      <c r="B19" s="119">
        <f>+'FlightConfig '!K3</f>
        <v>0</v>
      </c>
      <c r="C19" s="80"/>
      <c r="D19" s="80"/>
      <c r="E19" s="80"/>
      <c r="F19" s="80" t="s">
        <v>89</v>
      </c>
      <c r="G19" s="80" t="s">
        <v>89</v>
      </c>
      <c r="H19" s="80" t="s">
        <v>89</v>
      </c>
      <c r="I19" s="80" t="s">
        <v>89</v>
      </c>
    </row>
    <row r="20" spans="1:9">
      <c r="A20" s="75" t="s">
        <v>97</v>
      </c>
      <c r="B20" s="85"/>
      <c r="C20" s="85"/>
      <c r="D20" s="85"/>
      <c r="E20" s="80"/>
      <c r="F20" s="80"/>
      <c r="G20" s="80"/>
      <c r="H20" s="80"/>
      <c r="I20" s="80"/>
    </row>
    <row r="21" spans="1:9">
      <c r="A21" s="75" t="s">
        <v>98</v>
      </c>
      <c r="B21" s="76" t="s">
        <v>99</v>
      </c>
      <c r="C21" s="77"/>
      <c r="D21" s="77"/>
      <c r="E21" s="77"/>
      <c r="F21" s="77"/>
      <c r="G21" s="77"/>
      <c r="H21" s="77"/>
      <c r="I21" s="78"/>
    </row>
    <row r="22" spans="1:9">
      <c r="A22" s="75" t="s">
        <v>100</v>
      </c>
      <c r="B22" s="76" t="s">
        <v>101</v>
      </c>
      <c r="C22" s="77"/>
      <c r="D22" s="77"/>
      <c r="E22" s="77"/>
      <c r="F22" s="77"/>
      <c r="G22" s="77"/>
      <c r="H22" s="77"/>
      <c r="I22" s="78"/>
    </row>
    <row r="23" spans="1:9">
      <c r="A23" s="75" t="s">
        <v>102</v>
      </c>
      <c r="B23" s="76" t="s">
        <v>103</v>
      </c>
      <c r="C23" s="77"/>
      <c r="D23" s="77"/>
      <c r="E23" s="86" t="s">
        <v>104</v>
      </c>
      <c r="F23" s="87"/>
      <c r="G23" s="87"/>
      <c r="H23" s="88"/>
      <c r="I23" s="89"/>
    </row>
    <row r="24" spans="1:9">
      <c r="A24" s="75" t="s">
        <v>105</v>
      </c>
      <c r="B24" s="76"/>
      <c r="C24" s="77"/>
      <c r="D24" s="77"/>
      <c r="E24" s="86" t="s">
        <v>106</v>
      </c>
      <c r="F24" s="87"/>
      <c r="G24" s="87"/>
      <c r="H24" s="88"/>
      <c r="I24" s="89"/>
    </row>
    <row r="25" spans="1:9">
      <c r="A25" s="75" t="s">
        <v>107</v>
      </c>
      <c r="B25" s="76" t="s">
        <v>108</v>
      </c>
      <c r="C25" s="77"/>
      <c r="D25" s="77"/>
      <c r="E25" s="86" t="s">
        <v>109</v>
      </c>
      <c r="F25" s="87"/>
      <c r="G25" s="87"/>
      <c r="H25" s="88"/>
      <c r="I25" s="89"/>
    </row>
    <row r="26" spans="1:9">
      <c r="A26" s="75" t="s">
        <v>110</v>
      </c>
      <c r="B26" s="76"/>
      <c r="C26" s="77"/>
      <c r="D26" s="77"/>
      <c r="E26" s="86"/>
      <c r="F26" s="87"/>
      <c r="G26" s="87"/>
      <c r="H26" s="88"/>
      <c r="I26" s="89"/>
    </row>
    <row r="27" spans="1:9">
      <c r="A27" s="75" t="s">
        <v>111</v>
      </c>
      <c r="B27" s="76"/>
      <c r="C27" s="77"/>
      <c r="D27" s="77"/>
      <c r="E27" s="86" t="s">
        <v>112</v>
      </c>
      <c r="F27" s="87"/>
      <c r="G27" s="87"/>
      <c r="H27" s="88"/>
      <c r="I27" s="90"/>
    </row>
    <row r="28" spans="1:9">
      <c r="A28" s="75" t="s">
        <v>113</v>
      </c>
      <c r="B28" s="76"/>
      <c r="C28" s="77"/>
      <c r="D28" s="77"/>
      <c r="E28" s="86" t="s">
        <v>114</v>
      </c>
      <c r="F28" s="87"/>
      <c r="G28" s="87"/>
      <c r="H28" s="91"/>
      <c r="I28" s="90"/>
    </row>
    <row r="29" spans="1:9">
      <c r="A29" s="75" t="s">
        <v>115</v>
      </c>
      <c r="B29" s="76"/>
      <c r="C29" s="77"/>
      <c r="D29" s="77"/>
      <c r="E29" s="86" t="s">
        <v>116</v>
      </c>
      <c r="F29" s="87"/>
      <c r="G29" s="87"/>
      <c r="H29" s="91"/>
      <c r="I29" s="90"/>
    </row>
    <row r="30" spans="1:9">
      <c r="A30" s="75" t="s">
        <v>117</v>
      </c>
      <c r="B30" s="76"/>
      <c r="C30" s="77"/>
      <c r="D30" s="77"/>
      <c r="E30" s="86" t="s">
        <v>118</v>
      </c>
      <c r="F30" s="87"/>
      <c r="G30" s="87"/>
      <c r="H30" s="91"/>
      <c r="I30" s="90"/>
    </row>
    <row r="31" spans="1:9">
      <c r="A31" s="75"/>
      <c r="B31" s="77"/>
      <c r="C31" s="77"/>
      <c r="D31" s="77"/>
      <c r="E31" s="86" t="s">
        <v>119</v>
      </c>
      <c r="F31" s="87"/>
      <c r="G31" s="87"/>
      <c r="H31" s="88"/>
      <c r="I31" s="90"/>
    </row>
    <row r="32" spans="1:9">
      <c r="A32" s="75"/>
      <c r="B32" s="77"/>
      <c r="C32" s="77"/>
      <c r="D32" s="77"/>
      <c r="E32" s="86" t="s">
        <v>120</v>
      </c>
      <c r="F32" s="87"/>
      <c r="G32" s="87"/>
      <c r="H32" s="88"/>
      <c r="I32" s="90"/>
    </row>
    <row r="33" spans="1:9">
      <c r="A33" s="92" t="s">
        <v>121</v>
      </c>
      <c r="B33" s="93" t="s">
        <v>122</v>
      </c>
      <c r="C33" s="93" t="s">
        <v>123</v>
      </c>
      <c r="D33" s="93" t="s">
        <v>124</v>
      </c>
      <c r="E33" s="86" t="s">
        <v>125</v>
      </c>
      <c r="F33" s="87"/>
      <c r="G33" s="87"/>
      <c r="H33" s="88"/>
      <c r="I33" s="90"/>
    </row>
    <row r="34" spans="1:9">
      <c r="A34" s="75" t="s">
        <v>126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>
      <c r="A35" s="75" t="s">
        <v>127</v>
      </c>
      <c r="B35" s="95"/>
      <c r="C35" s="97" t="s">
        <v>128</v>
      </c>
      <c r="D35" s="98" t="s">
        <v>128</v>
      </c>
      <c r="E35" s="94"/>
      <c r="F35" s="94"/>
      <c r="G35" s="94"/>
      <c r="H35" s="94"/>
      <c r="I35" s="94"/>
    </row>
    <row r="36" spans="1:9">
      <c r="A36" s="75" t="s">
        <v>129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>
      <c r="A37" s="75" t="s">
        <v>130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>
      <c r="A38" s="75" t="s">
        <v>131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>
      <c r="A39" s="75" t="s">
        <v>132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>
      <c r="A40" s="99" t="s">
        <v>133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>
      <c r="A41" s="75"/>
      <c r="B41" s="102"/>
      <c r="C41" s="77"/>
      <c r="D41" s="103"/>
      <c r="E41" s="94"/>
      <c r="F41" s="94"/>
      <c r="G41" s="94"/>
      <c r="H41" s="94"/>
      <c r="I41" s="94"/>
    </row>
    <row r="42" spans="1:9">
      <c r="A42" s="92" t="s">
        <v>134</v>
      </c>
      <c r="B42" s="93"/>
      <c r="C42" s="93"/>
      <c r="D42" s="93"/>
      <c r="E42" s="93"/>
      <c r="F42" s="104"/>
      <c r="G42" s="104"/>
      <c r="H42" s="104"/>
      <c r="I42" s="105"/>
    </row>
    <row r="43" spans="1:9">
      <c r="A43" s="106" t="s">
        <v>135</v>
      </c>
      <c r="B43" s="107"/>
      <c r="C43" s="107"/>
      <c r="D43" s="107"/>
      <c r="E43" s="107"/>
      <c r="F43" s="107"/>
      <c r="G43" s="107"/>
      <c r="H43" s="107"/>
      <c r="I43" s="108"/>
    </row>
    <row r="44" spans="1:9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>
      <c r="A46" s="112"/>
      <c r="B46" s="94"/>
      <c r="C46" s="94"/>
      <c r="D46" s="94"/>
      <c r="E46" s="94"/>
      <c r="F46" s="94"/>
      <c r="G46" s="94"/>
      <c r="H46" s="94"/>
      <c r="I46" s="94"/>
    </row>
    <row r="47" spans="1:9">
      <c r="A47" s="75" t="s">
        <v>136</v>
      </c>
      <c r="B47" s="77"/>
      <c r="C47" s="77"/>
      <c r="D47" s="77"/>
      <c r="E47" s="113"/>
      <c r="F47" s="94"/>
      <c r="G47" s="94"/>
      <c r="H47" s="94"/>
      <c r="I47" s="114"/>
    </row>
    <row r="48" spans="1:9">
      <c r="A48" s="115" t="s">
        <v>137</v>
      </c>
      <c r="B48" s="116"/>
      <c r="C48" s="116"/>
      <c r="D48" s="116"/>
      <c r="E48" s="116"/>
      <c r="F48" s="116"/>
      <c r="G48" s="116"/>
      <c r="H48" s="116"/>
      <c r="I48" s="117"/>
    </row>
    <row r="49" spans="1:9">
      <c r="A49" s="106" t="s">
        <v>138</v>
      </c>
      <c r="B49" s="107"/>
      <c r="C49" s="107"/>
      <c r="D49" s="107"/>
      <c r="E49" s="107"/>
      <c r="F49" s="107"/>
      <c r="G49" s="107"/>
      <c r="H49" s="107"/>
      <c r="I49" s="108"/>
    </row>
    <row r="50" spans="1:9">
      <c r="A50" s="118" t="s">
        <v>139</v>
      </c>
      <c r="B50" s="107"/>
      <c r="C50" s="107"/>
      <c r="D50" s="107"/>
      <c r="E50" s="107"/>
      <c r="F50" s="107"/>
      <c r="G50" s="107"/>
      <c r="H50" s="107"/>
      <c r="I50" s="108"/>
    </row>
    <row r="51" spans="1:9">
      <c r="A51" s="118" t="s">
        <v>140</v>
      </c>
      <c r="B51" s="107"/>
      <c r="C51" s="107"/>
      <c r="D51" s="107"/>
      <c r="E51" s="107"/>
      <c r="F51" s="107"/>
      <c r="G51" s="107"/>
      <c r="H51" s="107"/>
      <c r="I51" s="108"/>
    </row>
    <row r="52" spans="1:9">
      <c r="A52" s="118" t="s">
        <v>141</v>
      </c>
      <c r="B52" s="107"/>
      <c r="C52" s="107"/>
      <c r="D52" s="107"/>
      <c r="E52" s="107"/>
      <c r="F52" s="107"/>
      <c r="G52" s="107"/>
      <c r="H52" s="107"/>
      <c r="I52" s="108"/>
    </row>
    <row r="53" spans="1:9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zoomScale="115" zoomScaleNormal="115" workbookViewId="0">
      <selection activeCell="M5" sqref="M5"/>
    </sheetView>
  </sheetViews>
  <sheetFormatPr defaultColWidth="10.7109375" defaultRowHeight="15"/>
  <cols>
    <col min="1" max="1" width="24.28515625" style="136" bestFit="1" customWidth="1"/>
    <col min="2" max="2" width="12.42578125" style="136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10.285156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51" t="s">
        <v>142</v>
      </c>
      <c r="B2" s="28"/>
      <c r="C2" s="146"/>
      <c r="G2" s="141" t="s">
        <v>143</v>
      </c>
      <c r="H2" s="246">
        <f>'P&amp;L'!R2</f>
        <v>13</v>
      </c>
      <c r="L2" s="243" t="s">
        <v>144</v>
      </c>
      <c r="M2" s="243" t="s">
        <v>7</v>
      </c>
    </row>
    <row r="3" spans="1:13" ht="15.75" thickBot="1">
      <c r="A3" s="452"/>
      <c r="B3" s="169"/>
      <c r="C3" s="170"/>
      <c r="E3" s="141" t="s">
        <v>145</v>
      </c>
      <c r="F3" s="143"/>
      <c r="G3" s="141" t="s">
        <v>146</v>
      </c>
      <c r="H3" s="246">
        <f>H4/12</f>
        <v>56.333333333333336</v>
      </c>
      <c r="J3" s="229" t="s">
        <v>147</v>
      </c>
      <c r="L3" s="243">
        <v>737</v>
      </c>
      <c r="M3" s="243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676</v>
      </c>
      <c r="J4" s="230">
        <f>H17*H4</f>
        <v>3255928.0361781474</v>
      </c>
      <c r="L4" s="243"/>
      <c r="M4" s="243">
        <v>2</v>
      </c>
    </row>
    <row r="5" spans="1:13" ht="15.75" thickBot="1">
      <c r="A5" s="137" t="s">
        <v>149</v>
      </c>
      <c r="L5" s="243"/>
      <c r="M5" s="243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>
      <c r="A7" s="135" t="s">
        <v>153</v>
      </c>
      <c r="B7" s="135">
        <f>+'FlightConfig '!B17</f>
        <v>0</v>
      </c>
      <c r="C7" s="135">
        <f>('Summary FLT104'!C7+'Summary FLT110'!C7)/2</f>
        <v>32</v>
      </c>
      <c r="D7" s="135">
        <f>('Summary FLT104'!D7+'Summary FLT110'!D7)/2</f>
        <v>46</v>
      </c>
      <c r="E7" s="135">
        <f>('Summary FLT104'!E7+'Summary FLT110'!E7)/2</f>
        <v>191</v>
      </c>
      <c r="F7" s="135">
        <f>('Summary FLT104'!F7+'Summary FLT110'!F7)/2</f>
        <v>0</v>
      </c>
      <c r="G7" s="135">
        <f>('Summary FLT104'!G7+'Summary FLT110'!G7)/2</f>
        <v>6</v>
      </c>
      <c r="H7" s="135">
        <f>('Summary FLT104'!H7+'Summary FLT110'!H7)/2</f>
        <v>275</v>
      </c>
      <c r="L7" s="242"/>
      <c r="M7" s="242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26</v>
      </c>
      <c r="D8" s="135">
        <f t="shared" si="0"/>
        <v>37</v>
      </c>
      <c r="E8" s="135">
        <f t="shared" si="0"/>
        <v>153</v>
      </c>
      <c r="F8" s="135">
        <f t="shared" si="0"/>
        <v>0</v>
      </c>
      <c r="G8" s="135">
        <f t="shared" si="0"/>
        <v>5</v>
      </c>
      <c r="H8" s="135">
        <f>SUM(B8:G8)</f>
        <v>221</v>
      </c>
      <c r="L8" s="242"/>
      <c r="M8" s="242"/>
    </row>
    <row r="9" spans="1:13" ht="15.75" thickBot="1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>('Summary FLT104'!B10+'Summary FLT110'!B10)/2</f>
        <v>0</v>
      </c>
      <c r="C10" s="139">
        <f>('Summary FLT104'!C10+'Summary FLT110'!C10)/2</f>
        <v>0</v>
      </c>
      <c r="D10" s="139">
        <f>('Summary FLT104'!D10+'Summary FLT110'!D10)/2</f>
        <v>0</v>
      </c>
      <c r="E10" s="139">
        <f>('Summary FLT104'!E10+'Summary FLT110'!E10)/2</f>
        <v>0</v>
      </c>
      <c r="F10" s="139">
        <f>('Summary FLT104'!F10+'Summary FLT110'!F10)/2</f>
        <v>0</v>
      </c>
      <c r="G10" s="139">
        <f>('Summary FLT104'!G10+'Summary FLT110'!G10)/2</f>
        <v>0</v>
      </c>
      <c r="H10" s="139">
        <f>('Summary FLT104'!H10+'Summary FLT110'!H10)/2</f>
        <v>0</v>
      </c>
      <c r="J10" s="138">
        <f>H10*$H$4</f>
        <v>0</v>
      </c>
    </row>
    <row r="11" spans="1:13" ht="15.75" thickBot="1">
      <c r="A11" s="135" t="s">
        <v>164</v>
      </c>
      <c r="B11" s="139">
        <f>('Summary FLT104'!B11+'Summary FLT110'!B11)/2</f>
        <v>0</v>
      </c>
      <c r="C11" s="139">
        <f>('Summary FLT104'!C11+'Summary FLT110'!C11)/2</f>
        <v>499.48481447153102</v>
      </c>
      <c r="D11" s="139">
        <f>('Summary FLT104'!D11+'Summary FLT110'!D11)/2</f>
        <v>337.72585617693289</v>
      </c>
      <c r="E11" s="139">
        <f>('Summary FLT104'!E11+'Summary FLT110'!E11)/2</f>
        <v>838.21607828180822</v>
      </c>
      <c r="F11" s="139">
        <f>('Summary FLT104'!F11+'Summary FLT110'!F11)/2</f>
        <v>0</v>
      </c>
      <c r="G11" s="139">
        <f>('Summary FLT104'!G11+'Summary FLT110'!G11)/2</f>
        <v>65.408187783015393</v>
      </c>
      <c r="H11" s="139">
        <f>('Summary FLT104'!H11+'Summary FLT110'!H11)/2</f>
        <v>1740.8349367132873</v>
      </c>
      <c r="I11" s="177">
        <f>I12*45%</f>
        <v>1193.9737352576103</v>
      </c>
      <c r="J11" s="138">
        <f>H11*$H$4</f>
        <v>1176804.4172181822</v>
      </c>
    </row>
    <row r="12" spans="1:13" ht="15.75" thickBot="1">
      <c r="A12" s="135" t="s">
        <v>165</v>
      </c>
      <c r="B12" s="139">
        <f>('Summary FLT104'!B12+'Summary FLT110'!B12)/2</f>
        <v>0</v>
      </c>
      <c r="C12" s="139">
        <f>('Summary FLT104'!C12+'Summary FLT110'!C12)/2</f>
        <v>189.75811764705881</v>
      </c>
      <c r="D12" s="139">
        <f>('Summary FLT104'!D12+'Summary FLT110'!D12)/2</f>
        <v>212.91812500000003</v>
      </c>
      <c r="E12" s="139">
        <f>('Summary FLT104'!E12+'Summary FLT110'!E12)/2</f>
        <v>489.47878787878795</v>
      </c>
      <c r="F12" s="139">
        <f>('Summary FLT104'!F12+'Summary FLT110'!F12)/2</f>
        <v>0</v>
      </c>
      <c r="G12" s="139">
        <f>('Summary FLT104'!G12+'Summary FLT110'!G12)/2</f>
        <v>20.285000000000007</v>
      </c>
      <c r="H12" s="139">
        <f>('Summary FLT104'!H12+'Summary FLT110'!H12)/2</f>
        <v>912.44003052584674</v>
      </c>
      <c r="I12" s="248">
        <f>H11+H12</f>
        <v>2653.2749672391342</v>
      </c>
      <c r="J12" s="138">
        <f t="shared" ref="J12:J17" si="1">H12*$H$4</f>
        <v>616809.46063547244</v>
      </c>
    </row>
    <row r="13" spans="1:13" ht="15.75" thickBot="1">
      <c r="A13" s="135" t="s">
        <v>166</v>
      </c>
      <c r="B13" s="139">
        <f>('Summary FLT104'!B13+'Summary FLT110'!B13)/2</f>
        <v>0</v>
      </c>
      <c r="C13" s="139">
        <f>('Summary FLT104'!C13+'Summary FLT110'!C13)/2</f>
        <v>108.1123861412253</v>
      </c>
      <c r="D13" s="139">
        <f>('Summary FLT104'!D13+'Summary FLT110'!D13)/2</f>
        <v>66.435659291998434</v>
      </c>
      <c r="E13" s="139">
        <f>('Summary FLT104'!E13+'Summary FLT110'!E13)/2</f>
        <v>160.56050174331045</v>
      </c>
      <c r="F13" s="139">
        <f>('Summary FLT104'!F13+'Summary FLT110'!F13)/2</f>
        <v>0</v>
      </c>
      <c r="G13" s="139">
        <f>('Summary FLT104'!G13+'Summary FLT110'!G13)/2</f>
        <v>13.386431458670149</v>
      </c>
      <c r="H13" s="139">
        <f>('Summary FLT104'!H13+'Summary FLT110'!H13)/2</f>
        <v>348.49497863520435</v>
      </c>
      <c r="J13" s="138">
        <f t="shared" si="1"/>
        <v>235582.60555739814</v>
      </c>
    </row>
    <row r="14" spans="1:13" ht="15.75" thickBot="1">
      <c r="A14" s="135" t="s">
        <v>167</v>
      </c>
      <c r="B14" s="139">
        <f>('Summary FLT104'!B14+'Summary FLT110'!B14)/2</f>
        <v>0</v>
      </c>
      <c r="C14" s="139">
        <f>('Summary FLT104'!C14+'Summary FLT110'!C14)/2</f>
        <v>37.951623529411776</v>
      </c>
      <c r="D14" s="139">
        <f>('Summary FLT104'!D14+'Summary FLT110'!D14)/2</f>
        <v>42.583624999999984</v>
      </c>
      <c r="E14" s="139">
        <f>('Summary FLT104'!E14+'Summary FLT110'!E14)/2</f>
        <v>97.895757575757543</v>
      </c>
      <c r="F14" s="139">
        <f>('Summary FLT104'!F14+'Summary FLT110'!F14)/2</f>
        <v>0</v>
      </c>
      <c r="G14" s="139">
        <f>('Summary FLT104'!G14+'Summary FLT110'!G14)/2</f>
        <v>4.0569999999999986</v>
      </c>
      <c r="H14" s="139">
        <f>('Summary FLT104'!H14+'Summary FLT110'!H14)/2</f>
        <v>182.48800610516929</v>
      </c>
      <c r="J14" s="138">
        <f t="shared" si="1"/>
        <v>123361.89212709444</v>
      </c>
      <c r="L14" s="157" t="s">
        <v>168</v>
      </c>
      <c r="M14" s="157"/>
    </row>
    <row r="15" spans="1:13" ht="15.75" thickBot="1">
      <c r="A15" s="135" t="s">
        <v>169</v>
      </c>
      <c r="B15" s="139">
        <f>('Summary FLT104'!B15+'Summary FLT110'!B15)/2</f>
        <v>0</v>
      </c>
      <c r="C15" s="139">
        <f>('Summary FLT104'!C15+'Summary FLT110'!C15)/2</f>
        <v>0</v>
      </c>
      <c r="D15" s="139">
        <f>('Summary FLT104'!D15+'Summary FLT110'!D15)/2</f>
        <v>0</v>
      </c>
      <c r="E15" s="139">
        <f>('Summary FLT104'!E15+'Summary FLT110'!E15)/2</f>
        <v>1444.4280000000001</v>
      </c>
      <c r="F15" s="139">
        <f>('Summary FLT104'!F15+'Summary FLT110'!F15)/2</f>
        <v>0</v>
      </c>
      <c r="G15" s="139">
        <f>('Summary FLT104'!G15+'Summary FLT110'!G15)/2</f>
        <v>0</v>
      </c>
      <c r="H15" s="139">
        <f>('Summary FLT104'!H15+'Summary FLT110'!H15)/2</f>
        <v>1444.4280000000001</v>
      </c>
      <c r="I15" s="177"/>
      <c r="J15" s="138">
        <f t="shared" si="1"/>
        <v>976433.3280000001</v>
      </c>
      <c r="L15" s="236">
        <f>J12+J15</f>
        <v>1593242.7886354725</v>
      </c>
      <c r="M15" s="238">
        <v>1</v>
      </c>
    </row>
    <row r="16" spans="1:13" ht="15.75" thickBot="1">
      <c r="A16" s="135" t="s">
        <v>170</v>
      </c>
      <c r="B16" s="139">
        <f>('Summary FLT104'!B16+'Summary FLT110'!B16)/2</f>
        <v>0</v>
      </c>
      <c r="C16" s="139">
        <f>('Summary FLT104'!C16+'Summary FLT110'!C16)/2</f>
        <v>0</v>
      </c>
      <c r="D16" s="139">
        <f>('Summary FLT104'!D16+'Summary FLT110'!D16)/2</f>
        <v>0</v>
      </c>
      <c r="E16" s="139">
        <f>('Summary FLT104'!E16+'Summary FLT110'!E16)/2</f>
        <v>187.77564000000001</v>
      </c>
      <c r="F16" s="139">
        <f>('Summary FLT104'!F16+'Summary FLT110'!F16)/2</f>
        <v>0</v>
      </c>
      <c r="G16" s="139">
        <f>('Summary FLT104'!G16+'Summary FLT110'!G16)/2</f>
        <v>0</v>
      </c>
      <c r="H16" s="139">
        <f>('Summary FLT104'!H16+'Summary FLT110'!H16)/2</f>
        <v>187.77564000000001</v>
      </c>
      <c r="I16" s="155"/>
      <c r="J16" s="138">
        <f t="shared" si="1"/>
        <v>126936.33264000001</v>
      </c>
      <c r="L16" s="236">
        <f>L15*M16</f>
        <v>1322391.5145674422</v>
      </c>
      <c r="M16" s="238">
        <v>0.83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835.30694178922693</v>
      </c>
      <c r="D17" s="159">
        <f>SUM(D10:D16)</f>
        <v>659.66326546893129</v>
      </c>
      <c r="E17" s="159">
        <f>SUM(E10:E16)</f>
        <v>3218.3547654796639</v>
      </c>
      <c r="F17" s="159">
        <f>SUM(F10:F16)</f>
        <v>0</v>
      </c>
      <c r="G17" s="159">
        <f>SUM(G10:G16)</f>
        <v>103.13661924168555</v>
      </c>
      <c r="H17" s="159">
        <f>SUM(H10:H16)</f>
        <v>4816.4615919795078</v>
      </c>
      <c r="J17" s="228">
        <f t="shared" si="1"/>
        <v>3255928.0361781474</v>
      </c>
      <c r="L17" s="236">
        <f>L15*M17</f>
        <v>270851.27406803035</v>
      </c>
      <c r="M17" s="238">
        <v>0.17</v>
      </c>
    </row>
    <row r="18" spans="1:13" ht="15.75" thickBot="1">
      <c r="A18" s="216"/>
      <c r="B18" s="217">
        <f>B17</f>
        <v>0</v>
      </c>
      <c r="C18" s="217">
        <f>C17</f>
        <v>835.30694178922693</v>
      </c>
      <c r="D18" s="217">
        <f>D17</f>
        <v>659.66326546893129</v>
      </c>
      <c r="E18" s="217">
        <f>E17-E15-E16</f>
        <v>1586.1511254796637</v>
      </c>
      <c r="F18" s="217">
        <f>F17</f>
        <v>0</v>
      </c>
      <c r="G18" s="217">
        <f>G17</f>
        <v>103.13661924168555</v>
      </c>
      <c r="H18" s="217"/>
      <c r="I18" s="217">
        <f>E15+E16</f>
        <v>1632.2036400000002</v>
      </c>
      <c r="J18" s="217"/>
      <c r="L18" s="235"/>
    </row>
    <row r="19" spans="1:13" ht="15.75" thickBot="1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187.77564000000001</v>
      </c>
      <c r="J19" s="248">
        <f>H11+H12+H15</f>
        <v>4097.7029672391345</v>
      </c>
    </row>
    <row r="20" spans="1:13" ht="15.75" thickBot="1">
      <c r="A20" s="218" t="s">
        <v>176</v>
      </c>
      <c r="B20" s="139"/>
      <c r="C20" s="139"/>
      <c r="D20" s="219">
        <f>Handling!C84+Handling!S39+Handling!S45+Handling!V53+Handling!AD39</f>
        <v>1575.559</v>
      </c>
      <c r="G20" s="177"/>
      <c r="J20" s="248">
        <f>H13+H14+H16</f>
        <v>718.75862474037376</v>
      </c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32.127190068816418</v>
      </c>
      <c r="D24" s="139">
        <f>IFERROR(((D10+D11+D12+D13+D14)/D8),0)</f>
        <v>17.828736904565709</v>
      </c>
      <c r="E24" s="139">
        <f>IFERROR(((E10+E11+E12+E13+E14)/E8),0)</f>
        <v>10.367000820128522</v>
      </c>
      <c r="F24" s="139">
        <f>IFERROR(((F10+F11+F12+F13+F14)/F8),0)</f>
        <v>0</v>
      </c>
      <c r="G24" s="139">
        <f>IFERROR(((G10+G11+G12+G13+G14)/G8),0)</f>
        <v>20.62732384833711</v>
      </c>
    </row>
    <row r="25" spans="1:13" ht="15.75" thickBot="1">
      <c r="A25" s="135" t="s">
        <v>180</v>
      </c>
      <c r="B25" s="139">
        <f t="shared" ref="B25:G25" si="2">IFERROR(((B13+B14)/B8),0)</f>
        <v>0</v>
      </c>
      <c r="C25" s="139">
        <f t="shared" si="2"/>
        <v>5.6178465257937331</v>
      </c>
      <c r="D25" s="139">
        <f t="shared" si="2"/>
        <v>2.9464671430269842</v>
      </c>
      <c r="E25" s="139">
        <f t="shared" si="2"/>
        <v>1.6892565968566537</v>
      </c>
      <c r="F25" s="139">
        <f t="shared" si="2"/>
        <v>0</v>
      </c>
      <c r="G25" s="139">
        <f t="shared" si="2"/>
        <v>3.4886862917340293</v>
      </c>
      <c r="J25" s="248">
        <f>J11+J12+J15</f>
        <v>2770047.205853655</v>
      </c>
    </row>
    <row r="26" spans="1:13" ht="15.75" thickBot="1">
      <c r="A26" s="135" t="s">
        <v>181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  <c r="J26" s="248">
        <f>J13+J14+J16</f>
        <v>485880.83032449265</v>
      </c>
    </row>
    <row r="27" spans="1:13" s="232" customFormat="1">
      <c r="A27" s="233"/>
      <c r="B27" s="234"/>
      <c r="C27" s="234"/>
      <c r="D27" s="234"/>
      <c r="E27" s="234"/>
      <c r="F27" s="234"/>
      <c r="G27" s="234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2</v>
      </c>
      <c r="C29" s="158"/>
    </row>
    <row r="30" spans="1:13" ht="15.75" thickBot="1">
      <c r="A30" s="135" t="s">
        <v>163</v>
      </c>
      <c r="B30" s="139">
        <f t="shared" ref="B30:G30" si="4">B37*B8</f>
        <v>0</v>
      </c>
      <c r="C30" s="139">
        <f t="shared" si="4"/>
        <v>0</v>
      </c>
      <c r="D30" s="139">
        <f t="shared" si="4"/>
        <v>0</v>
      </c>
      <c r="E30" s="139">
        <f t="shared" si="4"/>
        <v>0</v>
      </c>
      <c r="F30" s="139">
        <f t="shared" si="4"/>
        <v>0</v>
      </c>
      <c r="G30" s="139">
        <f t="shared" si="4"/>
        <v>0</v>
      </c>
    </row>
    <row r="31" spans="1:13" ht="15.75" thickBot="1">
      <c r="A31" s="135" t="s">
        <v>164</v>
      </c>
      <c r="B31" s="139">
        <f>('Summary FLT104'!B31+'Summary FLT110'!B31)/2</f>
        <v>0</v>
      </c>
      <c r="C31" s="139">
        <f>('Summary FLT104'!C31+'Summary FLT110'!C31)/2</f>
        <v>615.30738014608892</v>
      </c>
      <c r="D31" s="139">
        <f>('Summary FLT104'!D31+'Summary FLT110'!D31)/2</f>
        <v>414.21429050271905</v>
      </c>
      <c r="E31" s="139">
        <f>('Summary FLT104'!E31+'Summary FLT110'!E31)/2</f>
        <v>1042.9606613375286</v>
      </c>
      <c r="F31" s="139">
        <f>('Summary FLT104'!F31+'Summary FLT110'!F31)/2</f>
        <v>0</v>
      </c>
      <c r="G31" s="139">
        <f>('Summary FLT104'!G31+'Summary FLT110'!G31)/2</f>
        <v>78.489825339618463</v>
      </c>
    </row>
    <row r="32" spans="1:13" ht="15.75" thickBot="1">
      <c r="A32" s="135" t="s">
        <v>165</v>
      </c>
      <c r="B32" s="139">
        <f>('Summary FLT104'!B32+'Summary FLT110'!B32)/2</f>
        <v>0</v>
      </c>
      <c r="C32" s="139">
        <f>('Summary FLT104'!C32+'Summary FLT110'!C32)/2</f>
        <v>233.76</v>
      </c>
      <c r="D32" s="139">
        <f>('Summary FLT104'!D32+'Summary FLT110'!D32)/2</f>
        <v>261.14000000000004</v>
      </c>
      <c r="E32" s="139">
        <f>('Summary FLT104'!E32+'Summary FLT110'!E32)/2</f>
        <v>609.04000000000008</v>
      </c>
      <c r="F32" s="139">
        <f>('Summary FLT104'!F32+'Summary FLT110'!F32)/2</f>
        <v>0</v>
      </c>
      <c r="G32" s="139">
        <f>('Summary FLT104'!G32+'Summary FLT110'!G32)/2</f>
        <v>24.342000000000006</v>
      </c>
    </row>
    <row r="33" spans="1:7" ht="15.75" thickBot="1">
      <c r="A33" s="135" t="s">
        <v>185</v>
      </c>
      <c r="B33" s="139">
        <f>('Summary FLT104'!B33+'Summary FLT110'!B33)/2</f>
        <v>0</v>
      </c>
      <c r="C33" s="139">
        <f>('Summary FLT104'!C33+'Summary FLT110'!C33)/2</f>
        <v>133.1819249565819</v>
      </c>
      <c r="D33" s="139">
        <f>('Summary FLT104'!D33+'Summary FLT110'!D33)/2</f>
        <v>81.482062964402274</v>
      </c>
      <c r="E33" s="139">
        <f>('Summary FLT104'!E33+'Summary FLT110'!E33)/2</f>
        <v>199.77937839864364</v>
      </c>
      <c r="F33" s="139">
        <f>('Summary FLT104'!F33+'Summary FLT110'!F33)/2</f>
        <v>0</v>
      </c>
      <c r="G33" s="139">
        <f>('Summary FLT104'!G33+'Summary FLT110'!G33)/2</f>
        <v>16.06371775040418</v>
      </c>
    </row>
    <row r="34" spans="1:7" ht="15.75" thickBot="1">
      <c r="A34" s="135" t="s">
        <v>186</v>
      </c>
      <c r="B34" s="139">
        <f>('Summary FLT104'!B34+'Summary FLT110'!B34)/2</f>
        <v>0</v>
      </c>
      <c r="C34" s="139">
        <f>('Summary FLT104'!C34+'Summary FLT110'!C34)/2</f>
        <v>46.752000000000017</v>
      </c>
      <c r="D34" s="139">
        <f>('Summary FLT104'!D34+'Summary FLT110'!D34)/2</f>
        <v>52.227999999999987</v>
      </c>
      <c r="E34" s="139">
        <f>('Summary FLT104'!E34+'Summary FLT110'!E34)/2</f>
        <v>121.80799999999996</v>
      </c>
      <c r="F34" s="139">
        <f>('Summary FLT104'!F34+'Summary FLT110'!F34)/2</f>
        <v>0</v>
      </c>
      <c r="G34" s="139">
        <f>('Summary FLT104'!G34+'Summary FLT110'!G34)/2</f>
        <v>4.8683999999999985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5">IFERROR(B31/B7," ")</f>
        <v xml:space="preserve"> </v>
      </c>
      <c r="C38" s="139">
        <f t="shared" si="5"/>
        <v>19.228355629565279</v>
      </c>
      <c r="D38" s="139">
        <f t="shared" si="5"/>
        <v>9.0046584891895449</v>
      </c>
      <c r="E38" s="139">
        <f t="shared" si="5"/>
        <v>5.4605270227095737</v>
      </c>
      <c r="F38" s="139" t="str">
        <f t="shared" si="5"/>
        <v xml:space="preserve"> </v>
      </c>
      <c r="G38" s="139">
        <f t="shared" si="5"/>
        <v>13.081637556603077</v>
      </c>
    </row>
    <row r="39" spans="1:7" ht="15.75" thickBot="1">
      <c r="A39" s="135" t="s">
        <v>165</v>
      </c>
      <c r="B39" s="139" t="str">
        <f>IFERROR(B32/B7," ")</f>
        <v xml:space="preserve"> </v>
      </c>
      <c r="C39" s="139">
        <f t="shared" ref="C39:G39" si="6">IFERROR(C32/C7," ")</f>
        <v>7.3049999999999997</v>
      </c>
      <c r="D39" s="139">
        <f t="shared" si="6"/>
        <v>5.6769565217391316</v>
      </c>
      <c r="E39" s="139">
        <f t="shared" si="6"/>
        <v>3.1886910994764404</v>
      </c>
      <c r="F39" s="139" t="str">
        <f t="shared" si="6"/>
        <v xml:space="preserve"> </v>
      </c>
      <c r="G39" s="139">
        <f t="shared" si="6"/>
        <v>4.0570000000000013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4.1619351548931842</v>
      </c>
      <c r="D40" s="139">
        <f>IFERROR(D33/D7," ")</f>
        <v>1.7713491948783102</v>
      </c>
      <c r="E40" s="139">
        <f>IFERROR(E33/E7," ")</f>
        <v>1.0459653319300715</v>
      </c>
      <c r="F40" s="139" t="str">
        <f>IFERROR(F33/F7," ")</f>
        <v xml:space="preserve"> </v>
      </c>
      <c r="G40" s="139">
        <f>IFERROR(G33/G7," ")</f>
        <v>2.6772862917340299</v>
      </c>
    </row>
    <row r="41" spans="1:7" ht="15.75" thickBot="1">
      <c r="A41" s="135" t="s">
        <v>186</v>
      </c>
      <c r="B41" s="139" t="str">
        <f t="shared" ref="B41:G41" si="7">IFERROR(B34/B7," ")</f>
        <v xml:space="preserve"> </v>
      </c>
      <c r="C41" s="139">
        <f t="shared" si="7"/>
        <v>1.4610000000000005</v>
      </c>
      <c r="D41" s="139">
        <f t="shared" si="7"/>
        <v>1.1353913043478259</v>
      </c>
      <c r="E41" s="139">
        <f t="shared" si="7"/>
        <v>0.63773821989528778</v>
      </c>
      <c r="F41" s="139" t="str">
        <f t="shared" si="7"/>
        <v xml:space="preserve"> </v>
      </c>
      <c r="G41" s="139">
        <f t="shared" si="7"/>
        <v>0.81139999999999979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51" t="s">
        <v>142</v>
      </c>
      <c r="B2" s="28"/>
      <c r="C2" s="146"/>
      <c r="G2" s="141" t="s">
        <v>143</v>
      </c>
      <c r="H2" s="246">
        <f>'Summary  735'!H2+'Summary 2221'!H2+'Summary 2439'!H2+'Summary 2682'!H2+'Summary 2855'!H2</f>
        <v>0</v>
      </c>
      <c r="L2" s="243" t="s">
        <v>144</v>
      </c>
      <c r="M2" s="243" t="s">
        <v>7</v>
      </c>
    </row>
    <row r="3" spans="1:13" ht="15.75" thickBot="1">
      <c r="A3" s="452"/>
      <c r="B3" s="169"/>
      <c r="C3" s="170"/>
      <c r="E3" s="141" t="s">
        <v>145</v>
      </c>
      <c r="F3" s="143">
        <v>737</v>
      </c>
      <c r="G3" s="141" t="s">
        <v>146</v>
      </c>
      <c r="H3" s="246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 t="e">
        <f>H17*H4</f>
        <v>#REF!</v>
      </c>
      <c r="L4" s="243"/>
      <c r="M4" s="243"/>
    </row>
    <row r="5" spans="1:13" ht="15.75" thickBot="1">
      <c r="A5" s="137" t="s">
        <v>149</v>
      </c>
      <c r="L5" s="243"/>
      <c r="M5" s="243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>B37*B8</f>
        <v>0</v>
      </c>
      <c r="C10" s="139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39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39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39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39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38" t="e">
        <f t="shared" ref="H10:H16" si="1">SUM(B10:G10)</f>
        <v>#REF!</v>
      </c>
      <c r="J10" s="138" t="e">
        <f>H10*$H$4</f>
        <v>#REF!</v>
      </c>
    </row>
    <row r="11" spans="1:13" ht="15.75" thickBot="1">
      <c r="A11" s="135" t="s">
        <v>164</v>
      </c>
      <c r="B11" s="139">
        <f>('Summary  735'!B11+'Summary 2221'!B11+'Summary 2439'!B11+'Summary 2682'!B11+'Summary 2855'!B11)/5</f>
        <v>0</v>
      </c>
      <c r="C11" s="139">
        <f>('Summary  735'!C11+'Summary 2221'!C11+'Summary 2439'!C11+'Summary 2682'!C11+'Summary 2855'!C11)/5</f>
        <v>0</v>
      </c>
      <c r="D11" s="139">
        <f>('Summary  735'!D11+'Summary 2221'!D11+'Summary 2439'!D11+'Summary 2682'!D11+'Summary 2855'!D11)/5</f>
        <v>0</v>
      </c>
      <c r="E11" s="139">
        <f>('Summary  735'!E11+'Summary 2221'!E11+'Summary 2439'!E11+'Summary 2682'!E11+'Summary 2855'!E11)/5</f>
        <v>0</v>
      </c>
      <c r="F11" s="139">
        <f>('Summary  735'!F11+'Summary 2221'!F11+'Summary 2439'!F11+'Summary 2682'!F11+'Summary 2855'!F11)/5</f>
        <v>0</v>
      </c>
      <c r="G11" s="139">
        <f>('Summary  735'!G11+'Summary 2221'!G11+'Summary 2439'!G11+'Summary 2682'!G11+'Summary 2855'!G11)/5</f>
        <v>0</v>
      </c>
      <c r="H11" s="138">
        <f t="shared" si="1"/>
        <v>0</v>
      </c>
      <c r="I11" s="177" t="e">
        <f>I12*45%</f>
        <v>#REF!</v>
      </c>
      <c r="J11" s="138">
        <f>H11*$H$4</f>
        <v>0</v>
      </c>
    </row>
    <row r="12" spans="1:13" ht="15.75" thickBot="1">
      <c r="A12" s="135" t="s">
        <v>165</v>
      </c>
      <c r="B12" s="139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39">
        <f>('Summary  735'!C12+'Summary 2221'!C12+'Summary 2439'!C12+'Summary 2682'!C12+'Summary 2855'!C12)/5</f>
        <v>0</v>
      </c>
      <c r="D12" s="139">
        <f>('Summary  735'!D12+'Summary 2221'!D12+'Summary 2439'!D12+'Summary 2682'!D12+'Summary 2855'!D12)/5</f>
        <v>0</v>
      </c>
      <c r="E12" s="139">
        <f>('Summary  735'!E12+'Summary 2221'!E12+'Summary 2439'!E12+'Summary 2682'!E12+'Summary 2855'!E12)/5</f>
        <v>0</v>
      </c>
      <c r="F12" s="139">
        <f>('Summary  735'!F12+'Summary 2221'!F12+'Summary 2439'!F12+'Summary 2682'!F12+'Summary 2855'!F12)/5</f>
        <v>0</v>
      </c>
      <c r="G12" s="139">
        <f>('Summary  735'!G12+'Summary 2221'!G12+'Summary 2439'!G12+'Summary 2682'!G12+'Summary 2855'!G12)/5</f>
        <v>0</v>
      </c>
      <c r="H12" s="138" t="e">
        <f t="shared" si="1"/>
        <v>#REF!</v>
      </c>
      <c r="I12" s="248" t="e">
        <f>H11+H12</f>
        <v>#REF!</v>
      </c>
      <c r="J12" s="138" t="e">
        <f t="shared" ref="J12:J17" si="2">H12*$H$4</f>
        <v>#REF!</v>
      </c>
    </row>
    <row r="13" spans="1:13" ht="15.75" thickBot="1">
      <c r="A13" s="135" t="s">
        <v>166</v>
      </c>
      <c r="B13" s="139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39">
        <f>('Summary  735'!C13+'Summary 2221'!C13+'Summary 2439'!C13+'Summary 2682'!C13+'Summary 2855'!C13)/5</f>
        <v>0</v>
      </c>
      <c r="D13" s="139">
        <f>('Summary  735'!D13+'Summary 2221'!D13+'Summary 2439'!D13+'Summary 2682'!D13+'Summary 2855'!D13)/5</f>
        <v>0</v>
      </c>
      <c r="E13" s="139">
        <f>('Summary  735'!E13+'Summary 2221'!E13+'Summary 2439'!E13+'Summary 2682'!E13+'Summary 2855'!E13)/5</f>
        <v>0</v>
      </c>
      <c r="F13" s="139">
        <f>('Summary  735'!F13+'Summary 2221'!F13+'Summary 2439'!F13+'Summary 2682'!F13+'Summary 2855'!F13)/5</f>
        <v>0</v>
      </c>
      <c r="G13" s="139">
        <f>('Summary  735'!G13+'Summary 2221'!G13+'Summary 2439'!G13+'Summary 2682'!G13+'Summary 2855'!G13)/5</f>
        <v>0</v>
      </c>
      <c r="H13" s="138" t="e">
        <f t="shared" si="1"/>
        <v>#VALUE!</v>
      </c>
      <c r="J13" s="138" t="e">
        <f t="shared" si="2"/>
        <v>#VALUE!</v>
      </c>
    </row>
    <row r="14" spans="1:13" ht="15.75" thickBot="1">
      <c r="A14" s="135" t="s">
        <v>167</v>
      </c>
      <c r="B14" s="139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39">
        <f>('Summary  735'!C14+'Summary 2221'!C14+'Summary 2439'!C14+'Summary 2682'!C14+'Summary 2855'!C14)/5</f>
        <v>0</v>
      </c>
      <c r="D14" s="139">
        <f>('Summary  735'!D14+'Summary 2221'!D14+'Summary 2439'!D14+'Summary 2682'!D14+'Summary 2855'!D14)/5</f>
        <v>0</v>
      </c>
      <c r="E14" s="139">
        <f>('Summary  735'!E14+'Summary 2221'!E14+'Summary 2439'!E14+'Summary 2682'!E14+'Summary 2855'!E14)/5</f>
        <v>0</v>
      </c>
      <c r="F14" s="139">
        <f>('Summary  735'!F14+'Summary 2221'!F14+'Summary 2439'!F14+'Summary 2682'!F14+'Summary 2855'!F14)/5</f>
        <v>0</v>
      </c>
      <c r="G14" s="139">
        <f>('Summary  735'!G14+'Summary 2221'!G14+'Summary 2439'!G14+'Summary 2682'!G14+'Summary 2855'!G14)/5</f>
        <v>0</v>
      </c>
      <c r="H14" s="138" t="e">
        <f t="shared" si="1"/>
        <v>#VALUE!</v>
      </c>
      <c r="J14" s="138" t="e">
        <f t="shared" si="2"/>
        <v>#VALUE!</v>
      </c>
      <c r="L14" s="157" t="s">
        <v>168</v>
      </c>
      <c r="M14" s="157"/>
    </row>
    <row r="15" spans="1:13" ht="15.75" thickBot="1">
      <c r="A15" s="135" t="s">
        <v>169</v>
      </c>
      <c r="B15" s="139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39">
        <f>('Summary  735'!C15+'Summary 2221'!C15+'Summary 2439'!C15+'Summary 2682'!C15+'Summary 2855'!C15)/5</f>
        <v>0</v>
      </c>
      <c r="D15" s="139">
        <f>('Summary  735'!D15+'Summary 2221'!D15+'Summary 2439'!D15+'Summary 2682'!D15+'Summary 2855'!D15)/5</f>
        <v>0</v>
      </c>
      <c r="E15" s="139">
        <f>('Summary  735'!E15+'Summary 2221'!E15+'Summary 2439'!E15+'Summary 2682'!E15+'Summary 2855'!E15)/5</f>
        <v>0</v>
      </c>
      <c r="F15" s="139">
        <f>('Summary  735'!F15+'Summary 2221'!F15+'Summary 2439'!F15+'Summary 2682'!F15+'Summary 2855'!F15)/5</f>
        <v>0</v>
      </c>
      <c r="G15" s="139">
        <f>('Summary  735'!G15+'Summary 2221'!G15+'Summary 2439'!G15+'Summary 2682'!G15+'Summary 2855'!G15)/5</f>
        <v>0</v>
      </c>
      <c r="H15" s="138" t="e">
        <f t="shared" si="1"/>
        <v>#REF!</v>
      </c>
      <c r="I15" s="177"/>
      <c r="J15" s="138" t="e">
        <f t="shared" si="2"/>
        <v>#REF!</v>
      </c>
      <c r="L15" s="236" t="e">
        <f>J12+J15</f>
        <v>#REF!</v>
      </c>
      <c r="M15" s="238">
        <v>1</v>
      </c>
    </row>
    <row r="16" spans="1:13" ht="15.75" thickBot="1">
      <c r="A16" s="135" t="s">
        <v>170</v>
      </c>
      <c r="B16" s="139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39">
        <f>('Summary  735'!C16+'Summary 2221'!C16+'Summary 2439'!C16+'Summary 2682'!C16+'Summary 2855'!C16)/5</f>
        <v>0</v>
      </c>
      <c r="D16" s="139">
        <f>('Summary  735'!D16+'Summary 2221'!D16+'Summary 2439'!D16+'Summary 2682'!D16+'Summary 2855'!D16)/5</f>
        <v>0</v>
      </c>
      <c r="E16" s="139">
        <f>('Summary  735'!E16+'Summary 2221'!E16+'Summary 2439'!E16+'Summary 2682'!E16+'Summary 2855'!E16)/5</f>
        <v>0</v>
      </c>
      <c r="F16" s="139">
        <f>('Summary  735'!F16+'Summary 2221'!F16+'Summary 2439'!F16+'Summary 2682'!F16+'Summary 2855'!F16)/5</f>
        <v>0</v>
      </c>
      <c r="G16" s="139">
        <f>('Summary  735'!G16+'Summary 2221'!G16+'Summary 2439'!G16+'Summary 2682'!G16+'Summary 2855'!G16)/5</f>
        <v>0</v>
      </c>
      <c r="H16" s="138" t="e">
        <f t="shared" si="1"/>
        <v>#REF!</v>
      </c>
      <c r="I16" s="155"/>
      <c r="J16" s="138" t="e">
        <f t="shared" si="2"/>
        <v>#REF!</v>
      </c>
      <c r="L16" s="237" t="e">
        <f>L15*M16</f>
        <v>#REF!</v>
      </c>
      <c r="M16" s="238">
        <v>0.8</v>
      </c>
    </row>
    <row r="17" spans="1:13" ht="15.75" thickBot="1">
      <c r="A17" s="158" t="s">
        <v>171</v>
      </c>
      <c r="B17" s="159" t="e">
        <f>SUM(B11:B16)</f>
        <v>#REF!</v>
      </c>
      <c r="C17" s="159">
        <f>SUM(C11:C16)</f>
        <v>0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8" t="e">
        <f t="shared" si="2"/>
        <v>#REF!</v>
      </c>
      <c r="L17" s="237" t="e">
        <f>L15*M17</f>
        <v>#REF!</v>
      </c>
      <c r="M17" s="238">
        <v>0.2</v>
      </c>
    </row>
    <row r="18" spans="1:13" ht="15.75" thickBot="1">
      <c r="A18" s="216"/>
      <c r="B18" s="217" t="e">
        <f>B17</f>
        <v>#REF!</v>
      </c>
      <c r="C18" s="217">
        <f>C17</f>
        <v>0</v>
      </c>
      <c r="D18" s="217" t="e">
        <f>D17</f>
        <v>#REF!</v>
      </c>
      <c r="E18" s="217" t="e">
        <f>E17-E15-E16</f>
        <v>#REF!</v>
      </c>
      <c r="F18" s="217" t="e">
        <f>F17</f>
        <v>#REF!</v>
      </c>
      <c r="G18" s="217" t="e">
        <f>G17</f>
        <v>#REF!</v>
      </c>
      <c r="H18" s="217"/>
      <c r="I18" s="217">
        <f>E15+E16</f>
        <v>0</v>
      </c>
      <c r="J18" s="217"/>
      <c r="L18" s="235"/>
    </row>
    <row r="19" spans="1:13" ht="15.75" thickBot="1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8" t="s">
        <v>176</v>
      </c>
      <c r="B20" s="139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3">IFERROR(((B13+B14)/B8),0)</f>
        <v>0</v>
      </c>
      <c r="C25" s="139">
        <f t="shared" si="3"/>
        <v>0</v>
      </c>
      <c r="D25" s="139">
        <f t="shared" si="3"/>
        <v>0</v>
      </c>
      <c r="E25" s="139">
        <f t="shared" si="3"/>
        <v>0</v>
      </c>
      <c r="F25" s="139">
        <f t="shared" si="3"/>
        <v>0</v>
      </c>
      <c r="G25" s="139">
        <f t="shared" si="3"/>
        <v>0</v>
      </c>
    </row>
    <row r="26" spans="1:13" ht="15.75" thickBot="1">
      <c r="A26" s="135" t="s">
        <v>181</v>
      </c>
      <c r="B26" s="139">
        <f t="shared" ref="B26:G26" si="4">IFERROR((B10/B8),0)</f>
        <v>0</v>
      </c>
      <c r="C26" s="139">
        <f t="shared" si="4"/>
        <v>0</v>
      </c>
      <c r="D26" s="139">
        <f t="shared" si="4"/>
        <v>0</v>
      </c>
      <c r="E26" s="139">
        <f t="shared" si="4"/>
        <v>0</v>
      </c>
      <c r="F26" s="139">
        <f t="shared" si="4"/>
        <v>0</v>
      </c>
      <c r="G26" s="139">
        <f t="shared" si="4"/>
        <v>0</v>
      </c>
    </row>
    <row r="27" spans="1:13" s="232" customFormat="1">
      <c r="A27" s="233"/>
      <c r="B27" s="234"/>
      <c r="C27" s="234"/>
      <c r="D27" s="234"/>
      <c r="E27" s="234"/>
      <c r="F27" s="234"/>
      <c r="G27" s="234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2</v>
      </c>
      <c r="C29" s="158"/>
    </row>
    <row r="30" spans="1:13" ht="15.75" thickBot="1">
      <c r="A30" s="135" t="s">
        <v>163</v>
      </c>
      <c r="B30" s="139">
        <f t="shared" ref="B30:G30" si="5">B37*B8</f>
        <v>0</v>
      </c>
      <c r="C30" s="139">
        <f t="shared" si="5"/>
        <v>0</v>
      </c>
      <c r="D30" s="139">
        <f t="shared" si="5"/>
        <v>0</v>
      </c>
      <c r="E30" s="139">
        <f t="shared" si="5"/>
        <v>0</v>
      </c>
      <c r="F30" s="139">
        <f t="shared" si="5"/>
        <v>0</v>
      </c>
      <c r="G30" s="139">
        <f t="shared" si="5"/>
        <v>0</v>
      </c>
    </row>
    <row r="31" spans="1:13" ht="15.75" thickBot="1">
      <c r="A31" s="135" t="s">
        <v>164</v>
      </c>
      <c r="B31" s="139">
        <f>('Summary  735'!B31+'Summary 2221'!B31+'Summary 2439'!B31+'Summary 2682'!B31+'Summary 2855'!B31)/5</f>
        <v>0</v>
      </c>
      <c r="C31" s="139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39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39">
        <f>('Summary  735'!E31+'Summary 2221'!E31+'Summary 2439'!E31+'Summary 2682'!E31+'Summary 2855'!E31)/5</f>
        <v>0</v>
      </c>
      <c r="F31" s="139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39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.75" thickBot="1">
      <c r="A32" s="135" t="s">
        <v>165</v>
      </c>
      <c r="B32" s="139">
        <f>('Summary  735'!B32+'Summary 2221'!B32+'Summary 2439'!B32+'Summary 2682'!B32+'Summary 2855'!B32)/5</f>
        <v>0</v>
      </c>
      <c r="C32" s="139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39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39">
        <f>('Summary  735'!E32+'Summary 2221'!E32+'Summary 2439'!E32+'Summary 2682'!E32+'Summary 2855'!E32)/5</f>
        <v>0</v>
      </c>
      <c r="F32" s="139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39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.75" thickBot="1">
      <c r="A33" s="135" t="s">
        <v>185</v>
      </c>
      <c r="B33" s="139">
        <f>('Summary  735'!B33+'Summary 2221'!B33+'Summary 2439'!B33+'Summary 2682'!B33+'Summary 2855'!B33)/5</f>
        <v>0</v>
      </c>
      <c r="C33" s="139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39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39">
        <f>('Summary  735'!E33+'Summary 2221'!E33+'Summary 2439'!E33+'Summary 2682'!E33+'Summary 2855'!E33)/5</f>
        <v>0</v>
      </c>
      <c r="F33" s="139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39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.75" thickBot="1">
      <c r="A34" s="135" t="s">
        <v>186</v>
      </c>
      <c r="B34" s="139">
        <f>('Summary  735'!B34+'Summary 2221'!B34+'Summary 2439'!B34+'Summary 2682'!B34+'Summary 2855'!B34)/5</f>
        <v>0</v>
      </c>
      <c r="C34" s="139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39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39">
        <f>('Summary  735'!E34+'Summary 2221'!E34+'Summary 2439'!E34+'Summary 2682'!E34+'Summary 2855'!E34)/5</f>
        <v>0</v>
      </c>
      <c r="F34" s="139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39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6">IFERROR(B31/B7," ")</f>
        <v xml:space="preserve"> </v>
      </c>
      <c r="C38" s="139" t="str">
        <f t="shared" si="6"/>
        <v xml:space="preserve"> </v>
      </c>
      <c r="D38" s="139" t="str">
        <f t="shared" si="6"/>
        <v xml:space="preserve"> </v>
      </c>
      <c r="E38" s="139">
        <f t="shared" si="6"/>
        <v>0</v>
      </c>
      <c r="F38" s="139" t="str">
        <f t="shared" si="6"/>
        <v xml:space="preserve"> </v>
      </c>
      <c r="G38" s="139" t="str">
        <f t="shared" si="6"/>
        <v xml:space="preserve"> </v>
      </c>
    </row>
    <row r="39" spans="1:7" ht="15.75" thickBot="1">
      <c r="A39" s="135" t="s">
        <v>165</v>
      </c>
      <c r="B39" s="139" t="str">
        <f t="shared" ref="B39:G39" si="7">IFERROR(B32/B7," ")</f>
        <v xml:space="preserve"> </v>
      </c>
      <c r="C39" s="139" t="str">
        <f t="shared" si="7"/>
        <v xml:space="preserve"> </v>
      </c>
      <c r="D39" s="139" t="str">
        <f t="shared" si="7"/>
        <v xml:space="preserve"> </v>
      </c>
      <c r="E39" s="139">
        <f t="shared" si="7"/>
        <v>0</v>
      </c>
      <c r="F39" s="139" t="str">
        <f t="shared" si="7"/>
        <v xml:space="preserve"> </v>
      </c>
      <c r="G39" s="139" t="str">
        <f t="shared" si="7"/>
        <v xml:space="preserve"> 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>
        <f>IFERROR(E33/E7," ")</f>
        <v>0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>
      <c r="A41" s="135" t="s">
        <v>186</v>
      </c>
      <c r="B41" s="139" t="str">
        <f t="shared" ref="B41:G41" si="8">IFERROR(B34/B7," ")</f>
        <v xml:space="preserve"> </v>
      </c>
      <c r="C41" s="139" t="str">
        <f t="shared" si="8"/>
        <v xml:space="preserve"> </v>
      </c>
      <c r="D41" s="139" t="str">
        <f t="shared" si="8"/>
        <v xml:space="preserve"> </v>
      </c>
      <c r="E41" s="139">
        <f t="shared" si="8"/>
        <v>0</v>
      </c>
      <c r="F41" s="139" t="str">
        <f t="shared" si="8"/>
        <v xml:space="preserve"> </v>
      </c>
      <c r="G41" s="139" t="str">
        <f t="shared" si="8"/>
        <v xml:space="preserve"> 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51" t="s">
        <v>142</v>
      </c>
      <c r="B2" s="28"/>
      <c r="C2" s="146"/>
      <c r="G2" s="141" t="s">
        <v>143</v>
      </c>
      <c r="H2" s="246" t="e">
        <f>#REF!+'Summary FLT104'!H2+'Summary FLT110'!H2+#REF!+#REF!+#REF!+'Summary 2037'!H2+'Summary 2817'!H2</f>
        <v>#REF!</v>
      </c>
      <c r="L2" s="243" t="s">
        <v>144</v>
      </c>
      <c r="M2" s="243" t="s">
        <v>7</v>
      </c>
    </row>
    <row r="3" spans="1:13" ht="15.75" thickBot="1">
      <c r="A3" s="452"/>
      <c r="B3" s="169"/>
      <c r="C3" s="170"/>
      <c r="E3" s="141" t="s">
        <v>145</v>
      </c>
      <c r="F3" s="143">
        <v>737</v>
      </c>
      <c r="G3" s="141" t="s">
        <v>146</v>
      </c>
      <c r="H3" s="246" t="e">
        <f>H4/12</f>
        <v>#REF!</v>
      </c>
      <c r="J3" s="229" t="s">
        <v>147</v>
      </c>
      <c r="L3" s="243">
        <v>737</v>
      </c>
      <c r="M3" s="243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 t="e">
        <f>H2*52</f>
        <v>#REF!</v>
      </c>
      <c r="J4" s="230" t="e">
        <f>H17*H4</f>
        <v>#REF!</v>
      </c>
      <c r="L4" s="243"/>
      <c r="M4" s="243"/>
    </row>
    <row r="5" spans="1:13" ht="15.75" thickBot="1">
      <c r="A5" s="137" t="s">
        <v>149</v>
      </c>
      <c r="L5" s="243"/>
      <c r="M5" s="243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 t="e">
        <f>(#REF!+'Summary FLT104'!B10+'Summary FLT110'!B10+#REF!+#REF!+#REF!)/6</f>
        <v>#REF!</v>
      </c>
      <c r="C10" s="139" t="e">
        <f>(#REF!+'Summary FLT104'!C10+'Summary FLT110'!C10+#REF!+#REF!+#REF!)/6</f>
        <v>#REF!</v>
      </c>
      <c r="D10" s="139" t="e">
        <f>(#REF!+'Summary FLT104'!D10+'Summary FLT110'!D10+#REF!+#REF!+#REF!)/6</f>
        <v>#REF!</v>
      </c>
      <c r="E10" s="139" t="e">
        <f>(#REF!+'Summary FLT104'!E10+'Summary FLT110'!E10+#REF!+#REF!+#REF!)/6</f>
        <v>#REF!</v>
      </c>
      <c r="F10" s="139" t="e">
        <f>(#REF!+'Summary FLT104'!F10+'Summary FLT110'!F10+#REF!+#REF!+#REF!)/6</f>
        <v>#REF!</v>
      </c>
      <c r="G10" s="139" t="e">
        <f>(#REF!+'Summary FLT104'!G10+'Summary FLT110'!G10+#REF!+#REF!+#REF!)/6</f>
        <v>#REF!</v>
      </c>
      <c r="H10" s="139" t="e">
        <f>(#REF!+'Summary FLT104'!H10+'Summary FLT110'!H10+#REF!+#REF!+#REF!)/6</f>
        <v>#REF!</v>
      </c>
      <c r="J10" s="138" t="e">
        <f>H10*$H$4</f>
        <v>#REF!</v>
      </c>
    </row>
    <row r="11" spans="1:13" ht="15.75" thickBot="1">
      <c r="A11" s="135" t="s">
        <v>164</v>
      </c>
      <c r="B11" s="139" t="e">
        <f>(#REF!+'Summary FLT104'!B11+'Summary FLT110'!B11+#REF!+#REF!+#REF!)/6</f>
        <v>#REF!</v>
      </c>
      <c r="C11" s="139" t="e">
        <f>(#REF!+'Summary FLT104'!C11+'Summary FLT110'!C11+#REF!+#REF!+#REF!)/6</f>
        <v>#REF!</v>
      </c>
      <c r="D11" s="139" t="e">
        <f>(#REF!+'Summary FLT104'!D11+'Summary FLT110'!D11+#REF!+#REF!+#REF!)/6</f>
        <v>#REF!</v>
      </c>
      <c r="E11" s="139" t="e">
        <f>(#REF!+'Summary FLT104'!E11+'Summary FLT110'!E11+#REF!+#REF!+#REF!)/6</f>
        <v>#REF!</v>
      </c>
      <c r="F11" s="139" t="e">
        <f>(#REF!+'Summary FLT104'!F11+'Summary FLT110'!F11+#REF!+#REF!+#REF!)/6</f>
        <v>#REF!</v>
      </c>
      <c r="G11" s="139" t="e">
        <f>(#REF!+'Summary FLT104'!G11+'Summary FLT110'!G11+#REF!+#REF!+#REF!)/6</f>
        <v>#REF!</v>
      </c>
      <c r="H11" s="139" t="e">
        <f>(#REF!+'Summary FLT104'!H11+'Summary FLT110'!H11+#REF!+#REF!+#REF!)/6</f>
        <v>#REF!</v>
      </c>
      <c r="I11" s="177" t="e">
        <f>I12*45%</f>
        <v>#REF!</v>
      </c>
      <c r="J11" s="138" t="e">
        <f>H11*$H$4</f>
        <v>#REF!</v>
      </c>
    </row>
    <row r="12" spans="1:13" ht="15.75" thickBot="1">
      <c r="A12" s="135" t="s">
        <v>165</v>
      </c>
      <c r="B12" s="139" t="e">
        <f>(#REF!+'Summary FLT104'!B12+'Summary FLT110'!B12+#REF!+#REF!+#REF!)/6</f>
        <v>#REF!</v>
      </c>
      <c r="C12" s="139" t="e">
        <f>(#REF!+'Summary FLT104'!C12+'Summary FLT110'!C12+#REF!+#REF!+#REF!)/6</f>
        <v>#REF!</v>
      </c>
      <c r="D12" s="139" t="e">
        <f>(#REF!+'Summary FLT104'!D12+'Summary FLT110'!D12+#REF!+#REF!+#REF!)/6</f>
        <v>#REF!</v>
      </c>
      <c r="E12" s="139" t="e">
        <f>(#REF!+'Summary FLT104'!E12+'Summary FLT110'!E12+#REF!+#REF!+#REF!)/6</f>
        <v>#REF!</v>
      </c>
      <c r="F12" s="139" t="e">
        <f>(#REF!+'Summary FLT104'!F12+'Summary FLT110'!F12+#REF!+#REF!+#REF!)/6</f>
        <v>#REF!</v>
      </c>
      <c r="G12" s="139" t="e">
        <f>(#REF!+'Summary FLT104'!G12+'Summary FLT110'!G12+#REF!+#REF!+#REF!)/6</f>
        <v>#REF!</v>
      </c>
      <c r="H12" s="139" t="e">
        <f>(#REF!+'Summary FLT104'!H12+'Summary FLT110'!H12+#REF!+#REF!+#REF!)/6</f>
        <v>#REF!</v>
      </c>
      <c r="I12" s="248" t="e">
        <f>H11+H12</f>
        <v>#REF!</v>
      </c>
      <c r="J12" s="138" t="e">
        <f t="shared" ref="J12:J17" si="1">H12*$H$4</f>
        <v>#REF!</v>
      </c>
    </row>
    <row r="13" spans="1:13" ht="15.75" thickBot="1">
      <c r="A13" s="135" t="s">
        <v>166</v>
      </c>
      <c r="B13" s="139" t="e">
        <f>(#REF!+'Summary FLT104'!B13+'Summary FLT110'!B13+#REF!+#REF!+#REF!)/6</f>
        <v>#REF!</v>
      </c>
      <c r="C13" s="139" t="e">
        <f>(#REF!+'Summary FLT104'!C13+'Summary FLT110'!C13+#REF!+#REF!+#REF!)/6</f>
        <v>#REF!</v>
      </c>
      <c r="D13" s="139" t="e">
        <f>(#REF!+'Summary FLT104'!D13+'Summary FLT110'!D13+#REF!+#REF!+#REF!)/6</f>
        <v>#REF!</v>
      </c>
      <c r="E13" s="139" t="e">
        <f>(#REF!+'Summary FLT104'!E13+'Summary FLT110'!E13+#REF!+#REF!+#REF!)/6</f>
        <v>#REF!</v>
      </c>
      <c r="F13" s="139" t="e">
        <f>(#REF!+'Summary FLT104'!F13+'Summary FLT110'!F13+#REF!+#REF!+#REF!)/6</f>
        <v>#REF!</v>
      </c>
      <c r="G13" s="139" t="e">
        <f>(#REF!+'Summary FLT104'!G13+'Summary FLT110'!G13+#REF!+#REF!+#REF!)/6</f>
        <v>#REF!</v>
      </c>
      <c r="H13" s="139" t="e">
        <f>(#REF!+'Summary FLT104'!H13+'Summary FLT110'!H13+#REF!+#REF!+#REF!)/6</f>
        <v>#REF!</v>
      </c>
      <c r="J13" s="138" t="e">
        <f t="shared" si="1"/>
        <v>#REF!</v>
      </c>
    </row>
    <row r="14" spans="1:13" ht="15.75" thickBot="1">
      <c r="A14" s="135" t="s">
        <v>167</v>
      </c>
      <c r="B14" s="139" t="e">
        <f>(#REF!+'Summary FLT104'!B14+'Summary FLT110'!B14+#REF!+#REF!+#REF!)/6</f>
        <v>#REF!</v>
      </c>
      <c r="C14" s="139" t="e">
        <f>(#REF!+'Summary FLT104'!C14+'Summary FLT110'!C14+#REF!+#REF!+#REF!)/6</f>
        <v>#REF!</v>
      </c>
      <c r="D14" s="139" t="e">
        <f>(#REF!+'Summary FLT104'!D14+'Summary FLT110'!D14+#REF!+#REF!+#REF!)/6</f>
        <v>#REF!</v>
      </c>
      <c r="E14" s="139" t="e">
        <f>(#REF!+'Summary FLT104'!E14+'Summary FLT110'!E14+#REF!+#REF!+#REF!)/6</f>
        <v>#REF!</v>
      </c>
      <c r="F14" s="139" t="e">
        <f>(#REF!+'Summary FLT104'!F14+'Summary FLT110'!F14+#REF!+#REF!+#REF!)/6</f>
        <v>#REF!</v>
      </c>
      <c r="G14" s="139" t="e">
        <f>(#REF!+'Summary FLT104'!G14+'Summary FLT110'!G14+#REF!+#REF!+#REF!)/6</f>
        <v>#REF!</v>
      </c>
      <c r="H14" s="139" t="e">
        <f>(#REF!+'Summary FLT104'!H14+'Summary FLT110'!H14+#REF!+#REF!+#REF!)/6</f>
        <v>#REF!</v>
      </c>
      <c r="J14" s="138" t="e">
        <f t="shared" si="1"/>
        <v>#REF!</v>
      </c>
      <c r="L14" s="157" t="s">
        <v>168</v>
      </c>
      <c r="M14" s="157"/>
    </row>
    <row r="15" spans="1:13" ht="15.75" thickBot="1">
      <c r="A15" s="135" t="s">
        <v>169</v>
      </c>
      <c r="B15" s="139" t="e">
        <f>(#REF!+'Summary FLT104'!B15+'Summary FLT110'!B15+#REF!+#REF!+#REF!)/6</f>
        <v>#REF!</v>
      </c>
      <c r="C15" s="139" t="e">
        <f>(#REF!+'Summary FLT104'!C15+'Summary FLT110'!C15+#REF!+#REF!+#REF!)/6</f>
        <v>#REF!</v>
      </c>
      <c r="D15" s="139" t="e">
        <f>(#REF!+'Summary FLT104'!D15+'Summary FLT110'!D15+#REF!+#REF!+#REF!)/6</f>
        <v>#REF!</v>
      </c>
      <c r="E15" s="139" t="e">
        <f>(#REF!+'Summary FLT104'!E15+'Summary FLT110'!E15+#REF!+#REF!+#REF!)/6</f>
        <v>#REF!</v>
      </c>
      <c r="F15" s="139" t="e">
        <f>(#REF!+'Summary FLT104'!F15+'Summary FLT110'!F15+#REF!+#REF!+#REF!)/6</f>
        <v>#REF!</v>
      </c>
      <c r="G15" s="139" t="e">
        <f>(#REF!+'Summary FLT104'!G15+'Summary FLT110'!G15+#REF!+#REF!+#REF!)/6</f>
        <v>#REF!</v>
      </c>
      <c r="H15" s="139" t="e">
        <f>(#REF!+'Summary FLT104'!H15+'Summary FLT110'!H15+#REF!+#REF!+#REF!)/6</f>
        <v>#REF!</v>
      </c>
      <c r="I15" s="177"/>
      <c r="J15" s="138" t="e">
        <f t="shared" si="1"/>
        <v>#REF!</v>
      </c>
      <c r="L15" s="236" t="e">
        <f>J12+J15</f>
        <v>#REF!</v>
      </c>
      <c r="M15" s="238">
        <v>1</v>
      </c>
    </row>
    <row r="16" spans="1:13" ht="15.75" thickBot="1">
      <c r="A16" s="135" t="s">
        <v>170</v>
      </c>
      <c r="B16" s="139" t="e">
        <f>(#REF!+'Summary FLT104'!B16+'Summary FLT110'!B16+#REF!+#REF!+#REF!)/6</f>
        <v>#REF!</v>
      </c>
      <c r="C16" s="139" t="e">
        <f>(#REF!+'Summary FLT104'!C16+'Summary FLT110'!C16+#REF!+#REF!+#REF!)/6</f>
        <v>#REF!</v>
      </c>
      <c r="D16" s="139" t="e">
        <f>(#REF!+'Summary FLT104'!D16+'Summary FLT110'!D16+#REF!+#REF!+#REF!)/6</f>
        <v>#REF!</v>
      </c>
      <c r="E16" s="139" t="e">
        <f>(#REF!+'Summary FLT104'!E16+'Summary FLT110'!E16+#REF!+#REF!+#REF!)/6</f>
        <v>#REF!</v>
      </c>
      <c r="F16" s="139" t="e">
        <f>(#REF!+'Summary FLT104'!F16+'Summary FLT110'!F16+#REF!+#REF!+#REF!)/6</f>
        <v>#REF!</v>
      </c>
      <c r="G16" s="139" t="e">
        <f>(#REF!+'Summary FLT104'!G16+'Summary FLT110'!G16+#REF!+#REF!+#REF!)/6</f>
        <v>#REF!</v>
      </c>
      <c r="H16" s="139" t="e">
        <f>(#REF!+'Summary FLT104'!H16+'Summary FLT110'!H16+#REF!+#REF!+#REF!)/6</f>
        <v>#REF!</v>
      </c>
      <c r="I16" s="155"/>
      <c r="J16" s="138" t="e">
        <f t="shared" si="1"/>
        <v>#REF!</v>
      </c>
      <c r="L16" s="237" t="e">
        <f>L15*M16</f>
        <v>#REF!</v>
      </c>
      <c r="M16" s="238">
        <v>0.8</v>
      </c>
    </row>
    <row r="17" spans="1:13" ht="15.75" thickBot="1">
      <c r="A17" s="158" t="s">
        <v>171</v>
      </c>
      <c r="B17" s="159" t="e">
        <f>SUM(B11:B16)</f>
        <v>#REF!</v>
      </c>
      <c r="C17" s="159" t="e">
        <f>SUM(C11:C16)</f>
        <v>#REF!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8" t="e">
        <f t="shared" si="1"/>
        <v>#REF!</v>
      </c>
      <c r="L17" s="237" t="e">
        <f>L15*M17</f>
        <v>#REF!</v>
      </c>
      <c r="M17" s="238">
        <v>0.2</v>
      </c>
    </row>
    <row r="18" spans="1:13" ht="15.75" thickBot="1">
      <c r="A18" s="216"/>
      <c r="B18" s="217" t="e">
        <f>B17</f>
        <v>#REF!</v>
      </c>
      <c r="C18" s="217" t="e">
        <f>C17</f>
        <v>#REF!</v>
      </c>
      <c r="D18" s="217" t="e">
        <f>D17</f>
        <v>#REF!</v>
      </c>
      <c r="E18" s="217" t="e">
        <f>E17-E15-E16</f>
        <v>#REF!</v>
      </c>
      <c r="F18" s="217" t="e">
        <f>F17</f>
        <v>#REF!</v>
      </c>
      <c r="G18" s="217" t="e">
        <f>G17</f>
        <v>#REF!</v>
      </c>
      <c r="H18" s="217"/>
      <c r="I18" s="217" t="e">
        <f>E15+E16</f>
        <v>#REF!</v>
      </c>
      <c r="J18" s="217"/>
      <c r="L18" s="235"/>
    </row>
    <row r="19" spans="1:13" ht="15.75" thickBot="1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8" t="s">
        <v>176</v>
      </c>
      <c r="B20" s="139" t="e">
        <f>(#REF!+'Summary FLT104'!B20+'Summary FLT110'!B20+#REF!+#REF!+#REF!+'Summary 2037'!B20+'Summary 2817'!B20)/8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2">IFERROR(((B13+B14)/B8),0)</f>
        <v>0</v>
      </c>
      <c r="C25" s="139">
        <f t="shared" si="2"/>
        <v>0</v>
      </c>
      <c r="D25" s="139">
        <f t="shared" si="2"/>
        <v>0</v>
      </c>
      <c r="E25" s="139">
        <f t="shared" si="2"/>
        <v>0</v>
      </c>
      <c r="F25" s="139">
        <f t="shared" si="2"/>
        <v>0</v>
      </c>
      <c r="G25" s="139">
        <f t="shared" si="2"/>
        <v>0</v>
      </c>
    </row>
    <row r="26" spans="1:13" ht="15.75" thickBot="1">
      <c r="A26" s="135" t="s">
        <v>181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</row>
    <row r="27" spans="1:13" s="232" customFormat="1">
      <c r="A27" s="233"/>
      <c r="B27" s="234"/>
      <c r="C27" s="234"/>
      <c r="D27" s="234"/>
      <c r="E27" s="234"/>
      <c r="F27" s="234"/>
      <c r="G27" s="234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2</v>
      </c>
      <c r="C29" s="158"/>
    </row>
    <row r="30" spans="1:13" ht="15.75" thickBot="1">
      <c r="A30" s="135" t="s">
        <v>163</v>
      </c>
      <c r="B30" s="139" t="e">
        <f>(#REF!+'Summary FLT104'!B30+'Summary FLT110'!B30+#REF!+#REF!+#REF!)/6</f>
        <v>#REF!</v>
      </c>
      <c r="C30" s="139" t="e">
        <f>(#REF!+'Summary FLT104'!C30+'Summary FLT110'!C30+#REF!+#REF!+#REF!)/6</f>
        <v>#REF!</v>
      </c>
      <c r="D30" s="139" t="e">
        <f>(#REF!+'Summary FLT104'!D30+'Summary FLT110'!D30+#REF!+#REF!+#REF!)/6</f>
        <v>#REF!</v>
      </c>
      <c r="E30" s="139" t="e">
        <f>(#REF!+'Summary FLT104'!E30+'Summary FLT110'!E30+#REF!+#REF!+#REF!)/6</f>
        <v>#REF!</v>
      </c>
      <c r="F30" s="139" t="e">
        <f>(#REF!+'Summary FLT104'!F30+'Summary FLT110'!F30+#REF!+#REF!+#REF!)/6</f>
        <v>#REF!</v>
      </c>
      <c r="G30" s="139" t="e">
        <f>(#REF!+'Summary FLT104'!G30+'Summary FLT110'!G30+#REF!+#REF!+#REF!)/6</f>
        <v>#REF!</v>
      </c>
    </row>
    <row r="31" spans="1:13" ht="15.75" thickBot="1">
      <c r="A31" s="135" t="s">
        <v>164</v>
      </c>
      <c r="B31" s="139" t="e">
        <f>(#REF!+'Summary FLT104'!B31+'Summary FLT110'!B31+#REF!+#REF!+#REF!)/6</f>
        <v>#REF!</v>
      </c>
      <c r="C31" s="139" t="e">
        <f>(#REF!+'Summary FLT104'!C31+'Summary FLT110'!C31+#REF!+#REF!+#REF!)/6</f>
        <v>#REF!</v>
      </c>
      <c r="D31" s="139" t="e">
        <f>(#REF!+'Summary FLT104'!D31+'Summary FLT110'!D31+#REF!+#REF!+#REF!)/6</f>
        <v>#REF!</v>
      </c>
      <c r="E31" s="139" t="e">
        <f>(#REF!+'Summary FLT104'!E31+'Summary FLT110'!E31+#REF!+#REF!+#REF!)/6</f>
        <v>#REF!</v>
      </c>
      <c r="F31" s="139" t="e">
        <f>(#REF!+'Summary FLT104'!F31+'Summary FLT110'!F31+#REF!+#REF!+#REF!)/6</f>
        <v>#REF!</v>
      </c>
      <c r="G31" s="139" t="e">
        <f>(#REF!+'Summary FLT104'!G31+'Summary FLT110'!G31+#REF!+#REF!+#REF!)/6</f>
        <v>#REF!</v>
      </c>
    </row>
    <row r="32" spans="1:13" ht="15.75" thickBot="1">
      <c r="A32" s="135" t="s">
        <v>165</v>
      </c>
      <c r="B32" s="139" t="e">
        <f>(#REF!+'Summary FLT104'!B32+'Summary FLT110'!B32+#REF!+#REF!+#REF!)/6</f>
        <v>#REF!</v>
      </c>
      <c r="C32" s="139" t="e">
        <f>(#REF!+'Summary FLT104'!C32+'Summary FLT110'!C32+#REF!+#REF!+#REF!)/6</f>
        <v>#REF!</v>
      </c>
      <c r="D32" s="139" t="e">
        <f>(#REF!+'Summary FLT104'!D32+'Summary FLT110'!D32+#REF!+#REF!+#REF!)/6</f>
        <v>#REF!</v>
      </c>
      <c r="E32" s="139" t="e">
        <f>(#REF!+'Summary FLT104'!E32+'Summary FLT110'!E32+#REF!+#REF!+#REF!)/6</f>
        <v>#REF!</v>
      </c>
      <c r="F32" s="139" t="e">
        <f>(#REF!+'Summary FLT104'!F32+'Summary FLT110'!F32+#REF!+#REF!+#REF!)/6</f>
        <v>#REF!</v>
      </c>
      <c r="G32" s="139" t="e">
        <f>(#REF!+'Summary FLT104'!G32+'Summary FLT110'!G32+#REF!+#REF!+#REF!)/6</f>
        <v>#REF!</v>
      </c>
    </row>
    <row r="33" spans="1:7" ht="15.75" thickBot="1">
      <c r="A33" s="135" t="s">
        <v>185</v>
      </c>
      <c r="B33" s="139" t="e">
        <f>(#REF!+'Summary FLT104'!B33+'Summary FLT110'!B33+#REF!+#REF!+#REF!)/6</f>
        <v>#REF!</v>
      </c>
      <c r="C33" s="139" t="e">
        <f>(#REF!+'Summary FLT104'!C33+'Summary FLT110'!C33+#REF!+#REF!+#REF!)/6</f>
        <v>#REF!</v>
      </c>
      <c r="D33" s="139" t="e">
        <f>(#REF!+'Summary FLT104'!D33+'Summary FLT110'!D33+#REF!+#REF!+#REF!)/6</f>
        <v>#REF!</v>
      </c>
      <c r="E33" s="139" t="e">
        <f>(#REF!+'Summary FLT104'!E33+'Summary FLT110'!E33+#REF!+#REF!+#REF!)/6</f>
        <v>#REF!</v>
      </c>
      <c r="F33" s="139" t="e">
        <f>(#REF!+'Summary FLT104'!F33+'Summary FLT110'!F33+#REF!+#REF!+#REF!)/6</f>
        <v>#REF!</v>
      </c>
      <c r="G33" s="139" t="e">
        <f>(#REF!+'Summary FLT104'!G33+'Summary FLT110'!G33+#REF!+#REF!+#REF!)/6</f>
        <v>#REF!</v>
      </c>
    </row>
    <row r="34" spans="1:7" ht="15.75" thickBot="1">
      <c r="A34" s="135" t="s">
        <v>186</v>
      </c>
      <c r="B34" s="139" t="e">
        <f>(#REF!+'Summary FLT104'!B34+'Summary FLT110'!B34+#REF!+#REF!+#REF!)/6</f>
        <v>#REF!</v>
      </c>
      <c r="C34" s="139" t="e">
        <f>(#REF!+'Summary FLT104'!C34+'Summary FLT110'!C34+#REF!+#REF!+#REF!)/6</f>
        <v>#REF!</v>
      </c>
      <c r="D34" s="139" t="e">
        <f>(#REF!+'Summary FLT104'!D34+'Summary FLT110'!D34+#REF!+#REF!+#REF!)/6</f>
        <v>#REF!</v>
      </c>
      <c r="E34" s="139" t="e">
        <f>(#REF!+'Summary FLT104'!E34+'Summary FLT110'!E34+#REF!+#REF!+#REF!)/6</f>
        <v>#REF!</v>
      </c>
      <c r="F34" s="139" t="e">
        <f>(#REF!+'Summary FLT104'!F34+'Summary FLT110'!F34+#REF!+#REF!+#REF!)/6</f>
        <v>#REF!</v>
      </c>
      <c r="G34" s="139" t="e">
        <f>(#REF!+'Summary FLT104'!G34+'Summary FLT110'!G34+#REF!+#REF!+#REF!)/6</f>
        <v>#REF!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4">IFERROR(B31/B7," ")</f>
        <v xml:space="preserve"> </v>
      </c>
      <c r="C38" s="139" t="str">
        <f t="shared" si="4"/>
        <v xml:space="preserve"> </v>
      </c>
      <c r="D38" s="139" t="str">
        <f t="shared" si="4"/>
        <v xml:space="preserve"> </v>
      </c>
      <c r="E38" s="139" t="str">
        <f t="shared" si="4"/>
        <v xml:space="preserve"> </v>
      </c>
      <c r="F38" s="139" t="str">
        <f t="shared" si="4"/>
        <v xml:space="preserve"> </v>
      </c>
      <c r="G38" s="139" t="str">
        <f t="shared" si="4"/>
        <v xml:space="preserve"> </v>
      </c>
    </row>
    <row r="39" spans="1:7" ht="15.75" thickBot="1">
      <c r="A39" s="135" t="s">
        <v>165</v>
      </c>
      <c r="B39" s="139" t="str">
        <f t="shared" ref="B39:G39" si="5">IFERROR(B32/B7," ")</f>
        <v xml:space="preserve"> </v>
      </c>
      <c r="C39" s="139" t="str">
        <f t="shared" si="5"/>
        <v xml:space="preserve"> </v>
      </c>
      <c r="D39" s="139" t="str">
        <f t="shared" si="5"/>
        <v xml:space="preserve"> </v>
      </c>
      <c r="E39" s="139" t="str">
        <f t="shared" si="5"/>
        <v xml:space="preserve"> </v>
      </c>
      <c r="F39" s="139" t="str">
        <f t="shared" si="5"/>
        <v xml:space="preserve"> </v>
      </c>
      <c r="G39" s="139" t="str">
        <f t="shared" si="5"/>
        <v xml:space="preserve"> 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 t="str">
        <f>IFERROR(E33/E7," ")</f>
        <v xml:space="preserve"> 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>
      <c r="A41" s="135" t="s">
        <v>186</v>
      </c>
      <c r="B41" s="139" t="str">
        <f t="shared" ref="B41:G41" si="6">IFERROR(B34/B7," ")</f>
        <v xml:space="preserve"> </v>
      </c>
      <c r="C41" s="139" t="str">
        <f t="shared" si="6"/>
        <v xml:space="preserve"> </v>
      </c>
      <c r="D41" s="139" t="str">
        <f t="shared" si="6"/>
        <v xml:space="preserve"> </v>
      </c>
      <c r="E41" s="139" t="str">
        <f t="shared" si="6"/>
        <v xml:space="preserve"> </v>
      </c>
      <c r="F41" s="139" t="str">
        <f t="shared" si="6"/>
        <v xml:space="preserve"> </v>
      </c>
      <c r="G41" s="139" t="str">
        <f t="shared" si="6"/>
        <v xml:space="preserve"> 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51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>
      <c r="A5" s="137" t="s">
        <v>149</v>
      </c>
      <c r="L5" s="243"/>
      <c r="M5" s="243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>
      <c r="A27" s="233"/>
      <c r="B27" s="234"/>
      <c r="C27" s="234"/>
      <c r="D27" s="234"/>
      <c r="E27" s="234"/>
      <c r="F27" s="234"/>
      <c r="G27" s="234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2</v>
      </c>
      <c r="C29" s="158">
        <v>735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51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>
      <c r="A5" s="137" t="s">
        <v>149</v>
      </c>
      <c r="L5" s="243"/>
      <c r="M5" s="243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>
      <c r="A27" s="233"/>
      <c r="B27" s="234"/>
      <c r="C27" s="234"/>
      <c r="D27" s="234"/>
      <c r="E27" s="234"/>
      <c r="F27" s="234"/>
      <c r="G27" s="234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2</v>
      </c>
      <c r="C29" s="158">
        <v>2221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51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>
      <c r="A5" s="137" t="s">
        <v>149</v>
      </c>
      <c r="L5" s="243"/>
      <c r="M5" s="243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>
      <c r="A27" s="233"/>
      <c r="B27" s="234"/>
      <c r="C27" s="234"/>
      <c r="D27" s="234"/>
      <c r="E27" s="234"/>
      <c r="F27" s="234"/>
      <c r="G27" s="234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2</v>
      </c>
      <c r="C29" s="158">
        <v>2439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51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>
      <c r="A5" s="137" t="s">
        <v>149</v>
      </c>
      <c r="L5" s="243"/>
      <c r="M5" s="243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>
      <c r="A27" s="233"/>
      <c r="B27" s="234"/>
      <c r="C27" s="234"/>
      <c r="D27" s="234"/>
      <c r="E27" s="234"/>
      <c r="F27" s="234"/>
      <c r="G27" s="234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2</v>
      </c>
      <c r="C29" s="158">
        <v>2682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51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>
      <c r="A5" s="137" t="s">
        <v>149</v>
      </c>
      <c r="L5" s="243"/>
      <c r="M5" s="243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>
      <c r="A27" s="233"/>
      <c r="B27" s="234"/>
      <c r="C27" s="234"/>
      <c r="D27" s="234"/>
      <c r="E27" s="234"/>
      <c r="F27" s="234"/>
      <c r="G27" s="234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2</v>
      </c>
      <c r="C29" s="158">
        <v>2855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>C37*C8</f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zoomScale="85" zoomScaleNormal="85" workbookViewId="0">
      <selection activeCell="B23" sqref="B23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51" t="s">
        <v>142</v>
      </c>
      <c r="B2" s="28"/>
      <c r="C2" s="146"/>
      <c r="G2" s="141" t="s">
        <v>143</v>
      </c>
      <c r="H2" s="246">
        <v>7</v>
      </c>
      <c r="L2" s="243" t="s">
        <v>144</v>
      </c>
      <c r="M2" s="243" t="s">
        <v>7</v>
      </c>
    </row>
    <row r="3" spans="1:13" ht="15.75" thickBot="1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30.333333333333332</v>
      </c>
      <c r="J3" s="229" t="s">
        <v>147</v>
      </c>
      <c r="L3" s="243">
        <v>737</v>
      </c>
      <c r="M3" s="243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364</v>
      </c>
      <c r="J4" s="230">
        <f>H17*H4</f>
        <v>1776907.3240232342</v>
      </c>
      <c r="L4" s="243"/>
      <c r="M4" s="243"/>
    </row>
    <row r="5" spans="1:13" ht="15.75" thickBot="1">
      <c r="A5" s="137" t="s">
        <v>149</v>
      </c>
      <c r="L5" s="243"/>
      <c r="M5" s="243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189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506.72372482619085</v>
      </c>
      <c r="D11" s="139">
        <f>IFERROR(D38*$D$8,0)</f>
        <v>336.54911103345927</v>
      </c>
      <c r="E11" s="139">
        <f>IFERROR(E38*$E$8,0)</f>
        <v>837.5290159225608</v>
      </c>
      <c r="F11" s="139">
        <f>IFERROR(F38*$F$8,0)</f>
        <v>0</v>
      </c>
      <c r="G11" s="139">
        <f>IFERROR(G38*G8,0)</f>
        <v>65.408187783015393</v>
      </c>
      <c r="H11" s="138">
        <f t="shared" si="2"/>
        <v>1746.2100395652262</v>
      </c>
      <c r="I11" s="177">
        <f>I12*45%</f>
        <v>1197.1156952776139</v>
      </c>
      <c r="J11" s="138">
        <f>H11*$H$4</f>
        <v>635620.45440174232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192.50823529411764</v>
      </c>
      <c r="D12" s="139">
        <f>IFERROR(D39*$D$8,0)</f>
        <v>212.17625000000004</v>
      </c>
      <c r="E12" s="139">
        <f>IFERROR(E39*$E$8,0)</f>
        <v>489.07757575757586</v>
      </c>
      <c r="F12" s="139">
        <f>IFERROR(F39*$F$8,0)</f>
        <v>0</v>
      </c>
      <c r="G12" s="139">
        <f>IFERROR(G39*G8,0)</f>
        <v>20.285000000000007</v>
      </c>
      <c r="H12" s="138">
        <f t="shared" si="2"/>
        <v>914.0470610516935</v>
      </c>
      <c r="I12" s="248">
        <f>H11+H12</f>
        <v>2660.2571006169196</v>
      </c>
      <c r="J12" s="138">
        <f t="shared" ref="J12:J17" si="3">H12*$H$4</f>
        <v>332713.13022281643</v>
      </c>
    </row>
    <row r="13" spans="1:13" ht="15.75" thickBot="1">
      <c r="A13" s="135" t="s">
        <v>166</v>
      </c>
      <c r="B13" s="139">
        <f t="shared" ref="B13:B14" si="4">IFERROR(B40*B9,0)</f>
        <v>0</v>
      </c>
      <c r="C13" s="139">
        <f>IFERROR(C40*$C$8,0)</f>
        <v>109.67923231718508</v>
      </c>
      <c r="D13" s="139">
        <f>IFERROR(D40*$D$8,0)</f>
        <v>66.204176158576843</v>
      </c>
      <c r="E13" s="139">
        <f>IFERROR(E40*$E$8,0)</f>
        <v>160.42889477466838</v>
      </c>
      <c r="F13" s="139">
        <f>IFERROR(F40*$F$8,0)</f>
        <v>0</v>
      </c>
      <c r="G13" s="139">
        <f>IFERROR(G40*$G$8,0)</f>
        <v>13.386431458670149</v>
      </c>
      <c r="H13" s="138">
        <f>SUM(B13:G13)</f>
        <v>349.69873470910045</v>
      </c>
      <c r="J13" s="138">
        <f t="shared" si="3"/>
        <v>127290.33943411257</v>
      </c>
    </row>
    <row r="14" spans="1:13" ht="15.75" thickBot="1">
      <c r="A14" s="135" t="s">
        <v>167</v>
      </c>
      <c r="B14" s="139">
        <f t="shared" si="4"/>
        <v>0</v>
      </c>
      <c r="C14" s="139">
        <f>IFERROR(C41*$C$8,0)</f>
        <v>38.501647058823544</v>
      </c>
      <c r="D14" s="139">
        <f>IFERROR(D41*$D$8,0)</f>
        <v>42.435249999999989</v>
      </c>
      <c r="E14" s="139">
        <f>IFERROR(E41*$E$8,0)</f>
        <v>97.815515151515115</v>
      </c>
      <c r="F14" s="139">
        <f>IFERROR(F41*$F$8,0)</f>
        <v>0</v>
      </c>
      <c r="G14" s="139">
        <f>IFERROR(G41*$G$8,0)</f>
        <v>4.0569999999999986</v>
      </c>
      <c r="H14" s="138">
        <f t="shared" si="2"/>
        <v>182.80941221033865</v>
      </c>
      <c r="J14" s="138">
        <f t="shared" si="3"/>
        <v>66542.626044563265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1494.556</v>
      </c>
      <c r="F15" s="139">
        <v>0</v>
      </c>
      <c r="G15" s="139">
        <f>IFERROR(G42*$G$8,0)</f>
        <v>0</v>
      </c>
      <c r="H15" s="138">
        <f t="shared" si="2"/>
        <v>1494.556</v>
      </c>
      <c r="I15" s="177"/>
      <c r="J15" s="138">
        <f t="shared" si="3"/>
        <v>544018.38399999996</v>
      </c>
      <c r="L15" s="236">
        <f>J12+J15</f>
        <v>876731.51422281633</v>
      </c>
      <c r="M15" s="238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194.29228000000001</v>
      </c>
      <c r="F16" s="140">
        <v>0</v>
      </c>
      <c r="G16" s="139">
        <f>IFERROR(G43*$G$8,0)</f>
        <v>0</v>
      </c>
      <c r="H16" s="138">
        <f t="shared" si="2"/>
        <v>194.29228000000001</v>
      </c>
      <c r="I16" s="155"/>
      <c r="J16" s="138">
        <f t="shared" si="3"/>
        <v>70722.389920000001</v>
      </c>
      <c r="L16" s="237">
        <f>L15*M16</f>
        <v>701385.21137825307</v>
      </c>
      <c r="M16" s="238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847.41283949631713</v>
      </c>
      <c r="D17" s="159">
        <f>SUM(D10:D16)</f>
        <v>657.36478719203615</v>
      </c>
      <c r="E17" s="159">
        <f>SUM(E10:E16)</f>
        <v>3273.6992816063203</v>
      </c>
      <c r="F17" s="159">
        <f>SUM(F10:F16)</f>
        <v>0</v>
      </c>
      <c r="G17" s="159">
        <f>SUM(G10:G16)</f>
        <v>103.13661924168555</v>
      </c>
      <c r="H17" s="159">
        <f>SUM(H10:H16)</f>
        <v>4881.6135275363577</v>
      </c>
      <c r="J17" s="228">
        <f t="shared" si="3"/>
        <v>1776907.3240232342</v>
      </c>
      <c r="L17" s="237">
        <f>L15*M17</f>
        <v>175346.30284456327</v>
      </c>
      <c r="M17" s="238">
        <v>0.2</v>
      </c>
    </row>
    <row r="18" spans="1:13" ht="15.75" thickBot="1">
      <c r="A18" s="216"/>
      <c r="B18" s="217">
        <f>B17</f>
        <v>0</v>
      </c>
      <c r="C18" s="217">
        <f>C17</f>
        <v>847.41283949631713</v>
      </c>
      <c r="D18" s="217">
        <f>D17</f>
        <v>657.36478719203615</v>
      </c>
      <c r="E18" s="217">
        <f>E17-E15-E16</f>
        <v>1584.8510016063201</v>
      </c>
      <c r="F18" s="217">
        <f>F17</f>
        <v>0</v>
      </c>
      <c r="G18" s="217">
        <f>G17</f>
        <v>103.13661924168555</v>
      </c>
      <c r="H18" s="217"/>
      <c r="I18" s="217">
        <f>E15+E16</f>
        <v>1688.8482800000002</v>
      </c>
      <c r="J18" s="217"/>
      <c r="L18" s="235"/>
    </row>
    <row r="19" spans="1:13" ht="15.75" thickBot="1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194.29228000000001</v>
      </c>
      <c r="J19" s="248">
        <f>H11+H12+H15</f>
        <v>4154.8131006169197</v>
      </c>
    </row>
    <row r="20" spans="1:13" ht="15.75" thickBot="1">
      <c r="A20" s="218" t="s">
        <v>188</v>
      </c>
      <c r="B20" s="379">
        <f>Handling!C83+Handling!S39+Handling!S45+Handling!V53+Handling!AD39</f>
        <v>1494.556</v>
      </c>
      <c r="C20" s="219">
        <f>B20*'P&amp;L'!$R$10</f>
        <v>194.29228000000001</v>
      </c>
      <c r="D20" s="219">
        <f>SUM(B20:C20)</f>
        <v>1688.8482800000002</v>
      </c>
      <c r="G20" s="177"/>
      <c r="J20" s="248">
        <f>H13+H14+H16</f>
        <v>726.80042691943913</v>
      </c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30.264744267725611</v>
      </c>
      <c r="D24" s="139">
        <f>IFERROR(((D10+D11+D12+D13+D14)/D8),0)</f>
        <v>16.855507363898361</v>
      </c>
      <c r="E24" s="139">
        <f>IFERROR(((E10+E11+E12+E13+E14)/E8),0)</f>
        <v>9.9676163623039002</v>
      </c>
      <c r="F24" s="139">
        <f>IFERROR(((F10+F11+F12+F13+F14)/F8),0)</f>
        <v>0</v>
      </c>
      <c r="G24" s="139">
        <f>IFERROR(((G10+G11+G12+G13+G14)/G8),0)</f>
        <v>20.62732384833711</v>
      </c>
    </row>
    <row r="25" spans="1:13" ht="15.75" thickBot="1">
      <c r="A25" s="135" t="s">
        <v>180</v>
      </c>
      <c r="B25" s="139">
        <f t="shared" ref="B25:G25" si="5">IFERROR(((B13+B14)/B8),0)</f>
        <v>0</v>
      </c>
      <c r="C25" s="139">
        <f>IFERROR(((C13+C14)/C8),0)</f>
        <v>5.2921742634288789</v>
      </c>
      <c r="D25" s="139">
        <f t="shared" si="5"/>
        <v>2.7856263117583806</v>
      </c>
      <c r="E25" s="139">
        <f>IFERROR(((E13+E14)/E8),0)</f>
        <v>1.6241786787810282</v>
      </c>
      <c r="F25" s="139">
        <f t="shared" si="5"/>
        <v>0</v>
      </c>
      <c r="G25" s="139">
        <f t="shared" si="5"/>
        <v>3.4886862917340293</v>
      </c>
    </row>
    <row r="26" spans="1:13" ht="15.75" thickBot="1">
      <c r="A26" s="135" t="s">
        <v>181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2" customFormat="1">
      <c r="A27" s="233"/>
      <c r="B27" s="234"/>
      <c r="C27" s="234"/>
      <c r="D27" s="234"/>
      <c r="E27" s="234"/>
      <c r="F27" s="234"/>
      <c r="G27" s="234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2</v>
      </c>
      <c r="C29" s="158">
        <v>104</v>
      </c>
    </row>
    <row r="30" spans="1:13" ht="15.75" thickBot="1">
      <c r="A30" s="135" t="s">
        <v>163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>
      <c r="A31" s="135" t="s">
        <v>164</v>
      </c>
      <c r="B31" s="320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615.30738014608892</v>
      </c>
      <c r="D31" s="139">
        <f>IFERROR(IF($B$29=$B$29,SUMIF(Food!$C:$C,D$9&amp;$B$29&amp;$C$29,Food!$X:$X),0),"")</f>
        <v>414.21429050271905</v>
      </c>
      <c r="E31" s="139">
        <f>IFERROR(IF($B$29=$B$29,SUMIF(Food!$C:$C,E$9&amp;$B$29&amp;$C$29,Food!$X:$X),0),"")</f>
        <v>1042.9606613375286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78.489825339618463</v>
      </c>
      <c r="H31" s="303"/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233.76</v>
      </c>
      <c r="D32" s="139">
        <f>IFERROR(IF($B$29=$B$29,SUMIF(Food!$C:$C,D$9&amp;$B$29&amp;$C$29,Food!$Z:$Z),0),"")</f>
        <v>261.14000000000004</v>
      </c>
      <c r="E32" s="139">
        <f>IFERROR(IF($B$29=$B$29,SUMIF(Food!$C:$C,E$9&amp;$B$29&amp;$C$29,Food!$Z:$Z),0),"")</f>
        <v>609.04000000000008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24.342000000000006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133.1819249565819</v>
      </c>
      <c r="D33" s="139">
        <f>IFERROR(IF($B$29=$B$29,SUMIF(Food!$C:$C,D$9&amp;$B$29&amp;$C$29,Food!$AB:$AB),0),"")</f>
        <v>81.482062964402274</v>
      </c>
      <c r="E33" s="139">
        <f>IFERROR(IF($B$29=$B$29,SUMIF(Food!$C:$C,E$9&amp;$B$29&amp;$C$29,Food!$AB:$AB),0),"")</f>
        <v>199.77937839864364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16.06371775040418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46.752000000000017</v>
      </c>
      <c r="D34" s="139">
        <f>IFERROR(IF($B$29=$B$29,SUMIF(Food!$C:$C,D$9&amp;$B$29&amp;$C$29,Food!$AC:$AC),0),"")</f>
        <v>52.227999999999987</v>
      </c>
      <c r="E34" s="139">
        <f>IFERROR(IF($B$29=$B$29,SUMIF(Food!$C:$C,E$9&amp;$B$29&amp;$C$29,Food!$AC:$AC),0),"")</f>
        <v>121.80799999999996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4.8683999999999985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8">IFERROR(B31/B7," ")</f>
        <v xml:space="preserve"> </v>
      </c>
      <c r="C38" s="139">
        <f t="shared" si="8"/>
        <v>18.097275886649673</v>
      </c>
      <c r="D38" s="139">
        <f t="shared" si="8"/>
        <v>8.6294643854733142</v>
      </c>
      <c r="E38" s="139">
        <f t="shared" si="8"/>
        <v>5.2674780875632754</v>
      </c>
      <c r="F38" s="139" t="str">
        <f t="shared" si="8"/>
        <v xml:space="preserve"> </v>
      </c>
      <c r="G38" s="139">
        <f t="shared" si="8"/>
        <v>13.081637556603077</v>
      </c>
    </row>
    <row r="39" spans="1:7" ht="15.75" thickBot="1">
      <c r="A39" s="135" t="s">
        <v>165</v>
      </c>
      <c r="B39" s="139" t="str">
        <f t="shared" ref="B39:G39" si="9">IFERROR(B32/B7," ")</f>
        <v xml:space="preserve"> </v>
      </c>
      <c r="C39" s="139">
        <f>IFERROR(C32/C7," ")</f>
        <v>6.8752941176470586</v>
      </c>
      <c r="D39" s="139">
        <f t="shared" si="9"/>
        <v>5.4404166666666676</v>
      </c>
      <c r="E39" s="139">
        <f t="shared" si="9"/>
        <v>3.0759595959595964</v>
      </c>
      <c r="F39" s="139" t="str">
        <f t="shared" si="9"/>
        <v xml:space="preserve"> </v>
      </c>
      <c r="G39" s="139">
        <f t="shared" si="9"/>
        <v>4.0570000000000013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3.9171154398994674</v>
      </c>
      <c r="D40" s="139">
        <f>IFERROR(D33/D7," ")</f>
        <v>1.6975429784250473</v>
      </c>
      <c r="E40" s="139">
        <f>IFERROR(E33/E7," ")</f>
        <v>1.0089867595891093</v>
      </c>
      <c r="F40" s="139" t="str">
        <f>IFERROR(F33/F7," ")</f>
        <v xml:space="preserve"> </v>
      </c>
      <c r="G40" s="139">
        <f>IFERROR(G33/G7," ")</f>
        <v>2.6772862917340299</v>
      </c>
    </row>
    <row r="41" spans="1:7" ht="15.75" thickBot="1">
      <c r="A41" s="135" t="s">
        <v>186</v>
      </c>
      <c r="B41" s="139" t="str">
        <f t="shared" ref="B41:G41" si="10">IFERROR(B34/B7," ")</f>
        <v xml:space="preserve"> </v>
      </c>
      <c r="C41" s="139">
        <f t="shared" si="10"/>
        <v>1.3750588235294123</v>
      </c>
      <c r="D41" s="139">
        <f t="shared" si="10"/>
        <v>1.0880833333333331</v>
      </c>
      <c r="E41" s="139">
        <f t="shared" si="10"/>
        <v>0.61519191919191896</v>
      </c>
      <c r="F41" s="139" t="str">
        <f t="shared" si="10"/>
        <v xml:space="preserve"> </v>
      </c>
      <c r="G41" s="139">
        <f t="shared" si="10"/>
        <v>0.81139999999999979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B18" sqref="B18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51" t="s">
        <v>142</v>
      </c>
      <c r="B2" s="28"/>
      <c r="C2" s="146"/>
      <c r="G2" s="141" t="s">
        <v>143</v>
      </c>
      <c r="H2" s="246">
        <v>7</v>
      </c>
      <c r="L2" s="243" t="s">
        <v>144</v>
      </c>
      <c r="M2" s="243" t="s">
        <v>7</v>
      </c>
    </row>
    <row r="3" spans="1:13" ht="15.75" thickBot="1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30.333333333333332</v>
      </c>
      <c r="J3" s="229" t="s">
        <v>147</v>
      </c>
      <c r="L3" s="243">
        <v>330</v>
      </c>
      <c r="M3" s="243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364</v>
      </c>
      <c r="J4" s="230">
        <f>H17*H4</f>
        <v>1729476.7149378471</v>
      </c>
      <c r="L4" s="243"/>
      <c r="M4" s="243"/>
    </row>
    <row r="5" spans="1:13" ht="15.75" thickBot="1">
      <c r="A5" s="137" t="s">
        <v>149</v>
      </c>
      <c r="L5" s="243"/>
      <c r="M5" s="243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>
      <c r="A7" s="135" t="s">
        <v>153</v>
      </c>
      <c r="B7" s="135">
        <f>+'FlightConfig '!B17</f>
        <v>0</v>
      </c>
      <c r="C7" s="337">
        <f>+'FlightConfig '!C23</f>
        <v>30</v>
      </c>
      <c r="D7" s="337">
        <f>+'FlightConfig '!D23</f>
        <v>44</v>
      </c>
      <c r="E7" s="337">
        <f>+'FlightConfig '!E23</f>
        <v>184</v>
      </c>
      <c r="F7" s="337">
        <f>+'FlightConfig '!F23</f>
        <v>0</v>
      </c>
      <c r="G7" s="337">
        <f>+'FlightConfig '!G23</f>
        <v>6</v>
      </c>
      <c r="H7" s="337">
        <f>+'FlightConfig '!H23</f>
        <v>264</v>
      </c>
      <c r="L7" s="242"/>
      <c r="M7" s="242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24</v>
      </c>
      <c r="D8" s="135">
        <f t="shared" si="0"/>
        <v>36</v>
      </c>
      <c r="E8" s="135">
        <f t="shared" si="0"/>
        <v>148</v>
      </c>
      <c r="F8" s="135">
        <f t="shared" si="0"/>
        <v>0</v>
      </c>
      <c r="G8" s="135">
        <f t="shared" si="0"/>
        <v>5</v>
      </c>
      <c r="H8" s="135">
        <f>SUM(B8:G8)</f>
        <v>213</v>
      </c>
      <c r="L8" s="242"/>
      <c r="M8" s="242"/>
    </row>
    <row r="9" spans="1:13" ht="15.75" thickBot="1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492.2459041168712</v>
      </c>
      <c r="D11" s="139">
        <f>IFERROR(D38*$D$8,0)</f>
        <v>338.90260132040646</v>
      </c>
      <c r="E11" s="139">
        <f>IFERROR(E38*$E$8,0)</f>
        <v>838.90314064105564</v>
      </c>
      <c r="F11" s="139">
        <f>IFERROR(F38*$F$8,0)</f>
        <v>0</v>
      </c>
      <c r="G11" s="139">
        <f>IFERROR(G38*$G$8,0)</f>
        <v>65.408187783015393</v>
      </c>
      <c r="H11" s="138">
        <f t="shared" si="2"/>
        <v>1735.4598338613487</v>
      </c>
      <c r="I11" s="177"/>
      <c r="J11" s="138">
        <f>H11*$H$4</f>
        <v>631707.37952553097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187.00799999999998</v>
      </c>
      <c r="D12" s="139">
        <f>IFERROR(D39*$D$8,0)</f>
        <v>213.66000000000005</v>
      </c>
      <c r="E12" s="139">
        <f>IFERROR(E39*$E$8,0)</f>
        <v>489.88000000000005</v>
      </c>
      <c r="F12" s="139">
        <f>IFERROR(F39*$F$8,0)</f>
        <v>0</v>
      </c>
      <c r="G12" s="139">
        <f>IFERROR(G39*$G$8,0)</f>
        <v>20.285000000000007</v>
      </c>
      <c r="H12" s="138">
        <f t="shared" si="2"/>
        <v>910.83299999999997</v>
      </c>
      <c r="I12" s="248"/>
      <c r="J12" s="138">
        <f t="shared" ref="J12:J17" si="3">H12*$H$4</f>
        <v>331543.212</v>
      </c>
    </row>
    <row r="13" spans="1:13" ht="15.75" thickBot="1">
      <c r="A13" s="135" t="s">
        <v>166</v>
      </c>
      <c r="B13" s="139">
        <f t="shared" ref="B13:B14" si="4">IFERROR(B40*B9,0)</f>
        <v>0</v>
      </c>
      <c r="C13" s="139">
        <f>IFERROR(C40*$C$8,0)</f>
        <v>106.54553996526553</v>
      </c>
      <c r="D13" s="139">
        <f>IFERROR(D40*$D$8,0)</f>
        <v>66.667142425420039</v>
      </c>
      <c r="E13" s="139">
        <f>IFERROR(E40*$E$8,0)</f>
        <v>160.6921087119525</v>
      </c>
      <c r="F13" s="139">
        <f>IFERROR(F40*$F$8,0)</f>
        <v>0</v>
      </c>
      <c r="G13" s="139">
        <f>IFERROR(G40*$G$8,0)</f>
        <v>13.386431458670149</v>
      </c>
      <c r="H13" s="138">
        <f t="shared" si="2"/>
        <v>347.29122256130825</v>
      </c>
      <c r="J13" s="138">
        <f t="shared" si="3"/>
        <v>126414.00501231621</v>
      </c>
    </row>
    <row r="14" spans="1:13" ht="15.75" thickBot="1">
      <c r="A14" s="135" t="s">
        <v>167</v>
      </c>
      <c r="B14" s="139">
        <f t="shared" si="4"/>
        <v>0</v>
      </c>
      <c r="C14" s="139">
        <f>IFERROR(C41*$C$8,0)</f>
        <v>37.401600000000009</v>
      </c>
      <c r="D14" s="139">
        <f>IFERROR(D41*$D$8,0)</f>
        <v>42.731999999999985</v>
      </c>
      <c r="E14" s="139">
        <f>IFERROR(E41*$E$8,0)</f>
        <v>97.975999999999971</v>
      </c>
      <c r="F14" s="139">
        <f>IFERROR(F41*$F$8,0)</f>
        <v>0</v>
      </c>
      <c r="G14" s="139">
        <f>IFERROR(G41*$G$8,0)</f>
        <v>4.0569999999999986</v>
      </c>
      <c r="H14" s="138">
        <f t="shared" si="2"/>
        <v>182.16659999999996</v>
      </c>
      <c r="J14" s="138">
        <f t="shared" si="3"/>
        <v>66308.642399999982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1394.3000000000002</v>
      </c>
      <c r="F15" s="139">
        <v>0</v>
      </c>
      <c r="G15" s="139">
        <v>0</v>
      </c>
      <c r="H15" s="138">
        <f t="shared" si="2"/>
        <v>1394.3000000000002</v>
      </c>
      <c r="I15" s="177"/>
      <c r="J15" s="138">
        <f t="shared" si="3"/>
        <v>507525.20000000007</v>
      </c>
      <c r="L15" s="236">
        <f>J12+J15</f>
        <v>839068.41200000001</v>
      </c>
      <c r="M15" s="238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181.25900000000004</v>
      </c>
      <c r="F16" s="140">
        <v>0</v>
      </c>
      <c r="G16" s="139">
        <v>0</v>
      </c>
      <c r="H16" s="138">
        <f t="shared" si="2"/>
        <v>181.25900000000004</v>
      </c>
      <c r="I16" s="155"/>
      <c r="J16" s="138">
        <f t="shared" si="3"/>
        <v>65978.276000000013</v>
      </c>
      <c r="L16" s="237">
        <f>L15*M16</f>
        <v>671254.72960000008</v>
      </c>
      <c r="M16" s="238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823.20104408213672</v>
      </c>
      <c r="D17" s="159">
        <f>SUM(D10:D16)</f>
        <v>661.96174374582654</v>
      </c>
      <c r="E17" s="159">
        <f>SUM(E10:E16)</f>
        <v>3163.0102493530085</v>
      </c>
      <c r="F17" s="159">
        <f>SUM(F10:F16)</f>
        <v>0</v>
      </c>
      <c r="G17" s="159">
        <f>SUM(G10:G16)</f>
        <v>103.13661924168555</v>
      </c>
      <c r="H17" s="159">
        <f>SUM(H10:H16)</f>
        <v>4751.3096564226571</v>
      </c>
      <c r="J17" s="228">
        <f t="shared" si="3"/>
        <v>1729476.7149378471</v>
      </c>
      <c r="L17" s="237">
        <f>L15*M17</f>
        <v>167813.68240000002</v>
      </c>
      <c r="M17" s="238">
        <v>0.2</v>
      </c>
    </row>
    <row r="18" spans="1:13" ht="15.75" thickBot="1">
      <c r="A18" s="216"/>
      <c r="B18" s="217">
        <f>B17</f>
        <v>0</v>
      </c>
      <c r="C18" s="217">
        <f>C17</f>
        <v>823.20104408213672</v>
      </c>
      <c r="D18" s="217">
        <f>D17</f>
        <v>661.96174374582654</v>
      </c>
      <c r="E18" s="217">
        <f>E17-E15-E16</f>
        <v>1587.4512493530083</v>
      </c>
      <c r="F18" s="217">
        <f>F17</f>
        <v>0</v>
      </c>
      <c r="G18" s="217">
        <f>G17</f>
        <v>103.13661924168555</v>
      </c>
      <c r="H18" s="217"/>
      <c r="I18" s="217">
        <f>E15+E16</f>
        <v>1575.5590000000002</v>
      </c>
      <c r="J18" s="217"/>
      <c r="L18" s="235"/>
    </row>
    <row r="19" spans="1:13" ht="15.75" thickBot="1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181.25900000000004</v>
      </c>
      <c r="J19" s="248">
        <f>H11+H12+H15</f>
        <v>4040.5928338613489</v>
      </c>
    </row>
    <row r="20" spans="1:13" ht="15.75" thickBot="1">
      <c r="A20" s="218" t="s">
        <v>188</v>
      </c>
      <c r="B20" s="379">
        <f>Handling!C83+Handling!R39+Handling!R45+Handling!V52+Handling!AC39</f>
        <v>1394.3000000000002</v>
      </c>
      <c r="C20" s="219">
        <f>B20*'P&amp;L'!$R$10</f>
        <v>181.25900000000004</v>
      </c>
      <c r="D20" s="219">
        <f>SUM(B20:C20)</f>
        <v>1575.5590000000002</v>
      </c>
      <c r="G20" s="177"/>
      <c r="J20" s="248">
        <f>H13+H14+H16</f>
        <v>710.71682256130816</v>
      </c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34.300043503422366</v>
      </c>
      <c r="D24" s="139">
        <f>IFERROR(((D10+D11+D12+D13+D14)/D8),0)</f>
        <v>18.387826215161848</v>
      </c>
      <c r="E24" s="139">
        <f>IFERROR(((E10+E11+E12+E13+E14)/E8),0)</f>
        <v>10.726021955087893</v>
      </c>
      <c r="F24" s="139">
        <f>IFERROR(((F10+F11+F12+F13+F14)/F8),0)</f>
        <v>0</v>
      </c>
      <c r="G24" s="139">
        <f>IFERROR(((G10+G11+G12+G13+G14)/G8),0)</f>
        <v>20.62732384833711</v>
      </c>
    </row>
    <row r="25" spans="1:13" ht="15.75" thickBot="1">
      <c r="A25" s="135" t="s">
        <v>180</v>
      </c>
      <c r="B25" s="139">
        <f t="shared" ref="B25:F25" si="5">IFERROR(((B13+B14)/B8),0)</f>
        <v>0</v>
      </c>
      <c r="C25" s="139">
        <f t="shared" si="5"/>
        <v>5.9977974985527309</v>
      </c>
      <c r="D25" s="139">
        <f t="shared" si="5"/>
        <v>3.0388650673727784</v>
      </c>
      <c r="E25" s="139">
        <f t="shared" si="5"/>
        <v>1.7477574912969762</v>
      </c>
      <c r="F25" s="139">
        <f t="shared" si="5"/>
        <v>0</v>
      </c>
      <c r="G25" s="139">
        <f>IFERROR(((G13+G14)/G8),0)</f>
        <v>3.4886862917340293</v>
      </c>
    </row>
    <row r="26" spans="1:13" ht="15.75" thickBot="1">
      <c r="A26" s="135" t="s">
        <v>181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2" customFormat="1">
      <c r="A27" s="233"/>
      <c r="B27" s="234"/>
      <c r="C27" s="234"/>
      <c r="D27" s="234"/>
      <c r="E27" s="234"/>
      <c r="F27" s="234"/>
      <c r="G27" s="234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2</v>
      </c>
      <c r="C29" s="158">
        <v>110</v>
      </c>
    </row>
    <row r="30" spans="1:13" ht="15.75" thickBot="1">
      <c r="A30" s="135" t="s">
        <v>163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>
      <c r="A31" s="135" t="s">
        <v>164</v>
      </c>
      <c r="B31" s="320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615.30738014608892</v>
      </c>
      <c r="D31" s="139">
        <f>IFERROR(IF($B$29=$B$29,SUMIF(Food!$C:$C,D$9&amp;$B$29&amp;$C$29,Food!$X:$X),0),"")</f>
        <v>414.21429050271905</v>
      </c>
      <c r="E31" s="139">
        <f>IFERROR(IF($B$29=$B$29,SUMIF(Food!$C:$C,E$9&amp;$B$29&amp;$C$29,Food!$X:$X),0),"")</f>
        <v>1042.9606613375286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78.489825339618463</v>
      </c>
      <c r="H31" s="303" t="s">
        <v>190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233.76</v>
      </c>
      <c r="D32" s="139">
        <f>IFERROR(IF($B$29=$B$29,SUMIF(Food!$C:$C,D$9&amp;$B$29&amp;$C$29,Food!$Z:$Z),0),"")</f>
        <v>261.14000000000004</v>
      </c>
      <c r="E32" s="139">
        <f>IFERROR(IF($B$29=$B$29,SUMIF(Food!$C:$C,E$9&amp;$B$29&amp;$C$29,Food!$Z:$Z),0),"")</f>
        <v>609.04000000000008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24.342000000000006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133.1819249565819</v>
      </c>
      <c r="D33" s="139">
        <f>IFERROR(IF($B$29=$B$29,SUMIF(Food!$C:$C,D$9&amp;$B$29&amp;$C$29,Food!$AB:$AB),0),"")</f>
        <v>81.482062964402274</v>
      </c>
      <c r="E33" s="139">
        <f>IFERROR(IF($B$29=$B$29,SUMIF(Food!$C:$C,E$9&amp;$B$29&amp;$C$29,Food!$AB:$AB),0),"")</f>
        <v>199.77937839864364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16.06371775040418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46.752000000000017</v>
      </c>
      <c r="D34" s="139">
        <f>IFERROR(IF($B$29=$B$29,SUMIF(Food!$C:$C,D$9&amp;$B$29&amp;$C$29,Food!$AC:$AC),0),"")</f>
        <v>52.227999999999987</v>
      </c>
      <c r="E34" s="139">
        <f>IFERROR(IF($B$29=$B$29,SUMIF(Food!$C:$C,E$9&amp;$B$29&amp;$C$29,Food!$AC:$AC),0),"")</f>
        <v>121.80799999999996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4.8683999999999985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8">IFERROR(B31/B7," ")</f>
        <v xml:space="preserve"> </v>
      </c>
      <c r="C38" s="139">
        <f t="shared" si="8"/>
        <v>20.510246004869632</v>
      </c>
      <c r="D38" s="139">
        <f t="shared" si="8"/>
        <v>9.4139611477890686</v>
      </c>
      <c r="E38" s="139">
        <f t="shared" si="8"/>
        <v>5.6682644637909165</v>
      </c>
      <c r="F38" s="139" t="str">
        <f t="shared" si="8"/>
        <v xml:space="preserve"> </v>
      </c>
      <c r="G38" s="139">
        <f t="shared" si="8"/>
        <v>13.081637556603077</v>
      </c>
    </row>
    <row r="39" spans="1:7" ht="15.75" thickBot="1">
      <c r="A39" s="135" t="s">
        <v>165</v>
      </c>
      <c r="B39" s="139" t="str">
        <f t="shared" ref="B39:G39" si="9">IFERROR(B32/B7," ")</f>
        <v xml:space="preserve"> </v>
      </c>
      <c r="C39" s="139">
        <f t="shared" si="9"/>
        <v>7.7919999999999998</v>
      </c>
      <c r="D39" s="139">
        <f t="shared" si="9"/>
        <v>5.9350000000000014</v>
      </c>
      <c r="E39" s="139">
        <f t="shared" si="9"/>
        <v>3.3100000000000005</v>
      </c>
      <c r="F39" s="139" t="str">
        <f t="shared" si="9"/>
        <v xml:space="preserve"> </v>
      </c>
      <c r="G39" s="139">
        <f t="shared" si="9"/>
        <v>4.0570000000000013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4.4393974985527302</v>
      </c>
      <c r="D40" s="139">
        <f>IFERROR(D33/D7," ")</f>
        <v>1.851865067372779</v>
      </c>
      <c r="E40" s="139">
        <f>IFERROR(E33/E7," ")</f>
        <v>1.0857574912969763</v>
      </c>
      <c r="F40" s="139" t="str">
        <f>IFERROR(F33/F7," ")</f>
        <v xml:space="preserve"> </v>
      </c>
      <c r="G40" s="139">
        <f>IFERROR(G33/G7," ")</f>
        <v>2.6772862917340299</v>
      </c>
    </row>
    <row r="41" spans="1:7" ht="15.75" thickBot="1">
      <c r="A41" s="135" t="s">
        <v>186</v>
      </c>
      <c r="B41" s="139" t="str">
        <f t="shared" ref="B41:G41" si="10">IFERROR(B34/B7," ")</f>
        <v xml:space="preserve"> </v>
      </c>
      <c r="C41" s="139">
        <f t="shared" si="10"/>
        <v>1.5584000000000005</v>
      </c>
      <c r="D41" s="139">
        <f t="shared" si="10"/>
        <v>1.1869999999999996</v>
      </c>
      <c r="E41" s="139">
        <f t="shared" si="10"/>
        <v>0.66199999999999981</v>
      </c>
      <c r="F41" s="139" t="str">
        <f t="shared" si="10"/>
        <v xml:space="preserve"> </v>
      </c>
      <c r="G41" s="139">
        <f t="shared" si="10"/>
        <v>0.81139999999999979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51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 t="e">
        <f>H17*H4</f>
        <v>#REF!</v>
      </c>
      <c r="L4" s="243"/>
      <c r="M4" s="243"/>
    </row>
    <row r="5" spans="1:13" ht="15.75" thickBot="1">
      <c r="A5" s="137" t="s">
        <v>149</v>
      </c>
      <c r="L5" s="243"/>
      <c r="M5" s="243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6" t="e">
        <f>J12+J15</f>
        <v>#REF!</v>
      </c>
      <c r="M15" s="238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7" t="e">
        <f>L15*M16</f>
        <v>#REF!</v>
      </c>
      <c r="M16" s="238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8" t="e">
        <f t="shared" si="3"/>
        <v>#REF!</v>
      </c>
      <c r="L17" s="237" t="e">
        <f>L15*M17</f>
        <v>#REF!</v>
      </c>
      <c r="M17" s="238">
        <v>0.2</v>
      </c>
    </row>
    <row r="18" spans="1:13" ht="15.75" thickBot="1">
      <c r="A18" s="216"/>
      <c r="B18" s="217">
        <f>B17</f>
        <v>0</v>
      </c>
      <c r="C18" s="217">
        <f>C17</f>
        <v>0</v>
      </c>
      <c r="D18" s="217">
        <f>D17</f>
        <v>0</v>
      </c>
      <c r="E18" s="217" t="e">
        <f>E17-E15-E16</f>
        <v>#REF!</v>
      </c>
      <c r="F18" s="217">
        <f>F17</f>
        <v>0</v>
      </c>
      <c r="G18" s="217">
        <f>G17</f>
        <v>0</v>
      </c>
      <c r="H18" s="217"/>
      <c r="I18" s="217" t="e">
        <f>E15+E16</f>
        <v>#REF!</v>
      </c>
      <c r="J18" s="217"/>
      <c r="L18" s="235"/>
    </row>
    <row r="19" spans="1:13" ht="15.75" thickBot="1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8" t="s">
        <v>188</v>
      </c>
      <c r="B20" s="219" t="e">
        <f>Handling!C22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>
      <c r="A27" s="233"/>
      <c r="B27" s="234"/>
      <c r="C27" s="234"/>
      <c r="D27" s="234"/>
      <c r="E27" s="234"/>
      <c r="F27" s="234"/>
      <c r="G27" s="234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2</v>
      </c>
      <c r="C29" s="158">
        <v>2037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/>
    <row r="2" spans="1:13" ht="15.75" thickBot="1">
      <c r="A2" s="451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 t="e">
        <f>H17*H4</f>
        <v>#REF!</v>
      </c>
      <c r="L4" s="243"/>
      <c r="M4" s="243"/>
    </row>
    <row r="5" spans="1:13" ht="15.75" thickBot="1">
      <c r="A5" s="137" t="s">
        <v>149</v>
      </c>
      <c r="L5" s="243"/>
      <c r="M5" s="243"/>
    </row>
    <row r="6" spans="1:13" ht="15.75" thickBot="1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>SUM(B14:G14)</f>
        <v>0</v>
      </c>
      <c r="J14" s="138">
        <f t="shared" si="3"/>
        <v>0</v>
      </c>
      <c r="L14" s="157" t="s">
        <v>168</v>
      </c>
      <c r="M14" s="157"/>
    </row>
    <row r="15" spans="1:13" ht="15.75" thickBot="1">
      <c r="A15" s="135" t="s">
        <v>169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6" t="e">
        <f>J12+J15</f>
        <v>#REF!</v>
      </c>
      <c r="M15" s="238">
        <v>1</v>
      </c>
    </row>
    <row r="16" spans="1:13" ht="15.75" thickBot="1">
      <c r="A16" s="135" t="s">
        <v>170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7" t="e">
        <f>L15*M16</f>
        <v>#REF!</v>
      </c>
      <c r="M16" s="238">
        <v>0.8</v>
      </c>
    </row>
    <row r="17" spans="1:13" ht="15.75" thickBot="1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8" t="e">
        <f t="shared" si="3"/>
        <v>#REF!</v>
      </c>
      <c r="L17" s="237" t="e">
        <f>L15*M17</f>
        <v>#REF!</v>
      </c>
      <c r="M17" s="238">
        <v>0.2</v>
      </c>
    </row>
    <row r="18" spans="1:13" ht="15.75" thickBot="1">
      <c r="A18" s="216"/>
      <c r="B18" s="217">
        <f>B17</f>
        <v>0</v>
      </c>
      <c r="C18" s="217">
        <f>C17</f>
        <v>0</v>
      </c>
      <c r="D18" s="217">
        <f>D17</f>
        <v>0</v>
      </c>
      <c r="E18" s="217" t="e">
        <f>E17-E15-E16</f>
        <v>#REF!</v>
      </c>
      <c r="F18" s="217">
        <f>F17</f>
        <v>0</v>
      </c>
      <c r="G18" s="217">
        <f>G17</f>
        <v>0</v>
      </c>
      <c r="H18" s="217"/>
      <c r="I18" s="217" t="e">
        <f>E15+E16</f>
        <v>#REF!</v>
      </c>
      <c r="J18" s="217"/>
      <c r="L18" s="235"/>
    </row>
    <row r="19" spans="1:13" ht="15.75" thickBot="1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>
      <c r="A20" s="218" t="s">
        <v>188</v>
      </c>
      <c r="B20" s="219" t="e">
        <f>Handling!C22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/>
    <row r="24" spans="1:13" ht="15.75" thickBot="1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>
      <c r="A27" s="233"/>
      <c r="B27" s="234"/>
      <c r="C27" s="234"/>
      <c r="D27" s="234"/>
      <c r="E27" s="234"/>
      <c r="F27" s="234"/>
      <c r="G27" s="234"/>
    </row>
    <row r="28" spans="1:13">
      <c r="B28" s="158" t="s">
        <v>182</v>
      </c>
      <c r="C28" s="158" t="s">
        <v>183</v>
      </c>
    </row>
    <row r="29" spans="1:13" ht="15.75" thickBot="1">
      <c r="A29" s="158" t="s">
        <v>184</v>
      </c>
      <c r="B29" s="158">
        <f>'P&amp;L'!R5</f>
        <v>2</v>
      </c>
      <c r="C29" s="158">
        <v>2817</v>
      </c>
    </row>
    <row r="30" spans="1:13" ht="15.75" thickBot="1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>
      <c r="A35" s="150"/>
      <c r="B35" s="151"/>
      <c r="C35" s="151"/>
      <c r="D35" s="151"/>
      <c r="E35" s="151"/>
      <c r="F35" s="151"/>
      <c r="G35" s="151"/>
    </row>
    <row r="36" spans="1:7" ht="15.75" thickBot="1">
      <c r="A36" s="158" t="s">
        <v>187</v>
      </c>
    </row>
    <row r="37" spans="1:7" ht="15.75" thickBot="1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>
      <c r="B42" s="152"/>
      <c r="C42" s="152"/>
    </row>
    <row r="43" spans="1:7">
      <c r="B43" s="152"/>
      <c r="C43" s="152"/>
    </row>
    <row r="108" spans="1:1">
      <c r="A108" s="136">
        <v>388</v>
      </c>
    </row>
    <row r="109" spans="1:1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B61" zoomScale="149" zoomScaleNormal="85" workbookViewId="0">
      <selection activeCell="AE40" sqref="AE40"/>
    </sheetView>
  </sheetViews>
  <sheetFormatPr defaultColWidth="8.7109375" defaultRowHeight="15"/>
  <cols>
    <col min="1" max="1" width="21.42578125" style="35" bestFit="1" customWidth="1"/>
    <col min="2" max="2" width="13.42578125" style="35" customWidth="1"/>
    <col min="3" max="3" width="22.85546875" style="35" customWidth="1"/>
    <col min="4" max="4" width="13.5703125" style="35" bestFit="1" customWidth="1"/>
    <col min="5" max="5" width="14.28515625" style="35" bestFit="1" customWidth="1"/>
    <col min="6" max="6" width="14.7109375" style="35" bestFit="1" customWidth="1"/>
    <col min="7" max="7" width="9.42578125" style="35" bestFit="1" customWidth="1"/>
    <col min="8" max="13" width="9.42578125" style="35" customWidth="1"/>
    <col min="14" max="14" width="10.7109375" style="35" customWidth="1"/>
    <col min="15" max="15" width="29.7109375" style="35" bestFit="1" customWidth="1"/>
    <col min="16" max="16" width="14.7109375" style="35" customWidth="1"/>
    <col min="17" max="18" width="11" style="35" bestFit="1" customWidth="1"/>
    <col min="19" max="19" width="11" style="35" customWidth="1"/>
    <col min="20" max="20" width="11.28515625" style="35" customWidth="1"/>
    <col min="21" max="21" width="43.28515625" style="35" bestFit="1" customWidth="1"/>
    <col min="22" max="22" width="9.85546875" style="35" bestFit="1" customWidth="1"/>
    <col min="23" max="27" width="8.7109375" style="35"/>
    <col min="28" max="28" width="14.5703125" style="35" bestFit="1" customWidth="1"/>
    <col min="29" max="29" width="15.7109375" style="35" bestFit="1" customWidth="1"/>
    <col min="30" max="16384" width="8.7109375" style="35"/>
  </cols>
  <sheetData>
    <row r="1" spans="1:21" hidden="1">
      <c r="A1" s="34" t="s">
        <v>191</v>
      </c>
    </row>
    <row r="2" spans="1:21" hidden="1">
      <c r="A2" s="34"/>
      <c r="B2" s="279" t="s">
        <v>192</v>
      </c>
    </row>
    <row r="3" spans="1:21" ht="15.75" hidden="1" thickBot="1">
      <c r="A3" s="36" t="s">
        <v>193</v>
      </c>
      <c r="B3" s="37" t="s">
        <v>150</v>
      </c>
      <c r="D3" s="6" t="s">
        <v>194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>
      <c r="A4" s="40" t="s">
        <v>195</v>
      </c>
      <c r="B4" s="41">
        <f>+E3</f>
        <v>350</v>
      </c>
      <c r="C4" s="294" t="s">
        <v>196</v>
      </c>
      <c r="D4" s="11" t="s">
        <v>150</v>
      </c>
      <c r="E4" s="42" t="s">
        <v>43</v>
      </c>
      <c r="F4" s="42" t="s">
        <v>44</v>
      </c>
      <c r="G4" s="42" t="s">
        <v>197</v>
      </c>
      <c r="H4" s="42"/>
      <c r="I4" s="42"/>
      <c r="J4" s="42"/>
      <c r="K4" s="42"/>
      <c r="L4" s="42"/>
      <c r="M4" s="42"/>
      <c r="N4" s="42" t="s">
        <v>48</v>
      </c>
      <c r="O4" s="42" t="s">
        <v>151</v>
      </c>
    </row>
    <row r="5" spans="1:21" ht="15.75" hidden="1" thickBot="1">
      <c r="A5" s="43" t="s">
        <v>198</v>
      </c>
      <c r="B5" s="121">
        <f>+'FlightConfig '!K2</f>
        <v>0</v>
      </c>
      <c r="D5" s="14" t="s">
        <v>153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/>
    <row r="7" spans="1:21" hidden="1">
      <c r="A7" s="34" t="s">
        <v>199</v>
      </c>
    </row>
    <row r="8" spans="1:21" hidden="1">
      <c r="A8" s="261" t="s">
        <v>200</v>
      </c>
      <c r="B8" s="262" t="s">
        <v>201</v>
      </c>
      <c r="C8" s="262" t="s">
        <v>202</v>
      </c>
      <c r="D8" s="262" t="s">
        <v>203</v>
      </c>
      <c r="E8" s="262" t="s">
        <v>204</v>
      </c>
      <c r="F8" s="262" t="s">
        <v>205</v>
      </c>
      <c r="G8" s="262" t="s">
        <v>206</v>
      </c>
      <c r="H8" s="262"/>
      <c r="I8" s="262"/>
      <c r="J8" s="262"/>
      <c r="K8" s="262"/>
      <c r="L8" s="262"/>
      <c r="M8" s="262"/>
      <c r="N8" s="262" t="s">
        <v>207</v>
      </c>
      <c r="O8" s="263" t="s">
        <v>208</v>
      </c>
      <c r="Q8" s="34"/>
    </row>
    <row r="9" spans="1:21" hidden="1">
      <c r="A9" s="264" t="s">
        <v>209</v>
      </c>
      <c r="B9" s="265">
        <v>1</v>
      </c>
      <c r="C9" s="265">
        <v>1</v>
      </c>
      <c r="D9" s="265">
        <f>$B$5*B9</f>
        <v>0</v>
      </c>
      <c r="E9" s="265">
        <f>C9*D9*52</f>
        <v>0</v>
      </c>
      <c r="F9" s="266">
        <v>18</v>
      </c>
      <c r="G9" s="267" t="e">
        <f>F9*#REF!</f>
        <v>#REF!</v>
      </c>
      <c r="H9" s="267"/>
      <c r="I9" s="267"/>
      <c r="J9" s="267"/>
      <c r="K9" s="267"/>
      <c r="L9" s="267"/>
      <c r="M9" s="267"/>
      <c r="N9" s="267" t="e">
        <f>E9*#REF!</f>
        <v>#REF!</v>
      </c>
      <c r="O9" s="273" t="e">
        <f>(B9*#REF!)*C9</f>
        <v>#REF!</v>
      </c>
      <c r="P9" s="279"/>
      <c r="Q9" s="50" t="s">
        <v>210</v>
      </c>
      <c r="R9" s="49"/>
      <c r="S9" s="49"/>
      <c r="T9" s="49"/>
      <c r="U9" s="50"/>
    </row>
    <row r="10" spans="1:21" hidden="1">
      <c r="A10" s="48" t="s">
        <v>211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68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4" t="e">
        <f>(B10*#REF!)*C10</f>
        <v>#REF!</v>
      </c>
      <c r="P10" s="279"/>
      <c r="Q10" s="50" t="s">
        <v>212</v>
      </c>
      <c r="R10" s="49"/>
      <c r="S10" s="49"/>
      <c r="T10" s="49"/>
      <c r="U10" s="50"/>
    </row>
    <row r="11" spans="1:21" hidden="1">
      <c r="A11" s="48" t="s">
        <v>213</v>
      </c>
      <c r="B11" s="49">
        <v>1</v>
      </c>
      <c r="C11" s="295">
        <v>2</v>
      </c>
      <c r="D11" s="49">
        <f>$B$5*B11</f>
        <v>0</v>
      </c>
      <c r="E11" s="49">
        <f>C11*D11*52</f>
        <v>0</v>
      </c>
      <c r="F11" s="268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4" t="e">
        <f>(B11*#REF!)*C11</f>
        <v>#REF!</v>
      </c>
      <c r="P11" s="51"/>
      <c r="Q11" s="312" t="s">
        <v>214</v>
      </c>
      <c r="R11" s="312" t="s">
        <v>215</v>
      </c>
      <c r="S11" s="312"/>
      <c r="T11" s="312" t="s">
        <v>216</v>
      </c>
      <c r="U11" s="312" t="s">
        <v>217</v>
      </c>
    </row>
    <row r="12" spans="1:21" hidden="1">
      <c r="A12" s="48" t="s">
        <v>218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68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4" t="e">
        <f>(B12*#REF!)*C12</f>
        <v>#REF!</v>
      </c>
      <c r="P12" s="279"/>
      <c r="Q12" s="312" t="e">
        <f>#REF!/2</f>
        <v>#REF!</v>
      </c>
      <c r="R12" s="312">
        <v>12</v>
      </c>
      <c r="S12" s="312"/>
      <c r="T12" s="312" t="e">
        <f>Q12+R12</f>
        <v>#REF!</v>
      </c>
      <c r="U12" s="313" t="e">
        <f>T12+#REF!</f>
        <v>#REF!</v>
      </c>
    </row>
    <row r="13" spans="1:21" ht="15.75" hidden="1" thickBot="1">
      <c r="A13" s="59" t="s">
        <v>219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75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76" t="e">
        <f>(B13*#REF!)*C13</f>
        <v>#REF!</v>
      </c>
      <c r="Q13" s="51"/>
      <c r="R13" s="51"/>
      <c r="S13" s="51"/>
    </row>
    <row r="14" spans="1:21" ht="15.75" hidden="1" thickBot="1">
      <c r="A14" s="269" t="s">
        <v>220</v>
      </c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1" t="e">
        <f>SUM(N9:N13)</f>
        <v>#REF!</v>
      </c>
      <c r="O14" s="272" t="e">
        <f>SUM(O9:O13)</f>
        <v>#REF!</v>
      </c>
    </row>
    <row r="15" spans="1:21" hidden="1"/>
    <row r="16" spans="1:21" hidden="1"/>
    <row r="17" spans="1:20" hidden="1">
      <c r="A17" s="45" t="s">
        <v>221</v>
      </c>
      <c r="B17" s="46" t="s">
        <v>222</v>
      </c>
      <c r="C17" s="46" t="s">
        <v>223</v>
      </c>
      <c r="D17" s="46" t="s">
        <v>224</v>
      </c>
      <c r="E17" s="46" t="s">
        <v>225</v>
      </c>
      <c r="F17" s="46" t="s">
        <v>226</v>
      </c>
      <c r="G17" s="56" t="s">
        <v>227</v>
      </c>
      <c r="H17" s="56"/>
      <c r="I17" s="56"/>
      <c r="J17" s="56"/>
      <c r="K17" s="56"/>
      <c r="L17" s="56"/>
      <c r="M17" s="56"/>
      <c r="N17" s="46" t="s">
        <v>228</v>
      </c>
      <c r="O17" s="57"/>
      <c r="P17" s="56" t="s">
        <v>229</v>
      </c>
      <c r="Q17" s="47" t="s">
        <v>230</v>
      </c>
      <c r="T17" s="332" t="s">
        <v>231</v>
      </c>
    </row>
    <row r="18" spans="1:20" hidden="1">
      <c r="A18" s="48" t="s">
        <v>232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233</v>
      </c>
    </row>
    <row r="19" spans="1:20" ht="15.75" hidden="1" thickBot="1">
      <c r="A19" s="59" t="s">
        <v>234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235</v>
      </c>
    </row>
    <row r="20" spans="1:20" hidden="1">
      <c r="T20" s="53" t="s">
        <v>236</v>
      </c>
    </row>
    <row r="21" spans="1:20" hidden="1">
      <c r="T21" s="53" t="s">
        <v>237</v>
      </c>
    </row>
    <row r="22" spans="1:20" hidden="1">
      <c r="A22" s="36" t="s">
        <v>238</v>
      </c>
      <c r="B22" s="65"/>
      <c r="C22" s="66" t="e">
        <f>SUM(O14,Q18,Q19)</f>
        <v>#REF!</v>
      </c>
      <c r="Q22" s="51"/>
      <c r="T22" s="53" t="s">
        <v>239</v>
      </c>
    </row>
    <row r="23" spans="1:20" hidden="1">
      <c r="A23" s="40" t="s">
        <v>240</v>
      </c>
      <c r="B23" s="64">
        <f>+'P&amp;L'!$R$10</f>
        <v>0.13</v>
      </c>
      <c r="C23" s="58" t="e">
        <f>C22*B23</f>
        <v>#REF!</v>
      </c>
      <c r="E23" s="35" t="s">
        <v>241</v>
      </c>
      <c r="F23" s="35" t="s">
        <v>242</v>
      </c>
      <c r="T23" s="54" t="s">
        <v>243</v>
      </c>
    </row>
    <row r="24" spans="1:20" ht="15.75" hidden="1" thickBot="1">
      <c r="A24" s="67" t="s">
        <v>244</v>
      </c>
      <c r="B24" s="68"/>
      <c r="C24" s="69" t="e">
        <f>C22+C23</f>
        <v>#REF!</v>
      </c>
      <c r="D24" s="35" t="s">
        <v>245</v>
      </c>
      <c r="E24" s="296">
        <v>544.68493150684924</v>
      </c>
      <c r="F24" s="296">
        <v>399.93493150684935</v>
      </c>
    </row>
    <row r="25" spans="1:20" hidden="1"/>
    <row r="26" spans="1:20" hidden="1"/>
    <row r="27" spans="1:20" hidden="1"/>
    <row r="28" spans="1:20" ht="15.75" hidden="1" thickBot="1">
      <c r="A28" s="70" t="s">
        <v>246</v>
      </c>
    </row>
    <row r="29" spans="1:20" hidden="1">
      <c r="A29" s="35" t="s">
        <v>247</v>
      </c>
    </row>
    <row r="30" spans="1:20" hidden="1">
      <c r="A30" s="35" t="s">
        <v>248</v>
      </c>
    </row>
    <row r="31" spans="1:20" hidden="1">
      <c r="A31" s="35" t="s">
        <v>249</v>
      </c>
    </row>
    <row r="32" spans="1:20" ht="33" hidden="1" customHeight="1"/>
    <row r="33" spans="1:30" customFormat="1" hidden="1"/>
    <row r="34" spans="1:30" customFormat="1" hidden="1"/>
    <row r="35" spans="1:30" customFormat="1" hidden="1"/>
    <row r="36" spans="1:30" customFormat="1" ht="60" customHeight="1">
      <c r="A36" s="457" t="s">
        <v>250</v>
      </c>
      <c r="B36" s="457"/>
      <c r="C36" s="457"/>
      <c r="D36" s="457"/>
      <c r="E36" s="457"/>
      <c r="F36" s="457"/>
      <c r="G36" s="457"/>
      <c r="H36" s="384"/>
      <c r="I36" s="384"/>
      <c r="J36" s="384"/>
      <c r="K36" s="384"/>
      <c r="L36" s="384"/>
      <c r="M36" s="384"/>
      <c r="O36" s="457" t="s">
        <v>251</v>
      </c>
      <c r="P36" s="457"/>
      <c r="Q36" s="457"/>
      <c r="R36" s="457"/>
      <c r="S36" s="384"/>
      <c r="U36" s="460" t="s">
        <v>252</v>
      </c>
      <c r="V36" s="460"/>
      <c r="W36" s="460"/>
      <c r="X36" s="460"/>
      <c r="Y36" s="460"/>
      <c r="Z36" s="460"/>
      <c r="AB36" s="456" t="s">
        <v>253</v>
      </c>
      <c r="AC36" s="456"/>
    </row>
    <row r="37" spans="1:30" customFormat="1" ht="87" customHeight="1">
      <c r="A37" s="461" t="s">
        <v>254</v>
      </c>
      <c r="B37" s="462"/>
      <c r="C37" s="467" t="s">
        <v>255</v>
      </c>
      <c r="D37" s="468"/>
      <c r="E37" s="468"/>
      <c r="F37" s="468"/>
      <c r="G37" s="468"/>
      <c r="H37" s="386"/>
      <c r="I37" s="386"/>
      <c r="J37" s="386"/>
      <c r="K37" s="386"/>
      <c r="L37" s="386"/>
      <c r="M37" s="386"/>
      <c r="O37" s="351" t="s">
        <v>256</v>
      </c>
      <c r="P37" s="351" t="s">
        <v>257</v>
      </c>
      <c r="Q37" s="351" t="s">
        <v>258</v>
      </c>
      <c r="R37" s="358" t="s">
        <v>259</v>
      </c>
      <c r="S37" s="385"/>
      <c r="U37" s="458" t="s">
        <v>260</v>
      </c>
      <c r="V37" s="459"/>
      <c r="W37" s="459"/>
      <c r="X37" s="459"/>
      <c r="Y37" s="459"/>
      <c r="Z37" s="459"/>
      <c r="AB37" s="458" t="s">
        <v>260</v>
      </c>
      <c r="AC37" s="459"/>
    </row>
    <row r="38" spans="1:30" customFormat="1" ht="15.6" customHeight="1">
      <c r="A38" s="463"/>
      <c r="B38" s="464"/>
      <c r="C38" s="469" t="s">
        <v>261</v>
      </c>
      <c r="D38" s="469" t="s">
        <v>262</v>
      </c>
      <c r="E38" s="469" t="s">
        <v>263</v>
      </c>
      <c r="F38" s="469" t="s">
        <v>264</v>
      </c>
      <c r="G38" s="469" t="s">
        <v>265</v>
      </c>
      <c r="H38" s="387"/>
      <c r="I38" s="387"/>
      <c r="J38" s="387"/>
      <c r="K38" s="387"/>
      <c r="L38" s="387"/>
      <c r="M38" s="387"/>
      <c r="O38" s="352" t="s">
        <v>266</v>
      </c>
      <c r="P38" s="353"/>
      <c r="Q38" s="353"/>
      <c r="R38" s="353"/>
      <c r="S38" s="381">
        <f>'P&amp;L'!$R$10</f>
        <v>0.13</v>
      </c>
      <c r="U38" s="359" t="s">
        <v>267</v>
      </c>
      <c r="V38" s="360" t="s">
        <v>261</v>
      </c>
      <c r="W38" s="360" t="s">
        <v>262</v>
      </c>
      <c r="X38" s="360" t="s">
        <v>263</v>
      </c>
      <c r="Y38" s="360" t="s">
        <v>264</v>
      </c>
      <c r="Z38" s="360" t="s">
        <v>265</v>
      </c>
      <c r="AB38" s="378" t="s">
        <v>194</v>
      </c>
      <c r="AC38" s="378" t="s">
        <v>268</v>
      </c>
      <c r="AD38" s="381">
        <f>'P&amp;L'!$R$10</f>
        <v>0.13</v>
      </c>
    </row>
    <row r="39" spans="1:30" customFormat="1">
      <c r="A39" s="465"/>
      <c r="B39" s="466"/>
      <c r="C39" s="470"/>
      <c r="D39" s="470"/>
      <c r="E39" s="470"/>
      <c r="F39" s="470"/>
      <c r="G39" s="471"/>
      <c r="H39" s="387"/>
      <c r="I39" s="387"/>
      <c r="J39" s="387"/>
      <c r="K39" s="387"/>
      <c r="L39" s="387"/>
      <c r="M39" s="387"/>
      <c r="O39" s="354" t="s">
        <v>261</v>
      </c>
      <c r="P39" s="355">
        <v>335</v>
      </c>
      <c r="Q39" s="355">
        <v>0.4</v>
      </c>
      <c r="R39" s="357">
        <v>134</v>
      </c>
      <c r="S39" s="380">
        <f>R39*(1+$S$38)</f>
        <v>151.41999999999999</v>
      </c>
      <c r="U39" s="361" t="s">
        <v>269</v>
      </c>
      <c r="V39" s="362"/>
      <c r="W39" s="362"/>
      <c r="X39" s="362"/>
      <c r="Y39" s="362"/>
      <c r="Z39" s="363"/>
      <c r="AB39" s="360" t="s">
        <v>261</v>
      </c>
      <c r="AC39" s="355">
        <v>300</v>
      </c>
      <c r="AD39" s="380">
        <f>AC39*(1+$S$38)</f>
        <v>338.99999999999994</v>
      </c>
    </row>
    <row r="40" spans="1:30" customFormat="1" ht="17.45" customHeight="1">
      <c r="A40" s="453" t="s">
        <v>270</v>
      </c>
      <c r="B40" s="453"/>
      <c r="C40" s="453"/>
      <c r="D40" s="453"/>
      <c r="E40" s="453"/>
      <c r="F40" s="453"/>
      <c r="G40" s="453"/>
      <c r="H40" s="388"/>
      <c r="I40" s="388"/>
      <c r="J40" s="388"/>
      <c r="K40" s="388"/>
      <c r="L40" s="388"/>
      <c r="M40" s="388"/>
      <c r="O40" s="354" t="s">
        <v>262</v>
      </c>
      <c r="P40" s="355">
        <v>335</v>
      </c>
      <c r="Q40" s="355">
        <v>0.4</v>
      </c>
      <c r="R40" s="357">
        <v>134</v>
      </c>
      <c r="S40" s="380">
        <f t="shared" ref="S40:S43" si="0">R40*(1+$S$38)</f>
        <v>151.41999999999999</v>
      </c>
      <c r="U40" s="364" t="s">
        <v>271</v>
      </c>
      <c r="V40" s="365">
        <v>480</v>
      </c>
      <c r="W40" s="365">
        <v>480</v>
      </c>
      <c r="X40" s="365">
        <v>560</v>
      </c>
      <c r="Y40" s="365">
        <v>560</v>
      </c>
      <c r="Z40" s="365">
        <v>480</v>
      </c>
      <c r="AA40">
        <f>V40/60</f>
        <v>8</v>
      </c>
      <c r="AB40" s="360" t="s">
        <v>262</v>
      </c>
      <c r="AC40" s="355">
        <v>300</v>
      </c>
      <c r="AD40" s="380">
        <f t="shared" ref="AD40:AD43" si="1">AC40*(1+$S$38)</f>
        <v>338.99999999999994</v>
      </c>
    </row>
    <row r="41" spans="1:30" customFormat="1" ht="17.25">
      <c r="A41" s="454" t="s">
        <v>272</v>
      </c>
      <c r="B41" s="455"/>
      <c r="C41" s="454" t="s">
        <v>273</v>
      </c>
      <c r="D41" s="472"/>
      <c r="E41" s="472"/>
      <c r="F41" s="472"/>
      <c r="G41" s="472"/>
      <c r="H41" s="393"/>
      <c r="I41" s="394" t="s">
        <v>274</v>
      </c>
      <c r="J41" s="394" t="s">
        <v>274</v>
      </c>
      <c r="K41" s="394" t="s">
        <v>274</v>
      </c>
      <c r="L41" s="394" t="s">
        <v>274</v>
      </c>
      <c r="M41" s="394" t="s">
        <v>274</v>
      </c>
      <c r="O41" s="354" t="s">
        <v>263</v>
      </c>
      <c r="P41" s="355">
        <v>455</v>
      </c>
      <c r="Q41" s="355">
        <v>0.4</v>
      </c>
      <c r="R41" s="357">
        <v>182</v>
      </c>
      <c r="S41" s="380">
        <f t="shared" si="0"/>
        <v>205.65999999999997</v>
      </c>
      <c r="U41" s="364" t="s">
        <v>275</v>
      </c>
      <c r="V41" s="365">
        <v>0.55000000000000004</v>
      </c>
      <c r="W41" s="365">
        <v>0.55000000000000004</v>
      </c>
      <c r="X41" s="365">
        <v>0.55000000000000004</v>
      </c>
      <c r="Y41" s="365">
        <v>0.55000000000000004</v>
      </c>
      <c r="Z41" s="365">
        <v>0.55000000000000004</v>
      </c>
      <c r="AB41" s="360" t="s">
        <v>263</v>
      </c>
      <c r="AC41" s="355">
        <v>350</v>
      </c>
      <c r="AD41" s="380">
        <f t="shared" si="1"/>
        <v>395.49999999999994</v>
      </c>
    </row>
    <row r="42" spans="1:30" customFormat="1">
      <c r="A42" s="479" t="s">
        <v>276</v>
      </c>
      <c r="B42" s="480"/>
      <c r="C42" s="339">
        <v>496</v>
      </c>
      <c r="D42" s="339">
        <v>480</v>
      </c>
      <c r="E42" s="339">
        <v>648</v>
      </c>
      <c r="F42" s="339">
        <v>340</v>
      </c>
      <c r="G42" s="339">
        <v>485</v>
      </c>
      <c r="H42" s="395">
        <v>0.3</v>
      </c>
      <c r="I42" s="396">
        <f>C42*$H$42</f>
        <v>148.79999999999998</v>
      </c>
      <c r="J42" s="396">
        <f>D42*$H$42</f>
        <v>144</v>
      </c>
      <c r="K42" s="396">
        <f>E42*$H$42</f>
        <v>194.4</v>
      </c>
      <c r="L42" s="396">
        <f>F42*$H$42</f>
        <v>102</v>
      </c>
      <c r="M42" s="396">
        <f>G42*$H$42</f>
        <v>145.5</v>
      </c>
      <c r="O42" s="354" t="s">
        <v>264</v>
      </c>
      <c r="P42" s="355">
        <v>395</v>
      </c>
      <c r="Q42" s="355">
        <v>0.4</v>
      </c>
      <c r="R42" s="357">
        <v>158</v>
      </c>
      <c r="S42" s="380">
        <f t="shared" si="0"/>
        <v>178.54</v>
      </c>
      <c r="U42" s="366" t="s">
        <v>277</v>
      </c>
      <c r="V42" s="367">
        <f>V40*V41</f>
        <v>264</v>
      </c>
      <c r="W42" s="367">
        <f t="shared" ref="W42:Z42" si="2">W40*W41</f>
        <v>264</v>
      </c>
      <c r="X42" s="367">
        <f t="shared" si="2"/>
        <v>308</v>
      </c>
      <c r="Y42" s="367">
        <f t="shared" si="2"/>
        <v>308</v>
      </c>
      <c r="Z42" s="367">
        <f t="shared" si="2"/>
        <v>264</v>
      </c>
      <c r="AB42" s="360" t="s">
        <v>264</v>
      </c>
      <c r="AC42" s="355">
        <v>350</v>
      </c>
      <c r="AD42" s="380">
        <f t="shared" si="1"/>
        <v>395.49999999999994</v>
      </c>
    </row>
    <row r="43" spans="1:30" customFormat="1">
      <c r="A43" s="479" t="s">
        <v>278</v>
      </c>
      <c r="B43" s="480"/>
      <c r="C43" s="339">
        <v>276</v>
      </c>
      <c r="D43" s="339">
        <v>284</v>
      </c>
      <c r="E43" s="339">
        <v>380</v>
      </c>
      <c r="F43" s="339">
        <v>326</v>
      </c>
      <c r="G43" s="339">
        <v>302</v>
      </c>
      <c r="H43" s="395">
        <v>1</v>
      </c>
      <c r="I43" s="396">
        <f>C43*$H$43</f>
        <v>276</v>
      </c>
      <c r="J43" s="396">
        <f>D43*$H$43</f>
        <v>284</v>
      </c>
      <c r="K43" s="396">
        <f>E43*$H$43</f>
        <v>380</v>
      </c>
      <c r="L43" s="396">
        <f>F43*$H$43</f>
        <v>326</v>
      </c>
      <c r="M43" s="396">
        <f>G43*$H$43</f>
        <v>302</v>
      </c>
      <c r="O43" s="354" t="s">
        <v>265</v>
      </c>
      <c r="P43" s="355">
        <v>345</v>
      </c>
      <c r="Q43" s="355">
        <v>0.4</v>
      </c>
      <c r="R43" s="357">
        <v>138</v>
      </c>
      <c r="S43" s="380">
        <f t="shared" si="0"/>
        <v>155.94</v>
      </c>
      <c r="U43" s="364" t="s">
        <v>279</v>
      </c>
      <c r="V43" s="365">
        <v>0</v>
      </c>
      <c r="W43" s="365">
        <v>0</v>
      </c>
      <c r="X43" s="365">
        <v>0</v>
      </c>
      <c r="Y43" s="365">
        <v>0</v>
      </c>
      <c r="Z43" s="365">
        <v>0</v>
      </c>
      <c r="AB43" s="360" t="s">
        <v>265</v>
      </c>
      <c r="AC43" s="355">
        <v>300</v>
      </c>
      <c r="AD43" s="380">
        <f t="shared" si="1"/>
        <v>338.99999999999994</v>
      </c>
    </row>
    <row r="44" spans="1:30" customFormat="1">
      <c r="A44" s="479" t="s">
        <v>280</v>
      </c>
      <c r="B44" s="480"/>
      <c r="C44" s="339">
        <v>414</v>
      </c>
      <c r="D44" s="339">
        <v>420</v>
      </c>
      <c r="E44" s="339">
        <v>492</v>
      </c>
      <c r="F44" s="339">
        <v>258</v>
      </c>
      <c r="G44" s="339">
        <v>414</v>
      </c>
      <c r="H44" s="395">
        <v>0.75</v>
      </c>
      <c r="I44" s="396">
        <f>C44*$H$44</f>
        <v>310.5</v>
      </c>
      <c r="J44" s="396">
        <f>D44*$H$44</f>
        <v>315</v>
      </c>
      <c r="K44" s="396">
        <f>E44*$H$44</f>
        <v>369</v>
      </c>
      <c r="L44" s="396">
        <f>F44*$H$44</f>
        <v>193.5</v>
      </c>
      <c r="M44" s="396">
        <f>G44*$H$44</f>
        <v>310.5</v>
      </c>
      <c r="O44" s="352" t="s">
        <v>281</v>
      </c>
      <c r="P44" s="356"/>
      <c r="Q44" s="356"/>
      <c r="R44" s="356"/>
      <c r="S44" s="381">
        <f>'P&amp;L'!$R$10</f>
        <v>0.13</v>
      </c>
      <c r="U44" s="364" t="s">
        <v>275</v>
      </c>
      <c r="V44" s="365">
        <v>0</v>
      </c>
      <c r="W44" s="365">
        <v>0</v>
      </c>
      <c r="X44" s="365">
        <v>0</v>
      </c>
      <c r="Y44" s="365">
        <v>0</v>
      </c>
      <c r="Z44" s="365">
        <v>0</v>
      </c>
      <c r="AB44" s="477"/>
      <c r="AC44" s="478"/>
    </row>
    <row r="45" spans="1:30" customFormat="1">
      <c r="A45" s="479" t="s">
        <v>282</v>
      </c>
      <c r="B45" s="480"/>
      <c r="C45" s="339">
        <v>60</v>
      </c>
      <c r="D45" s="339">
        <v>60</v>
      </c>
      <c r="E45" s="339">
        <v>82</v>
      </c>
      <c r="F45" s="339">
        <v>34</v>
      </c>
      <c r="G45" s="339">
        <v>59</v>
      </c>
      <c r="H45" s="395">
        <v>0.3</v>
      </c>
      <c r="I45" s="396">
        <f>C45*$H$45</f>
        <v>18</v>
      </c>
      <c r="J45" s="396">
        <f>D45*$H$45</f>
        <v>18</v>
      </c>
      <c r="K45" s="396">
        <f>E45*$H$45</f>
        <v>24.599999999999998</v>
      </c>
      <c r="L45" s="396">
        <f>F45*$H$45</f>
        <v>10.199999999999999</v>
      </c>
      <c r="M45" s="396">
        <f>G45*$H$45</f>
        <v>17.7</v>
      </c>
      <c r="O45" s="354" t="s">
        <v>261</v>
      </c>
      <c r="P45" s="355">
        <v>150</v>
      </c>
      <c r="Q45" s="355">
        <v>0.4</v>
      </c>
      <c r="R45" s="357">
        <v>60</v>
      </c>
      <c r="S45" s="380">
        <f t="shared" ref="S45:S50" si="3">R45*(1+$S$38)</f>
        <v>67.8</v>
      </c>
      <c r="U45" s="366" t="s">
        <v>283</v>
      </c>
      <c r="V45" s="367">
        <v>0</v>
      </c>
      <c r="W45" s="367">
        <v>0</v>
      </c>
      <c r="X45" s="367">
        <v>0</v>
      </c>
      <c r="Y45" s="367">
        <v>0</v>
      </c>
      <c r="Z45" s="367">
        <v>0</v>
      </c>
    </row>
    <row r="46" spans="1:30" customFormat="1">
      <c r="A46" s="479" t="s">
        <v>284</v>
      </c>
      <c r="B46" s="480"/>
      <c r="C46" s="339">
        <v>0</v>
      </c>
      <c r="D46" s="339">
        <v>0</v>
      </c>
      <c r="E46" s="339">
        <v>0</v>
      </c>
      <c r="F46" s="339">
        <v>0</v>
      </c>
      <c r="G46" s="339">
        <v>0</v>
      </c>
      <c r="H46" s="395"/>
      <c r="I46" s="396">
        <f>C46*$H$46</f>
        <v>0</v>
      </c>
      <c r="J46" s="396">
        <f>D46*$H$46</f>
        <v>0</v>
      </c>
      <c r="K46" s="396">
        <f>E46*$H$46</f>
        <v>0</v>
      </c>
      <c r="L46" s="396">
        <f>F46*$H$46</f>
        <v>0</v>
      </c>
      <c r="M46" s="396">
        <f>G46*$H$46</f>
        <v>0</v>
      </c>
      <c r="O46" s="354" t="s">
        <v>262</v>
      </c>
      <c r="P46" s="355">
        <v>150</v>
      </c>
      <c r="Q46" s="355">
        <v>0.4</v>
      </c>
      <c r="R46" s="357">
        <v>60</v>
      </c>
      <c r="S46" s="380">
        <f t="shared" si="3"/>
        <v>67.8</v>
      </c>
      <c r="U46" s="364" t="s">
        <v>285</v>
      </c>
      <c r="V46" s="365">
        <v>30</v>
      </c>
      <c r="W46" s="365">
        <v>30</v>
      </c>
      <c r="X46" s="365">
        <v>30</v>
      </c>
      <c r="Y46" s="365">
        <v>30</v>
      </c>
      <c r="Z46" s="365">
        <v>30</v>
      </c>
    </row>
    <row r="47" spans="1:30" customFormat="1">
      <c r="A47" s="473" t="s">
        <v>286</v>
      </c>
      <c r="B47" s="474"/>
      <c r="C47" s="340">
        <v>1246</v>
      </c>
      <c r="D47" s="340">
        <v>1244</v>
      </c>
      <c r="E47" s="340">
        <v>1602</v>
      </c>
      <c r="F47" s="341">
        <v>958</v>
      </c>
      <c r="G47" s="340">
        <v>1260</v>
      </c>
      <c r="H47" s="395"/>
      <c r="I47" s="397">
        <f t="shared" ref="I47:J47" si="4">SUM(I42:I46)</f>
        <v>753.3</v>
      </c>
      <c r="J47" s="397">
        <f t="shared" si="4"/>
        <v>761</v>
      </c>
      <c r="K47" s="397">
        <f t="shared" ref="K47:M47" si="5">SUM(K42:K46)</f>
        <v>968</v>
      </c>
      <c r="L47" s="397">
        <f t="shared" ref="L47" si="6">SUM(L42:L46)</f>
        <v>631.70000000000005</v>
      </c>
      <c r="M47" s="397">
        <f t="shared" si="5"/>
        <v>775.7</v>
      </c>
      <c r="O47" s="354" t="s">
        <v>263</v>
      </c>
      <c r="P47" s="355">
        <v>200</v>
      </c>
      <c r="Q47" s="355">
        <v>0.4</v>
      </c>
      <c r="R47" s="357">
        <v>80</v>
      </c>
      <c r="S47" s="380">
        <f t="shared" si="3"/>
        <v>90.399999999999991</v>
      </c>
      <c r="U47" s="364" t="s">
        <v>275</v>
      </c>
      <c r="V47" s="365">
        <v>0.44</v>
      </c>
      <c r="W47" s="365">
        <v>0.44</v>
      </c>
      <c r="X47" s="365">
        <v>0.44</v>
      </c>
      <c r="Y47" s="365">
        <v>0.44</v>
      </c>
      <c r="Z47" s="365">
        <v>0.44</v>
      </c>
    </row>
    <row r="48" spans="1:30" customFormat="1">
      <c r="A48" s="473" t="s">
        <v>257</v>
      </c>
      <c r="B48" s="474"/>
      <c r="C48" s="342">
        <f>I47</f>
        <v>753.3</v>
      </c>
      <c r="D48" s="342">
        <f t="shared" ref="D48:G48" si="7">J47</f>
        <v>761</v>
      </c>
      <c r="E48" s="342">
        <f t="shared" si="7"/>
        <v>968</v>
      </c>
      <c r="F48" s="342">
        <f t="shared" si="7"/>
        <v>631.70000000000005</v>
      </c>
      <c r="G48" s="342">
        <f t="shared" si="7"/>
        <v>775.7</v>
      </c>
      <c r="H48" s="389"/>
      <c r="I48" s="389"/>
      <c r="J48" s="389"/>
      <c r="K48" s="389"/>
      <c r="L48" s="389"/>
      <c r="M48" s="389"/>
      <c r="O48" s="354" t="s">
        <v>264</v>
      </c>
      <c r="P48" s="355">
        <v>250</v>
      </c>
      <c r="Q48" s="355">
        <v>0.4</v>
      </c>
      <c r="R48" s="357">
        <v>100</v>
      </c>
      <c r="S48" s="380">
        <f t="shared" si="3"/>
        <v>112.99999999999999</v>
      </c>
      <c r="U48" s="366" t="s">
        <v>287</v>
      </c>
      <c r="V48" s="367">
        <f t="shared" ref="V48:Z48" si="8">V46*V47</f>
        <v>13.2</v>
      </c>
      <c r="W48" s="367">
        <f t="shared" si="8"/>
        <v>13.2</v>
      </c>
      <c r="X48" s="367">
        <f t="shared" si="8"/>
        <v>13.2</v>
      </c>
      <c r="Y48" s="367">
        <f t="shared" si="8"/>
        <v>13.2</v>
      </c>
      <c r="Z48" s="367">
        <f t="shared" si="8"/>
        <v>13.2</v>
      </c>
    </row>
    <row r="49" spans="1:26" customFormat="1">
      <c r="A49" s="473" t="s">
        <v>288</v>
      </c>
      <c r="B49" s="474"/>
      <c r="C49" s="342">
        <v>0.4</v>
      </c>
      <c r="D49" s="342">
        <v>0.4</v>
      </c>
      <c r="E49" s="342">
        <v>0.4</v>
      </c>
      <c r="F49" s="342">
        <v>0.4</v>
      </c>
      <c r="G49" s="342">
        <v>0.4</v>
      </c>
      <c r="H49" s="389"/>
      <c r="I49" s="389"/>
      <c r="J49" s="389"/>
      <c r="K49" s="389"/>
      <c r="L49" s="389"/>
      <c r="M49" s="389"/>
      <c r="O49" s="354" t="s">
        <v>265</v>
      </c>
      <c r="P49" s="355">
        <v>150</v>
      </c>
      <c r="Q49" s="355">
        <v>0.4</v>
      </c>
      <c r="R49" s="357">
        <v>60</v>
      </c>
      <c r="S49" s="380">
        <f t="shared" si="3"/>
        <v>67.8</v>
      </c>
      <c r="U49" s="368" t="s">
        <v>289</v>
      </c>
      <c r="V49" s="365">
        <v>0</v>
      </c>
      <c r="W49" s="365">
        <v>0</v>
      </c>
      <c r="X49" s="365">
        <v>0</v>
      </c>
      <c r="Y49" s="365">
        <v>0</v>
      </c>
      <c r="Z49" s="365">
        <v>0</v>
      </c>
    </row>
    <row r="50" spans="1:26" customFormat="1">
      <c r="A50" s="475" t="s">
        <v>290</v>
      </c>
      <c r="B50" s="476"/>
      <c r="C50" s="343">
        <f>C48*C49</f>
        <v>301.32</v>
      </c>
      <c r="D50" s="343">
        <f t="shared" ref="D50:G50" si="9">D48*D49</f>
        <v>304.40000000000003</v>
      </c>
      <c r="E50" s="343">
        <f t="shared" si="9"/>
        <v>387.20000000000005</v>
      </c>
      <c r="F50" s="343">
        <f t="shared" si="9"/>
        <v>252.68000000000004</v>
      </c>
      <c r="G50" s="343">
        <f t="shared" si="9"/>
        <v>310.28000000000003</v>
      </c>
      <c r="H50" s="390"/>
      <c r="I50" s="390"/>
      <c r="J50" s="390"/>
      <c r="K50" s="390"/>
      <c r="L50" s="390"/>
      <c r="M50" s="390"/>
      <c r="O50" s="354" t="s">
        <v>291</v>
      </c>
      <c r="P50" s="355">
        <v>150</v>
      </c>
      <c r="Q50" s="355">
        <v>0.4</v>
      </c>
      <c r="R50" s="357">
        <v>60</v>
      </c>
      <c r="S50" s="380">
        <f t="shared" si="3"/>
        <v>67.8</v>
      </c>
      <c r="U50" s="368" t="s">
        <v>292</v>
      </c>
      <c r="V50" s="365">
        <v>0</v>
      </c>
      <c r="W50" s="365">
        <v>0</v>
      </c>
      <c r="X50" s="365">
        <v>0</v>
      </c>
      <c r="Y50" s="365">
        <v>0</v>
      </c>
      <c r="Z50" s="365">
        <v>0</v>
      </c>
    </row>
    <row r="51" spans="1:26" customFormat="1" ht="17.25">
      <c r="A51" s="454" t="s">
        <v>293</v>
      </c>
      <c r="B51" s="455"/>
      <c r="C51" s="454" t="s">
        <v>273</v>
      </c>
      <c r="D51" s="472"/>
      <c r="E51" s="472"/>
      <c r="F51" s="472"/>
      <c r="G51" s="472"/>
      <c r="H51" s="393"/>
      <c r="I51" s="394" t="s">
        <v>274</v>
      </c>
      <c r="J51" s="394" t="s">
        <v>274</v>
      </c>
      <c r="K51" s="394" t="s">
        <v>274</v>
      </c>
      <c r="L51" s="394" t="s">
        <v>274</v>
      </c>
      <c r="M51" s="394" t="s">
        <v>274</v>
      </c>
      <c r="U51" s="366" t="s">
        <v>294</v>
      </c>
      <c r="V51" s="367">
        <v>0</v>
      </c>
      <c r="W51" s="367">
        <v>0</v>
      </c>
      <c r="X51" s="367">
        <v>0</v>
      </c>
      <c r="Y51" s="367">
        <v>0</v>
      </c>
      <c r="Z51" s="367">
        <v>0</v>
      </c>
    </row>
    <row r="52" spans="1:26" customFormat="1">
      <c r="A52" s="479" t="s">
        <v>276</v>
      </c>
      <c r="B52" s="480"/>
      <c r="C52" s="339">
        <v>374</v>
      </c>
      <c r="D52" s="339">
        <v>363</v>
      </c>
      <c r="E52" s="339">
        <v>444</v>
      </c>
      <c r="F52" s="339">
        <v>416</v>
      </c>
      <c r="G52" s="339">
        <v>283</v>
      </c>
      <c r="H52" s="395">
        <v>0.3</v>
      </c>
      <c r="I52" s="396">
        <f>$H$52*C52</f>
        <v>112.2</v>
      </c>
      <c r="J52" s="396">
        <f t="shared" ref="J52:M52" si="10">$H$52*D52</f>
        <v>108.89999999999999</v>
      </c>
      <c r="K52" s="396">
        <f t="shared" si="10"/>
        <v>133.19999999999999</v>
      </c>
      <c r="L52" s="396">
        <f t="shared" si="10"/>
        <v>124.8</v>
      </c>
      <c r="M52" s="396">
        <f t="shared" si="10"/>
        <v>84.899999999999991</v>
      </c>
      <c r="P52">
        <f>P39/60</f>
        <v>5.583333333333333</v>
      </c>
      <c r="U52" s="369" t="s">
        <v>295</v>
      </c>
      <c r="V52" s="370">
        <f>V42+V45+V48+V51</f>
        <v>277.2</v>
      </c>
      <c r="W52" s="370">
        <f t="shared" ref="W52:Z52" si="11">W42+W45+W48+W51</f>
        <v>277.2</v>
      </c>
      <c r="X52" s="370">
        <f t="shared" si="11"/>
        <v>321.2</v>
      </c>
      <c r="Y52" s="370">
        <f t="shared" si="11"/>
        <v>321.2</v>
      </c>
      <c r="Z52" s="370">
        <f t="shared" si="11"/>
        <v>277.2</v>
      </c>
    </row>
    <row r="53" spans="1:26" customFormat="1">
      <c r="A53" s="479" t="s">
        <v>278</v>
      </c>
      <c r="B53" s="480"/>
      <c r="C53" s="339">
        <v>192</v>
      </c>
      <c r="D53" s="339">
        <v>184</v>
      </c>
      <c r="E53" s="339">
        <v>224</v>
      </c>
      <c r="F53" s="339">
        <v>224</v>
      </c>
      <c r="G53" s="339">
        <v>140</v>
      </c>
      <c r="H53" s="395">
        <v>1</v>
      </c>
      <c r="I53" s="396">
        <f>$H$53*C53</f>
        <v>192</v>
      </c>
      <c r="J53" s="396">
        <f t="shared" ref="J53:M53" si="12">$H$53*D53</f>
        <v>184</v>
      </c>
      <c r="K53" s="396">
        <f t="shared" si="12"/>
        <v>224</v>
      </c>
      <c r="L53" s="396">
        <f t="shared" si="12"/>
        <v>224</v>
      </c>
      <c r="M53" s="396">
        <f t="shared" si="12"/>
        <v>140</v>
      </c>
      <c r="U53" s="381">
        <f>'P&amp;L'!$R$10</f>
        <v>0.13</v>
      </c>
      <c r="V53" s="380">
        <f>V52*(1+$U$53)</f>
        <v>313.23599999999993</v>
      </c>
      <c r="W53" s="380">
        <f t="shared" ref="W53:Z53" si="13">W52*(1+$U$53)</f>
        <v>313.23599999999993</v>
      </c>
      <c r="X53" s="380">
        <f t="shared" si="13"/>
        <v>362.95599999999996</v>
      </c>
      <c r="Y53" s="380">
        <f t="shared" si="13"/>
        <v>362.95599999999996</v>
      </c>
      <c r="Z53" s="380">
        <f t="shared" si="13"/>
        <v>313.23599999999993</v>
      </c>
    </row>
    <row r="54" spans="1:26" customFormat="1">
      <c r="A54" s="479" t="s">
        <v>280</v>
      </c>
      <c r="B54" s="480"/>
      <c r="C54" s="339">
        <v>288</v>
      </c>
      <c r="D54" s="339">
        <v>276</v>
      </c>
      <c r="E54" s="339">
        <v>336</v>
      </c>
      <c r="F54" s="339">
        <v>336</v>
      </c>
      <c r="G54" s="339">
        <v>210</v>
      </c>
      <c r="H54" s="395">
        <v>0.75</v>
      </c>
      <c r="I54" s="396">
        <f>$H$54*C54</f>
        <v>216</v>
      </c>
      <c r="J54" s="396">
        <f t="shared" ref="J54:M54" si="14">$H$54*D54</f>
        <v>207</v>
      </c>
      <c r="K54" s="396">
        <f t="shared" si="14"/>
        <v>252</v>
      </c>
      <c r="L54" s="396">
        <f t="shared" si="14"/>
        <v>252</v>
      </c>
      <c r="M54" s="396">
        <f t="shared" si="14"/>
        <v>157.5</v>
      </c>
      <c r="U54" s="361" t="s">
        <v>296</v>
      </c>
      <c r="V54" s="362"/>
      <c r="W54" s="362"/>
      <c r="X54" s="362"/>
      <c r="Y54" s="362"/>
      <c r="Z54" s="363"/>
    </row>
    <row r="55" spans="1:26" customFormat="1">
      <c r="A55" s="479" t="s">
        <v>297</v>
      </c>
      <c r="B55" s="480"/>
      <c r="C55" s="339">
        <v>96</v>
      </c>
      <c r="D55" s="339">
        <v>92</v>
      </c>
      <c r="E55" s="339">
        <v>112</v>
      </c>
      <c r="F55" s="339">
        <v>112</v>
      </c>
      <c r="G55" s="339">
        <v>70</v>
      </c>
      <c r="H55" s="395">
        <v>0.3</v>
      </c>
      <c r="I55" s="396">
        <f>$H$55*C55</f>
        <v>28.799999999999997</v>
      </c>
      <c r="J55" s="396">
        <f t="shared" ref="J55:M55" si="15">$H$55*D55</f>
        <v>27.599999999999998</v>
      </c>
      <c r="K55" s="396">
        <f t="shared" si="15"/>
        <v>33.6</v>
      </c>
      <c r="L55" s="396">
        <f t="shared" si="15"/>
        <v>33.6</v>
      </c>
      <c r="M55" s="396">
        <f t="shared" si="15"/>
        <v>21</v>
      </c>
      <c r="U55" s="364" t="s">
        <v>271</v>
      </c>
      <c r="V55" s="365">
        <v>360</v>
      </c>
      <c r="W55" s="365">
        <v>360</v>
      </c>
      <c r="X55" s="365">
        <v>420</v>
      </c>
      <c r="Y55" s="365">
        <v>420</v>
      </c>
      <c r="Z55" s="365">
        <v>360</v>
      </c>
    </row>
    <row r="56" spans="1:26" customFormat="1">
      <c r="A56" s="479" t="s">
        <v>284</v>
      </c>
      <c r="B56" s="480"/>
      <c r="C56" s="339">
        <v>0</v>
      </c>
      <c r="D56" s="339">
        <v>0</v>
      </c>
      <c r="E56" s="339">
        <v>0</v>
      </c>
      <c r="F56" s="339">
        <v>0</v>
      </c>
      <c r="G56" s="339">
        <v>0</v>
      </c>
      <c r="H56" s="395"/>
      <c r="I56" s="396">
        <f t="shared" ref="I56" si="16">H56*C56</f>
        <v>0</v>
      </c>
      <c r="J56" s="396">
        <f t="shared" ref="J56" si="17">I56*D56</f>
        <v>0</v>
      </c>
      <c r="K56" s="396">
        <f t="shared" ref="K56" si="18">J56*E56</f>
        <v>0</v>
      </c>
      <c r="L56" s="396">
        <f t="shared" ref="L56" si="19">K56*F56</f>
        <v>0</v>
      </c>
      <c r="M56" s="396">
        <f t="shared" ref="M56" si="20">L56*G56</f>
        <v>0</v>
      </c>
      <c r="U56" s="364" t="s">
        <v>275</v>
      </c>
      <c r="V56" s="365">
        <v>0.55000000000000004</v>
      </c>
      <c r="W56" s="365">
        <v>0.55000000000000004</v>
      </c>
      <c r="X56" s="365">
        <v>0.55000000000000004</v>
      </c>
      <c r="Y56" s="365">
        <v>0.55000000000000004</v>
      </c>
      <c r="Z56" s="365">
        <v>0.55000000000000004</v>
      </c>
    </row>
    <row r="57" spans="1:26" customFormat="1">
      <c r="A57" s="473" t="s">
        <v>286</v>
      </c>
      <c r="B57" s="474"/>
      <c r="C57" s="341">
        <v>950</v>
      </c>
      <c r="D57" s="341">
        <v>915</v>
      </c>
      <c r="E57" s="340">
        <v>1116</v>
      </c>
      <c r="F57" s="340">
        <v>1088</v>
      </c>
      <c r="G57" s="341">
        <v>703</v>
      </c>
      <c r="H57" s="395"/>
      <c r="I57" s="397">
        <f t="shared" ref="I57:M57" si="21">SUM(I52:I56)</f>
        <v>549</v>
      </c>
      <c r="J57" s="397">
        <f t="shared" si="21"/>
        <v>527.5</v>
      </c>
      <c r="K57" s="397">
        <f t="shared" si="21"/>
        <v>642.80000000000007</v>
      </c>
      <c r="L57" s="397">
        <f t="shared" si="21"/>
        <v>634.4</v>
      </c>
      <c r="M57" s="397">
        <f t="shared" si="21"/>
        <v>403.4</v>
      </c>
      <c r="U57" s="366" t="s">
        <v>277</v>
      </c>
      <c r="V57" s="367">
        <f t="shared" ref="V57:Z57" si="22">V55*V56</f>
        <v>198.00000000000003</v>
      </c>
      <c r="W57" s="367">
        <f t="shared" si="22"/>
        <v>198.00000000000003</v>
      </c>
      <c r="X57" s="367">
        <f t="shared" si="22"/>
        <v>231.00000000000003</v>
      </c>
      <c r="Y57" s="367">
        <f t="shared" si="22"/>
        <v>231.00000000000003</v>
      </c>
      <c r="Z57" s="367">
        <f t="shared" si="22"/>
        <v>198.00000000000003</v>
      </c>
    </row>
    <row r="58" spans="1:26" customFormat="1">
      <c r="A58" s="473" t="s">
        <v>257</v>
      </c>
      <c r="B58" s="474"/>
      <c r="C58" s="342">
        <f>I57</f>
        <v>549</v>
      </c>
      <c r="D58" s="342">
        <f t="shared" ref="D58:G58" si="23">J57</f>
        <v>527.5</v>
      </c>
      <c r="E58" s="342">
        <f t="shared" si="23"/>
        <v>642.80000000000007</v>
      </c>
      <c r="F58" s="342">
        <f t="shared" si="23"/>
        <v>634.4</v>
      </c>
      <c r="G58" s="342">
        <f t="shared" si="23"/>
        <v>403.4</v>
      </c>
      <c r="H58" s="389"/>
      <c r="I58" s="389"/>
      <c r="J58" s="389"/>
      <c r="K58" s="389"/>
      <c r="L58" s="389"/>
      <c r="M58" s="389"/>
      <c r="U58" s="364" t="s">
        <v>279</v>
      </c>
      <c r="V58" s="365">
        <v>0</v>
      </c>
      <c r="W58" s="365">
        <v>0</v>
      </c>
      <c r="X58" s="365">
        <v>0</v>
      </c>
      <c r="Y58" s="365">
        <v>0</v>
      </c>
      <c r="Z58" s="365">
        <v>0</v>
      </c>
    </row>
    <row r="59" spans="1:26" customFormat="1">
      <c r="A59" s="473" t="s">
        <v>288</v>
      </c>
      <c r="B59" s="474"/>
      <c r="C59" s="342">
        <v>0.4</v>
      </c>
      <c r="D59" s="342">
        <v>0.4</v>
      </c>
      <c r="E59" s="342">
        <v>0.4</v>
      </c>
      <c r="F59" s="342">
        <v>0.4</v>
      </c>
      <c r="G59" s="342">
        <v>0.4</v>
      </c>
      <c r="H59" s="389"/>
      <c r="I59" s="389"/>
      <c r="J59" s="389"/>
      <c r="K59" s="389"/>
      <c r="L59" s="389"/>
      <c r="M59" s="389"/>
      <c r="U59" s="364" t="s">
        <v>275</v>
      </c>
      <c r="V59" s="365">
        <v>0</v>
      </c>
      <c r="W59" s="365">
        <v>0</v>
      </c>
      <c r="X59" s="365">
        <v>0</v>
      </c>
      <c r="Y59" s="365">
        <v>0</v>
      </c>
      <c r="Z59" s="365">
        <v>0</v>
      </c>
    </row>
    <row r="60" spans="1:26" customFormat="1">
      <c r="A60" s="475" t="s">
        <v>290</v>
      </c>
      <c r="B60" s="476"/>
      <c r="C60" s="343">
        <f t="shared" ref="C60:G60" si="24">C58*C59</f>
        <v>219.60000000000002</v>
      </c>
      <c r="D60" s="343">
        <f t="shared" si="24"/>
        <v>211</v>
      </c>
      <c r="E60" s="343">
        <f t="shared" si="24"/>
        <v>257.12000000000006</v>
      </c>
      <c r="F60" s="343">
        <f t="shared" si="24"/>
        <v>253.76</v>
      </c>
      <c r="G60" s="343">
        <f t="shared" si="24"/>
        <v>161.36000000000001</v>
      </c>
      <c r="H60" s="390"/>
      <c r="I60" s="390"/>
      <c r="J60" s="390"/>
      <c r="K60" s="390"/>
      <c r="L60" s="390"/>
      <c r="M60" s="390"/>
      <c r="U60" s="366" t="s">
        <v>283</v>
      </c>
      <c r="V60" s="367">
        <f t="shared" ref="V60:Z60" si="25">V58*V59</f>
        <v>0</v>
      </c>
      <c r="W60" s="367">
        <f t="shared" si="25"/>
        <v>0</v>
      </c>
      <c r="X60" s="367">
        <f t="shared" si="25"/>
        <v>0</v>
      </c>
      <c r="Y60" s="367">
        <f t="shared" si="25"/>
        <v>0</v>
      </c>
      <c r="Z60" s="367">
        <f t="shared" si="25"/>
        <v>0</v>
      </c>
    </row>
    <row r="61" spans="1:26" customFormat="1" ht="17.25">
      <c r="A61" s="454" t="s">
        <v>298</v>
      </c>
      <c r="B61" s="455"/>
      <c r="C61" s="454" t="s">
        <v>273</v>
      </c>
      <c r="D61" s="472"/>
      <c r="E61" s="472"/>
      <c r="F61" s="472"/>
      <c r="G61" s="472"/>
      <c r="H61" s="393"/>
      <c r="I61" s="394" t="s">
        <v>274</v>
      </c>
      <c r="J61" s="394" t="s">
        <v>274</v>
      </c>
      <c r="K61" s="394" t="s">
        <v>274</v>
      </c>
      <c r="L61" s="394" t="s">
        <v>274</v>
      </c>
      <c r="M61" s="394" t="s">
        <v>274</v>
      </c>
      <c r="U61" s="364" t="s">
        <v>285</v>
      </c>
      <c r="V61" s="365">
        <v>30</v>
      </c>
      <c r="W61" s="365">
        <v>30</v>
      </c>
      <c r="X61" s="365">
        <v>30</v>
      </c>
      <c r="Y61" s="365">
        <v>30</v>
      </c>
      <c r="Z61" s="365">
        <v>30</v>
      </c>
    </row>
    <row r="62" spans="1:26" customFormat="1">
      <c r="A62" s="479" t="s">
        <v>299</v>
      </c>
      <c r="B62" s="480"/>
      <c r="C62" s="339">
        <v>185</v>
      </c>
      <c r="D62" s="339">
        <v>184</v>
      </c>
      <c r="E62" s="339">
        <v>235</v>
      </c>
      <c r="F62" s="339">
        <v>325</v>
      </c>
      <c r="G62" s="339">
        <v>192</v>
      </c>
      <c r="H62" s="395">
        <v>0.25</v>
      </c>
      <c r="I62" s="396">
        <f>$H$62*C62</f>
        <v>46.25</v>
      </c>
      <c r="J62" s="396">
        <f t="shared" ref="J62:M62" si="26">$H$62*D62</f>
        <v>46</v>
      </c>
      <c r="K62" s="396">
        <f t="shared" si="26"/>
        <v>58.75</v>
      </c>
      <c r="L62" s="396">
        <f t="shared" si="26"/>
        <v>81.25</v>
      </c>
      <c r="M62" s="396">
        <f t="shared" si="26"/>
        <v>48</v>
      </c>
      <c r="U62" s="364" t="s">
        <v>275</v>
      </c>
      <c r="V62" s="365">
        <v>0.44</v>
      </c>
      <c r="W62" s="365">
        <v>0.44</v>
      </c>
      <c r="X62" s="365">
        <v>0.44</v>
      </c>
      <c r="Y62" s="365">
        <v>0.44</v>
      </c>
      <c r="Z62" s="365">
        <v>0.44</v>
      </c>
    </row>
    <row r="63" spans="1:26" customFormat="1">
      <c r="A63" s="479" t="s">
        <v>300</v>
      </c>
      <c r="B63" s="480"/>
      <c r="C63" s="339">
        <v>185</v>
      </c>
      <c r="D63" s="339">
        <v>184</v>
      </c>
      <c r="E63" s="339">
        <v>235</v>
      </c>
      <c r="F63" s="339">
        <v>325</v>
      </c>
      <c r="G63" s="339">
        <v>192</v>
      </c>
      <c r="H63" s="395">
        <v>0.4</v>
      </c>
      <c r="I63" s="396">
        <f>$H$63*C63</f>
        <v>74</v>
      </c>
      <c r="J63" s="396">
        <f t="shared" ref="J63:M63" si="27">$H$63*D63</f>
        <v>73.600000000000009</v>
      </c>
      <c r="K63" s="396">
        <f t="shared" si="27"/>
        <v>94</v>
      </c>
      <c r="L63" s="396">
        <f t="shared" si="27"/>
        <v>130</v>
      </c>
      <c r="M63" s="396">
        <f t="shared" si="27"/>
        <v>76.800000000000011</v>
      </c>
      <c r="U63" s="366" t="s">
        <v>287</v>
      </c>
      <c r="V63" s="367">
        <f t="shared" ref="V63:Z63" si="28">V61*V62</f>
        <v>13.2</v>
      </c>
      <c r="W63" s="367">
        <f t="shared" si="28"/>
        <v>13.2</v>
      </c>
      <c r="X63" s="367">
        <f t="shared" si="28"/>
        <v>13.2</v>
      </c>
      <c r="Y63" s="367">
        <f t="shared" si="28"/>
        <v>13.2</v>
      </c>
      <c r="Z63" s="367">
        <f t="shared" si="28"/>
        <v>13.2</v>
      </c>
    </row>
    <row r="64" spans="1:26" customFormat="1">
      <c r="A64" s="479" t="s">
        <v>284</v>
      </c>
      <c r="B64" s="480"/>
      <c r="C64" s="339">
        <v>0</v>
      </c>
      <c r="D64" s="339">
        <v>0</v>
      </c>
      <c r="E64" s="339">
        <v>0</v>
      </c>
      <c r="F64" s="339">
        <v>0</v>
      </c>
      <c r="G64" s="339">
        <v>0</v>
      </c>
      <c r="H64" s="395">
        <v>0.25</v>
      </c>
      <c r="I64" s="396">
        <f>$H$64*C64</f>
        <v>0</v>
      </c>
      <c r="J64" s="396">
        <f t="shared" ref="J64:M64" si="29">$H$64*D64</f>
        <v>0</v>
      </c>
      <c r="K64" s="396">
        <f t="shared" si="29"/>
        <v>0</v>
      </c>
      <c r="L64" s="396">
        <f t="shared" si="29"/>
        <v>0</v>
      </c>
      <c r="M64" s="396">
        <f t="shared" si="29"/>
        <v>0</v>
      </c>
      <c r="U64" s="368" t="s">
        <v>289</v>
      </c>
      <c r="V64" s="365">
        <v>0</v>
      </c>
      <c r="W64" s="365">
        <v>0</v>
      </c>
      <c r="X64" s="365">
        <v>0</v>
      </c>
      <c r="Y64" s="365">
        <v>0</v>
      </c>
      <c r="Z64" s="365">
        <v>0</v>
      </c>
    </row>
    <row r="65" spans="1:26" customFormat="1">
      <c r="A65" s="473" t="s">
        <v>286</v>
      </c>
      <c r="B65" s="474"/>
      <c r="C65" s="341">
        <v>370</v>
      </c>
      <c r="D65" s="341">
        <v>368</v>
      </c>
      <c r="E65" s="341">
        <v>470</v>
      </c>
      <c r="F65" s="341">
        <v>650</v>
      </c>
      <c r="G65" s="341">
        <v>384</v>
      </c>
      <c r="H65" s="395"/>
      <c r="I65" s="396">
        <f>$H$65*C65</f>
        <v>0</v>
      </c>
      <c r="J65" s="396">
        <f t="shared" ref="J65:M65" si="30">$H$65*D65</f>
        <v>0</v>
      </c>
      <c r="K65" s="396">
        <f t="shared" si="30"/>
        <v>0</v>
      </c>
      <c r="L65" s="396">
        <f t="shared" si="30"/>
        <v>0</v>
      </c>
      <c r="M65" s="396">
        <f t="shared" si="30"/>
        <v>0</v>
      </c>
      <c r="U65" s="368" t="s">
        <v>292</v>
      </c>
      <c r="V65" s="365">
        <v>0</v>
      </c>
      <c r="W65" s="365">
        <v>0</v>
      </c>
      <c r="X65" s="365">
        <v>0</v>
      </c>
      <c r="Y65" s="365">
        <v>0</v>
      </c>
      <c r="Z65" s="365">
        <v>0</v>
      </c>
    </row>
    <row r="66" spans="1:26" customFormat="1">
      <c r="A66" s="473" t="s">
        <v>257</v>
      </c>
      <c r="B66" s="474"/>
      <c r="C66" s="342">
        <f>I66</f>
        <v>120.25</v>
      </c>
      <c r="D66" s="342">
        <f t="shared" ref="D66:G66" si="31">J66</f>
        <v>119.60000000000001</v>
      </c>
      <c r="E66" s="342">
        <f t="shared" si="31"/>
        <v>152.75</v>
      </c>
      <c r="F66" s="342">
        <f t="shared" si="31"/>
        <v>211.25</v>
      </c>
      <c r="G66" s="342">
        <f t="shared" si="31"/>
        <v>124.80000000000001</v>
      </c>
      <c r="H66" s="398"/>
      <c r="I66" s="397">
        <f t="shared" ref="I66:M66" si="32">SUM(I62:I65)</f>
        <v>120.25</v>
      </c>
      <c r="J66" s="397">
        <f t="shared" si="32"/>
        <v>119.60000000000001</v>
      </c>
      <c r="K66" s="397">
        <f t="shared" si="32"/>
        <v>152.75</v>
      </c>
      <c r="L66" s="397">
        <f t="shared" si="32"/>
        <v>211.25</v>
      </c>
      <c r="M66" s="397">
        <f t="shared" si="32"/>
        <v>124.80000000000001</v>
      </c>
      <c r="U66" s="366" t="s">
        <v>294</v>
      </c>
      <c r="V66" s="367">
        <f t="shared" ref="V66:Z66" si="33">V64*V65</f>
        <v>0</v>
      </c>
      <c r="W66" s="367">
        <f t="shared" si="33"/>
        <v>0</v>
      </c>
      <c r="X66" s="367">
        <f t="shared" si="33"/>
        <v>0</v>
      </c>
      <c r="Y66" s="367">
        <f t="shared" si="33"/>
        <v>0</v>
      </c>
      <c r="Z66" s="367">
        <f t="shared" si="33"/>
        <v>0</v>
      </c>
    </row>
    <row r="67" spans="1:26" customFormat="1">
      <c r="A67" s="473" t="s">
        <v>288</v>
      </c>
      <c r="B67" s="474"/>
      <c r="C67" s="342">
        <v>0.4</v>
      </c>
      <c r="D67" s="342">
        <v>0.4</v>
      </c>
      <c r="E67" s="342">
        <v>0.4</v>
      </c>
      <c r="F67" s="342">
        <v>0.4</v>
      </c>
      <c r="G67" s="342">
        <v>0.4</v>
      </c>
      <c r="H67" s="389"/>
      <c r="I67" s="389"/>
      <c r="J67" s="389"/>
      <c r="K67" s="389"/>
      <c r="L67" s="389"/>
      <c r="M67" s="389"/>
      <c r="U67" s="369" t="s">
        <v>295</v>
      </c>
      <c r="V67" s="370">
        <f>V57+V60+V63+V66</f>
        <v>211.20000000000002</v>
      </c>
      <c r="W67" s="370">
        <f t="shared" ref="W67:Z67" si="34">W57+W60+W63+W66</f>
        <v>211.20000000000002</v>
      </c>
      <c r="X67" s="370">
        <f t="shared" si="34"/>
        <v>244.20000000000002</v>
      </c>
      <c r="Y67" s="370">
        <f t="shared" si="34"/>
        <v>244.20000000000002</v>
      </c>
      <c r="Z67" s="370">
        <f t="shared" si="34"/>
        <v>211.20000000000002</v>
      </c>
    </row>
    <row r="68" spans="1:26" customFormat="1">
      <c r="A68" s="475" t="s">
        <v>290</v>
      </c>
      <c r="B68" s="476"/>
      <c r="C68" s="343">
        <f t="shared" ref="C68:G68" si="35">C66*C67</f>
        <v>48.1</v>
      </c>
      <c r="D68" s="343">
        <f t="shared" si="35"/>
        <v>47.84</v>
      </c>
      <c r="E68" s="343">
        <f t="shared" si="35"/>
        <v>61.1</v>
      </c>
      <c r="F68" s="343">
        <f t="shared" si="35"/>
        <v>84.5</v>
      </c>
      <c r="G68" s="343">
        <f t="shared" si="35"/>
        <v>49.920000000000009</v>
      </c>
      <c r="H68" s="390"/>
      <c r="I68" s="390"/>
      <c r="J68" s="390"/>
      <c r="K68" s="390"/>
      <c r="L68" s="390"/>
      <c r="M68" s="390"/>
      <c r="U68" s="381">
        <f>'P&amp;L'!$R$10</f>
        <v>0.13</v>
      </c>
      <c r="V68" s="380">
        <f>V67*(1+$U$53)</f>
        <v>238.65600000000001</v>
      </c>
      <c r="W68" s="380">
        <f t="shared" ref="W68:Z68" si="36">W67*(1+$U$53)</f>
        <v>238.65600000000001</v>
      </c>
      <c r="X68" s="380">
        <f t="shared" si="36"/>
        <v>275.94599999999997</v>
      </c>
      <c r="Y68" s="380">
        <f t="shared" si="36"/>
        <v>275.94599999999997</v>
      </c>
      <c r="Z68" s="380">
        <f t="shared" si="36"/>
        <v>238.65600000000001</v>
      </c>
    </row>
    <row r="69" spans="1:26" customFormat="1" ht="17.25">
      <c r="A69" s="454" t="s">
        <v>301</v>
      </c>
      <c r="B69" s="455"/>
      <c r="C69" s="454"/>
      <c r="D69" s="472"/>
      <c r="E69" s="472"/>
      <c r="F69" s="472"/>
      <c r="G69" s="472"/>
      <c r="H69" s="393"/>
      <c r="I69" s="394" t="s">
        <v>274</v>
      </c>
      <c r="J69" s="394" t="s">
        <v>274</v>
      </c>
      <c r="K69" s="394" t="s">
        <v>274</v>
      </c>
      <c r="L69" s="394" t="s">
        <v>274</v>
      </c>
      <c r="M69" s="394" t="s">
        <v>274</v>
      </c>
      <c r="U69" s="361" t="s">
        <v>302</v>
      </c>
      <c r="V69" s="362"/>
      <c r="W69" s="362"/>
      <c r="X69" s="362"/>
      <c r="Y69" s="362"/>
      <c r="Z69" s="363"/>
    </row>
    <row r="70" spans="1:26" customFormat="1">
      <c r="A70" s="479" t="s">
        <v>303</v>
      </c>
      <c r="B70" s="480"/>
      <c r="C70" s="339">
        <v>23</v>
      </c>
      <c r="D70" s="339">
        <v>21</v>
      </c>
      <c r="E70" s="339">
        <v>29</v>
      </c>
      <c r="F70" s="339">
        <v>31</v>
      </c>
      <c r="G70" s="344">
        <v>27</v>
      </c>
      <c r="H70" s="395">
        <v>2.5</v>
      </c>
      <c r="I70" s="396">
        <f>C70*$H$70</f>
        <v>57.5</v>
      </c>
      <c r="J70" s="396">
        <f t="shared" ref="J70:M70" si="37">D70*$H$70</f>
        <v>52.5</v>
      </c>
      <c r="K70" s="396">
        <f t="shared" si="37"/>
        <v>72.5</v>
      </c>
      <c r="L70" s="396">
        <f t="shared" si="37"/>
        <v>77.5</v>
      </c>
      <c r="M70" s="396">
        <f t="shared" si="37"/>
        <v>67.5</v>
      </c>
      <c r="U70" s="364" t="s">
        <v>271</v>
      </c>
      <c r="V70" s="365">
        <v>300</v>
      </c>
      <c r="W70" s="365">
        <v>300</v>
      </c>
      <c r="X70" s="365">
        <v>360</v>
      </c>
      <c r="Y70" s="365">
        <v>360</v>
      </c>
      <c r="Z70" s="365">
        <v>300</v>
      </c>
    </row>
    <row r="71" spans="1:26" customFormat="1">
      <c r="A71" s="479" t="s">
        <v>304</v>
      </c>
      <c r="B71" s="480"/>
      <c r="C71" s="339">
        <v>5</v>
      </c>
      <c r="D71" s="339">
        <v>9</v>
      </c>
      <c r="E71" s="339">
        <v>15</v>
      </c>
      <c r="F71" s="339">
        <v>19</v>
      </c>
      <c r="G71" s="344">
        <v>6</v>
      </c>
      <c r="H71" s="395">
        <v>1.5</v>
      </c>
      <c r="I71" s="396">
        <f>C71*$H$71</f>
        <v>7.5</v>
      </c>
      <c r="J71" s="396">
        <f t="shared" ref="J71:M71" si="38">D71*$H$71</f>
        <v>13.5</v>
      </c>
      <c r="K71" s="396">
        <f t="shared" si="38"/>
        <v>22.5</v>
      </c>
      <c r="L71" s="396">
        <f t="shared" si="38"/>
        <v>28.5</v>
      </c>
      <c r="M71" s="396">
        <f t="shared" si="38"/>
        <v>9</v>
      </c>
      <c r="U71" s="364" t="s">
        <v>275</v>
      </c>
      <c r="V71" s="365">
        <v>0.55000000000000004</v>
      </c>
      <c r="W71" s="365">
        <v>0.55000000000000004</v>
      </c>
      <c r="X71" s="365">
        <v>0.55000000000000004</v>
      </c>
      <c r="Y71" s="365">
        <v>0.55000000000000004</v>
      </c>
      <c r="Z71" s="365">
        <v>0.55000000000000004</v>
      </c>
    </row>
    <row r="72" spans="1:26" customFormat="1">
      <c r="A72" s="479" t="s">
        <v>305</v>
      </c>
      <c r="B72" s="480"/>
      <c r="C72" s="339">
        <v>20</v>
      </c>
      <c r="D72" s="339">
        <v>23</v>
      </c>
      <c r="E72" s="339">
        <v>15</v>
      </c>
      <c r="F72" s="339">
        <v>10</v>
      </c>
      <c r="G72" s="344">
        <v>7</v>
      </c>
      <c r="H72" s="395">
        <v>0.3</v>
      </c>
      <c r="I72" s="396">
        <f>C72*$H$72</f>
        <v>6</v>
      </c>
      <c r="J72" s="396">
        <f t="shared" ref="J72:M72" si="39">D72*$H$72</f>
        <v>6.8999999999999995</v>
      </c>
      <c r="K72" s="396">
        <f t="shared" si="39"/>
        <v>4.5</v>
      </c>
      <c r="L72" s="396">
        <f t="shared" si="39"/>
        <v>3</v>
      </c>
      <c r="M72" s="396">
        <f t="shared" si="39"/>
        <v>2.1</v>
      </c>
      <c r="U72" s="366" t="s">
        <v>277</v>
      </c>
      <c r="V72" s="367">
        <f t="shared" ref="V72:Z72" si="40">V70*V71</f>
        <v>165</v>
      </c>
      <c r="W72" s="367">
        <f t="shared" si="40"/>
        <v>165</v>
      </c>
      <c r="X72" s="367">
        <f t="shared" si="40"/>
        <v>198.00000000000003</v>
      </c>
      <c r="Y72" s="367">
        <f t="shared" si="40"/>
        <v>198.00000000000003</v>
      </c>
      <c r="Z72" s="367">
        <f t="shared" si="40"/>
        <v>165</v>
      </c>
    </row>
    <row r="73" spans="1:26" customFormat="1">
      <c r="A73" s="479" t="s">
        <v>306</v>
      </c>
      <c r="B73" s="480"/>
      <c r="C73" s="339">
        <v>12</v>
      </c>
      <c r="D73" s="339">
        <v>12</v>
      </c>
      <c r="E73" s="339">
        <v>15</v>
      </c>
      <c r="F73" s="339">
        <v>18</v>
      </c>
      <c r="G73" s="339">
        <v>12</v>
      </c>
      <c r="H73" s="395">
        <v>0.3</v>
      </c>
      <c r="I73" s="396">
        <f>C73*$H$73</f>
        <v>3.5999999999999996</v>
      </c>
      <c r="J73" s="396">
        <f t="shared" ref="J73:M73" si="41">D73*$H$73</f>
        <v>3.5999999999999996</v>
      </c>
      <c r="K73" s="396">
        <f t="shared" si="41"/>
        <v>4.5</v>
      </c>
      <c r="L73" s="396">
        <f t="shared" si="41"/>
        <v>5.3999999999999995</v>
      </c>
      <c r="M73" s="396">
        <f t="shared" si="41"/>
        <v>3.5999999999999996</v>
      </c>
      <c r="U73" s="364" t="s">
        <v>279</v>
      </c>
      <c r="V73" s="365">
        <v>0</v>
      </c>
      <c r="W73" s="365">
        <v>0</v>
      </c>
      <c r="X73" s="365">
        <v>0</v>
      </c>
      <c r="Y73" s="365">
        <v>0</v>
      </c>
      <c r="Z73" s="365">
        <v>0</v>
      </c>
    </row>
    <row r="74" spans="1:26" customFormat="1">
      <c r="A74" s="479" t="s">
        <v>307</v>
      </c>
      <c r="B74" s="480"/>
      <c r="C74" s="339">
        <v>0</v>
      </c>
      <c r="D74" s="339">
        <v>0</v>
      </c>
      <c r="E74" s="339">
        <v>0</v>
      </c>
      <c r="F74" s="339">
        <v>0</v>
      </c>
      <c r="G74" s="339">
        <v>0</v>
      </c>
      <c r="H74" s="395">
        <v>1.5</v>
      </c>
      <c r="I74" s="396">
        <f>C74*$H$74</f>
        <v>0</v>
      </c>
      <c r="J74" s="396">
        <f t="shared" ref="J74:M74" si="42">D74*$H$74</f>
        <v>0</v>
      </c>
      <c r="K74" s="396">
        <f t="shared" si="42"/>
        <v>0</v>
      </c>
      <c r="L74" s="396">
        <f t="shared" si="42"/>
        <v>0</v>
      </c>
      <c r="M74" s="396">
        <f t="shared" si="42"/>
        <v>0</v>
      </c>
      <c r="U74" s="364" t="s">
        <v>275</v>
      </c>
      <c r="V74" s="365">
        <v>0</v>
      </c>
      <c r="W74" s="365">
        <v>0</v>
      </c>
      <c r="X74" s="365">
        <v>0</v>
      </c>
      <c r="Y74" s="365">
        <v>0</v>
      </c>
      <c r="Z74" s="365">
        <v>0</v>
      </c>
    </row>
    <row r="75" spans="1:26" customFormat="1">
      <c r="A75" s="479" t="s">
        <v>308</v>
      </c>
      <c r="B75" s="480"/>
      <c r="C75" s="339">
        <v>136</v>
      </c>
      <c r="D75" s="339">
        <v>150</v>
      </c>
      <c r="E75" s="339">
        <v>176</v>
      </c>
      <c r="F75" s="339">
        <v>184</v>
      </c>
      <c r="G75" s="344">
        <v>138</v>
      </c>
      <c r="H75" s="395">
        <v>0.3</v>
      </c>
      <c r="I75" s="396">
        <f>C75*$H$75</f>
        <v>40.799999999999997</v>
      </c>
      <c r="J75" s="396">
        <f t="shared" ref="J75:M75" si="43">D75*$H$75</f>
        <v>45</v>
      </c>
      <c r="K75" s="396">
        <f t="shared" si="43"/>
        <v>52.8</v>
      </c>
      <c r="L75" s="396">
        <f t="shared" si="43"/>
        <v>55.199999999999996</v>
      </c>
      <c r="M75" s="396">
        <f t="shared" si="43"/>
        <v>41.4</v>
      </c>
      <c r="U75" s="366" t="s">
        <v>283</v>
      </c>
      <c r="V75" s="367">
        <f>V73*V74</f>
        <v>0</v>
      </c>
      <c r="W75" s="367">
        <f t="shared" ref="W75:Z75" si="44">W73*W74</f>
        <v>0</v>
      </c>
      <c r="X75" s="367">
        <f t="shared" si="44"/>
        <v>0</v>
      </c>
      <c r="Y75" s="367">
        <f t="shared" si="44"/>
        <v>0</v>
      </c>
      <c r="Z75" s="367">
        <f t="shared" si="44"/>
        <v>0</v>
      </c>
    </row>
    <row r="76" spans="1:26" customFormat="1">
      <c r="A76" s="479" t="s">
        <v>309</v>
      </c>
      <c r="B76" s="480"/>
      <c r="C76" s="339">
        <v>44</v>
      </c>
      <c r="D76" s="339">
        <v>42</v>
      </c>
      <c r="E76" s="339">
        <v>45</v>
      </c>
      <c r="F76" s="339">
        <v>68</v>
      </c>
      <c r="G76" s="344">
        <v>38</v>
      </c>
      <c r="H76" s="395">
        <v>0.3</v>
      </c>
      <c r="I76" s="396">
        <f>C76*$H$76</f>
        <v>13.2</v>
      </c>
      <c r="J76" s="396">
        <f t="shared" ref="J76:M76" si="45">D76*$H$76</f>
        <v>12.6</v>
      </c>
      <c r="K76" s="396">
        <f t="shared" si="45"/>
        <v>13.5</v>
      </c>
      <c r="L76" s="396">
        <f t="shared" si="45"/>
        <v>20.399999999999999</v>
      </c>
      <c r="M76" s="396">
        <f t="shared" si="45"/>
        <v>11.4</v>
      </c>
      <c r="U76" s="364" t="s">
        <v>285</v>
      </c>
      <c r="V76" s="365">
        <v>30</v>
      </c>
      <c r="W76" s="365">
        <v>30</v>
      </c>
      <c r="X76" s="365">
        <v>30</v>
      </c>
      <c r="Y76" s="365">
        <v>30</v>
      </c>
      <c r="Z76" s="365">
        <v>30</v>
      </c>
    </row>
    <row r="77" spans="1:26" customFormat="1">
      <c r="A77" s="479" t="s">
        <v>310</v>
      </c>
      <c r="B77" s="480"/>
      <c r="C77" s="339">
        <v>22</v>
      </c>
      <c r="D77" s="339">
        <v>22</v>
      </c>
      <c r="E77" s="339">
        <v>31</v>
      </c>
      <c r="F77" s="339">
        <v>22</v>
      </c>
      <c r="G77" s="344">
        <v>22</v>
      </c>
      <c r="H77" s="395">
        <v>0.3</v>
      </c>
      <c r="I77" s="396">
        <f>C77*$H$77</f>
        <v>6.6</v>
      </c>
      <c r="J77" s="396">
        <f t="shared" ref="J77:M77" si="46">D77*$H$77</f>
        <v>6.6</v>
      </c>
      <c r="K77" s="396">
        <f t="shared" si="46"/>
        <v>9.2999999999999989</v>
      </c>
      <c r="L77" s="396">
        <f t="shared" si="46"/>
        <v>6.6</v>
      </c>
      <c r="M77" s="396">
        <f t="shared" si="46"/>
        <v>6.6</v>
      </c>
      <c r="U77" s="364" t="s">
        <v>275</v>
      </c>
      <c r="V77" s="365">
        <v>0.44</v>
      </c>
      <c r="W77" s="365">
        <v>0.44</v>
      </c>
      <c r="X77" s="365">
        <v>0.44</v>
      </c>
      <c r="Y77" s="365">
        <v>0.44</v>
      </c>
      <c r="Z77" s="365">
        <v>0.44</v>
      </c>
    </row>
    <row r="78" spans="1:26" customFormat="1">
      <c r="A78" s="473" t="s">
        <v>286</v>
      </c>
      <c r="B78" s="474"/>
      <c r="C78" s="341">
        <v>262</v>
      </c>
      <c r="D78" s="341">
        <v>279</v>
      </c>
      <c r="E78" s="341">
        <v>326</v>
      </c>
      <c r="F78" s="341">
        <v>352</v>
      </c>
      <c r="G78" s="341">
        <v>250</v>
      </c>
      <c r="H78" s="395"/>
      <c r="I78" s="397">
        <f t="shared" ref="I78:M78" si="47">SUM(I70:I77)</f>
        <v>135.19999999999999</v>
      </c>
      <c r="J78" s="397">
        <f t="shared" si="47"/>
        <v>140.69999999999999</v>
      </c>
      <c r="K78" s="397">
        <f t="shared" si="47"/>
        <v>179.60000000000002</v>
      </c>
      <c r="L78" s="397">
        <f t="shared" si="47"/>
        <v>196.6</v>
      </c>
      <c r="M78" s="397">
        <f t="shared" si="47"/>
        <v>141.6</v>
      </c>
      <c r="U78" s="366" t="s">
        <v>287</v>
      </c>
      <c r="V78" s="367">
        <f t="shared" ref="V78:Z78" si="48">V76*V77</f>
        <v>13.2</v>
      </c>
      <c r="W78" s="367">
        <f t="shared" si="48"/>
        <v>13.2</v>
      </c>
      <c r="X78" s="367">
        <f t="shared" si="48"/>
        <v>13.2</v>
      </c>
      <c r="Y78" s="367">
        <f t="shared" si="48"/>
        <v>13.2</v>
      </c>
      <c r="Z78" s="367">
        <f t="shared" si="48"/>
        <v>13.2</v>
      </c>
    </row>
    <row r="79" spans="1:26" customFormat="1">
      <c r="A79" s="473" t="s">
        <v>257</v>
      </c>
      <c r="B79" s="474"/>
      <c r="C79" s="342">
        <f>I78</f>
        <v>135.19999999999999</v>
      </c>
      <c r="D79" s="342">
        <f t="shared" ref="D79:G79" si="49">J78</f>
        <v>140.69999999999999</v>
      </c>
      <c r="E79" s="342">
        <f t="shared" si="49"/>
        <v>179.60000000000002</v>
      </c>
      <c r="F79" s="342">
        <f t="shared" si="49"/>
        <v>196.6</v>
      </c>
      <c r="G79" s="342">
        <f t="shared" si="49"/>
        <v>141.6</v>
      </c>
      <c r="H79" s="389"/>
      <c r="I79" s="389"/>
      <c r="J79" s="389"/>
      <c r="K79" s="389"/>
      <c r="L79" s="389"/>
      <c r="M79" s="389"/>
      <c r="U79" s="368" t="s">
        <v>289</v>
      </c>
      <c r="V79" s="365">
        <v>0</v>
      </c>
      <c r="W79" s="365">
        <v>0</v>
      </c>
      <c r="X79" s="365">
        <v>0</v>
      </c>
      <c r="Y79" s="365">
        <v>0</v>
      </c>
      <c r="Z79" s="365">
        <v>0</v>
      </c>
    </row>
    <row r="80" spans="1:26" customFormat="1">
      <c r="A80" s="473" t="s">
        <v>288</v>
      </c>
      <c r="B80" s="474"/>
      <c r="C80" s="342">
        <v>0.4</v>
      </c>
      <c r="D80" s="342">
        <v>0.4</v>
      </c>
      <c r="E80" s="342">
        <v>0.4</v>
      </c>
      <c r="F80" s="342">
        <v>0.4</v>
      </c>
      <c r="G80" s="342">
        <v>0.4</v>
      </c>
      <c r="H80" s="389"/>
      <c r="I80" s="389"/>
      <c r="J80" s="389"/>
      <c r="K80" s="389"/>
      <c r="L80" s="389"/>
      <c r="M80" s="389"/>
      <c r="U80" s="368" t="s">
        <v>292</v>
      </c>
      <c r="V80" s="365">
        <v>0</v>
      </c>
      <c r="W80" s="365">
        <v>0</v>
      </c>
      <c r="X80" s="365">
        <v>0</v>
      </c>
      <c r="Y80" s="365">
        <v>0</v>
      </c>
      <c r="Z80" s="365">
        <v>0</v>
      </c>
    </row>
    <row r="81" spans="1:26" customFormat="1">
      <c r="A81" s="475" t="s">
        <v>290</v>
      </c>
      <c r="B81" s="476"/>
      <c r="C81" s="343">
        <f t="shared" ref="C81:G81" si="50">C79*C80</f>
        <v>54.08</v>
      </c>
      <c r="D81" s="343">
        <f t="shared" si="50"/>
        <v>56.28</v>
      </c>
      <c r="E81" s="343">
        <f t="shared" si="50"/>
        <v>71.840000000000018</v>
      </c>
      <c r="F81" s="343">
        <f t="shared" si="50"/>
        <v>78.64</v>
      </c>
      <c r="G81" s="343">
        <f t="shared" si="50"/>
        <v>56.64</v>
      </c>
      <c r="H81" s="390"/>
      <c r="I81" s="390"/>
      <c r="J81" s="390"/>
      <c r="K81" s="390"/>
      <c r="L81" s="390"/>
      <c r="M81" s="390"/>
      <c r="U81" s="366" t="s">
        <v>294</v>
      </c>
      <c r="V81" s="367">
        <f t="shared" ref="V81:Z81" si="51">V79*V80</f>
        <v>0</v>
      </c>
      <c r="W81" s="367">
        <f t="shared" si="51"/>
        <v>0</v>
      </c>
      <c r="X81" s="367">
        <f t="shared" si="51"/>
        <v>0</v>
      </c>
      <c r="Y81" s="367">
        <f t="shared" si="51"/>
        <v>0</v>
      </c>
      <c r="Z81" s="367">
        <f t="shared" si="51"/>
        <v>0</v>
      </c>
    </row>
    <row r="82" spans="1:26" customFormat="1">
      <c r="A82" s="345"/>
      <c r="B82" s="346"/>
      <c r="C82" s="347"/>
      <c r="D82" s="347"/>
      <c r="E82" s="347"/>
      <c r="F82" s="347"/>
      <c r="G82" s="348"/>
      <c r="H82" s="345"/>
      <c r="I82" s="345"/>
      <c r="J82" s="345"/>
      <c r="K82" s="345"/>
      <c r="L82" s="345"/>
      <c r="M82" s="345"/>
      <c r="U82" s="369" t="s">
        <v>295</v>
      </c>
      <c r="V82" s="370">
        <f t="shared" ref="V82:Z82" si="52">V72+V75+V78+V81</f>
        <v>178.2</v>
      </c>
      <c r="W82" s="370">
        <f t="shared" si="52"/>
        <v>178.2</v>
      </c>
      <c r="X82" s="370">
        <f t="shared" si="52"/>
        <v>211.20000000000002</v>
      </c>
      <c r="Y82" s="370">
        <f t="shared" si="52"/>
        <v>211.20000000000002</v>
      </c>
      <c r="Z82" s="370">
        <f t="shared" si="52"/>
        <v>178.2</v>
      </c>
    </row>
    <row r="83" spans="1:26" customFormat="1" ht="15" customHeight="1">
      <c r="A83" s="382" t="s">
        <v>311</v>
      </c>
      <c r="B83" s="349" t="s">
        <v>260</v>
      </c>
      <c r="C83" s="350">
        <f>C50+C60+C68+C81</f>
        <v>623.10000000000014</v>
      </c>
      <c r="D83" s="350">
        <f t="shared" ref="D83:G83" si="53">D50+D60+D68+D81</f>
        <v>619.5200000000001</v>
      </c>
      <c r="E83" s="350">
        <f t="shared" si="53"/>
        <v>777.26000000000022</v>
      </c>
      <c r="F83" s="350">
        <f t="shared" si="53"/>
        <v>669.58</v>
      </c>
      <c r="G83" s="350">
        <f t="shared" si="53"/>
        <v>578.20000000000005</v>
      </c>
      <c r="H83" s="391"/>
      <c r="I83" s="391"/>
      <c r="J83" s="391"/>
      <c r="K83" s="391"/>
      <c r="L83" s="391"/>
      <c r="M83" s="391"/>
      <c r="U83" s="381">
        <f>'P&amp;L'!$R$10</f>
        <v>0.13</v>
      </c>
      <c r="V83" s="380">
        <f>V82*(1+$U$53)</f>
        <v>201.36599999999996</v>
      </c>
      <c r="W83" s="380">
        <f t="shared" ref="W83:Z83" si="54">W82*(1+$U$53)</f>
        <v>201.36599999999996</v>
      </c>
      <c r="X83" s="380">
        <f t="shared" si="54"/>
        <v>238.65600000000001</v>
      </c>
      <c r="Y83" s="380">
        <f t="shared" si="54"/>
        <v>238.65600000000001</v>
      </c>
      <c r="Z83" s="380">
        <f t="shared" si="54"/>
        <v>201.36599999999996</v>
      </c>
    </row>
    <row r="84" spans="1:26" customFormat="1">
      <c r="B84" s="381">
        <f>'P&amp;L'!$R$10</f>
        <v>0.13</v>
      </c>
      <c r="C84" s="383">
        <f>C83*(1+$U$53)</f>
        <v>704.10300000000007</v>
      </c>
      <c r="D84" s="383">
        <f>D83*(1+$U$53)</f>
        <v>700.05760000000009</v>
      </c>
      <c r="E84" s="383">
        <f>E83*(1+$U$53)</f>
        <v>878.30380000000014</v>
      </c>
      <c r="F84" s="383">
        <f>F83*(1+$U$53)</f>
        <v>756.62540000000001</v>
      </c>
      <c r="G84" s="383">
        <f>G83*(1+$U$53)</f>
        <v>653.36599999999999</v>
      </c>
      <c r="H84" s="392"/>
      <c r="I84" s="392"/>
      <c r="J84" s="392"/>
      <c r="K84" s="392"/>
      <c r="L84" s="392"/>
      <c r="M84" s="392"/>
      <c r="U84" s="361" t="s">
        <v>312</v>
      </c>
      <c r="V84" s="362"/>
      <c r="W84" s="362"/>
      <c r="X84" s="362"/>
      <c r="Y84" s="362"/>
      <c r="Z84" s="363"/>
    </row>
    <row r="85" spans="1:26" customFormat="1">
      <c r="U85" s="371" t="s">
        <v>313</v>
      </c>
      <c r="V85" s="372">
        <v>215</v>
      </c>
      <c r="W85" s="372">
        <v>215</v>
      </c>
      <c r="X85" s="372">
        <v>215</v>
      </c>
      <c r="Y85" s="372">
        <v>215</v>
      </c>
      <c r="Z85" s="372">
        <v>215</v>
      </c>
    </row>
    <row r="86" spans="1:26" customFormat="1">
      <c r="U86" s="371" t="s">
        <v>314</v>
      </c>
      <c r="V86" s="372">
        <v>215</v>
      </c>
      <c r="W86" s="372">
        <v>215</v>
      </c>
      <c r="X86" s="372">
        <v>215</v>
      </c>
      <c r="Y86" s="372">
        <v>215</v>
      </c>
      <c r="Z86" s="372">
        <v>215</v>
      </c>
    </row>
    <row r="87" spans="1:26" customFormat="1">
      <c r="C87">
        <f>C48+C58+C66+C79</f>
        <v>1557.75</v>
      </c>
      <c r="U87" s="371" t="s">
        <v>315</v>
      </c>
      <c r="V87" s="372">
        <v>50</v>
      </c>
      <c r="W87" s="372">
        <v>50</v>
      </c>
      <c r="X87" s="372">
        <v>50</v>
      </c>
      <c r="Y87" s="372">
        <v>50</v>
      </c>
      <c r="Z87" s="372">
        <v>50</v>
      </c>
    </row>
    <row r="88" spans="1:26" customFormat="1">
      <c r="C88">
        <f>C87/60</f>
        <v>25.962499999999999</v>
      </c>
      <c r="U88" s="371" t="s">
        <v>316</v>
      </c>
      <c r="V88" s="372">
        <v>350</v>
      </c>
      <c r="W88" s="372">
        <v>350</v>
      </c>
      <c r="X88" s="372">
        <v>350</v>
      </c>
      <c r="Y88" s="372">
        <v>350</v>
      </c>
      <c r="Z88" s="372">
        <v>350</v>
      </c>
    </row>
    <row r="89" spans="1:26" customFormat="1" ht="16.5">
      <c r="U89" s="338"/>
      <c r="V89" s="338"/>
      <c r="W89" s="373"/>
      <c r="X89" s="373"/>
      <c r="Y89" s="374"/>
      <c r="Z89" s="373"/>
    </row>
    <row r="90" spans="1:26" customFormat="1" ht="16.5">
      <c r="U90" s="375" t="s">
        <v>317</v>
      </c>
      <c r="V90" s="374"/>
      <c r="W90" s="374"/>
      <c r="X90" s="374"/>
      <c r="Y90" s="374"/>
      <c r="Z90" s="374"/>
    </row>
    <row r="91" spans="1:26" customFormat="1" ht="16.5">
      <c r="U91" s="376"/>
      <c r="V91" s="377"/>
      <c r="W91" s="377"/>
      <c r="X91" s="377"/>
      <c r="Y91" s="377"/>
      <c r="Z91" s="377"/>
    </row>
    <row r="92" spans="1:26" customFormat="1" ht="16.5">
      <c r="U92" s="376"/>
      <c r="V92" s="377"/>
      <c r="W92" s="377"/>
      <c r="X92" s="377"/>
      <c r="Y92" s="377"/>
      <c r="Z92" s="377"/>
    </row>
    <row r="93" spans="1:26" customFormat="1" ht="16.5">
      <c r="U93" s="376"/>
      <c r="V93" s="377"/>
      <c r="W93" s="377"/>
      <c r="X93" s="377"/>
      <c r="Y93" s="377"/>
      <c r="Z93" s="377"/>
    </row>
    <row r="94" spans="1:26" customFormat="1" ht="16.5">
      <c r="U94" s="376"/>
      <c r="V94" s="377"/>
      <c r="W94" s="377"/>
      <c r="X94" s="377"/>
      <c r="Y94" s="377"/>
      <c r="Z94" s="377"/>
    </row>
    <row r="95" spans="1:26" customFormat="1" ht="16.5">
      <c r="U95" s="376"/>
      <c r="V95" s="377"/>
      <c r="W95" s="377"/>
      <c r="X95" s="377"/>
      <c r="Y95" s="377"/>
      <c r="Z95" s="377"/>
    </row>
    <row r="96" spans="1:26" customFormat="1" ht="16.5">
      <c r="U96" s="376"/>
      <c r="V96" s="377"/>
      <c r="W96" s="377"/>
      <c r="X96" s="377"/>
      <c r="Y96" s="377"/>
      <c r="Z96" s="377"/>
    </row>
    <row r="97" spans="21:27" customFormat="1"/>
    <row r="98" spans="21:27" customFormat="1"/>
    <row r="99" spans="21:27" customFormat="1"/>
    <row r="100" spans="21:27" customFormat="1"/>
    <row r="101" spans="21:27" customFormat="1"/>
    <row r="102" spans="21:27" customFormat="1">
      <c r="AA102" s="35"/>
    </row>
    <row r="103" spans="21:27" customFormat="1">
      <c r="U103" s="35"/>
      <c r="V103" s="35"/>
      <c r="W103" s="35"/>
      <c r="X103" s="35"/>
      <c r="Y103" s="35"/>
      <c r="Z103" s="35"/>
      <c r="AA103" s="35"/>
    </row>
    <row r="104" spans="21:27" customFormat="1">
      <c r="U104" s="35"/>
      <c r="V104" s="35"/>
      <c r="W104" s="35"/>
      <c r="X104" s="35"/>
      <c r="Y104" s="35"/>
      <c r="Z104" s="35"/>
      <c r="AA104" s="35"/>
    </row>
  </sheetData>
  <mergeCells count="60"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65:B65"/>
    <mergeCell ref="A66:B66"/>
    <mergeCell ref="A67:B67"/>
    <mergeCell ref="A68:B68"/>
    <mergeCell ref="A60:B60"/>
    <mergeCell ref="A61:B61"/>
    <mergeCell ref="A62:B62"/>
    <mergeCell ref="A63:B63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H39" sqref="H39"/>
    </sheetView>
  </sheetViews>
  <sheetFormatPr defaultColWidth="9.5703125" defaultRowHeight="1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.75" thickBot="1">
      <c r="A1" s="6" t="s">
        <v>194</v>
      </c>
      <c r="B1" s="6">
        <v>350</v>
      </c>
      <c r="C1" s="7"/>
      <c r="D1" s="7"/>
      <c r="E1" s="7"/>
      <c r="F1" s="7"/>
      <c r="G1" s="7"/>
      <c r="H1" s="8"/>
      <c r="I1" s="8"/>
      <c r="J1" s="9" t="s">
        <v>318</v>
      </c>
      <c r="K1" s="10"/>
      <c r="N1" s="163"/>
      <c r="O1" s="163"/>
      <c r="P1" s="8"/>
      <c r="Q1" s="8"/>
      <c r="R1" s="8"/>
      <c r="S1" s="8"/>
      <c r="T1" s="8"/>
      <c r="U1" s="8"/>
    </row>
    <row r="2" spans="1:23" ht="15.75" thickBot="1">
      <c r="A2" s="11" t="s">
        <v>319</v>
      </c>
      <c r="B2" s="12" t="s">
        <v>43</v>
      </c>
      <c r="C2" s="12" t="s">
        <v>44</v>
      </c>
      <c r="D2" s="12" t="s">
        <v>197</v>
      </c>
      <c r="E2" s="12" t="s">
        <v>46</v>
      </c>
      <c r="F2" s="12" t="s">
        <v>47</v>
      </c>
      <c r="G2" s="12" t="s">
        <v>48</v>
      </c>
      <c r="H2" s="12" t="s">
        <v>151</v>
      </c>
      <c r="I2" s="8"/>
      <c r="J2" s="9" t="s">
        <v>320</v>
      </c>
      <c r="K2" s="10"/>
      <c r="N2" s="164"/>
      <c r="O2" s="165"/>
      <c r="P2" s="165"/>
      <c r="Q2" s="165"/>
      <c r="R2" s="165"/>
      <c r="S2" s="165"/>
      <c r="T2" s="165"/>
      <c r="U2" s="165"/>
      <c r="V2" s="165"/>
    </row>
    <row r="3" spans="1:23" ht="15.75" thickBot="1">
      <c r="A3" s="14" t="s">
        <v>153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321</v>
      </c>
      <c r="K3" s="10"/>
      <c r="N3" s="166"/>
      <c r="O3" s="8"/>
      <c r="P3" s="8"/>
      <c r="Q3" s="8"/>
      <c r="R3" s="8"/>
      <c r="S3" s="8"/>
      <c r="T3" s="8"/>
      <c r="U3" s="8"/>
      <c r="V3" s="8"/>
      <c r="W3" s="8"/>
    </row>
    <row r="4" spans="1:23" ht="15.75" thickBot="1">
      <c r="A4" s="14" t="s">
        <v>322</v>
      </c>
      <c r="B4" s="16">
        <f>+'P&amp;L'!$R$4</f>
        <v>0.8</v>
      </c>
      <c r="C4" s="16">
        <f>+'P&amp;L'!$R$4</f>
        <v>0.8</v>
      </c>
      <c r="D4" s="16">
        <f>+'P&amp;L'!$R$4</f>
        <v>0.8</v>
      </c>
      <c r="E4" s="16">
        <f>+'P&amp;L'!$R$4</f>
        <v>0.8</v>
      </c>
      <c r="F4" s="16">
        <f>+'P&amp;L'!$R$4</f>
        <v>0.8</v>
      </c>
      <c r="G4" s="16">
        <f>+'P&amp;L'!$R$4</f>
        <v>0.8</v>
      </c>
      <c r="H4" s="16"/>
      <c r="I4" s="8"/>
      <c r="J4" s="9" t="s">
        <v>323</v>
      </c>
      <c r="K4" s="10"/>
      <c r="N4" s="166"/>
      <c r="O4" s="168"/>
      <c r="P4" s="168"/>
      <c r="Q4" s="168"/>
      <c r="R4" s="168"/>
      <c r="S4" s="168"/>
      <c r="T4" s="168"/>
      <c r="U4" s="168"/>
    </row>
    <row r="5" spans="1:23" ht="15.75" thickBot="1">
      <c r="A5" s="17" t="s">
        <v>324</v>
      </c>
      <c r="B5" s="18">
        <f t="shared" ref="B5:G5" si="1">ROUNDUP(B3*B4,0)</f>
        <v>0</v>
      </c>
      <c r="C5" s="18">
        <f t="shared" si="1"/>
        <v>28</v>
      </c>
      <c r="D5" s="18">
        <f t="shared" si="1"/>
        <v>39</v>
      </c>
      <c r="E5" s="18">
        <f t="shared" si="1"/>
        <v>159</v>
      </c>
      <c r="F5" s="18">
        <f t="shared" si="1"/>
        <v>0</v>
      </c>
      <c r="G5" s="18">
        <f t="shared" si="1"/>
        <v>5</v>
      </c>
      <c r="H5" s="18">
        <f>SUM(B5:G5)</f>
        <v>231</v>
      </c>
      <c r="I5" s="15"/>
      <c r="J5" s="19" t="s">
        <v>325</v>
      </c>
      <c r="K5" s="13"/>
      <c r="N5" s="166"/>
      <c r="O5" s="15"/>
      <c r="P5" s="15"/>
      <c r="Q5" s="15"/>
      <c r="R5" s="15"/>
      <c r="S5" s="15"/>
      <c r="T5" s="15"/>
      <c r="U5" s="15"/>
    </row>
    <row r="8" spans="1:23" ht="4.1500000000000004" customHeight="1"/>
    <row r="9" spans="1:23" ht="13.9" hidden="1" customHeight="1" thickBot="1">
      <c r="A9" s="6" t="s">
        <v>194</v>
      </c>
      <c r="B9" s="6">
        <v>787</v>
      </c>
      <c r="C9" s="7"/>
      <c r="D9" s="7"/>
      <c r="E9" s="7"/>
      <c r="F9" s="7"/>
      <c r="G9" s="7"/>
      <c r="H9" s="8"/>
      <c r="I9" s="8"/>
      <c r="J9" s="9" t="s">
        <v>318</v>
      </c>
      <c r="K9" s="10">
        <v>52</v>
      </c>
      <c r="N9" s="163"/>
      <c r="O9" s="163"/>
      <c r="P9" s="8"/>
      <c r="Q9" s="8"/>
      <c r="R9" s="8"/>
      <c r="S9" s="8"/>
      <c r="T9" s="8"/>
      <c r="U9" s="8"/>
    </row>
    <row r="10" spans="1:23" ht="13.9" hidden="1" customHeight="1" thickBot="1">
      <c r="A10" s="11" t="s">
        <v>319</v>
      </c>
      <c r="B10" s="12" t="s">
        <v>43</v>
      </c>
      <c r="C10" s="12" t="s">
        <v>44</v>
      </c>
      <c r="D10" s="12" t="s">
        <v>197</v>
      </c>
      <c r="E10" s="12" t="s">
        <v>46</v>
      </c>
      <c r="F10" s="12" t="s">
        <v>47</v>
      </c>
      <c r="G10" s="12" t="s">
        <v>48</v>
      </c>
      <c r="H10" s="12" t="s">
        <v>151</v>
      </c>
      <c r="I10" s="8"/>
      <c r="J10" s="9" t="s">
        <v>320</v>
      </c>
      <c r="K10" s="13">
        <v>5</v>
      </c>
      <c r="N10" s="164"/>
      <c r="O10" s="165"/>
      <c r="P10" s="165"/>
      <c r="Q10" s="165"/>
      <c r="R10" s="165"/>
      <c r="S10" s="165"/>
      <c r="T10" s="165"/>
      <c r="U10" s="165"/>
    </row>
    <row r="11" spans="1:23" ht="13.9" hidden="1" customHeight="1" thickBot="1">
      <c r="A11" s="14" t="s">
        <v>153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3">
        <v>10</v>
      </c>
      <c r="H11" s="10">
        <f>SUM(B11:G11)</f>
        <v>370</v>
      </c>
      <c r="I11" s="15"/>
      <c r="J11" s="9" t="s">
        <v>321</v>
      </c>
      <c r="K11" s="13">
        <f>K9*K10</f>
        <v>260</v>
      </c>
      <c r="N11" s="166"/>
      <c r="O11" s="8"/>
      <c r="P11" s="8"/>
      <c r="Q11" s="8"/>
      <c r="R11" s="8"/>
      <c r="S11" s="8"/>
      <c r="T11" s="167"/>
      <c r="U11" s="8"/>
    </row>
    <row r="12" spans="1:23" ht="13.9" hidden="1" customHeight="1" thickBot="1">
      <c r="A12" s="14" t="s">
        <v>322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323</v>
      </c>
      <c r="K12" s="10">
        <v>1</v>
      </c>
      <c r="N12" s="166"/>
      <c r="O12" s="168"/>
      <c r="P12" s="168"/>
      <c r="Q12" s="168"/>
      <c r="R12" s="168"/>
      <c r="S12" s="168"/>
      <c r="T12" s="168"/>
      <c r="U12" s="168"/>
    </row>
    <row r="13" spans="1:23" ht="13.9" hidden="1" customHeight="1" thickBot="1">
      <c r="A13" s="17" t="s">
        <v>324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325</v>
      </c>
      <c r="K13" s="20">
        <f>K11/K12</f>
        <v>260</v>
      </c>
      <c r="N13" s="166"/>
      <c r="O13" s="15"/>
      <c r="P13" s="15"/>
      <c r="Q13" s="15"/>
      <c r="R13" s="15"/>
      <c r="S13" s="15"/>
      <c r="T13" s="15"/>
      <c r="U13" s="15"/>
    </row>
    <row r="14" spans="1:23" ht="13.9" customHeight="1" thickBot="1">
      <c r="A14" s="280">
        <v>0</v>
      </c>
    </row>
    <row r="15" spans="1:23" ht="15.75" thickBot="1">
      <c r="A15" s="6" t="s">
        <v>194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318</v>
      </c>
      <c r="K15" s="10">
        <v>52</v>
      </c>
    </row>
    <row r="16" spans="1:23" ht="15.75" thickBot="1">
      <c r="A16" s="11" t="s">
        <v>319</v>
      </c>
      <c r="B16" s="12" t="s">
        <v>43</v>
      </c>
      <c r="C16" s="12" t="s">
        <v>44</v>
      </c>
      <c r="D16" s="12" t="s">
        <v>197</v>
      </c>
      <c r="E16" s="12" t="s">
        <v>46</v>
      </c>
      <c r="F16" s="12" t="s">
        <v>47</v>
      </c>
      <c r="G16" s="12" t="s">
        <v>48</v>
      </c>
      <c r="H16" s="12" t="s">
        <v>151</v>
      </c>
      <c r="I16" s="8"/>
      <c r="J16" s="9" t="s">
        <v>320</v>
      </c>
      <c r="K16" s="13">
        <v>7</v>
      </c>
    </row>
    <row r="17" spans="1:11" ht="15.75" thickBot="1">
      <c r="A17" s="14" t="s">
        <v>153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35">
        <f t="shared" si="3"/>
        <v>6</v>
      </c>
      <c r="H17" s="10">
        <f>SUM(B17:G17)</f>
        <v>286</v>
      </c>
      <c r="I17" s="15"/>
      <c r="J17" s="9" t="s">
        <v>321</v>
      </c>
      <c r="K17" s="13">
        <f>K15*K16</f>
        <v>364</v>
      </c>
    </row>
    <row r="18" spans="1:11" ht="15.75" thickBot="1">
      <c r="A18" s="14" t="s">
        <v>322</v>
      </c>
      <c r="B18" s="16">
        <f>+'P&amp;L'!$R$4</f>
        <v>0.8</v>
      </c>
      <c r="C18" s="16">
        <f>+'P&amp;L'!$R$4</f>
        <v>0.8</v>
      </c>
      <c r="D18" s="16">
        <f>+'P&amp;L'!$R$4</f>
        <v>0.8</v>
      </c>
      <c r="E18" s="16">
        <f>+'P&amp;L'!$R$4</f>
        <v>0.8</v>
      </c>
      <c r="F18" s="16">
        <f>+'P&amp;L'!$R$4</f>
        <v>0.8</v>
      </c>
      <c r="G18" s="16">
        <f>+'P&amp;L'!$R$4</f>
        <v>0.8</v>
      </c>
      <c r="H18" s="16"/>
      <c r="I18" s="8"/>
      <c r="J18" s="9" t="s">
        <v>323</v>
      </c>
      <c r="K18" s="10">
        <v>1</v>
      </c>
    </row>
    <row r="19" spans="1:11" ht="15.75" thickBot="1">
      <c r="A19" s="17" t="s">
        <v>324</v>
      </c>
      <c r="B19" s="18">
        <f t="shared" ref="B19:G19" si="4">ROUNDUP(B17*B18,0)</f>
        <v>0</v>
      </c>
      <c r="C19" s="18">
        <f t="shared" si="4"/>
        <v>28</v>
      </c>
      <c r="D19" s="18">
        <f t="shared" si="4"/>
        <v>39</v>
      </c>
      <c r="E19" s="18">
        <f t="shared" si="4"/>
        <v>159</v>
      </c>
      <c r="F19" s="18">
        <f t="shared" si="4"/>
        <v>0</v>
      </c>
      <c r="G19" s="18">
        <f t="shared" si="4"/>
        <v>5</v>
      </c>
      <c r="H19" s="18">
        <f>SUM(B19:G19)</f>
        <v>231</v>
      </c>
      <c r="I19" s="15"/>
      <c r="J19" s="19" t="s">
        <v>325</v>
      </c>
      <c r="K19" s="20">
        <v>365</v>
      </c>
    </row>
    <row r="20" spans="1:11" ht="15.75" thickBot="1"/>
    <row r="21" spans="1:11" ht="15.75" thickBot="1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318</v>
      </c>
      <c r="K21" s="10">
        <v>52</v>
      </c>
    </row>
    <row r="22" spans="1:11" ht="15.75" thickBot="1">
      <c r="A22" s="11" t="s">
        <v>319</v>
      </c>
      <c r="B22" s="12" t="s">
        <v>43</v>
      </c>
      <c r="C22" s="12" t="s">
        <v>44</v>
      </c>
      <c r="D22" s="12" t="s">
        <v>197</v>
      </c>
      <c r="E22" s="12" t="s">
        <v>46</v>
      </c>
      <c r="F22" s="12" t="s">
        <v>47</v>
      </c>
      <c r="G22" s="12" t="s">
        <v>48</v>
      </c>
      <c r="H22" s="12" t="s">
        <v>151</v>
      </c>
      <c r="I22" s="8"/>
      <c r="J22" s="9" t="s">
        <v>320</v>
      </c>
      <c r="K22" s="13">
        <v>7</v>
      </c>
    </row>
    <row r="23" spans="1:11" ht="15.75" thickBot="1">
      <c r="A23" s="14" t="s">
        <v>153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321</v>
      </c>
      <c r="K23" s="13">
        <f>K21*K22</f>
        <v>364</v>
      </c>
    </row>
    <row r="24" spans="1:11" ht="15.75" thickBot="1">
      <c r="A24" s="14" t="s">
        <v>322</v>
      </c>
      <c r="B24" s="16">
        <f>+'P&amp;L'!$R$4</f>
        <v>0.8</v>
      </c>
      <c r="C24" s="16">
        <f>+'P&amp;L'!$R$4</f>
        <v>0.8</v>
      </c>
      <c r="D24" s="16">
        <f>+'P&amp;L'!$R$4</f>
        <v>0.8</v>
      </c>
      <c r="E24" s="16">
        <f>+'P&amp;L'!$R$4</f>
        <v>0.8</v>
      </c>
      <c r="F24" s="16">
        <f>+'P&amp;L'!$R$4</f>
        <v>0.8</v>
      </c>
      <c r="G24" s="16">
        <f>+'P&amp;L'!$R$4</f>
        <v>0.8</v>
      </c>
      <c r="H24" s="16"/>
      <c r="I24" s="8"/>
      <c r="J24" s="9" t="s">
        <v>323</v>
      </c>
      <c r="K24" s="10">
        <v>1</v>
      </c>
    </row>
    <row r="25" spans="1:11" ht="15.75" thickBot="1">
      <c r="A25" s="17" t="s">
        <v>324</v>
      </c>
      <c r="B25" s="18">
        <f t="shared" ref="B25:G25" si="6">ROUNDUP(B23*B24,0)</f>
        <v>0</v>
      </c>
      <c r="C25" s="18">
        <f t="shared" si="6"/>
        <v>24</v>
      </c>
      <c r="D25" s="18">
        <f t="shared" si="6"/>
        <v>36</v>
      </c>
      <c r="E25" s="18">
        <f t="shared" si="6"/>
        <v>148</v>
      </c>
      <c r="F25" s="18">
        <f t="shared" si="6"/>
        <v>0</v>
      </c>
      <c r="G25" s="18">
        <f t="shared" si="6"/>
        <v>5</v>
      </c>
      <c r="H25" s="18">
        <f>SUM(B25:G25)</f>
        <v>213</v>
      </c>
      <c r="I25" s="15"/>
      <c r="J25" s="19" t="s">
        <v>325</v>
      </c>
      <c r="K25" s="20">
        <v>365</v>
      </c>
    </row>
    <row r="28" spans="1:11" ht="45">
      <c r="A28" s="336" t="s">
        <v>326</v>
      </c>
      <c r="B28" s="120" t="s">
        <v>155</v>
      </c>
      <c r="C28" s="120" t="s">
        <v>156</v>
      </c>
      <c r="D28" s="120" t="s">
        <v>157</v>
      </c>
      <c r="E28" s="120" t="s">
        <v>158</v>
      </c>
      <c r="F28" s="120" t="s">
        <v>159</v>
      </c>
      <c r="G28" s="120" t="s">
        <v>189</v>
      </c>
    </row>
    <row r="29" spans="1:11">
      <c r="B29" s="249">
        <v>0</v>
      </c>
      <c r="C29" s="249">
        <v>34</v>
      </c>
      <c r="D29" s="249">
        <v>48</v>
      </c>
      <c r="E29" s="249">
        <v>198</v>
      </c>
      <c r="F29" s="249"/>
      <c r="G29" s="249">
        <v>6</v>
      </c>
    </row>
    <row r="34" spans="1:7" ht="45">
      <c r="A34" s="336" t="s">
        <v>327</v>
      </c>
      <c r="B34" s="120" t="s">
        <v>155</v>
      </c>
      <c r="C34" s="120" t="s">
        <v>156</v>
      </c>
      <c r="D34" s="120" t="s">
        <v>157</v>
      </c>
      <c r="E34" s="120" t="s">
        <v>158</v>
      </c>
      <c r="F34" s="120" t="s">
        <v>159</v>
      </c>
      <c r="G34" s="120" t="s">
        <v>189</v>
      </c>
    </row>
    <row r="35" spans="1:7">
      <c r="B35" s="249">
        <v>0</v>
      </c>
      <c r="C35" s="249">
        <v>30</v>
      </c>
      <c r="D35" s="249">
        <v>44</v>
      </c>
      <c r="E35" s="249">
        <v>184</v>
      </c>
      <c r="F35" s="249"/>
      <c r="G35" s="249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>
    <tabColor theme="7" tint="0.59999389629810485"/>
  </sheetPr>
  <dimension ref="A1:AK363"/>
  <sheetViews>
    <sheetView topLeftCell="A225" zoomScaleNormal="100" workbookViewId="0">
      <selection activeCell="R231" sqref="R231"/>
    </sheetView>
  </sheetViews>
  <sheetFormatPr defaultRowHeight="15"/>
  <cols>
    <col min="1" max="1" width="18" customWidth="1"/>
    <col min="2" max="2" width="5.7109375" bestFit="1" customWidth="1"/>
    <col min="3" max="3" width="15" customWidth="1"/>
    <col min="4" max="4" width="8.7109375" customWidth="1"/>
    <col min="5" max="5" width="10.7109375" style="303" bestFit="1" customWidth="1"/>
    <col min="6" max="6" width="11.28515625" style="35" bestFit="1" customWidth="1"/>
    <col min="7" max="7" width="119.140625" customWidth="1"/>
    <col min="8" max="8" width="8" style="286" customWidth="1"/>
    <col min="9" max="9" width="9.5703125" bestFit="1" customWidth="1"/>
    <col min="10" max="10" width="8.42578125" style="290" customWidth="1"/>
    <col min="11" max="11" width="9.5703125" style="127" bestFit="1" customWidth="1"/>
    <col min="12" max="12" width="6.28515625" style="188" customWidth="1"/>
    <col min="13" max="13" width="8.42578125" style="127" bestFit="1" customWidth="1"/>
    <col min="14" max="14" width="8.42578125" bestFit="1" customWidth="1"/>
    <col min="15" max="15" width="8.28515625" bestFit="1" customWidth="1"/>
    <col min="16" max="16" width="10.28515625" customWidth="1"/>
    <col min="17" max="20" width="8.5703125" customWidth="1"/>
    <col min="21" max="21" width="37.140625" bestFit="1" customWidth="1"/>
    <col min="22" max="22" width="8" customWidth="1"/>
    <col min="23" max="23" width="9.140625" hidden="1" customWidth="1"/>
    <col min="24" max="24" width="11" bestFit="1" customWidth="1"/>
    <col min="25" max="25" width="11" customWidth="1"/>
    <col min="26" max="26" width="8.42578125" bestFit="1" customWidth="1"/>
    <col min="27" max="27" width="7.7109375" bestFit="1" customWidth="1"/>
    <col min="28" max="29" width="7.7109375" customWidth="1"/>
    <col min="30" max="30" width="12.5703125" bestFit="1" customWidth="1"/>
    <col min="32" max="32" width="13.42578125" bestFit="1" customWidth="1"/>
    <col min="33" max="36" width="11.7109375" bestFit="1" customWidth="1"/>
    <col min="37" max="37" width="13.42578125" bestFit="1" customWidth="1"/>
  </cols>
  <sheetData>
    <row r="1" spans="1:37" ht="15.75" thickBot="1">
      <c r="A1" s="28"/>
      <c r="B1" s="29"/>
      <c r="C1" s="29"/>
      <c r="D1" s="29"/>
      <c r="E1" s="300"/>
      <c r="F1" s="306"/>
      <c r="G1" s="29"/>
      <c r="H1" s="281"/>
      <c r="I1" s="29"/>
      <c r="J1" s="287"/>
      <c r="K1" s="244"/>
      <c r="L1" s="244"/>
      <c r="M1" s="124"/>
      <c r="N1" s="29"/>
      <c r="O1" s="29"/>
      <c r="P1" s="318"/>
      <c r="Q1" s="319"/>
      <c r="R1" s="319"/>
      <c r="S1" s="319"/>
      <c r="T1" s="319"/>
      <c r="U1" s="181"/>
      <c r="X1" s="481" t="s">
        <v>161</v>
      </c>
      <c r="Y1" s="482"/>
      <c r="Z1" s="482"/>
      <c r="AA1" s="482"/>
      <c r="AB1" s="482"/>
      <c r="AC1" s="482"/>
      <c r="AD1" s="483"/>
      <c r="AG1" s="484" t="s">
        <v>328</v>
      </c>
      <c r="AH1" s="485"/>
      <c r="AI1" s="485"/>
      <c r="AJ1" s="485"/>
      <c r="AK1" s="486"/>
    </row>
    <row r="2" spans="1:37" ht="15.75" thickBot="1">
      <c r="A2" s="30"/>
      <c r="B2" s="31"/>
      <c r="C2" s="31"/>
      <c r="D2" s="31"/>
      <c r="E2" s="301"/>
      <c r="F2" s="307"/>
      <c r="G2" s="31"/>
      <c r="H2" s="282"/>
      <c r="I2" s="31"/>
      <c r="J2" s="288"/>
      <c r="K2" s="125"/>
      <c r="L2" s="241"/>
      <c r="M2" s="128">
        <v>0.4</v>
      </c>
      <c r="N2" s="129"/>
      <c r="O2" s="178">
        <f>'P&amp;L'!R8</f>
        <v>0.22</v>
      </c>
      <c r="P2" s="180">
        <f>'P&amp;L'!R9</f>
        <v>0.2</v>
      </c>
      <c r="Q2" s="179"/>
      <c r="R2" s="179"/>
      <c r="S2" s="179"/>
      <c r="T2" s="179"/>
      <c r="U2" s="32"/>
      <c r="X2" s="21"/>
      <c r="Y2" s="22"/>
      <c r="Z2" s="22"/>
      <c r="AA2" s="22"/>
      <c r="AB2" s="22"/>
      <c r="AC2" s="22"/>
      <c r="AD2" s="23"/>
      <c r="AG2" s="24"/>
      <c r="AH2" s="25"/>
      <c r="AI2" s="25"/>
      <c r="AJ2" s="25"/>
      <c r="AK2" s="26"/>
    </row>
    <row r="3" spans="1:37" ht="60">
      <c r="A3" s="27" t="s">
        <v>329</v>
      </c>
      <c r="B3" s="27" t="s">
        <v>182</v>
      </c>
      <c r="C3" s="27"/>
      <c r="D3" s="27" t="s">
        <v>330</v>
      </c>
      <c r="E3" s="302" t="s">
        <v>331</v>
      </c>
      <c r="F3" s="308"/>
      <c r="G3" s="27" t="s">
        <v>3</v>
      </c>
      <c r="H3" s="283" t="s">
        <v>332</v>
      </c>
      <c r="I3" s="2" t="s">
        <v>333</v>
      </c>
      <c r="J3" s="289" t="s">
        <v>334</v>
      </c>
      <c r="K3" s="126" t="s">
        <v>335</v>
      </c>
      <c r="L3" s="27" t="s">
        <v>336</v>
      </c>
      <c r="M3" s="126" t="s">
        <v>337</v>
      </c>
      <c r="N3" s="3" t="s">
        <v>230</v>
      </c>
      <c r="O3" s="3" t="s">
        <v>104</v>
      </c>
      <c r="P3" s="3" t="s">
        <v>338</v>
      </c>
      <c r="Q3" s="3" t="s">
        <v>339</v>
      </c>
      <c r="R3" s="3" t="s">
        <v>340</v>
      </c>
      <c r="S3" s="3" t="s">
        <v>341</v>
      </c>
      <c r="T3" s="3" t="s">
        <v>220</v>
      </c>
      <c r="U3" s="182"/>
      <c r="W3" s="1" t="s">
        <v>342</v>
      </c>
      <c r="X3" s="1" t="s">
        <v>343</v>
      </c>
      <c r="Y3" s="3" t="s">
        <v>344</v>
      </c>
      <c r="Z3" s="3" t="s">
        <v>345</v>
      </c>
      <c r="AA3" s="3" t="s">
        <v>346</v>
      </c>
      <c r="AB3" s="3" t="s">
        <v>347</v>
      </c>
      <c r="AC3" s="3" t="s">
        <v>348</v>
      </c>
      <c r="AD3" s="1" t="s">
        <v>349</v>
      </c>
      <c r="AF3" s="3" t="s">
        <v>350</v>
      </c>
      <c r="AG3" s="3" t="s">
        <v>351</v>
      </c>
      <c r="AH3" s="3" t="s">
        <v>352</v>
      </c>
      <c r="AI3" s="3" t="s">
        <v>353</v>
      </c>
      <c r="AJ3" s="4" t="s">
        <v>354</v>
      </c>
      <c r="AK3" s="5" t="s">
        <v>355</v>
      </c>
    </row>
    <row r="4" spans="1:37">
      <c r="A4" s="122"/>
      <c r="B4" s="123"/>
      <c r="C4" s="123"/>
      <c r="D4" s="122"/>
      <c r="F4" s="309"/>
      <c r="G4" s="122"/>
      <c r="H4" s="284"/>
      <c r="I4" s="122"/>
    </row>
    <row r="5" spans="1:37" hidden="1">
      <c r="A5" t="s">
        <v>156</v>
      </c>
      <c r="B5" s="171">
        <v>1</v>
      </c>
      <c r="C5" s="176" t="str">
        <f>CONCATENATE(A5&amp;B5&amp;F5)</f>
        <v>BUSINESS CLASS1</v>
      </c>
      <c r="D5" s="172"/>
      <c r="E5" s="304">
        <v>1001</v>
      </c>
      <c r="F5" s="310"/>
      <c r="G5" t="str">
        <f>VLOOKUP(E5,'FG MASTER'!$A$10:$AB$218,2,0)</f>
        <v xml:space="preserve">BC C1 DINNER GEORGIA PEACH CHILI WHIPPED BUTTER </v>
      </c>
      <c r="H5" s="285">
        <v>1</v>
      </c>
      <c r="I5" s="173">
        <v>1</v>
      </c>
      <c r="J5" s="291">
        <f>IFERROR(IF(I5="std",H5,HLOOKUP(A5,'FlightConfig '!$B$28:$G$29,2,0)*I5),"")</f>
        <v>34</v>
      </c>
      <c r="K5" s="244">
        <f>VLOOKUP(Food!E5,'FG MASTER'!$A$1:$AC$536,16,0)</f>
        <v>0.33</v>
      </c>
      <c r="L5" s="245">
        <f>VLOOKUP(Food!E5,'FG MASTER'!$A$10:$AC$536,17,0)</f>
        <v>0.5</v>
      </c>
      <c r="M5" s="132">
        <f t="shared" ref="M5:M27" si="0">IFERROR(L5*$M$2,"")</f>
        <v>0.2</v>
      </c>
      <c r="N5" s="132">
        <f t="shared" ref="N5:N27" si="1">IFERROR((K5)+M5,"")</f>
        <v>0.53</v>
      </c>
      <c r="O5" s="132">
        <f>IFERROR($K5*(1+$O$2)-$K5,0)</f>
        <v>7.2599999999999998E-2</v>
      </c>
      <c r="P5" s="132">
        <f>IFERROR($M5*(1+$P$2)-$M5,0)</f>
        <v>3.999999999999998E-2</v>
      </c>
      <c r="Q5" s="132">
        <f>SUM(N5:P5)</f>
        <v>0.64260000000000006</v>
      </c>
      <c r="R5" s="402">
        <f>K5*(1+$O$2)</f>
        <v>0.40260000000000001</v>
      </c>
      <c r="S5" s="402">
        <f>M5*(1+$P$2)</f>
        <v>0.24</v>
      </c>
      <c r="T5" s="402">
        <f>R5+S5</f>
        <v>0.64260000000000006</v>
      </c>
      <c r="U5" s="127"/>
      <c r="V5" s="127"/>
      <c r="W5" t="str">
        <f>IFERROR(#REF!*J5,"")</f>
        <v/>
      </c>
      <c r="X5">
        <f>IFERROR(K5*J5,"")</f>
        <v>11.22</v>
      </c>
      <c r="Y5">
        <f>IFERROR(+L5*J5,"")</f>
        <v>17</v>
      </c>
      <c r="Z5" s="127">
        <f>IFERROR(+M5*J5,"")</f>
        <v>6.8000000000000007</v>
      </c>
      <c r="AA5" s="127">
        <f>IFERROR(+N5*J5,"")</f>
        <v>18.02</v>
      </c>
      <c r="AB5" s="127">
        <f>IFERROR(O5*$J5,"")</f>
        <v>2.4683999999999999</v>
      </c>
      <c r="AC5" s="127">
        <f t="shared" ref="AC5" si="2">IFERROR(P5*$J5,"")</f>
        <v>1.3599999999999994</v>
      </c>
      <c r="AD5" s="127">
        <f t="shared" ref="AD5" si="3">IFERROR(+Q5*J5,"")</f>
        <v>21.848400000000002</v>
      </c>
      <c r="AF5" s="127" t="str">
        <f>IFERROR(W5*'FlightConfig '!$K$3,"")</f>
        <v/>
      </c>
      <c r="AG5" s="127">
        <f>IFERROR(X5*'FlightConfig '!$K$17,"")</f>
        <v>4084.0800000000004</v>
      </c>
      <c r="AH5" s="127">
        <f>IFERROR(Y5*'FlightConfig '!$K$17,"")</f>
        <v>6188</v>
      </c>
      <c r="AI5" s="127">
        <f>IFERROR(Z5*'FlightConfig '!$K$17,"")</f>
        <v>2475.2000000000003</v>
      </c>
      <c r="AJ5" s="127">
        <f>IFERROR(AA5*'FlightConfig '!$K$17,"")</f>
        <v>6559.28</v>
      </c>
      <c r="AK5" s="127">
        <f>IFERROR(AB5*'FlightConfig '!$K$17,"")</f>
        <v>898.49759999999992</v>
      </c>
    </row>
    <row r="6" spans="1:37" hidden="1">
      <c r="A6" t="s">
        <v>156</v>
      </c>
      <c r="B6" s="171">
        <v>1</v>
      </c>
      <c r="C6" s="176" t="str">
        <f t="shared" ref="C6:C24" si="4">CONCATENATE(A6&amp;B6&amp;F6)</f>
        <v>BUSINESS CLASS1</v>
      </c>
      <c r="D6" s="172"/>
      <c r="E6" s="304">
        <v>1002</v>
      </c>
      <c r="F6" s="310"/>
      <c r="G6" t="str">
        <f>VLOOKUP(E6,'FG MASTER'!$A$10:$AB$218,2,0)</f>
        <v xml:space="preserve">BC C1 DINNER SWEETWATER BEET AND CHEESE ROLL </v>
      </c>
      <c r="H6" s="285">
        <v>1</v>
      </c>
      <c r="I6" s="173">
        <v>0.5</v>
      </c>
      <c r="J6" s="291">
        <f>IFERROR(IF(I6="std",H6,HLOOKUP(A6,'FlightConfig '!$B$28:$G$29,2,0)*I6),"")</f>
        <v>17</v>
      </c>
      <c r="K6" s="244">
        <f>VLOOKUP(Food!E6,'FG MASTER'!$A$1:$AC$536,16,0)</f>
        <v>0.3</v>
      </c>
      <c r="L6" s="245">
        <f>VLOOKUP(Food!E6,'FG MASTER'!$A$10:$AC$536,17,0)</f>
        <v>0.25</v>
      </c>
      <c r="M6" s="132">
        <f t="shared" si="0"/>
        <v>0.1</v>
      </c>
      <c r="N6" s="132">
        <f t="shared" si="1"/>
        <v>0.4</v>
      </c>
      <c r="O6" s="132">
        <f t="shared" ref="O6:O69" si="5">IFERROR($K6*(1+$O$2)-$K6,0)</f>
        <v>6.6000000000000003E-2</v>
      </c>
      <c r="P6" s="132">
        <f t="shared" ref="P6:P69" si="6">IFERROR($M6*(1+$P$2)-$M6,0)</f>
        <v>1.999999999999999E-2</v>
      </c>
      <c r="Q6" s="132">
        <f t="shared" ref="Q6:Q13" si="7">SUM(N6:P6)</f>
        <v>0.48599999999999999</v>
      </c>
      <c r="R6" s="402">
        <f t="shared" ref="R6:R69" si="8">K6*(1+$O$2)</f>
        <v>0.36599999999999999</v>
      </c>
      <c r="S6" s="402">
        <f t="shared" ref="S6:S69" si="9">M6*(1+$P$2)</f>
        <v>0.12</v>
      </c>
      <c r="T6" s="402">
        <f t="shared" ref="T6:T69" si="10">R6+S6</f>
        <v>0.48599999999999999</v>
      </c>
      <c r="U6" s="127"/>
      <c r="V6" s="127"/>
      <c r="W6" t="str">
        <f>IFERROR(#REF!*J6,"")</f>
        <v/>
      </c>
      <c r="X6">
        <f t="shared" ref="X6:X69" si="11">IFERROR(K6*J6,"")</f>
        <v>5.0999999999999996</v>
      </c>
      <c r="Y6">
        <f t="shared" ref="Y6:Y69" si="12">IFERROR(+L6*J6,"")</f>
        <v>4.25</v>
      </c>
      <c r="Z6" s="127">
        <f t="shared" ref="Z6:Z69" si="13">IFERROR(+M6*J6,"")</f>
        <v>1.7000000000000002</v>
      </c>
      <c r="AA6" s="127">
        <f t="shared" ref="AA6:AA69" si="14">IFERROR(+N6*J6,"")</f>
        <v>6.8000000000000007</v>
      </c>
      <c r="AB6" s="127">
        <f t="shared" ref="AB6:AB69" si="15">IFERROR(O6*$J6,"")</f>
        <v>1.1220000000000001</v>
      </c>
      <c r="AC6" s="127">
        <f t="shared" ref="AC6:AC69" si="16">IFERROR(P6*$J6,"")</f>
        <v>0.33999999999999986</v>
      </c>
      <c r="AD6" s="127">
        <f t="shared" ref="AD6:AD69" si="17">IFERROR(+Q6*J6,"")</f>
        <v>8.2620000000000005</v>
      </c>
      <c r="AF6" s="127" t="str">
        <f>IFERROR(W6*'FlightConfig '!$K$3,"")</f>
        <v/>
      </c>
      <c r="AG6" s="127">
        <f>IFERROR(X6*'FlightConfig '!$K$17,"")</f>
        <v>1856.3999999999999</v>
      </c>
      <c r="AH6" s="127">
        <f>IFERROR(Y6*'FlightConfig '!$K$17,"")</f>
        <v>1547</v>
      </c>
      <c r="AI6" s="127">
        <f>IFERROR(Z6*'FlightConfig '!$K$17,"")</f>
        <v>618.80000000000007</v>
      </c>
      <c r="AJ6" s="127">
        <f>IFERROR(AA6*'FlightConfig '!$K$17,"")</f>
        <v>2475.2000000000003</v>
      </c>
      <c r="AK6" s="127">
        <f>IFERROR(AB6*'FlightConfig '!$K$17,"")</f>
        <v>408.40800000000002</v>
      </c>
    </row>
    <row r="7" spans="1:37" hidden="1">
      <c r="A7" t="s">
        <v>156</v>
      </c>
      <c r="B7" s="171">
        <v>1</v>
      </c>
      <c r="C7" s="176" t="str">
        <f t="shared" si="4"/>
        <v>BUSINESS CLASS1</v>
      </c>
      <c r="D7" s="172"/>
      <c r="E7" s="304">
        <v>1003</v>
      </c>
      <c r="F7" s="310"/>
      <c r="G7" t="str">
        <f>VLOOKUP(E7,'FG MASTER'!$A$10:$AB$218,2,0)</f>
        <v xml:space="preserve">BC C1 DINNER HERB FOCACCIA ROLL </v>
      </c>
      <c r="H7" s="285">
        <v>1</v>
      </c>
      <c r="I7" s="173">
        <v>0.5</v>
      </c>
      <c r="J7" s="291">
        <f>IFERROR(IF(I7="std",H7,HLOOKUP(A7,'FlightConfig '!$B$28:$G$29,2,0)*I7),"")</f>
        <v>17</v>
      </c>
      <c r="K7" s="244">
        <f>VLOOKUP(Food!E7,'FG MASTER'!$A$1:$AC$536,16,0)</f>
        <v>0.14000000000000001</v>
      </c>
      <c r="L7" s="245">
        <f>VLOOKUP(Food!E7,'FG MASTER'!$A$10:$AC$536,17,0)</f>
        <v>0.25</v>
      </c>
      <c r="M7" s="132">
        <f t="shared" si="0"/>
        <v>0.1</v>
      </c>
      <c r="N7" s="132">
        <f t="shared" si="1"/>
        <v>0.24000000000000002</v>
      </c>
      <c r="O7" s="132">
        <f t="shared" si="5"/>
        <v>3.0799999999999994E-2</v>
      </c>
      <c r="P7" s="132">
        <f t="shared" si="6"/>
        <v>1.999999999999999E-2</v>
      </c>
      <c r="Q7" s="132">
        <f t="shared" si="7"/>
        <v>0.29080000000000006</v>
      </c>
      <c r="R7" s="402">
        <f t="shared" si="8"/>
        <v>0.17080000000000001</v>
      </c>
      <c r="S7" s="402">
        <f t="shared" si="9"/>
        <v>0.12</v>
      </c>
      <c r="T7" s="402">
        <f t="shared" si="10"/>
        <v>0.2908</v>
      </c>
      <c r="U7" s="127"/>
      <c r="V7" s="127"/>
      <c r="W7" t="str">
        <f>IFERROR(#REF!*J7,"")</f>
        <v/>
      </c>
      <c r="X7">
        <f t="shared" si="11"/>
        <v>2.3800000000000003</v>
      </c>
      <c r="Y7">
        <f t="shared" si="12"/>
        <v>4.25</v>
      </c>
      <c r="Z7" s="127">
        <f t="shared" si="13"/>
        <v>1.7000000000000002</v>
      </c>
      <c r="AA7" s="127">
        <f t="shared" si="14"/>
        <v>4.08</v>
      </c>
      <c r="AB7" s="127">
        <f t="shared" si="15"/>
        <v>0.52359999999999984</v>
      </c>
      <c r="AC7" s="127">
        <f t="shared" si="16"/>
        <v>0.33999999999999986</v>
      </c>
      <c r="AD7" s="127">
        <f t="shared" si="17"/>
        <v>4.9436000000000009</v>
      </c>
      <c r="AF7" s="127" t="str">
        <f>IFERROR(W7*'FlightConfig '!$K$3,"")</f>
        <v/>
      </c>
      <c r="AG7" s="127">
        <f>IFERROR(X7*'FlightConfig '!$K$17,"")</f>
        <v>866.32000000000016</v>
      </c>
      <c r="AH7" s="127">
        <f>IFERROR(Y7*'FlightConfig '!$K$17,"")</f>
        <v>1547</v>
      </c>
      <c r="AI7" s="127">
        <f>IFERROR(Z7*'FlightConfig '!$K$17,"")</f>
        <v>618.80000000000007</v>
      </c>
      <c r="AJ7" s="127">
        <f>IFERROR(AA7*'FlightConfig '!$K$17,"")</f>
        <v>1485.1200000000001</v>
      </c>
      <c r="AK7" s="127">
        <f>IFERROR(AB7*'FlightConfig '!$K$17,"")</f>
        <v>190.59039999999993</v>
      </c>
    </row>
    <row r="8" spans="1:37" hidden="1">
      <c r="A8" t="s">
        <v>156</v>
      </c>
      <c r="B8" s="171">
        <v>1</v>
      </c>
      <c r="C8" s="176" t="str">
        <f t="shared" si="4"/>
        <v>BUSINESS CLASS1</v>
      </c>
      <c r="D8" s="172"/>
      <c r="E8" s="304">
        <v>1004</v>
      </c>
      <c r="F8" s="310"/>
      <c r="G8" t="str">
        <f>VLOOKUP(E8,'FG MASTER'!$A$10:$AB$218,2,0)</f>
        <v xml:space="preserve">BC C1 DINNER HHAWAIIAN ROLL </v>
      </c>
      <c r="H8" s="285">
        <v>1</v>
      </c>
      <c r="I8" s="173">
        <v>0.5</v>
      </c>
      <c r="J8" s="291">
        <f>IFERROR(IF(I8="std",H8,HLOOKUP(A8,'FlightConfig '!$B$28:$G$29,2,0)*I8),"")</f>
        <v>17</v>
      </c>
      <c r="K8" s="244">
        <f>VLOOKUP(Food!E8,'FG MASTER'!$A$1:$AC$536,16,0)</f>
        <v>0.25</v>
      </c>
      <c r="L8" s="245">
        <f>VLOOKUP(Food!E8,'FG MASTER'!$A$10:$AC$536,17,0)</f>
        <v>0.25</v>
      </c>
      <c r="M8" s="132">
        <f t="shared" si="0"/>
        <v>0.1</v>
      </c>
      <c r="N8" s="132">
        <f t="shared" si="1"/>
        <v>0.35</v>
      </c>
      <c r="O8" s="132">
        <f t="shared" si="5"/>
        <v>5.4999999999999993E-2</v>
      </c>
      <c r="P8" s="132">
        <f t="shared" si="6"/>
        <v>1.999999999999999E-2</v>
      </c>
      <c r="Q8" s="132">
        <f t="shared" si="7"/>
        <v>0.42499999999999993</v>
      </c>
      <c r="R8" s="402">
        <f t="shared" si="8"/>
        <v>0.30499999999999999</v>
      </c>
      <c r="S8" s="402">
        <f t="shared" si="9"/>
        <v>0.12</v>
      </c>
      <c r="T8" s="402">
        <f t="shared" si="10"/>
        <v>0.42499999999999999</v>
      </c>
      <c r="U8" s="127"/>
      <c r="V8" s="127"/>
      <c r="W8" t="str">
        <f>IFERROR(#REF!*J8,"")</f>
        <v/>
      </c>
      <c r="X8">
        <f t="shared" si="11"/>
        <v>4.25</v>
      </c>
      <c r="Y8">
        <f t="shared" si="12"/>
        <v>4.25</v>
      </c>
      <c r="Z8" s="127">
        <f t="shared" si="13"/>
        <v>1.7000000000000002</v>
      </c>
      <c r="AA8" s="127">
        <f t="shared" si="14"/>
        <v>5.9499999999999993</v>
      </c>
      <c r="AB8" s="127">
        <f t="shared" si="15"/>
        <v>0.93499999999999983</v>
      </c>
      <c r="AC8" s="127">
        <f t="shared" si="16"/>
        <v>0.33999999999999986</v>
      </c>
      <c r="AD8" s="127">
        <f t="shared" si="17"/>
        <v>7.2249999999999988</v>
      </c>
      <c r="AF8" s="127" t="str">
        <f>IFERROR(W8*'FlightConfig '!$K$3,"")</f>
        <v/>
      </c>
      <c r="AG8" s="127">
        <f>IFERROR(X8*'FlightConfig '!$K$17,"")</f>
        <v>1547</v>
      </c>
      <c r="AH8" s="127">
        <f>IFERROR(Y8*'FlightConfig '!$K$17,"")</f>
        <v>1547</v>
      </c>
      <c r="AI8" s="127">
        <f>IFERROR(Z8*'FlightConfig '!$K$17,"")</f>
        <v>618.80000000000007</v>
      </c>
      <c r="AJ8" s="127">
        <f>IFERROR(AA8*'FlightConfig '!$K$17,"")</f>
        <v>2165.7999999999997</v>
      </c>
      <c r="AK8" s="127">
        <f>IFERROR(AB8*'FlightConfig '!$K$17,"")</f>
        <v>340.33999999999992</v>
      </c>
    </row>
    <row r="9" spans="1:37" ht="18" hidden="1" customHeight="1">
      <c r="A9" t="s">
        <v>156</v>
      </c>
      <c r="B9" s="171">
        <v>1</v>
      </c>
      <c r="C9" s="176" t="str">
        <f t="shared" si="4"/>
        <v>BUSINESS CLASS1</v>
      </c>
      <c r="D9" s="172"/>
      <c r="E9" s="304">
        <v>1005</v>
      </c>
      <c r="F9" s="310"/>
      <c r="G9" t="str">
        <f>VLOOKUP(E9,'FG MASTER'!$A$10:$AB$218,2,0)</f>
        <v xml:space="preserve">BC C1 DINNER STARTER 1 NON VEG ROTATION 1 GRILLED PRAWN U10, MANGO CURRY AIOLI, LEMON HERB SLAW, MICRO CILANTRO, MANGO RELISH </v>
      </c>
      <c r="H9" s="285">
        <v>1</v>
      </c>
      <c r="I9" s="173">
        <v>0.55000000000000004</v>
      </c>
      <c r="J9" s="291">
        <f>IFERROR(IF(I9="std",H9,HLOOKUP(A9,'FlightConfig '!$B$28:$G$29,2,0)*I9),"")</f>
        <v>18.700000000000003</v>
      </c>
      <c r="K9" s="244">
        <f>VLOOKUP(Food!E9,'FG MASTER'!$A$1:$AC$536,16,0)</f>
        <v>2.87</v>
      </c>
      <c r="L9" s="245">
        <f>VLOOKUP(Food!E9,'FG MASTER'!$A$10:$AC$536,17,0)</f>
        <v>4.25</v>
      </c>
      <c r="M9" s="132">
        <f t="shared" si="0"/>
        <v>1.7000000000000002</v>
      </c>
      <c r="N9" s="132">
        <f t="shared" si="1"/>
        <v>4.57</v>
      </c>
      <c r="O9" s="132">
        <f t="shared" si="5"/>
        <v>0.63139999999999974</v>
      </c>
      <c r="P9" s="132">
        <f t="shared" si="6"/>
        <v>0.33999999999999986</v>
      </c>
      <c r="Q9" s="132">
        <f t="shared" si="7"/>
        <v>5.5413999999999994</v>
      </c>
      <c r="R9" s="402">
        <f t="shared" si="8"/>
        <v>3.5013999999999998</v>
      </c>
      <c r="S9" s="402">
        <f t="shared" si="9"/>
        <v>2.04</v>
      </c>
      <c r="T9" s="402">
        <f t="shared" si="10"/>
        <v>5.5413999999999994</v>
      </c>
      <c r="U9" s="127"/>
      <c r="V9" s="127"/>
      <c r="W9" t="str">
        <f>IFERROR(#REF!*J9,"")</f>
        <v/>
      </c>
      <c r="X9">
        <f t="shared" si="11"/>
        <v>53.669000000000011</v>
      </c>
      <c r="Y9">
        <f t="shared" si="12"/>
        <v>79.475000000000009</v>
      </c>
      <c r="Z9" s="127">
        <f t="shared" si="13"/>
        <v>31.79000000000001</v>
      </c>
      <c r="AA9" s="127">
        <f t="shared" si="14"/>
        <v>85.459000000000017</v>
      </c>
      <c r="AB9" s="127">
        <f t="shared" si="15"/>
        <v>11.807179999999997</v>
      </c>
      <c r="AC9" s="127">
        <f t="shared" si="16"/>
        <v>6.3579999999999979</v>
      </c>
      <c r="AD9" s="127">
        <f t="shared" si="17"/>
        <v>103.62418000000001</v>
      </c>
      <c r="AF9" s="127" t="str">
        <f>IFERROR(W9*'FlightConfig '!$K$3,"")</f>
        <v/>
      </c>
      <c r="AG9" s="127">
        <f>IFERROR(X9*'FlightConfig '!$K$17,"")</f>
        <v>19535.516000000003</v>
      </c>
      <c r="AH9" s="127">
        <f>IFERROR(Y9*'FlightConfig '!$K$17,"")</f>
        <v>28928.9</v>
      </c>
      <c r="AI9" s="127">
        <f>IFERROR(Z9*'FlightConfig '!$K$17,"")</f>
        <v>11571.560000000003</v>
      </c>
      <c r="AJ9" s="127">
        <f>IFERROR(AA9*'FlightConfig '!$K$17,"")</f>
        <v>31107.076000000005</v>
      </c>
      <c r="AK9" s="127">
        <f>IFERROR(AB9*'FlightConfig '!$K$17,"")</f>
        <v>4297.8135199999988</v>
      </c>
    </row>
    <row r="10" spans="1:37" ht="18" hidden="1" customHeight="1">
      <c r="A10" t="s">
        <v>156</v>
      </c>
      <c r="B10" s="171">
        <v>1</v>
      </c>
      <c r="C10" s="176" t="str">
        <f t="shared" si="4"/>
        <v>BUSINESS CLASS1</v>
      </c>
      <c r="D10" s="172"/>
      <c r="E10" s="304">
        <v>1006</v>
      </c>
      <c r="F10" s="310"/>
      <c r="G10" t="str">
        <f>VLOOKUP(E10,'FG MASTER'!$A$10:$AB$218,2,0)</f>
        <v>BC C1 DINNER STARTER 2 VEG ROTATION 1 BURRATA CHEESE, MARINATED TOMATO, BASIL OIL, MICRO BASIL. BALSAMIC REDUCTION</v>
      </c>
      <c r="H10" s="285">
        <v>1</v>
      </c>
      <c r="I10" s="173">
        <v>0.55000000000000004</v>
      </c>
      <c r="J10" s="291">
        <f>IFERROR(IF(I10="std",H10,HLOOKUP(A10,'FlightConfig '!$B$28:$G$29,2,0)*I10),"")</f>
        <v>18.700000000000003</v>
      </c>
      <c r="K10" s="244">
        <f>VLOOKUP(Food!E10,'FG MASTER'!$A$1:$AC$536,16,0)</f>
        <v>5.0599999999999996</v>
      </c>
      <c r="L10" s="245">
        <f>VLOOKUP(Food!E10,'FG MASTER'!$A$10:$AC$536,17,0)</f>
        <v>2.7</v>
      </c>
      <c r="M10" s="132">
        <f t="shared" si="0"/>
        <v>1.08</v>
      </c>
      <c r="N10" s="132">
        <f t="shared" si="1"/>
        <v>6.14</v>
      </c>
      <c r="O10" s="132">
        <f t="shared" si="5"/>
        <v>1.1132</v>
      </c>
      <c r="P10" s="132">
        <f t="shared" si="6"/>
        <v>0.21599999999999997</v>
      </c>
      <c r="Q10" s="132">
        <f t="shared" si="7"/>
        <v>7.4691999999999998</v>
      </c>
      <c r="R10" s="402">
        <f t="shared" si="8"/>
        <v>6.1731999999999996</v>
      </c>
      <c r="S10" s="402">
        <f t="shared" si="9"/>
        <v>1.296</v>
      </c>
      <c r="T10" s="402">
        <f t="shared" si="10"/>
        <v>7.4691999999999998</v>
      </c>
      <c r="U10" s="127"/>
      <c r="V10" s="127"/>
      <c r="W10" t="str">
        <f>IFERROR(#REF!*J10,"")</f>
        <v/>
      </c>
      <c r="X10">
        <f t="shared" si="11"/>
        <v>94.622000000000014</v>
      </c>
      <c r="Y10">
        <f t="shared" si="12"/>
        <v>50.490000000000009</v>
      </c>
      <c r="Z10" s="127">
        <f t="shared" si="13"/>
        <v>20.196000000000005</v>
      </c>
      <c r="AA10" s="127">
        <f t="shared" si="14"/>
        <v>114.81800000000001</v>
      </c>
      <c r="AB10" s="127">
        <f t="shared" si="15"/>
        <v>20.816840000000003</v>
      </c>
      <c r="AC10" s="127">
        <f t="shared" si="16"/>
        <v>4.0392000000000001</v>
      </c>
      <c r="AD10" s="127">
        <f t="shared" si="17"/>
        <v>139.67404000000002</v>
      </c>
      <c r="AF10" s="127" t="str">
        <f>IFERROR(W10*'FlightConfig '!$K$3,"")</f>
        <v/>
      </c>
      <c r="AG10" s="127">
        <f>IFERROR(X10*'FlightConfig '!$K$17,"")</f>
        <v>34442.408000000003</v>
      </c>
      <c r="AH10" s="127">
        <f>IFERROR(Y10*'FlightConfig '!$K$17,"")</f>
        <v>18378.360000000004</v>
      </c>
      <c r="AI10" s="127">
        <f>IFERROR(Z10*'FlightConfig '!$K$17,"")</f>
        <v>7351.3440000000019</v>
      </c>
      <c r="AJ10" s="127">
        <f>IFERROR(AA10*'FlightConfig '!$K$17,"")</f>
        <v>41793.752000000008</v>
      </c>
      <c r="AK10" s="127">
        <f>IFERROR(AB10*'FlightConfig '!$K$17,"")</f>
        <v>7577.3297600000005</v>
      </c>
    </row>
    <row r="11" spans="1:37" ht="18" hidden="1" customHeight="1">
      <c r="A11" t="s">
        <v>156</v>
      </c>
      <c r="B11" s="171">
        <v>1</v>
      </c>
      <c r="C11" s="176" t="str">
        <f t="shared" si="4"/>
        <v>BUSINESS CLASS1</v>
      </c>
      <c r="D11" s="172"/>
      <c r="E11" s="304">
        <v>1007</v>
      </c>
      <c r="F11" s="310"/>
      <c r="G11" t="str">
        <f>VLOOKUP(E11,'FG MASTER'!$A$10:$AB$218,2,0)</f>
        <v>BC C1 DINNER STARTER 1 NON VEG ROTATION 2 PROSCUTTIO WRAPPED PEACHES, FRISEE LETTUCE, WATERMELON, FETA CHEESE MINT LIME VINAIGRETTE</v>
      </c>
      <c r="H11" s="285">
        <v>1</v>
      </c>
      <c r="I11" s="173">
        <v>0</v>
      </c>
      <c r="J11" s="291">
        <f>IFERROR(IF(I11="std",H11,HLOOKUP(A11,'FlightConfig '!$B$28:$G$29,2,0)*I11),"")</f>
        <v>0</v>
      </c>
      <c r="K11" s="244">
        <f>VLOOKUP(Food!E11,'FG MASTER'!$A$1:$AC$536,16,0)</f>
        <v>2.95</v>
      </c>
      <c r="L11" s="245">
        <f>VLOOKUP(Food!E11,'FG MASTER'!$A$10:$AC$536,17,0)</f>
        <v>3.75</v>
      </c>
      <c r="M11" s="132">
        <f t="shared" si="0"/>
        <v>1.5</v>
      </c>
      <c r="N11" s="132">
        <f t="shared" si="1"/>
        <v>4.45</v>
      </c>
      <c r="O11" s="132">
        <f t="shared" si="5"/>
        <v>0.64900000000000002</v>
      </c>
      <c r="P11" s="132">
        <f t="shared" si="6"/>
        <v>0.29999999999999982</v>
      </c>
      <c r="Q11" s="132">
        <f t="shared" si="7"/>
        <v>5.399</v>
      </c>
      <c r="R11" s="402">
        <f t="shared" si="8"/>
        <v>3.5990000000000002</v>
      </c>
      <c r="S11" s="402">
        <f t="shared" si="9"/>
        <v>1.7999999999999998</v>
      </c>
      <c r="T11" s="402">
        <f t="shared" si="10"/>
        <v>5.399</v>
      </c>
      <c r="U11" s="127"/>
      <c r="V11" s="127"/>
      <c r="W11" t="str">
        <f>IFERROR(#REF!*J11,"")</f>
        <v/>
      </c>
      <c r="X11">
        <f t="shared" si="11"/>
        <v>0</v>
      </c>
      <c r="Y11">
        <f t="shared" si="12"/>
        <v>0</v>
      </c>
      <c r="Z11" s="127">
        <f t="shared" si="13"/>
        <v>0</v>
      </c>
      <c r="AA11" s="127">
        <f t="shared" si="14"/>
        <v>0</v>
      </c>
      <c r="AB11" s="127">
        <f t="shared" si="15"/>
        <v>0</v>
      </c>
      <c r="AC11" s="127">
        <f t="shared" si="16"/>
        <v>0</v>
      </c>
      <c r="AD11" s="127">
        <f t="shared" si="17"/>
        <v>0</v>
      </c>
      <c r="AF11" s="127" t="str">
        <f>IFERROR(W11*'FlightConfig '!$K$3,"")</f>
        <v/>
      </c>
      <c r="AG11" s="127">
        <f>IFERROR(X11*'FlightConfig '!$K$17,"")</f>
        <v>0</v>
      </c>
      <c r="AH11" s="127">
        <f>IFERROR(Y11*'FlightConfig '!$K$17,"")</f>
        <v>0</v>
      </c>
      <c r="AI11" s="127">
        <f>IFERROR(Z11*'FlightConfig '!$K$17,"")</f>
        <v>0</v>
      </c>
      <c r="AJ11" s="127">
        <f>IFERROR(AA11*'FlightConfig '!$K$17,"")</f>
        <v>0</v>
      </c>
      <c r="AK11" s="127">
        <f>IFERROR(AB11*'FlightConfig '!$K$17,"")</f>
        <v>0</v>
      </c>
    </row>
    <row r="12" spans="1:37" ht="18" hidden="1" customHeight="1">
      <c r="A12" t="s">
        <v>156</v>
      </c>
      <c r="B12" s="171">
        <v>1</v>
      </c>
      <c r="C12" s="176" t="str">
        <f t="shared" si="4"/>
        <v>BUSINESS CLASS1</v>
      </c>
      <c r="D12" s="172"/>
      <c r="E12" s="304">
        <v>1008</v>
      </c>
      <c r="F12" s="310"/>
      <c r="G12" t="str">
        <f>VLOOKUP(E12,'FG MASTER'!$A$10:$AB$218,2,0)</f>
        <v>BC C1 DINNER STARTER 2 VEG ROTATION 2 POMENTO CHEESE STUFFED PEPPADEW PEPPER, ARUGULA, OLIVE OIL</v>
      </c>
      <c r="H12" s="285">
        <v>1</v>
      </c>
      <c r="I12" s="173">
        <v>0</v>
      </c>
      <c r="J12" s="291">
        <f>IFERROR(IF(I12="std",H12,HLOOKUP(A12,'FlightConfig '!$B$28:$G$29,2,0)*I12),"")</f>
        <v>0</v>
      </c>
      <c r="K12" s="244">
        <f>VLOOKUP(Food!E12,'FG MASTER'!$A$1:$AC$536,16,0)</f>
        <v>1.59</v>
      </c>
      <c r="L12" s="245">
        <f>VLOOKUP(Food!E12,'FG MASTER'!$A$10:$AC$536,17,0)</f>
        <v>4</v>
      </c>
      <c r="M12" s="132">
        <f t="shared" si="0"/>
        <v>1.6</v>
      </c>
      <c r="N12" s="132">
        <f t="shared" si="1"/>
        <v>3.1900000000000004</v>
      </c>
      <c r="O12" s="132">
        <f t="shared" si="5"/>
        <v>0.34979999999999989</v>
      </c>
      <c r="P12" s="132">
        <f t="shared" si="6"/>
        <v>0.31999999999999984</v>
      </c>
      <c r="Q12" s="132">
        <f t="shared" si="7"/>
        <v>3.8598000000000003</v>
      </c>
      <c r="R12" s="402">
        <f t="shared" si="8"/>
        <v>1.9398</v>
      </c>
      <c r="S12" s="402">
        <f t="shared" si="9"/>
        <v>1.92</v>
      </c>
      <c r="T12" s="402">
        <f t="shared" si="10"/>
        <v>3.8597999999999999</v>
      </c>
      <c r="U12" s="127"/>
      <c r="V12" s="127"/>
      <c r="W12" t="str">
        <f>IFERROR(#REF!*J12,"")</f>
        <v/>
      </c>
      <c r="X12">
        <f t="shared" si="11"/>
        <v>0</v>
      </c>
      <c r="Y12">
        <f t="shared" si="12"/>
        <v>0</v>
      </c>
      <c r="Z12" s="127">
        <f t="shared" si="13"/>
        <v>0</v>
      </c>
      <c r="AA12" s="127">
        <f t="shared" si="14"/>
        <v>0</v>
      </c>
      <c r="AB12" s="127">
        <f t="shared" si="15"/>
        <v>0</v>
      </c>
      <c r="AC12" s="127">
        <f t="shared" si="16"/>
        <v>0</v>
      </c>
      <c r="AD12" s="127">
        <f t="shared" si="17"/>
        <v>0</v>
      </c>
      <c r="AF12" s="127" t="str">
        <f>IFERROR(W12*'FlightConfig '!$K$3,"")</f>
        <v/>
      </c>
      <c r="AG12" s="127">
        <f>IFERROR(X12*'FlightConfig '!$K$17,"")</f>
        <v>0</v>
      </c>
      <c r="AH12" s="127">
        <f>IFERROR(Y12*'FlightConfig '!$K$17,"")</f>
        <v>0</v>
      </c>
      <c r="AI12" s="127">
        <f>IFERROR(Z12*'FlightConfig '!$K$17,"")</f>
        <v>0</v>
      </c>
      <c r="AJ12" s="127">
        <f>IFERROR(AA12*'FlightConfig '!$K$17,"")</f>
        <v>0</v>
      </c>
      <c r="AK12" s="127">
        <f>IFERROR(AB12*'FlightConfig '!$K$17,"")</f>
        <v>0</v>
      </c>
    </row>
    <row r="13" spans="1:37" ht="18" hidden="1" customHeight="1">
      <c r="A13" t="s">
        <v>156</v>
      </c>
      <c r="B13" s="171">
        <v>1</v>
      </c>
      <c r="C13" s="176" t="str">
        <f t="shared" si="4"/>
        <v>BUSINESS CLASS1</v>
      </c>
      <c r="D13" s="172"/>
      <c r="E13" s="304">
        <v>1009</v>
      </c>
      <c r="F13" s="310"/>
      <c r="G13" t="str">
        <f>VLOOKUP(E13,'FG MASTER'!$A$10:$AB$218,2,0)</f>
        <v xml:space="preserve">BC C1 DINNER ENTRÉE 1 LEMON CONFIT CHICKEN LEG, LEMON CHICKIEN JUS, MASHED POTATOES, HARICOT VERT, LEMON AGRUMATO </v>
      </c>
      <c r="H13" s="285">
        <v>1</v>
      </c>
      <c r="I13" s="173">
        <v>0.6</v>
      </c>
      <c r="J13" s="291">
        <f>IFERROR(IF(I13="std",H13,HLOOKUP(A13,'FlightConfig '!$B$28:$G$29,2,0)*I13),"")</f>
        <v>20.399999999999999</v>
      </c>
      <c r="K13" s="244">
        <f>VLOOKUP(Food!E13,'FG MASTER'!$A$1:$AC$536,16,0)</f>
        <v>4.28</v>
      </c>
      <c r="L13" s="245">
        <f>VLOOKUP(Food!E13,'FG MASTER'!$A$10:$AC$536,17,0)</f>
        <v>4.25</v>
      </c>
      <c r="M13" s="132">
        <f t="shared" si="0"/>
        <v>1.7000000000000002</v>
      </c>
      <c r="N13" s="132">
        <f t="shared" si="1"/>
        <v>5.98</v>
      </c>
      <c r="O13" s="132">
        <f t="shared" si="5"/>
        <v>0.94160000000000021</v>
      </c>
      <c r="P13" s="132">
        <f t="shared" si="6"/>
        <v>0.33999999999999986</v>
      </c>
      <c r="Q13" s="132">
        <f t="shared" si="7"/>
        <v>7.2616000000000005</v>
      </c>
      <c r="R13" s="402">
        <f t="shared" si="8"/>
        <v>5.2216000000000005</v>
      </c>
      <c r="S13" s="402">
        <f t="shared" si="9"/>
        <v>2.04</v>
      </c>
      <c r="T13" s="402">
        <f t="shared" si="10"/>
        <v>7.2616000000000005</v>
      </c>
      <c r="U13" s="127"/>
      <c r="V13" s="127"/>
      <c r="W13" t="str">
        <f>IFERROR(#REF!*J13,"")</f>
        <v/>
      </c>
      <c r="X13">
        <f t="shared" si="11"/>
        <v>87.311999999999998</v>
      </c>
      <c r="Y13">
        <f t="shared" si="12"/>
        <v>86.699999999999989</v>
      </c>
      <c r="Z13" s="127">
        <f t="shared" si="13"/>
        <v>34.68</v>
      </c>
      <c r="AA13" s="127">
        <f t="shared" si="14"/>
        <v>121.992</v>
      </c>
      <c r="AB13" s="127">
        <f t="shared" si="15"/>
        <v>19.208640000000003</v>
      </c>
      <c r="AC13" s="127">
        <f t="shared" si="16"/>
        <v>6.9359999999999964</v>
      </c>
      <c r="AD13" s="127">
        <f t="shared" si="17"/>
        <v>148.13664</v>
      </c>
      <c r="AF13" s="127" t="str">
        <f>IFERROR(W13*'FlightConfig '!$K$3,"")</f>
        <v/>
      </c>
      <c r="AG13" s="127">
        <f>IFERROR(X13*'FlightConfig '!$K$17,"")</f>
        <v>31781.567999999999</v>
      </c>
      <c r="AH13" s="127">
        <f>IFERROR(Y13*'FlightConfig '!$K$17,"")</f>
        <v>31558.799999999996</v>
      </c>
      <c r="AI13" s="127">
        <f>IFERROR(Z13*'FlightConfig '!$K$17,"")</f>
        <v>12623.52</v>
      </c>
      <c r="AJ13" s="127">
        <f>IFERROR(AA13*'FlightConfig '!$K$17,"")</f>
        <v>44405.088000000003</v>
      </c>
      <c r="AK13" s="127">
        <f>IFERROR(AB13*'FlightConfig '!$K$17,"")</f>
        <v>6991.9449600000007</v>
      </c>
    </row>
    <row r="14" spans="1:37" ht="18" hidden="1" customHeight="1">
      <c r="A14" t="s">
        <v>156</v>
      </c>
      <c r="B14" s="171">
        <v>1</v>
      </c>
      <c r="C14" s="176" t="str">
        <f t="shared" si="4"/>
        <v>BUSINESS CLASS1</v>
      </c>
      <c r="D14" s="172"/>
      <c r="E14" s="304">
        <v>1010</v>
      </c>
      <c r="F14" s="310"/>
      <c r="G14" t="str">
        <f>VLOOKUP(E14,'FG MASTER'!$A$10:$AB$218,2,0)</f>
        <v>BC C1 DINNER ENTRÉE 2 FOX BROCHTERS SMOKED PRESSED LAMB SHOULDER, BABY CARROT , PEARL ONION, PEA PUREE, MASHED POTATOES, THYME DEMI GLACE</v>
      </c>
      <c r="H14" s="285">
        <v>1</v>
      </c>
      <c r="I14" s="173">
        <v>0.4</v>
      </c>
      <c r="J14" s="291">
        <f>IFERROR(IF(I14="std",H14,HLOOKUP(A14,'FlightConfig '!$B$28:$G$29,2,0)*I14),"")</f>
        <v>13.600000000000001</v>
      </c>
      <c r="K14" s="244">
        <f>VLOOKUP(Food!E14,'FG MASTER'!$A$1:$AC$536,16,0)</f>
        <v>9.3000000000000007</v>
      </c>
      <c r="L14" s="245">
        <f>VLOOKUP(Food!E14,'FG MASTER'!$A$10:$AC$536,17,0)</f>
        <v>7.5</v>
      </c>
      <c r="M14" s="132">
        <f t="shared" si="0"/>
        <v>3</v>
      </c>
      <c r="N14" s="132">
        <f t="shared" si="1"/>
        <v>12.3</v>
      </c>
      <c r="O14" s="132">
        <f t="shared" si="5"/>
        <v>2.0459999999999994</v>
      </c>
      <c r="P14" s="132">
        <f t="shared" si="6"/>
        <v>0.59999999999999964</v>
      </c>
      <c r="Q14" s="132">
        <f>SUM(N14:P14)</f>
        <v>14.946</v>
      </c>
      <c r="R14" s="402">
        <f t="shared" si="8"/>
        <v>11.346</v>
      </c>
      <c r="S14" s="402">
        <f t="shared" si="9"/>
        <v>3.5999999999999996</v>
      </c>
      <c r="T14" s="402">
        <f t="shared" si="10"/>
        <v>14.946</v>
      </c>
      <c r="U14" s="127"/>
      <c r="V14" s="127"/>
      <c r="W14" t="str">
        <f>IFERROR(#REF!*J14,"")</f>
        <v/>
      </c>
      <c r="X14">
        <f t="shared" si="11"/>
        <v>126.48000000000002</v>
      </c>
      <c r="Y14">
        <f t="shared" si="12"/>
        <v>102.00000000000001</v>
      </c>
      <c r="Z14" s="127">
        <f t="shared" si="13"/>
        <v>40.800000000000004</v>
      </c>
      <c r="AA14" s="127">
        <f t="shared" si="14"/>
        <v>167.28000000000003</v>
      </c>
      <c r="AB14" s="127">
        <f t="shared" si="15"/>
        <v>27.825599999999994</v>
      </c>
      <c r="AC14" s="127">
        <f t="shared" si="16"/>
        <v>8.1599999999999966</v>
      </c>
      <c r="AD14" s="127">
        <f t="shared" si="17"/>
        <v>203.26560000000001</v>
      </c>
      <c r="AF14" s="127" t="str">
        <f>IFERROR(W14*'FlightConfig '!$K$3,"")</f>
        <v/>
      </c>
      <c r="AG14" s="127">
        <f>IFERROR(X14*'FlightConfig '!$K$17,"")</f>
        <v>46038.720000000008</v>
      </c>
      <c r="AH14" s="127">
        <f>IFERROR(Y14*'FlightConfig '!$K$17,"")</f>
        <v>37128.000000000007</v>
      </c>
      <c r="AI14" s="127">
        <f>IFERROR(Z14*'FlightConfig '!$K$17,"")</f>
        <v>14851.2</v>
      </c>
      <c r="AJ14" s="127">
        <f>IFERROR(AA14*'FlightConfig '!$K$17,"")</f>
        <v>60889.920000000013</v>
      </c>
      <c r="AK14" s="127">
        <f>IFERROR(AB14*'FlightConfig '!$K$17,"")</f>
        <v>10128.518399999997</v>
      </c>
    </row>
    <row r="15" spans="1:37" ht="18" hidden="1" customHeight="1">
      <c r="A15" t="s">
        <v>156</v>
      </c>
      <c r="B15" s="171">
        <v>1</v>
      </c>
      <c r="C15" s="176" t="str">
        <f t="shared" si="4"/>
        <v>BUSINESS CLASS1</v>
      </c>
      <c r="D15" s="172"/>
      <c r="E15" s="304">
        <v>1011</v>
      </c>
      <c r="F15" s="310"/>
      <c r="G15" t="str">
        <f>VLOOKUP(E15,'FG MASTER'!$A$10:$AB$218,2,0)</f>
        <v xml:space="preserve">BC C1 DINNER ENTRÉE 3 TRUFFLE PARMESAN RISOTTO, BABY ZUCCHINI, WILD MUSHROOM CONSERVA, ASPARAGUS, RAITA SAUCE </v>
      </c>
      <c r="H15" s="285">
        <v>1</v>
      </c>
      <c r="I15" s="173">
        <v>0.2</v>
      </c>
      <c r="J15" s="291">
        <f>IFERROR(IF(I15="std",H15,HLOOKUP(A15,'FlightConfig '!$B$28:$G$29,2,0)*I15),"")</f>
        <v>6.8000000000000007</v>
      </c>
      <c r="K15" s="244">
        <f>VLOOKUP(Food!E15,'FG MASTER'!$A$1:$AC$536,16,0)</f>
        <v>3.41</v>
      </c>
      <c r="L15" s="245">
        <f>VLOOKUP(Food!E15,'FG MASTER'!$A$10:$AC$536,17,0)</f>
        <v>4.25</v>
      </c>
      <c r="M15" s="132">
        <f t="shared" si="0"/>
        <v>1.7000000000000002</v>
      </c>
      <c r="N15" s="132">
        <f t="shared" si="1"/>
        <v>5.1100000000000003</v>
      </c>
      <c r="O15" s="132">
        <f t="shared" si="5"/>
        <v>0.75019999999999953</v>
      </c>
      <c r="P15" s="132">
        <f t="shared" si="6"/>
        <v>0.33999999999999986</v>
      </c>
      <c r="Q15" s="132">
        <f t="shared" ref="Q15:Q17" si="18">SUM(N15:P15)</f>
        <v>6.2001999999999997</v>
      </c>
      <c r="R15" s="402">
        <f t="shared" si="8"/>
        <v>4.1601999999999997</v>
      </c>
      <c r="S15" s="402">
        <f t="shared" si="9"/>
        <v>2.04</v>
      </c>
      <c r="T15" s="402">
        <f t="shared" si="10"/>
        <v>6.2001999999999997</v>
      </c>
      <c r="U15" s="127"/>
      <c r="V15" s="127"/>
      <c r="W15" t="str">
        <f>IFERROR(#REF!*J15,"")</f>
        <v/>
      </c>
      <c r="X15">
        <f t="shared" si="11"/>
        <v>23.188000000000002</v>
      </c>
      <c r="Y15">
        <f t="shared" si="12"/>
        <v>28.900000000000002</v>
      </c>
      <c r="Z15" s="127">
        <f t="shared" si="13"/>
        <v>11.560000000000002</v>
      </c>
      <c r="AA15" s="127">
        <f t="shared" si="14"/>
        <v>34.748000000000005</v>
      </c>
      <c r="AB15" s="127">
        <f t="shared" si="15"/>
        <v>5.101359999999997</v>
      </c>
      <c r="AC15" s="127">
        <f t="shared" si="16"/>
        <v>2.3119999999999994</v>
      </c>
      <c r="AD15" s="127">
        <f t="shared" si="17"/>
        <v>42.161360000000002</v>
      </c>
      <c r="AF15" s="127" t="str">
        <f>IFERROR(W15*'FlightConfig '!$K$3,"")</f>
        <v/>
      </c>
      <c r="AG15" s="127">
        <f>IFERROR(X15*'FlightConfig '!$K$17,"")</f>
        <v>8440.4320000000007</v>
      </c>
      <c r="AH15" s="127">
        <f>IFERROR(Y15*'FlightConfig '!$K$17,"")</f>
        <v>10519.6</v>
      </c>
      <c r="AI15" s="127">
        <f>IFERROR(Z15*'FlightConfig '!$K$17,"")</f>
        <v>4207.8400000000011</v>
      </c>
      <c r="AJ15" s="127">
        <f>IFERROR(AA15*'FlightConfig '!$K$17,"")</f>
        <v>12648.272000000001</v>
      </c>
      <c r="AK15" s="127">
        <f>IFERROR(AB15*'FlightConfig '!$K$17,"")</f>
        <v>1856.895039999999</v>
      </c>
    </row>
    <row r="16" spans="1:37" ht="18" hidden="1" customHeight="1">
      <c r="A16" t="s">
        <v>156</v>
      </c>
      <c r="B16" s="171">
        <v>1</v>
      </c>
      <c r="C16" s="176" t="str">
        <f t="shared" si="4"/>
        <v>BUSINESS CLASS1</v>
      </c>
      <c r="D16" s="172"/>
      <c r="E16" s="305">
        <v>1012</v>
      </c>
      <c r="F16" s="310"/>
      <c r="G16" t="str">
        <f>VLOOKUP(E16,'FG MASTER'!$A$10:$AB$218,2,0)</f>
        <v xml:space="preserve">BC C1 DINNER DESSERT COLD ROTATION 1 BANANA PUDDING CHEESECAKE, STREUSEL CRUMBLES, BLUEBERRIES </v>
      </c>
      <c r="H16" s="285">
        <v>1</v>
      </c>
      <c r="I16" s="173">
        <v>0.5</v>
      </c>
      <c r="J16" s="291">
        <f>IFERROR(IF(I16="std",H16,HLOOKUP(A16,'FlightConfig '!$B$28:$G$29,2,0)*I16),"")</f>
        <v>17</v>
      </c>
      <c r="K16" s="244">
        <f>VLOOKUP(Food!E16,'FG MASTER'!$A$1:$AC$536,16,0)</f>
        <v>0.98</v>
      </c>
      <c r="L16" s="245">
        <f>VLOOKUP(Food!E16,'FG MASTER'!$A$10:$AC$536,17,0)</f>
        <v>2</v>
      </c>
      <c r="M16" s="132">
        <f t="shared" si="0"/>
        <v>0.8</v>
      </c>
      <c r="N16" s="132">
        <f t="shared" si="1"/>
        <v>1.78</v>
      </c>
      <c r="O16" s="132">
        <f t="shared" si="5"/>
        <v>0.21560000000000001</v>
      </c>
      <c r="P16" s="132">
        <f t="shared" si="6"/>
        <v>0.15999999999999992</v>
      </c>
      <c r="Q16" s="132">
        <f t="shared" si="18"/>
        <v>2.1555999999999997</v>
      </c>
      <c r="R16" s="402">
        <f t="shared" si="8"/>
        <v>1.1956</v>
      </c>
      <c r="S16" s="402">
        <f t="shared" si="9"/>
        <v>0.96</v>
      </c>
      <c r="T16" s="402">
        <f t="shared" si="10"/>
        <v>2.1555999999999997</v>
      </c>
      <c r="U16" s="127"/>
      <c r="V16" s="127"/>
      <c r="W16" t="str">
        <f>IFERROR(#REF!*J16,"")</f>
        <v/>
      </c>
      <c r="X16">
        <f t="shared" si="11"/>
        <v>16.66</v>
      </c>
      <c r="Y16">
        <f t="shared" si="12"/>
        <v>34</v>
      </c>
      <c r="Z16" s="127">
        <f t="shared" si="13"/>
        <v>13.600000000000001</v>
      </c>
      <c r="AA16" s="127">
        <f t="shared" si="14"/>
        <v>30.26</v>
      </c>
      <c r="AB16" s="127">
        <f t="shared" si="15"/>
        <v>3.6652000000000005</v>
      </c>
      <c r="AC16" s="127">
        <f t="shared" si="16"/>
        <v>2.7199999999999989</v>
      </c>
      <c r="AD16" s="127">
        <f t="shared" si="17"/>
        <v>36.645199999999996</v>
      </c>
      <c r="AF16" s="127" t="str">
        <f>IFERROR(W16*'FlightConfig '!$K$3,"")</f>
        <v/>
      </c>
      <c r="AG16" s="127">
        <f>IFERROR(X16*'FlightConfig '!$K$17,"")</f>
        <v>6064.24</v>
      </c>
      <c r="AH16" s="127">
        <f>IFERROR(Y16*'FlightConfig '!$K$17,"")</f>
        <v>12376</v>
      </c>
      <c r="AI16" s="127">
        <f>IFERROR(Z16*'FlightConfig '!$K$17,"")</f>
        <v>4950.4000000000005</v>
      </c>
      <c r="AJ16" s="127">
        <f>IFERROR(AA16*'FlightConfig '!$K$17,"")</f>
        <v>11014.640000000001</v>
      </c>
      <c r="AK16" s="127">
        <f>IFERROR(AB16*'FlightConfig '!$K$17,"")</f>
        <v>1334.1328000000001</v>
      </c>
    </row>
    <row r="17" spans="1:37" ht="18" hidden="1" customHeight="1">
      <c r="A17" t="s">
        <v>156</v>
      </c>
      <c r="B17" s="171">
        <v>1</v>
      </c>
      <c r="C17" s="176" t="str">
        <f t="shared" si="4"/>
        <v>BUSINESS CLASS1</v>
      </c>
      <c r="D17" s="172"/>
      <c r="E17" s="305">
        <v>1013</v>
      </c>
      <c r="F17" s="310"/>
      <c r="G17" t="str">
        <f>VLOOKUP(E17,'FG MASTER'!$A$10:$AB$218,2,0)</f>
        <v>BC C1 DINNER DESSERT COLD ROTATION 2 FLOURLESS CHOCOLOOATE MOUSSE CAKE STRAWBERRY COULIS, WHITE CHOCOLATE PEARLS</v>
      </c>
      <c r="H17" s="285">
        <v>1</v>
      </c>
      <c r="I17" s="173">
        <v>0</v>
      </c>
      <c r="J17" s="291">
        <f>IFERROR(IF(I17="std",H17,HLOOKUP(A17,'FlightConfig '!$B$28:$G$29,2,0)*I17),"")</f>
        <v>0</v>
      </c>
      <c r="K17" s="244">
        <f>VLOOKUP(Food!E17,'FG MASTER'!$A$1:$AC$536,16,0)</f>
        <v>1.1599999999999999</v>
      </c>
      <c r="L17" s="245">
        <f>VLOOKUP(Food!E17,'FG MASTER'!$A$10:$AC$536,17,0)</f>
        <v>1.5</v>
      </c>
      <c r="M17" s="132">
        <f t="shared" si="0"/>
        <v>0.60000000000000009</v>
      </c>
      <c r="N17" s="132">
        <f t="shared" si="1"/>
        <v>1.76</v>
      </c>
      <c r="O17" s="132">
        <f t="shared" si="5"/>
        <v>0.25519999999999987</v>
      </c>
      <c r="P17" s="132">
        <f t="shared" si="6"/>
        <v>0.12</v>
      </c>
      <c r="Q17" s="132">
        <f t="shared" si="18"/>
        <v>2.1352000000000002</v>
      </c>
      <c r="R17" s="402">
        <f t="shared" si="8"/>
        <v>1.4151999999999998</v>
      </c>
      <c r="S17" s="402">
        <f t="shared" si="9"/>
        <v>0.72000000000000008</v>
      </c>
      <c r="T17" s="402">
        <f t="shared" si="10"/>
        <v>2.1351999999999998</v>
      </c>
      <c r="U17" s="127"/>
      <c r="V17" s="127"/>
      <c r="W17" t="str">
        <f>IFERROR(#REF!*J17,"")</f>
        <v/>
      </c>
      <c r="X17">
        <f t="shared" si="11"/>
        <v>0</v>
      </c>
      <c r="Y17">
        <f t="shared" si="12"/>
        <v>0</v>
      </c>
      <c r="Z17" s="127">
        <f t="shared" si="13"/>
        <v>0</v>
      </c>
      <c r="AA17" s="127">
        <f t="shared" si="14"/>
        <v>0</v>
      </c>
      <c r="AB17" s="127">
        <f t="shared" si="15"/>
        <v>0</v>
      </c>
      <c r="AC17" s="127">
        <f t="shared" si="16"/>
        <v>0</v>
      </c>
      <c r="AD17" s="127">
        <f t="shared" si="17"/>
        <v>0</v>
      </c>
      <c r="AF17" s="127" t="str">
        <f>IFERROR(W17*'FlightConfig '!$K$3,"")</f>
        <v/>
      </c>
      <c r="AG17" s="127">
        <f>IFERROR(X17*'FlightConfig '!$K$17,"")</f>
        <v>0</v>
      </c>
      <c r="AH17" s="127">
        <f>IFERROR(Y17*'FlightConfig '!$K$17,"")</f>
        <v>0</v>
      </c>
      <c r="AI17" s="127">
        <f>IFERROR(Z17*'FlightConfig '!$K$17,"")</f>
        <v>0</v>
      </c>
      <c r="AJ17" s="127">
        <f>IFERROR(AA17*'FlightConfig '!$K$17,"")</f>
        <v>0</v>
      </c>
      <c r="AK17" s="127">
        <f>IFERROR(AB17*'FlightConfig '!$K$17,"")</f>
        <v>0</v>
      </c>
    </row>
    <row r="18" spans="1:37" ht="18" hidden="1" customHeight="1">
      <c r="A18" t="s">
        <v>156</v>
      </c>
      <c r="B18" s="171">
        <v>1</v>
      </c>
      <c r="C18" s="176" t="str">
        <f t="shared" si="4"/>
        <v>BUSINESS CLASS1</v>
      </c>
      <c r="D18" s="172"/>
      <c r="E18" s="303">
        <v>1014</v>
      </c>
      <c r="F18" s="310"/>
      <c r="G18" t="str">
        <f>VLOOKUP(E18,'FG MASTER'!$A$10:$AB$218,2,0)</f>
        <v xml:space="preserve">BC C1 DINNER DESSERT HOT ROTATION 1 GEORGIA PEACH COBBLER, WARM PECAN PRALINE SAUCE </v>
      </c>
      <c r="H18" s="285">
        <v>1</v>
      </c>
      <c r="I18" s="173">
        <v>0</v>
      </c>
      <c r="J18" s="291">
        <f>IFERROR(IF(I18="std",H18,HLOOKUP(A18,'FlightConfig '!$B$28:$G$29,2,0)*I18),"")</f>
        <v>0</v>
      </c>
      <c r="K18" s="244">
        <f>VLOOKUP(Food!E18,'FG MASTER'!$A$1:$AC$536,16,0)</f>
        <v>0.88</v>
      </c>
      <c r="L18" s="245">
        <f>VLOOKUP(Food!E18,'FG MASTER'!$A$10:$AC$536,17,0)</f>
        <v>1.5</v>
      </c>
      <c r="M18" s="132">
        <f t="shared" si="0"/>
        <v>0.60000000000000009</v>
      </c>
      <c r="N18" s="132">
        <f t="shared" si="1"/>
        <v>1.48</v>
      </c>
      <c r="O18" s="132">
        <f t="shared" si="5"/>
        <v>0.19359999999999988</v>
      </c>
      <c r="P18" s="132">
        <f t="shared" si="6"/>
        <v>0.12</v>
      </c>
      <c r="Q18" s="132">
        <f>SUM(N18:P18)</f>
        <v>1.7936000000000001</v>
      </c>
      <c r="R18" s="402">
        <f t="shared" si="8"/>
        <v>1.0735999999999999</v>
      </c>
      <c r="S18" s="402">
        <f t="shared" si="9"/>
        <v>0.72000000000000008</v>
      </c>
      <c r="T18" s="402">
        <f t="shared" si="10"/>
        <v>1.7936000000000001</v>
      </c>
      <c r="U18" s="127"/>
      <c r="W18" t="str">
        <f>IFERROR(#REF!*J18,"")</f>
        <v/>
      </c>
      <c r="X18">
        <f t="shared" si="11"/>
        <v>0</v>
      </c>
      <c r="Y18">
        <f t="shared" si="12"/>
        <v>0</v>
      </c>
      <c r="Z18" s="127">
        <f t="shared" si="13"/>
        <v>0</v>
      </c>
      <c r="AA18" s="127">
        <f t="shared" si="14"/>
        <v>0</v>
      </c>
      <c r="AB18" s="127">
        <f t="shared" si="15"/>
        <v>0</v>
      </c>
      <c r="AC18" s="127">
        <f t="shared" si="16"/>
        <v>0</v>
      </c>
      <c r="AD18" s="127">
        <f t="shared" si="17"/>
        <v>0</v>
      </c>
      <c r="AF18" s="127" t="str">
        <f>IFERROR(W18*'FlightConfig '!$K$3,"")</f>
        <v/>
      </c>
      <c r="AG18" s="127">
        <f>IFERROR(X18*'FlightConfig '!$K$17,"")</f>
        <v>0</v>
      </c>
      <c r="AH18" s="127">
        <f>IFERROR(Y18*'FlightConfig '!$K$17,"")</f>
        <v>0</v>
      </c>
      <c r="AI18" s="127">
        <f>IFERROR(Z18*'FlightConfig '!$K$17,"")</f>
        <v>0</v>
      </c>
      <c r="AJ18" s="127">
        <f>IFERROR(AA18*'FlightConfig '!$K$17,"")</f>
        <v>0</v>
      </c>
      <c r="AK18" s="127">
        <f>IFERROR(AB18*'FlightConfig '!$K$17,"")</f>
        <v>0</v>
      </c>
    </row>
    <row r="19" spans="1:37" ht="18" hidden="1" customHeight="1">
      <c r="A19" t="s">
        <v>156</v>
      </c>
      <c r="B19" s="171">
        <v>1</v>
      </c>
      <c r="C19" s="176" t="str">
        <f t="shared" si="4"/>
        <v>BUSINESS CLASS1</v>
      </c>
      <c r="D19" s="172"/>
      <c r="E19" s="303">
        <v>1015</v>
      </c>
      <c r="F19" s="310"/>
      <c r="G19" t="str">
        <f>VLOOKUP(E19,'FG MASTER'!$A$10:$AB$218,2,0)</f>
        <v xml:space="preserve">BC C1 DINNER DESSERT HOT ROTATION 2 STICKY TOFFEE PUDDING, CHANTILLY CREAM, CROQUANT, TOFEE SAUCE </v>
      </c>
      <c r="H19" s="285">
        <v>1</v>
      </c>
      <c r="I19" s="173">
        <v>0.5</v>
      </c>
      <c r="J19" s="291">
        <f>IFERROR(IF(I19="std",H19,HLOOKUP(A19,'FlightConfig '!$B$28:$G$29,2,0)*I19),"")</f>
        <v>17</v>
      </c>
      <c r="K19" s="244">
        <f>VLOOKUP(Food!E19,'FG MASTER'!$A$1:$AC$536,16,0)</f>
        <v>2.56</v>
      </c>
      <c r="L19" s="245">
        <f>VLOOKUP(Food!E19,'FG MASTER'!$A$10:$AC$536,17,0)</f>
        <v>1.25</v>
      </c>
      <c r="M19" s="132">
        <f t="shared" si="0"/>
        <v>0.5</v>
      </c>
      <c r="N19" s="132">
        <f t="shared" si="1"/>
        <v>3.06</v>
      </c>
      <c r="O19" s="132">
        <f t="shared" si="5"/>
        <v>0.56320000000000014</v>
      </c>
      <c r="P19" s="132">
        <f t="shared" si="6"/>
        <v>9.9999999999999978E-2</v>
      </c>
      <c r="Q19" s="132">
        <f t="shared" ref="Q19:Q23" si="19">SUM(N19:P19)</f>
        <v>3.7232000000000003</v>
      </c>
      <c r="R19" s="402">
        <f t="shared" si="8"/>
        <v>3.1232000000000002</v>
      </c>
      <c r="S19" s="402">
        <f t="shared" si="9"/>
        <v>0.6</v>
      </c>
      <c r="T19" s="402">
        <f t="shared" si="10"/>
        <v>3.7232000000000003</v>
      </c>
      <c r="U19" s="127"/>
      <c r="V19" s="127"/>
      <c r="W19" t="str">
        <f>IFERROR(#REF!*J19,"")</f>
        <v/>
      </c>
      <c r="X19">
        <f t="shared" si="11"/>
        <v>43.52</v>
      </c>
      <c r="Y19">
        <f t="shared" si="12"/>
        <v>21.25</v>
      </c>
      <c r="Z19" s="127">
        <f t="shared" si="13"/>
        <v>8.5</v>
      </c>
      <c r="AA19" s="127">
        <f t="shared" si="14"/>
        <v>52.02</v>
      </c>
      <c r="AB19" s="127">
        <f t="shared" si="15"/>
        <v>9.5744000000000025</v>
      </c>
      <c r="AC19" s="127">
        <f t="shared" si="16"/>
        <v>1.6999999999999997</v>
      </c>
      <c r="AD19" s="127">
        <f t="shared" si="17"/>
        <v>63.294400000000003</v>
      </c>
      <c r="AF19" s="127" t="str">
        <f>IFERROR(W19*'FlightConfig '!$K$3,"")</f>
        <v/>
      </c>
      <c r="AG19" s="127">
        <f>IFERROR(X19*'FlightConfig '!$K$17,"")</f>
        <v>15841.28</v>
      </c>
      <c r="AH19" s="127">
        <f>IFERROR(Y19*'FlightConfig '!$K$17,"")</f>
        <v>7735</v>
      </c>
      <c r="AI19" s="127">
        <f>IFERROR(Z19*'FlightConfig '!$K$17,"")</f>
        <v>3094</v>
      </c>
      <c r="AJ19" s="127">
        <f>IFERROR(AA19*'FlightConfig '!$K$17,"")</f>
        <v>18935.280000000002</v>
      </c>
      <c r="AK19" s="127">
        <f>IFERROR(AB19*'FlightConfig '!$K$17,"")</f>
        <v>3485.0816000000009</v>
      </c>
    </row>
    <row r="20" spans="1:37" ht="18" hidden="1" customHeight="1">
      <c r="A20" t="s">
        <v>156</v>
      </c>
      <c r="B20" s="171">
        <v>1</v>
      </c>
      <c r="C20" s="176" t="str">
        <f t="shared" si="4"/>
        <v>BUSINESS CLASS1</v>
      </c>
      <c r="D20" s="172"/>
      <c r="E20" s="303">
        <v>1016</v>
      </c>
      <c r="F20" s="310"/>
      <c r="G20" t="str">
        <f>VLOOKUP(E20,'FG MASTER'!$A$10:$AB$218,2,0)</f>
        <v>BC C1 DINNER CHEESE PLATE DAIRY GRIFFIN, ASHER BLUE, GREEN HILL BRIE, ANGRY CUKES, MUSCADINE JELLY</v>
      </c>
      <c r="H20" s="285">
        <v>1</v>
      </c>
      <c r="I20" s="173">
        <v>0.6</v>
      </c>
      <c r="J20" s="291">
        <f>IFERROR(IF(I20="std",H20,HLOOKUP(A20,'FlightConfig '!$B$28:$G$29,2,0)*I20),"")</f>
        <v>20.399999999999999</v>
      </c>
      <c r="K20" s="244">
        <v>0</v>
      </c>
      <c r="L20" s="245">
        <v>0</v>
      </c>
      <c r="M20" s="132">
        <f t="shared" si="0"/>
        <v>0</v>
      </c>
      <c r="N20" s="132">
        <f t="shared" si="1"/>
        <v>0</v>
      </c>
      <c r="O20" s="132">
        <f t="shared" si="5"/>
        <v>0</v>
      </c>
      <c r="P20" s="132">
        <f t="shared" si="6"/>
        <v>0</v>
      </c>
      <c r="Q20" s="132">
        <f t="shared" si="19"/>
        <v>0</v>
      </c>
      <c r="R20" s="402">
        <f t="shared" si="8"/>
        <v>0</v>
      </c>
      <c r="S20" s="402">
        <f t="shared" si="9"/>
        <v>0</v>
      </c>
      <c r="T20" s="402">
        <f t="shared" si="10"/>
        <v>0</v>
      </c>
      <c r="U20" s="127"/>
      <c r="V20" s="127"/>
      <c r="W20" t="str">
        <f>IFERROR(#REF!*J20,"")</f>
        <v/>
      </c>
      <c r="X20">
        <f t="shared" si="11"/>
        <v>0</v>
      </c>
      <c r="Y20">
        <f t="shared" si="12"/>
        <v>0</v>
      </c>
      <c r="Z20" s="127">
        <f t="shared" si="13"/>
        <v>0</v>
      </c>
      <c r="AA20" s="127">
        <f t="shared" si="14"/>
        <v>0</v>
      </c>
      <c r="AB20" s="127">
        <f t="shared" si="15"/>
        <v>0</v>
      </c>
      <c r="AC20" s="127">
        <f t="shared" si="16"/>
        <v>0</v>
      </c>
      <c r="AD20" s="127">
        <f t="shared" si="17"/>
        <v>0</v>
      </c>
      <c r="AF20" s="127" t="str">
        <f>IFERROR(W20*'FlightConfig '!$K$3,"")</f>
        <v/>
      </c>
      <c r="AG20" s="127">
        <f>IFERROR(X20*'FlightConfig '!$K$17,"")</f>
        <v>0</v>
      </c>
      <c r="AH20" s="127">
        <f>IFERROR(Y20*'FlightConfig '!$K$17,"")</f>
        <v>0</v>
      </c>
      <c r="AI20" s="127">
        <f>IFERROR(Z20*'FlightConfig '!$K$17,"")</f>
        <v>0</v>
      </c>
      <c r="AJ20" s="127">
        <f>IFERROR(AA20*'FlightConfig '!$K$17,"")</f>
        <v>0</v>
      </c>
      <c r="AK20" s="127">
        <f>IFERROR(AB20*'FlightConfig '!$K$17,"")</f>
        <v>0</v>
      </c>
    </row>
    <row r="21" spans="1:37" ht="18" hidden="1" customHeight="1">
      <c r="A21" t="s">
        <v>156</v>
      </c>
      <c r="B21" s="171">
        <v>1</v>
      </c>
      <c r="C21" s="176" t="str">
        <f t="shared" si="4"/>
        <v>BUSINESS CLASS1</v>
      </c>
      <c r="D21" s="172"/>
      <c r="E21" s="303">
        <v>1017</v>
      </c>
      <c r="F21" s="310"/>
      <c r="G21" t="str">
        <f>VLOOKUP(E21,'FG MASTER'!$A$10:$AB$218,2,0)</f>
        <v>BC C1 BREAKFAST ENTRÉE 1 SAVORY PECAN BELGIAN WAFFLE, FRIED CHICKEN, MAPLE SAUSAGE GRAVY, SCRAMBLE EGG</v>
      </c>
      <c r="H21" s="285">
        <v>1</v>
      </c>
      <c r="I21" s="173">
        <v>0.5</v>
      </c>
      <c r="J21" s="291">
        <f>IFERROR(IF(I21="std",H21,HLOOKUP(A21,'FlightConfig '!$B$28:$G$29,2,0)*I21),"")</f>
        <v>17</v>
      </c>
      <c r="K21" s="244">
        <f>VLOOKUP(Food!E21,'FG MASTER'!$A$1:$AC$536,16,0)</f>
        <v>4.71</v>
      </c>
      <c r="L21" s="245">
        <f>VLOOKUP(Food!E21,'FG MASTER'!$A$10:$AC$536,17,0)</f>
        <v>4.25</v>
      </c>
      <c r="M21" s="132">
        <f t="shared" si="0"/>
        <v>1.7000000000000002</v>
      </c>
      <c r="N21" s="132">
        <f t="shared" si="1"/>
        <v>6.41</v>
      </c>
      <c r="O21" s="132">
        <f t="shared" si="5"/>
        <v>1.0362</v>
      </c>
      <c r="P21" s="132">
        <f t="shared" si="6"/>
        <v>0.33999999999999986</v>
      </c>
      <c r="Q21" s="132">
        <f t="shared" si="19"/>
        <v>7.7862</v>
      </c>
      <c r="R21" s="402">
        <f t="shared" si="8"/>
        <v>5.7462</v>
      </c>
      <c r="S21" s="402">
        <f t="shared" si="9"/>
        <v>2.04</v>
      </c>
      <c r="T21" s="402">
        <f t="shared" si="10"/>
        <v>7.7862</v>
      </c>
      <c r="U21" s="127"/>
      <c r="V21" s="127"/>
      <c r="W21" t="str">
        <f>IFERROR(#REF!*J21,"")</f>
        <v/>
      </c>
      <c r="X21">
        <f t="shared" si="11"/>
        <v>80.069999999999993</v>
      </c>
      <c r="Y21">
        <f t="shared" si="12"/>
        <v>72.25</v>
      </c>
      <c r="Z21" s="127">
        <f t="shared" si="13"/>
        <v>28.900000000000002</v>
      </c>
      <c r="AA21" s="127">
        <f t="shared" si="14"/>
        <v>108.97</v>
      </c>
      <c r="AB21" s="127">
        <f t="shared" si="15"/>
        <v>17.615400000000001</v>
      </c>
      <c r="AC21" s="127">
        <f t="shared" si="16"/>
        <v>5.7799999999999976</v>
      </c>
      <c r="AD21" s="127">
        <f t="shared" si="17"/>
        <v>132.36539999999999</v>
      </c>
      <c r="AF21" s="127" t="str">
        <f>IFERROR(W21*'FlightConfig '!$K$3,"")</f>
        <v/>
      </c>
      <c r="AG21" s="127">
        <f>IFERROR(X21*'FlightConfig '!$K$17,"")</f>
        <v>29145.479999999996</v>
      </c>
      <c r="AH21" s="127">
        <f>IFERROR(Y21*'FlightConfig '!$K$17,"")</f>
        <v>26299</v>
      </c>
      <c r="AI21" s="127">
        <f>IFERROR(Z21*'FlightConfig '!$K$17,"")</f>
        <v>10519.6</v>
      </c>
      <c r="AJ21" s="127">
        <f>IFERROR(AA21*'FlightConfig '!$K$17,"")</f>
        <v>39665.08</v>
      </c>
      <c r="AK21" s="127">
        <f>IFERROR(AB21*'FlightConfig '!$K$17,"")</f>
        <v>6412.0056000000004</v>
      </c>
    </row>
    <row r="22" spans="1:37" ht="18" hidden="1" customHeight="1">
      <c r="A22" t="s">
        <v>156</v>
      </c>
      <c r="B22" s="171">
        <v>1</v>
      </c>
      <c r="C22" s="176" t="str">
        <f t="shared" si="4"/>
        <v>BUSINESS CLASS1</v>
      </c>
      <c r="D22" s="172"/>
      <c r="E22" s="303">
        <v>1018</v>
      </c>
      <c r="F22" s="310"/>
      <c r="G22" t="str">
        <f>VLOOKUP(E22,'FG MASTER'!$A$10:$AB$218,2,0)</f>
        <v>BC C1 BREAKFAST ENTRÉE 2 SAVORY FRITTATA, MARINATED TOMATO, HASHBROWN, GREEN ONION MORNAY</v>
      </c>
      <c r="H22" s="285">
        <v>1</v>
      </c>
      <c r="I22" s="173">
        <v>0.2</v>
      </c>
      <c r="J22" s="291">
        <f>IFERROR(IF(I22="std",H22,HLOOKUP(A22,'FlightConfig '!$B$28:$G$29,2,0)*I22),"")</f>
        <v>6.8000000000000007</v>
      </c>
      <c r="K22" s="244">
        <f>VLOOKUP(Food!E22,'FG MASTER'!$A$1:$AC$536,16,0)</f>
        <v>2.29</v>
      </c>
      <c r="L22" s="245">
        <f>VLOOKUP(Food!E22,'FG MASTER'!$A$10:$AC$536,17,0)</f>
        <v>4.5</v>
      </c>
      <c r="M22" s="132">
        <f t="shared" si="0"/>
        <v>1.8</v>
      </c>
      <c r="N22" s="132">
        <f t="shared" si="1"/>
        <v>4.09</v>
      </c>
      <c r="O22" s="132">
        <f t="shared" si="5"/>
        <v>0.50380000000000003</v>
      </c>
      <c r="P22" s="132">
        <f t="shared" si="6"/>
        <v>0.3600000000000001</v>
      </c>
      <c r="Q22" s="132">
        <f t="shared" si="19"/>
        <v>4.9538000000000002</v>
      </c>
      <c r="R22" s="402">
        <f t="shared" si="8"/>
        <v>2.7938000000000001</v>
      </c>
      <c r="S22" s="402">
        <f t="shared" si="9"/>
        <v>2.16</v>
      </c>
      <c r="T22" s="402">
        <f t="shared" si="10"/>
        <v>4.9538000000000002</v>
      </c>
      <c r="U22" s="127"/>
      <c r="V22" s="127"/>
      <c r="W22" t="str">
        <f>IFERROR(#REF!*J22,"")</f>
        <v/>
      </c>
      <c r="X22">
        <f t="shared" si="11"/>
        <v>15.572000000000003</v>
      </c>
      <c r="Y22">
        <f t="shared" si="12"/>
        <v>30.6</v>
      </c>
      <c r="Z22" s="127">
        <f t="shared" si="13"/>
        <v>12.240000000000002</v>
      </c>
      <c r="AA22" s="127">
        <f t="shared" si="14"/>
        <v>27.812000000000001</v>
      </c>
      <c r="AB22" s="127">
        <f t="shared" si="15"/>
        <v>3.4258400000000004</v>
      </c>
      <c r="AC22" s="127">
        <f t="shared" si="16"/>
        <v>2.4480000000000008</v>
      </c>
      <c r="AD22" s="127">
        <f t="shared" si="17"/>
        <v>33.685840000000006</v>
      </c>
      <c r="AF22" s="127" t="str">
        <f>IFERROR(W22*'FlightConfig '!$K$3,"")</f>
        <v/>
      </c>
      <c r="AG22" s="127">
        <f>IFERROR(X22*'FlightConfig '!$K$17,"")</f>
        <v>5668.2080000000005</v>
      </c>
      <c r="AH22" s="127">
        <f>IFERROR(Y22*'FlightConfig '!$K$17,"")</f>
        <v>11138.4</v>
      </c>
      <c r="AI22" s="127">
        <f>IFERROR(Z22*'FlightConfig '!$K$17,"")</f>
        <v>4455.3600000000006</v>
      </c>
      <c r="AJ22" s="127">
        <f>IFERROR(AA22*'FlightConfig '!$K$17,"")</f>
        <v>10123.568000000001</v>
      </c>
      <c r="AK22" s="127">
        <f>IFERROR(AB22*'FlightConfig '!$K$17,"")</f>
        <v>1247.0057600000002</v>
      </c>
    </row>
    <row r="23" spans="1:37" ht="18" hidden="1" customHeight="1">
      <c r="A23" t="s">
        <v>156</v>
      </c>
      <c r="B23" s="171">
        <v>1</v>
      </c>
      <c r="C23" s="176" t="str">
        <f t="shared" si="4"/>
        <v>BUSINESS CLASS1</v>
      </c>
      <c r="D23" s="172"/>
      <c r="E23" s="303">
        <v>1019</v>
      </c>
      <c r="F23" s="310"/>
      <c r="G23" t="str">
        <f>VLOOKUP(E23,'FG MASTER'!$A$10:$AB$218,2,0)</f>
        <v>BC C1 BREAKFAST ENTRÉE 3 SWEET GREEK YOGURT PARFAIT, MANGO PINEAPPLE CHUTNEY, BLUSBERRY, COCONUT AND OAT GRANOLA</v>
      </c>
      <c r="H23" s="285">
        <v>1</v>
      </c>
      <c r="I23" s="173">
        <v>0.3</v>
      </c>
      <c r="J23" s="291">
        <f>IFERROR(IF(I23="std",H23,HLOOKUP(A23,'FlightConfig '!$B$28:$G$29,2,0)*I23),"")</f>
        <v>10.199999999999999</v>
      </c>
      <c r="K23" s="244">
        <f>VLOOKUP(Food!E23,'FG MASTER'!$A$1:$AC$536,16,0)</f>
        <v>2.15</v>
      </c>
      <c r="L23" s="245">
        <f>VLOOKUP(Food!E23,'FG MASTER'!$A$10:$AC$536,17,0)</f>
        <v>3.25</v>
      </c>
      <c r="M23" s="132">
        <f t="shared" si="0"/>
        <v>1.3</v>
      </c>
      <c r="N23" s="132">
        <f t="shared" si="1"/>
        <v>3.45</v>
      </c>
      <c r="O23" s="132">
        <f t="shared" si="5"/>
        <v>0.47299999999999986</v>
      </c>
      <c r="P23" s="132">
        <f t="shared" si="6"/>
        <v>0.26</v>
      </c>
      <c r="Q23" s="132">
        <f t="shared" si="19"/>
        <v>4.1829999999999998</v>
      </c>
      <c r="R23" s="402">
        <f t="shared" si="8"/>
        <v>2.6229999999999998</v>
      </c>
      <c r="S23" s="402">
        <f t="shared" si="9"/>
        <v>1.56</v>
      </c>
      <c r="T23" s="402">
        <f t="shared" si="10"/>
        <v>4.1829999999999998</v>
      </c>
      <c r="U23" s="127"/>
      <c r="V23" s="127"/>
      <c r="W23" t="str">
        <f>IFERROR(#REF!*J23,"")</f>
        <v/>
      </c>
      <c r="X23">
        <f t="shared" si="11"/>
        <v>21.929999999999996</v>
      </c>
      <c r="Y23">
        <f t="shared" si="12"/>
        <v>33.15</v>
      </c>
      <c r="Z23" s="127">
        <f t="shared" si="13"/>
        <v>13.26</v>
      </c>
      <c r="AA23" s="127">
        <f t="shared" si="14"/>
        <v>35.19</v>
      </c>
      <c r="AB23" s="127">
        <f t="shared" si="15"/>
        <v>4.8245999999999984</v>
      </c>
      <c r="AC23" s="127">
        <f t="shared" si="16"/>
        <v>2.6519999999999997</v>
      </c>
      <c r="AD23" s="127">
        <f t="shared" si="17"/>
        <v>42.666599999999995</v>
      </c>
      <c r="AF23" s="127" t="str">
        <f>IFERROR(W23*'FlightConfig '!$K$3,"")</f>
        <v/>
      </c>
      <c r="AG23" s="127">
        <f>IFERROR(X23*'FlightConfig '!$K$17,"")</f>
        <v>7982.5199999999986</v>
      </c>
      <c r="AH23" s="127">
        <f>IFERROR(Y23*'FlightConfig '!$K$17,"")</f>
        <v>12066.6</v>
      </c>
      <c r="AI23" s="127">
        <f>IFERROR(Z23*'FlightConfig '!$K$17,"")</f>
        <v>4826.6400000000003</v>
      </c>
      <c r="AJ23" s="127">
        <f>IFERROR(AA23*'FlightConfig '!$K$17,"")</f>
        <v>12809.16</v>
      </c>
      <c r="AK23" s="127">
        <f>IFERROR(AB23*'FlightConfig '!$K$17,"")</f>
        <v>1756.1543999999994</v>
      </c>
    </row>
    <row r="24" spans="1:37" ht="18" hidden="1" customHeight="1">
      <c r="A24" t="s">
        <v>156</v>
      </c>
      <c r="B24" s="171">
        <v>1</v>
      </c>
      <c r="C24" s="176" t="str">
        <f t="shared" si="4"/>
        <v>BUSINESS CLASS1</v>
      </c>
      <c r="D24" s="172"/>
      <c r="E24" s="303">
        <v>1020</v>
      </c>
      <c r="F24" s="310"/>
      <c r="G24" t="str">
        <f>VLOOKUP(E24,'FG MASTER'!$A$10:$AB$218,2,0)</f>
        <v>BC C1 BREAKFAST SIDE 1 FRUIT SEASONAL 4 TYPES 130G</v>
      </c>
      <c r="H24" s="285">
        <v>1</v>
      </c>
      <c r="I24" s="173">
        <v>0.5</v>
      </c>
      <c r="J24" s="291">
        <f>IFERROR(IF(I24="std",H24,HLOOKUP(A24,'FlightConfig '!$B$28:$G$29,2,0)*I24),"")</f>
        <v>17</v>
      </c>
      <c r="K24" s="244">
        <f>VLOOKUP(Food!E24,'FG MASTER'!$A$1:$AC$536,16,0)</f>
        <v>2</v>
      </c>
      <c r="L24" s="245">
        <f>VLOOKUP(Food!E24,'FG MASTER'!$A$10:$AC$536,17,0)</f>
        <v>1.5</v>
      </c>
      <c r="M24" s="132">
        <f t="shared" si="0"/>
        <v>0.60000000000000009</v>
      </c>
      <c r="N24" s="132">
        <f t="shared" si="1"/>
        <v>2.6</v>
      </c>
      <c r="O24" s="132">
        <f t="shared" si="5"/>
        <v>0.43999999999999995</v>
      </c>
      <c r="P24" s="132">
        <f t="shared" si="6"/>
        <v>0.12</v>
      </c>
      <c r="Q24" s="132">
        <f>SUM(N24:P24)</f>
        <v>3.16</v>
      </c>
      <c r="R24" s="402">
        <f t="shared" si="8"/>
        <v>2.44</v>
      </c>
      <c r="S24" s="402">
        <f t="shared" si="9"/>
        <v>0.72000000000000008</v>
      </c>
      <c r="T24" s="402">
        <f t="shared" si="10"/>
        <v>3.16</v>
      </c>
      <c r="U24" s="127"/>
      <c r="V24" s="127"/>
      <c r="W24" t="str">
        <f>IFERROR(#REF!*J24,"")</f>
        <v/>
      </c>
      <c r="X24">
        <f t="shared" si="11"/>
        <v>34</v>
      </c>
      <c r="Y24">
        <f t="shared" si="12"/>
        <v>25.5</v>
      </c>
      <c r="Z24" s="127">
        <f t="shared" si="13"/>
        <v>10.200000000000001</v>
      </c>
      <c r="AA24" s="127">
        <f t="shared" si="14"/>
        <v>44.2</v>
      </c>
      <c r="AB24" s="127">
        <f t="shared" si="15"/>
        <v>7.4799999999999986</v>
      </c>
      <c r="AC24" s="127">
        <f t="shared" si="16"/>
        <v>2.04</v>
      </c>
      <c r="AD24" s="127">
        <f t="shared" si="17"/>
        <v>53.72</v>
      </c>
      <c r="AF24" s="127" t="str">
        <f>IFERROR(W24*'FlightConfig '!$K$3,"")</f>
        <v/>
      </c>
      <c r="AG24" s="127">
        <f>IFERROR(X24*'FlightConfig '!$K$17,"")</f>
        <v>12376</v>
      </c>
      <c r="AH24" s="127">
        <f>IFERROR(Y24*'FlightConfig '!$K$17,"")</f>
        <v>9282</v>
      </c>
      <c r="AI24" s="127">
        <f>IFERROR(Z24*'FlightConfig '!$K$17,"")</f>
        <v>3712.8</v>
      </c>
      <c r="AJ24" s="127">
        <f>IFERROR(AA24*'FlightConfig '!$K$17,"")</f>
        <v>16088.800000000001</v>
      </c>
      <c r="AK24" s="127">
        <f>IFERROR(AB24*'FlightConfig '!$K$17,"")</f>
        <v>2722.7199999999993</v>
      </c>
    </row>
    <row r="25" spans="1:37" ht="18" hidden="1" customHeight="1">
      <c r="A25" t="s">
        <v>156</v>
      </c>
      <c r="B25" s="171">
        <v>1</v>
      </c>
      <c r="C25" s="176" t="str">
        <f>CONCATENATE(A25&amp;B25&amp;F25)</f>
        <v>BUSINESS CLASS1</v>
      </c>
      <c r="D25" s="172"/>
      <c r="E25" s="303">
        <v>1021</v>
      </c>
      <c r="F25" s="310"/>
      <c r="G25" t="str">
        <f>VLOOKUP(E25,'FG MASTER'!$A$10:$AB$218,2,0)</f>
        <v>BC C1 BREAKFAST SIDE 2 PEACH AND PECAN SCONE</v>
      </c>
      <c r="H25" s="285">
        <v>1</v>
      </c>
      <c r="I25" s="173">
        <v>0.5</v>
      </c>
      <c r="J25" s="291">
        <f>IFERROR(IF(I25="std",H25,HLOOKUP(A25,'FlightConfig '!$B$28:$G$29,2,0)*I25),"")</f>
        <v>17</v>
      </c>
      <c r="K25" s="244">
        <f>VLOOKUP(Food!E25,'FG MASTER'!$A$1:$AC$536,16,0)</f>
        <v>1.18</v>
      </c>
      <c r="L25" s="245">
        <f>VLOOKUP(Food!E25,'FG MASTER'!$A$10:$AC$536,17,0)</f>
        <v>2</v>
      </c>
      <c r="M25" s="132">
        <f t="shared" si="0"/>
        <v>0.8</v>
      </c>
      <c r="N25" s="132">
        <f t="shared" si="1"/>
        <v>1.98</v>
      </c>
      <c r="O25" s="132">
        <f t="shared" si="5"/>
        <v>0.25960000000000005</v>
      </c>
      <c r="P25" s="132">
        <f t="shared" si="6"/>
        <v>0.15999999999999992</v>
      </c>
      <c r="Q25" s="132">
        <f>SUM(N25:P25)</f>
        <v>2.3996000000000004</v>
      </c>
      <c r="R25" s="402">
        <f t="shared" si="8"/>
        <v>1.4396</v>
      </c>
      <c r="S25" s="402">
        <f t="shared" si="9"/>
        <v>0.96</v>
      </c>
      <c r="T25" s="402">
        <f t="shared" si="10"/>
        <v>2.3996</v>
      </c>
      <c r="U25" s="127"/>
      <c r="V25" s="127"/>
      <c r="W25" t="str">
        <f>IFERROR(#REF!*J25,"")</f>
        <v/>
      </c>
      <c r="X25">
        <f t="shared" si="11"/>
        <v>20.059999999999999</v>
      </c>
      <c r="Y25">
        <f t="shared" si="12"/>
        <v>34</v>
      </c>
      <c r="Z25" s="127">
        <f t="shared" si="13"/>
        <v>13.600000000000001</v>
      </c>
      <c r="AA25" s="127">
        <f t="shared" si="14"/>
        <v>33.659999999999997</v>
      </c>
      <c r="AB25" s="127">
        <f t="shared" si="15"/>
        <v>4.4132000000000007</v>
      </c>
      <c r="AC25" s="127">
        <f t="shared" si="16"/>
        <v>2.7199999999999989</v>
      </c>
      <c r="AD25" s="127">
        <f t="shared" si="17"/>
        <v>40.793200000000006</v>
      </c>
      <c r="AF25" s="127" t="str">
        <f>IFERROR(W25*'FlightConfig '!$K$3,"")</f>
        <v/>
      </c>
      <c r="AG25" s="127">
        <f>IFERROR(X25*'FlightConfig '!$K$17,"")</f>
        <v>7301.8399999999992</v>
      </c>
      <c r="AH25" s="127">
        <f>IFERROR(Y25*'FlightConfig '!$K$17,"")</f>
        <v>12376</v>
      </c>
      <c r="AI25" s="127">
        <f>IFERROR(Z25*'FlightConfig '!$K$17,"")</f>
        <v>4950.4000000000005</v>
      </c>
      <c r="AJ25" s="127">
        <f>IFERROR(AA25*'FlightConfig '!$K$17,"")</f>
        <v>12252.239999999998</v>
      </c>
      <c r="AK25" s="127">
        <f>IFERROR(AB25*'FlightConfig '!$K$17,"")</f>
        <v>1606.4048000000003</v>
      </c>
    </row>
    <row r="26" spans="1:37" ht="18" hidden="1" customHeight="1">
      <c r="A26" t="s">
        <v>156</v>
      </c>
      <c r="B26" s="171">
        <v>1</v>
      </c>
      <c r="C26" s="176" t="str">
        <f t="shared" ref="C26:C27" si="20">CONCATENATE(A26&amp;B26&amp;F26)</f>
        <v>BUSINESS CLASS1</v>
      </c>
      <c r="D26" s="172"/>
      <c r="E26" s="303">
        <v>1022</v>
      </c>
      <c r="F26" s="310"/>
      <c r="G26" t="str">
        <f>VLOOKUP(E26,'FG MASTER'!$A$10:$AB$218,2,0)</f>
        <v xml:space="preserve">BC C1 BREAKFAST SIDE 3 YOGURT </v>
      </c>
      <c r="H26" s="285">
        <v>1</v>
      </c>
      <c r="I26" s="173">
        <v>0</v>
      </c>
      <c r="J26" s="291">
        <f>IFERROR(IF(I26="std",H26,HLOOKUP(A26,'FlightConfig '!$B$28:$G$29,2,0)*I26),"")</f>
        <v>0</v>
      </c>
      <c r="K26" s="244">
        <f>VLOOKUP(Food!E26,'FG MASTER'!$A$1:$AC$536,16,0)</f>
        <v>0.44</v>
      </c>
      <c r="L26" s="245">
        <f>VLOOKUP(Food!E26,'FG MASTER'!$A$10:$AC$536,17,0)</f>
        <v>0.5</v>
      </c>
      <c r="M26" s="132">
        <f t="shared" si="0"/>
        <v>0.2</v>
      </c>
      <c r="N26" s="132">
        <f t="shared" si="1"/>
        <v>0.64</v>
      </c>
      <c r="O26" s="132">
        <f t="shared" si="5"/>
        <v>9.6799999999999942E-2</v>
      </c>
      <c r="P26" s="132">
        <f t="shared" si="6"/>
        <v>3.999999999999998E-2</v>
      </c>
      <c r="Q26" s="132">
        <f t="shared" ref="Q26:Q27" si="21">SUM(N26:P26)</f>
        <v>0.77679999999999993</v>
      </c>
      <c r="R26" s="402">
        <f t="shared" si="8"/>
        <v>0.53679999999999994</v>
      </c>
      <c r="S26" s="402">
        <f t="shared" si="9"/>
        <v>0.24</v>
      </c>
      <c r="T26" s="402">
        <f t="shared" si="10"/>
        <v>0.77679999999999993</v>
      </c>
      <c r="U26" s="127"/>
      <c r="V26" s="127"/>
      <c r="W26" t="str">
        <f>IFERROR(#REF!*J26,"")</f>
        <v/>
      </c>
      <c r="X26">
        <f t="shared" si="11"/>
        <v>0</v>
      </c>
      <c r="Y26">
        <f t="shared" si="12"/>
        <v>0</v>
      </c>
      <c r="Z26" s="127">
        <f t="shared" si="13"/>
        <v>0</v>
      </c>
      <c r="AA26" s="127">
        <f t="shared" si="14"/>
        <v>0</v>
      </c>
      <c r="AB26" s="127">
        <f t="shared" si="15"/>
        <v>0</v>
      </c>
      <c r="AC26" s="127">
        <f t="shared" si="16"/>
        <v>0</v>
      </c>
      <c r="AD26" s="127">
        <f t="shared" si="17"/>
        <v>0</v>
      </c>
      <c r="AF26" s="127" t="str">
        <f>IFERROR(W26*'FlightConfig '!$K$3,"")</f>
        <v/>
      </c>
      <c r="AG26" s="127">
        <f>IFERROR(X26*'FlightConfig '!$K$17,"")</f>
        <v>0</v>
      </c>
      <c r="AH26" s="127">
        <f>IFERROR(Y26*'FlightConfig '!$K$17,"")</f>
        <v>0</v>
      </c>
      <c r="AI26" s="127">
        <f>IFERROR(Z26*'FlightConfig '!$K$17,"")</f>
        <v>0</v>
      </c>
      <c r="AJ26" s="127">
        <f>IFERROR(AA26*'FlightConfig '!$K$17,"")</f>
        <v>0</v>
      </c>
      <c r="AK26" s="127">
        <f>IFERROR(AB26*'FlightConfig '!$K$17,"")</f>
        <v>0</v>
      </c>
    </row>
    <row r="27" spans="1:37" ht="18" hidden="1" customHeight="1">
      <c r="A27" t="s">
        <v>156</v>
      </c>
      <c r="B27" s="171">
        <v>1</v>
      </c>
      <c r="C27" s="176" t="str">
        <f t="shared" si="20"/>
        <v>BUSINESS CLASS1</v>
      </c>
      <c r="D27" s="172"/>
      <c r="E27" s="303">
        <v>1023</v>
      </c>
      <c r="F27" s="310"/>
      <c r="G27" t="str">
        <f>VLOOKUP(E27,'FG MASTER'!$A$10:$AB$218,2,0)</f>
        <v xml:space="preserve">BC C1 BREAKFAST SIDE 4 HOMEMADE GRANOLA </v>
      </c>
      <c r="H27" s="285">
        <v>1</v>
      </c>
      <c r="I27" s="173">
        <v>0</v>
      </c>
      <c r="J27" s="291">
        <f>IFERROR(IF(I27="std",H27,HLOOKUP(A27,'FlightConfig '!$B$28:$G$29,2,0)*I27),"")</f>
        <v>0</v>
      </c>
      <c r="K27" s="244">
        <f>VLOOKUP(Food!E27,'FG MASTER'!$A$1:$AC$536,16,0)</f>
        <v>0.78</v>
      </c>
      <c r="L27" s="245">
        <f>VLOOKUP(Food!E27,'FG MASTER'!$A$10:$AC$536,17,0)</f>
        <v>0.75</v>
      </c>
      <c r="M27" s="132">
        <f t="shared" si="0"/>
        <v>0.30000000000000004</v>
      </c>
      <c r="N27" s="132">
        <f t="shared" si="1"/>
        <v>1.08</v>
      </c>
      <c r="O27" s="132">
        <f t="shared" si="5"/>
        <v>0.17159999999999997</v>
      </c>
      <c r="P27" s="132">
        <f t="shared" si="6"/>
        <v>0.06</v>
      </c>
      <c r="Q27" s="132">
        <f t="shared" si="21"/>
        <v>1.3116000000000001</v>
      </c>
      <c r="R27" s="402">
        <f t="shared" si="8"/>
        <v>0.9516</v>
      </c>
      <c r="S27" s="402">
        <f t="shared" si="9"/>
        <v>0.36000000000000004</v>
      </c>
      <c r="T27" s="402">
        <f t="shared" si="10"/>
        <v>1.3116000000000001</v>
      </c>
      <c r="U27" s="127"/>
      <c r="V27" s="127"/>
      <c r="W27" t="str">
        <f>IFERROR(#REF!*J27,"")</f>
        <v/>
      </c>
      <c r="X27">
        <f t="shared" si="11"/>
        <v>0</v>
      </c>
      <c r="Y27">
        <f t="shared" si="12"/>
        <v>0</v>
      </c>
      <c r="Z27" s="127">
        <f t="shared" si="13"/>
        <v>0</v>
      </c>
      <c r="AA27" s="127">
        <f t="shared" si="14"/>
        <v>0</v>
      </c>
      <c r="AB27" s="127">
        <f t="shared" si="15"/>
        <v>0</v>
      </c>
      <c r="AC27" s="127">
        <f t="shared" si="16"/>
        <v>0</v>
      </c>
      <c r="AD27" s="127">
        <f t="shared" si="17"/>
        <v>0</v>
      </c>
      <c r="AF27" s="127" t="str">
        <f>IFERROR(W27*'FlightConfig '!$K$3,"")</f>
        <v/>
      </c>
      <c r="AG27" s="127">
        <f>IFERROR(X27*'FlightConfig '!$K$17,"")</f>
        <v>0</v>
      </c>
      <c r="AH27" s="127">
        <f>IFERROR(Y27*'FlightConfig '!$K$17,"")</f>
        <v>0</v>
      </c>
      <c r="AI27" s="127">
        <f>IFERROR(Z27*'FlightConfig '!$K$17,"")</f>
        <v>0</v>
      </c>
      <c r="AJ27" s="127">
        <f>IFERROR(AA27*'FlightConfig '!$K$17,"")</f>
        <v>0</v>
      </c>
      <c r="AK27" s="127">
        <f>IFERROR(AB27*'FlightConfig '!$K$17,"")</f>
        <v>0</v>
      </c>
    </row>
    <row r="28" spans="1:37" ht="18" hidden="1" customHeight="1">
      <c r="A28" t="s">
        <v>156</v>
      </c>
      <c r="B28" s="171">
        <v>1</v>
      </c>
      <c r="C28" s="176" t="str">
        <f>CONCATENATE(A28&amp;B28&amp;F28)</f>
        <v>BUSINESS CLASS1</v>
      </c>
      <c r="D28" s="172"/>
      <c r="E28" s="303">
        <v>1024</v>
      </c>
      <c r="F28" s="310"/>
      <c r="G28" t="str">
        <f>VLOOKUP(E28,'FG MASTER'!$A$10:$AB$218,2,0)</f>
        <v>BC C1 BREAKFAST SIDE 5 MAPLE CINNAMON BIRCHER MUESLI</v>
      </c>
      <c r="H28" s="285">
        <v>1</v>
      </c>
      <c r="I28" s="173">
        <v>0</v>
      </c>
      <c r="J28" s="291">
        <f>IFERROR(IF(I28="std",H28,HLOOKUP(A28,'FlightConfig '!$B$28:$G$29,2,0)*I28),"")</f>
        <v>0</v>
      </c>
      <c r="K28" s="244">
        <f>VLOOKUP(Food!E28,'FG MASTER'!$A$1:$AC$536,16,0)</f>
        <v>0.85</v>
      </c>
      <c r="L28" s="245">
        <f>VLOOKUP(Food!E28,'FG MASTER'!$A$10:$AC$536,17,0)</f>
        <v>1</v>
      </c>
      <c r="M28" s="132">
        <f>IFERROR(L28*$M$2,"")</f>
        <v>0.4</v>
      </c>
      <c r="N28" s="132">
        <f>IFERROR((K28)+M28,"")</f>
        <v>1.25</v>
      </c>
      <c r="O28" s="132">
        <f t="shared" si="5"/>
        <v>0.18699999999999994</v>
      </c>
      <c r="P28" s="132">
        <f t="shared" si="6"/>
        <v>7.999999999999996E-2</v>
      </c>
      <c r="Q28" s="132">
        <f>SUM(N28:P28)</f>
        <v>1.5169999999999999</v>
      </c>
      <c r="R28" s="402">
        <f t="shared" si="8"/>
        <v>1.0369999999999999</v>
      </c>
      <c r="S28" s="402">
        <f t="shared" si="9"/>
        <v>0.48</v>
      </c>
      <c r="T28" s="402">
        <f t="shared" si="10"/>
        <v>1.5169999999999999</v>
      </c>
      <c r="U28" s="127"/>
      <c r="V28" s="127"/>
      <c r="W28" t="str">
        <f>IFERROR(#REF!*J28,"")</f>
        <v/>
      </c>
      <c r="X28">
        <f t="shared" si="11"/>
        <v>0</v>
      </c>
      <c r="Y28">
        <f t="shared" si="12"/>
        <v>0</v>
      </c>
      <c r="Z28" s="127">
        <f t="shared" si="13"/>
        <v>0</v>
      </c>
      <c r="AA28" s="127">
        <f t="shared" si="14"/>
        <v>0</v>
      </c>
      <c r="AB28" s="127">
        <f t="shared" si="15"/>
        <v>0</v>
      </c>
      <c r="AC28" s="127">
        <f t="shared" si="16"/>
        <v>0</v>
      </c>
      <c r="AD28" s="127">
        <f t="shared" si="17"/>
        <v>0</v>
      </c>
      <c r="AF28" s="127" t="str">
        <f>IFERROR(W28*'FlightConfig '!$K$3,"")</f>
        <v/>
      </c>
      <c r="AG28" s="127">
        <f>IFERROR(X28*'FlightConfig '!$K$17,"")</f>
        <v>0</v>
      </c>
      <c r="AH28" s="127">
        <f>IFERROR(Y28*'FlightConfig '!$K$17,"")</f>
        <v>0</v>
      </c>
      <c r="AI28" s="127">
        <f>IFERROR(Z28*'FlightConfig '!$K$17,"")</f>
        <v>0</v>
      </c>
      <c r="AJ28" s="127">
        <f>IFERROR(AA28*'FlightConfig '!$K$17,"")</f>
        <v>0</v>
      </c>
      <c r="AK28" s="127">
        <f>IFERROR(AB28*'FlightConfig '!$K$17,"")</f>
        <v>0</v>
      </c>
    </row>
    <row r="29" spans="1:37" ht="18" hidden="1" customHeight="1">
      <c r="A29" t="s">
        <v>156</v>
      </c>
      <c r="B29" s="171">
        <v>1</v>
      </c>
      <c r="C29" s="176" t="str">
        <f t="shared" ref="C29:C47" si="22">CONCATENATE(A29&amp;B29&amp;F29)</f>
        <v>BUSINESS CLASS1</v>
      </c>
      <c r="D29" s="172"/>
      <c r="E29" s="303">
        <v>1025</v>
      </c>
      <c r="F29" s="310"/>
      <c r="G29" t="str">
        <f>VLOOKUP(E29,'FG MASTER'!$A$10:$AB$218,2,0)</f>
        <v>BC C1 BREAKFAST SIDE 6 CORN FLAKES</v>
      </c>
      <c r="H29" s="285">
        <v>1</v>
      </c>
      <c r="I29" s="173">
        <v>0</v>
      </c>
      <c r="J29" s="291">
        <f>IFERROR(IF(I29="std",H29,HLOOKUP(A29,'FlightConfig '!$B$28:$G$29,2,0)*I29),"")</f>
        <v>0</v>
      </c>
      <c r="K29" s="244">
        <f>VLOOKUP(Food!E29,'FG MASTER'!$A$1:$AC$536,16,0)</f>
        <v>0.69</v>
      </c>
      <c r="L29" s="245">
        <f>VLOOKUP(Food!E29,'FG MASTER'!$A$10:$AC$536,17,0)</f>
        <v>0.25</v>
      </c>
      <c r="M29" s="132">
        <f t="shared" ref="M29:M45" si="23">IFERROR(L29*$M$2,"")</f>
        <v>0.1</v>
      </c>
      <c r="N29" s="132">
        <f t="shared" ref="N29:N47" si="24">IFERROR((K29)+M29,"")</f>
        <v>0.78999999999999992</v>
      </c>
      <c r="O29" s="132">
        <f t="shared" si="5"/>
        <v>0.15179999999999993</v>
      </c>
      <c r="P29" s="132">
        <f t="shared" si="6"/>
        <v>1.999999999999999E-2</v>
      </c>
      <c r="Q29" s="132">
        <f t="shared" ref="Q29:Q32" si="25">SUM(N29:P29)</f>
        <v>0.96179999999999988</v>
      </c>
      <c r="R29" s="402">
        <f t="shared" si="8"/>
        <v>0.84179999999999988</v>
      </c>
      <c r="S29" s="402">
        <f t="shared" si="9"/>
        <v>0.12</v>
      </c>
      <c r="T29" s="402">
        <f t="shared" si="10"/>
        <v>0.96179999999999988</v>
      </c>
      <c r="U29" s="127"/>
      <c r="V29" s="127"/>
      <c r="W29" t="str">
        <f>IFERROR(#REF!*J29,"")</f>
        <v/>
      </c>
      <c r="X29">
        <f t="shared" si="11"/>
        <v>0</v>
      </c>
      <c r="Y29">
        <f t="shared" si="12"/>
        <v>0</v>
      </c>
      <c r="Z29" s="127">
        <f t="shared" si="13"/>
        <v>0</v>
      </c>
      <c r="AA29" s="127">
        <f t="shared" si="14"/>
        <v>0</v>
      </c>
      <c r="AB29" s="127">
        <f t="shared" si="15"/>
        <v>0</v>
      </c>
      <c r="AC29" s="127">
        <f t="shared" si="16"/>
        <v>0</v>
      </c>
      <c r="AD29" s="127">
        <f t="shared" si="17"/>
        <v>0</v>
      </c>
      <c r="AF29" s="127" t="str">
        <f>IFERROR(W29*'FlightConfig '!$K$3,"")</f>
        <v/>
      </c>
      <c r="AG29" s="127">
        <f>IFERROR(X29*'FlightConfig '!$K$17,"")</f>
        <v>0</v>
      </c>
      <c r="AH29" s="127">
        <f>IFERROR(Y29*'FlightConfig '!$K$17,"")</f>
        <v>0</v>
      </c>
      <c r="AI29" s="127">
        <f>IFERROR(Z29*'FlightConfig '!$K$17,"")</f>
        <v>0</v>
      </c>
      <c r="AJ29" s="127">
        <f>IFERROR(AA29*'FlightConfig '!$K$17,"")</f>
        <v>0</v>
      </c>
      <c r="AK29" s="127">
        <f>IFERROR(AB29*'FlightConfig '!$K$17,"")</f>
        <v>0</v>
      </c>
    </row>
    <row r="30" spans="1:37" ht="18" hidden="1" customHeight="1">
      <c r="A30" t="s">
        <v>156</v>
      </c>
      <c r="B30" s="171">
        <v>1</v>
      </c>
      <c r="C30" s="176" t="str">
        <f t="shared" si="22"/>
        <v>BUSINESS CLASS1</v>
      </c>
      <c r="D30" s="172"/>
      <c r="E30" s="303">
        <v>1026</v>
      </c>
      <c r="F30" s="310"/>
      <c r="G30" t="str">
        <f>VLOOKUP(E30,'FG MASTER'!$A$10:$AB$218,2,0)</f>
        <v>BC C1 BREAKFAST SIDE OPTION 1 FIRED CHICKEN BISCUIT WITH TOMATO JAM</v>
      </c>
      <c r="H30" s="285">
        <v>1</v>
      </c>
      <c r="I30" s="173">
        <v>0</v>
      </c>
      <c r="J30" s="291">
        <f>IFERROR(IF(I30="std",H30,HLOOKUP(A30,'FlightConfig '!$B$28:$G$29,2,0)*I30),"")</f>
        <v>0</v>
      </c>
      <c r="K30" s="244">
        <f>VLOOKUP(Food!E30,'FG MASTER'!$A$1:$AC$536,16,0)</f>
        <v>1.1399999999999999</v>
      </c>
      <c r="L30" s="245">
        <f>VLOOKUP(Food!E30,'FG MASTER'!$A$10:$AC$536,17,0)</f>
        <v>2</v>
      </c>
      <c r="M30" s="132">
        <f t="shared" si="23"/>
        <v>0.8</v>
      </c>
      <c r="N30" s="132">
        <f t="shared" si="24"/>
        <v>1.94</v>
      </c>
      <c r="O30" s="132">
        <f t="shared" si="5"/>
        <v>0.25079999999999991</v>
      </c>
      <c r="P30" s="132">
        <f t="shared" si="6"/>
        <v>0.15999999999999992</v>
      </c>
      <c r="Q30" s="132">
        <f t="shared" si="25"/>
        <v>2.3507999999999996</v>
      </c>
      <c r="R30" s="402">
        <f t="shared" si="8"/>
        <v>1.3907999999999998</v>
      </c>
      <c r="S30" s="402">
        <f t="shared" si="9"/>
        <v>0.96</v>
      </c>
      <c r="T30" s="402">
        <f t="shared" si="10"/>
        <v>2.3507999999999996</v>
      </c>
      <c r="U30" s="127"/>
      <c r="V30" s="127"/>
      <c r="W30" t="str">
        <f>IFERROR(#REF!*J30,"")</f>
        <v/>
      </c>
      <c r="X30">
        <f t="shared" si="11"/>
        <v>0</v>
      </c>
      <c r="Y30">
        <f t="shared" si="12"/>
        <v>0</v>
      </c>
      <c r="Z30" s="127">
        <f t="shared" si="13"/>
        <v>0</v>
      </c>
      <c r="AA30" s="127">
        <f t="shared" si="14"/>
        <v>0</v>
      </c>
      <c r="AB30" s="127">
        <f t="shared" si="15"/>
        <v>0</v>
      </c>
      <c r="AC30" s="127">
        <f t="shared" si="16"/>
        <v>0</v>
      </c>
      <c r="AD30" s="127">
        <f t="shared" si="17"/>
        <v>0</v>
      </c>
      <c r="AF30" s="127" t="str">
        <f>IFERROR(W30*'FlightConfig '!$K$3,"")</f>
        <v/>
      </c>
      <c r="AG30" s="127">
        <f>IFERROR(X30*'FlightConfig '!$K$17,"")</f>
        <v>0</v>
      </c>
      <c r="AH30" s="127">
        <f>IFERROR(Y30*'FlightConfig '!$K$17,"")</f>
        <v>0</v>
      </c>
      <c r="AI30" s="127">
        <f>IFERROR(Z30*'FlightConfig '!$K$17,"")</f>
        <v>0</v>
      </c>
      <c r="AJ30" s="127">
        <f>IFERROR(AA30*'FlightConfig '!$K$17,"")</f>
        <v>0</v>
      </c>
      <c r="AK30" s="127">
        <f>IFERROR(AB30*'FlightConfig '!$K$17,"")</f>
        <v>0</v>
      </c>
    </row>
    <row r="31" spans="1:37" ht="18" hidden="1" customHeight="1">
      <c r="A31" t="s">
        <v>156</v>
      </c>
      <c r="B31" s="171">
        <v>1</v>
      </c>
      <c r="C31" s="176" t="str">
        <f t="shared" si="22"/>
        <v>BUSINESS CLASS1</v>
      </c>
      <c r="D31" s="172"/>
      <c r="E31" s="304">
        <v>1027</v>
      </c>
      <c r="F31" s="310"/>
      <c r="G31" t="str">
        <f>VLOOKUP(E31,'FG MASTER'!$A$10:$AB$218,2,0)</f>
        <v xml:space="preserve">BC C1 BREAKFAST SIDE OPTION 2 CHOCOLATE CROISSANT </v>
      </c>
      <c r="H31" s="285">
        <v>1</v>
      </c>
      <c r="I31" s="173">
        <v>0</v>
      </c>
      <c r="J31" s="291">
        <f>IFERROR(IF(I31="std",H31,HLOOKUP(A31,'FlightConfig '!$B$28:$G$29,2,0)*I31),"")</f>
        <v>0</v>
      </c>
      <c r="K31" s="244">
        <f>VLOOKUP(Food!E31,'FG MASTER'!$A$1:$AC$536,16,0)</f>
        <v>1.1599999999999999</v>
      </c>
      <c r="L31" s="245">
        <f>VLOOKUP(Food!E31,'FG MASTER'!$A$10:$AC$536,17,0)</f>
        <v>0.5</v>
      </c>
      <c r="M31" s="132">
        <f t="shared" si="23"/>
        <v>0.2</v>
      </c>
      <c r="N31" s="132">
        <f t="shared" si="24"/>
        <v>1.3599999999999999</v>
      </c>
      <c r="O31" s="132">
        <f t="shared" si="5"/>
        <v>0.25519999999999987</v>
      </c>
      <c r="P31" s="132">
        <f t="shared" si="6"/>
        <v>3.999999999999998E-2</v>
      </c>
      <c r="Q31" s="132">
        <f t="shared" si="25"/>
        <v>1.6551999999999998</v>
      </c>
      <c r="R31" s="402">
        <f t="shared" si="8"/>
        <v>1.4151999999999998</v>
      </c>
      <c r="S31" s="402">
        <f t="shared" si="9"/>
        <v>0.24</v>
      </c>
      <c r="T31" s="402">
        <f t="shared" si="10"/>
        <v>1.6551999999999998</v>
      </c>
      <c r="U31" s="127"/>
      <c r="V31" s="127"/>
      <c r="W31" t="str">
        <f>IFERROR(#REF!*J31,"")</f>
        <v/>
      </c>
      <c r="X31">
        <f t="shared" si="11"/>
        <v>0</v>
      </c>
      <c r="Y31">
        <f t="shared" si="12"/>
        <v>0</v>
      </c>
      <c r="Z31" s="127">
        <f t="shared" si="13"/>
        <v>0</v>
      </c>
      <c r="AA31" s="127">
        <f t="shared" si="14"/>
        <v>0</v>
      </c>
      <c r="AB31" s="127">
        <f t="shared" si="15"/>
        <v>0</v>
      </c>
      <c r="AC31" s="127">
        <f t="shared" si="16"/>
        <v>0</v>
      </c>
      <c r="AD31" s="127">
        <f t="shared" si="17"/>
        <v>0</v>
      </c>
      <c r="AF31" s="127" t="str">
        <f>IFERROR(W31*'FlightConfig '!$K$3,"")</f>
        <v/>
      </c>
      <c r="AG31" s="127">
        <f>IFERROR(X31*'FlightConfig '!$K$17,"")</f>
        <v>0</v>
      </c>
      <c r="AH31" s="127">
        <f>IFERROR(Y31*'FlightConfig '!$K$17,"")</f>
        <v>0</v>
      </c>
      <c r="AI31" s="127">
        <f>IFERROR(Z31*'FlightConfig '!$K$17,"")</f>
        <v>0</v>
      </c>
      <c r="AJ31" s="127">
        <f>IFERROR(AA31*'FlightConfig '!$K$17,"")</f>
        <v>0</v>
      </c>
      <c r="AK31" s="127">
        <f>IFERROR(AB31*'FlightConfig '!$K$17,"")</f>
        <v>0</v>
      </c>
    </row>
    <row r="32" spans="1:37" ht="18" hidden="1" customHeight="1">
      <c r="A32" t="s">
        <v>157</v>
      </c>
      <c r="B32" s="171">
        <v>1</v>
      </c>
      <c r="C32" s="176" t="str">
        <f t="shared" si="22"/>
        <v>PREMIUM ECONOMY CLASS1</v>
      </c>
      <c r="D32" s="311"/>
      <c r="E32" s="304">
        <v>1028</v>
      </c>
      <c r="F32" s="310"/>
      <c r="G32" t="str">
        <f>VLOOKUP(E32,'FG MASTER'!$A$10:$AB$218,2,0)</f>
        <v xml:space="preserve">PY C1 DINNER GEORGIA PEACH CHILI WHIPPED BUTTER </v>
      </c>
      <c r="H32" s="285">
        <v>1</v>
      </c>
      <c r="I32" s="173">
        <v>1</v>
      </c>
      <c r="J32" s="291">
        <f>IFERROR(IF(I32="std",H32,HLOOKUP(A32,'FlightConfig '!$B$28:$G$29,2,0)*I32),"")</f>
        <v>48</v>
      </c>
      <c r="K32" s="244">
        <f>VLOOKUP(Food!E32,'FG MASTER'!$A$1:$AC$536,16,0)</f>
        <v>0.47</v>
      </c>
      <c r="L32" s="245">
        <f>VLOOKUP(Food!E32,'FG MASTER'!$A$10:$AC$536,17,0)</f>
        <v>0.5</v>
      </c>
      <c r="M32" s="132">
        <f t="shared" si="23"/>
        <v>0.2</v>
      </c>
      <c r="N32" s="132">
        <f t="shared" si="24"/>
        <v>0.66999999999999993</v>
      </c>
      <c r="O32" s="132">
        <f t="shared" si="5"/>
        <v>0.10339999999999994</v>
      </c>
      <c r="P32" s="132">
        <f t="shared" si="6"/>
        <v>3.999999999999998E-2</v>
      </c>
      <c r="Q32" s="132">
        <f t="shared" si="25"/>
        <v>0.8133999999999999</v>
      </c>
      <c r="R32" s="402">
        <f t="shared" si="8"/>
        <v>0.57339999999999991</v>
      </c>
      <c r="S32" s="402">
        <f t="shared" si="9"/>
        <v>0.24</v>
      </c>
      <c r="T32" s="402">
        <f t="shared" si="10"/>
        <v>0.8133999999999999</v>
      </c>
      <c r="U32" s="127"/>
      <c r="V32" s="127"/>
      <c r="W32" t="str">
        <f>IFERROR(#REF!*J32,"")</f>
        <v/>
      </c>
      <c r="X32">
        <f t="shared" si="11"/>
        <v>22.56</v>
      </c>
      <c r="Y32">
        <f t="shared" si="12"/>
        <v>24</v>
      </c>
      <c r="Z32" s="127">
        <f t="shared" si="13"/>
        <v>9.6000000000000014</v>
      </c>
      <c r="AA32" s="127">
        <f t="shared" si="14"/>
        <v>32.159999999999997</v>
      </c>
      <c r="AB32" s="127">
        <f t="shared" si="15"/>
        <v>4.9631999999999969</v>
      </c>
      <c r="AC32" s="127">
        <f t="shared" si="16"/>
        <v>1.919999999999999</v>
      </c>
      <c r="AD32" s="127">
        <f t="shared" si="17"/>
        <v>39.043199999999999</v>
      </c>
      <c r="AF32" s="127" t="str">
        <f>IFERROR(W32*'FlightConfig '!$K$3,"")</f>
        <v/>
      </c>
      <c r="AG32" s="127">
        <f>IFERROR(X32*'FlightConfig '!$K$17,"")</f>
        <v>8211.84</v>
      </c>
      <c r="AH32" s="127">
        <f>IFERROR(Y32*'FlightConfig '!$K$17,"")</f>
        <v>8736</v>
      </c>
      <c r="AI32" s="127">
        <f>IFERROR(Z32*'FlightConfig '!$K$17,"")</f>
        <v>3494.4000000000005</v>
      </c>
      <c r="AJ32" s="127">
        <f>IFERROR(AA32*'FlightConfig '!$K$17,"")</f>
        <v>11706.239999999998</v>
      </c>
      <c r="AK32" s="127">
        <f>IFERROR(AB32*'FlightConfig '!$K$17,"")</f>
        <v>1806.6047999999989</v>
      </c>
    </row>
    <row r="33" spans="1:37" ht="18" hidden="1" customHeight="1">
      <c r="A33" t="s">
        <v>157</v>
      </c>
      <c r="B33" s="171">
        <v>1</v>
      </c>
      <c r="C33" s="176" t="str">
        <f t="shared" si="22"/>
        <v>PREMIUM ECONOMY CLASS1</v>
      </c>
      <c r="D33" s="311"/>
      <c r="E33" s="304">
        <v>1029</v>
      </c>
      <c r="F33" s="310"/>
      <c r="G33" t="str">
        <f>VLOOKUP(E33,'FG MASTER'!$A$10:$AB$218,2,0)</f>
        <v xml:space="preserve">PY C1 DINNER SWEETWATER BEET AND CHEESE ROLL </v>
      </c>
      <c r="H33" s="285">
        <v>1</v>
      </c>
      <c r="I33" s="173">
        <v>1</v>
      </c>
      <c r="J33" s="291">
        <f>IFERROR(IF(I33="std",H33,HLOOKUP(A33,'FlightConfig '!$B$28:$G$29,2,0)*I33),"")</f>
        <v>48</v>
      </c>
      <c r="K33" s="244">
        <f>VLOOKUP(Food!E33,'FG MASTER'!$A$1:$AC$536,16,0)</f>
        <v>0.3</v>
      </c>
      <c r="L33" s="245">
        <f>VLOOKUP(Food!E33,'FG MASTER'!$A$10:$AC$536,17,0)</f>
        <v>0.25</v>
      </c>
      <c r="M33" s="132">
        <f t="shared" si="23"/>
        <v>0.1</v>
      </c>
      <c r="N33" s="132">
        <f t="shared" si="24"/>
        <v>0.4</v>
      </c>
      <c r="O33" s="132">
        <f t="shared" si="5"/>
        <v>6.6000000000000003E-2</v>
      </c>
      <c r="P33" s="132">
        <f t="shared" si="6"/>
        <v>1.999999999999999E-2</v>
      </c>
      <c r="Q33" s="132">
        <f t="shared" ref="Q33:Q69" si="26">SUM(N33:P33)</f>
        <v>0.48599999999999999</v>
      </c>
      <c r="R33" s="402">
        <f t="shared" si="8"/>
        <v>0.36599999999999999</v>
      </c>
      <c r="S33" s="402">
        <f t="shared" si="9"/>
        <v>0.12</v>
      </c>
      <c r="T33" s="402">
        <f t="shared" si="10"/>
        <v>0.48599999999999999</v>
      </c>
      <c r="U33" s="127"/>
      <c r="V33" s="127"/>
      <c r="W33" t="str">
        <f>IFERROR(#REF!*J33,"")</f>
        <v/>
      </c>
      <c r="X33">
        <f t="shared" si="11"/>
        <v>14.399999999999999</v>
      </c>
      <c r="Y33">
        <f t="shared" si="12"/>
        <v>12</v>
      </c>
      <c r="Z33" s="127">
        <f t="shared" si="13"/>
        <v>4.8000000000000007</v>
      </c>
      <c r="AA33" s="127">
        <f t="shared" si="14"/>
        <v>19.200000000000003</v>
      </c>
      <c r="AB33" s="127">
        <f t="shared" si="15"/>
        <v>3.1680000000000001</v>
      </c>
      <c r="AC33" s="127">
        <f t="shared" si="16"/>
        <v>0.95999999999999952</v>
      </c>
      <c r="AD33" s="127">
        <f t="shared" si="17"/>
        <v>23.327999999999999</v>
      </c>
      <c r="AF33" s="127" t="str">
        <f>IFERROR(W33*'FlightConfig '!$K$3,"")</f>
        <v/>
      </c>
      <c r="AG33" s="127">
        <f>IFERROR(X33*'FlightConfig '!$K$17,"")</f>
        <v>5241.5999999999995</v>
      </c>
      <c r="AH33" s="127">
        <f>IFERROR(Y33*'FlightConfig '!$K$17,"")</f>
        <v>4368</v>
      </c>
      <c r="AI33" s="127">
        <f>IFERROR(Z33*'FlightConfig '!$K$17,"")</f>
        <v>1747.2000000000003</v>
      </c>
      <c r="AJ33" s="127">
        <f>IFERROR(AA33*'FlightConfig '!$K$17,"")</f>
        <v>6988.8000000000011</v>
      </c>
      <c r="AK33" s="127">
        <f>IFERROR(AB33*'FlightConfig '!$K$17,"")</f>
        <v>1153.152</v>
      </c>
    </row>
    <row r="34" spans="1:37" ht="18" hidden="1" customHeight="1">
      <c r="A34" t="s">
        <v>157</v>
      </c>
      <c r="B34" s="171">
        <v>1</v>
      </c>
      <c r="C34" s="176" t="str">
        <f t="shared" si="22"/>
        <v>PREMIUM ECONOMY CLASS1</v>
      </c>
      <c r="D34" s="311"/>
      <c r="E34" s="304">
        <v>1030</v>
      </c>
      <c r="F34" s="310"/>
      <c r="G34" t="str">
        <f>VLOOKUP(E34,'FG MASTER'!$A$10:$AB$218,2,0)</f>
        <v xml:space="preserve">PY C1 DINNER STARTER MESCLUN MIX WITH CUCUMBER, CARROT AND BOCCONCINI MOZAZARELLA BALL </v>
      </c>
      <c r="H34" s="285">
        <v>1</v>
      </c>
      <c r="I34" s="173">
        <v>1</v>
      </c>
      <c r="J34" s="291">
        <f>IFERROR(IF(I34="std",H34,HLOOKUP(A34,'FlightConfig '!$B$28:$G$29,2,0)*I34),"")</f>
        <v>48</v>
      </c>
      <c r="K34" s="244">
        <f>VLOOKUP(Food!E34,'FG MASTER'!$A$1:$AC$536,16,0)</f>
        <v>0.56000000000000005</v>
      </c>
      <c r="L34" s="245">
        <f>VLOOKUP(Food!E34,'FG MASTER'!$A$10:$AC$536,17,0)</f>
        <v>1.25</v>
      </c>
      <c r="M34" s="132">
        <f t="shared" si="23"/>
        <v>0.5</v>
      </c>
      <c r="N34" s="132">
        <f t="shared" si="24"/>
        <v>1.06</v>
      </c>
      <c r="O34" s="132">
        <f t="shared" si="5"/>
        <v>0.12319999999999998</v>
      </c>
      <c r="P34" s="132">
        <f t="shared" si="6"/>
        <v>9.9999999999999978E-2</v>
      </c>
      <c r="Q34" s="132">
        <f t="shared" si="26"/>
        <v>1.2831999999999999</v>
      </c>
      <c r="R34" s="402">
        <f t="shared" si="8"/>
        <v>0.68320000000000003</v>
      </c>
      <c r="S34" s="402">
        <f t="shared" si="9"/>
        <v>0.6</v>
      </c>
      <c r="T34" s="402">
        <f t="shared" si="10"/>
        <v>1.2831999999999999</v>
      </c>
      <c r="U34" s="127"/>
      <c r="V34" s="127"/>
      <c r="W34" t="str">
        <f>IFERROR(#REF!*J34,"")</f>
        <v/>
      </c>
      <c r="X34">
        <f t="shared" si="11"/>
        <v>26.880000000000003</v>
      </c>
      <c r="Y34">
        <f t="shared" si="12"/>
        <v>60</v>
      </c>
      <c r="Z34" s="127">
        <f t="shared" si="13"/>
        <v>24</v>
      </c>
      <c r="AA34" s="127">
        <f t="shared" si="14"/>
        <v>50.88</v>
      </c>
      <c r="AB34" s="127">
        <f t="shared" si="15"/>
        <v>5.9135999999999989</v>
      </c>
      <c r="AC34" s="127">
        <f t="shared" si="16"/>
        <v>4.7999999999999989</v>
      </c>
      <c r="AD34" s="127">
        <f t="shared" si="17"/>
        <v>61.593599999999995</v>
      </c>
      <c r="AF34" s="127" t="str">
        <f>IFERROR(W34*'FlightConfig '!$K$3,"")</f>
        <v/>
      </c>
      <c r="AG34" s="127">
        <f>IFERROR(X34*'FlightConfig '!$K$17,"")</f>
        <v>9784.3200000000015</v>
      </c>
      <c r="AH34" s="127">
        <f>IFERROR(Y34*'FlightConfig '!$K$17,"")</f>
        <v>21840</v>
      </c>
      <c r="AI34" s="127">
        <f>IFERROR(Z34*'FlightConfig '!$K$17,"")</f>
        <v>8736</v>
      </c>
      <c r="AJ34" s="127">
        <f>IFERROR(AA34*'FlightConfig '!$K$17,"")</f>
        <v>18520.32</v>
      </c>
      <c r="AK34" s="127">
        <f>IFERROR(AB34*'FlightConfig '!$K$17,"")</f>
        <v>2152.5503999999996</v>
      </c>
    </row>
    <row r="35" spans="1:37" ht="18" hidden="1" customHeight="1">
      <c r="A35" t="s">
        <v>157</v>
      </c>
      <c r="B35" s="171">
        <v>1</v>
      </c>
      <c r="C35" s="176" t="str">
        <f t="shared" si="22"/>
        <v>PREMIUM ECONOMY CLASS1</v>
      </c>
      <c r="D35" s="311"/>
      <c r="E35" s="304">
        <v>1031</v>
      </c>
      <c r="F35" s="310"/>
      <c r="G35" t="str">
        <f>VLOOKUP(E35,'FG MASTER'!$A$10:$AB$218,2,0)</f>
        <v>PY C1 DINNER ENTRÉE 1 MARYLAND STULE CRAB CAKE, ARTOCHOKE RISOTTA, ASPARAGUS, LEMON DILL BEURRE BLANC</v>
      </c>
      <c r="H35" s="285">
        <v>1</v>
      </c>
      <c r="I35" s="173">
        <v>0.5</v>
      </c>
      <c r="J35" s="291">
        <f>IFERROR(IF(I35="std",H35,HLOOKUP(A35,'FlightConfig '!$B$28:$G$29,2,0)*I35),"")</f>
        <v>24</v>
      </c>
      <c r="K35" s="244">
        <f>VLOOKUP(Food!E35,'FG MASTER'!$A$1:$AC$536,16,0)</f>
        <v>10.43</v>
      </c>
      <c r="L35" s="245">
        <f>VLOOKUP(Food!E35,'FG MASTER'!$A$10:$AC$536,17,0)</f>
        <v>5.5</v>
      </c>
      <c r="M35" s="132">
        <f t="shared" si="23"/>
        <v>2.2000000000000002</v>
      </c>
      <c r="N35" s="132">
        <f t="shared" si="24"/>
        <v>12.629999999999999</v>
      </c>
      <c r="O35" s="132">
        <f t="shared" si="5"/>
        <v>2.2945999999999991</v>
      </c>
      <c r="P35" s="132">
        <f t="shared" si="6"/>
        <v>0.43999999999999995</v>
      </c>
      <c r="Q35" s="132">
        <f t="shared" si="26"/>
        <v>15.364599999999998</v>
      </c>
      <c r="R35" s="402">
        <f t="shared" si="8"/>
        <v>12.724599999999999</v>
      </c>
      <c r="S35" s="402">
        <f t="shared" si="9"/>
        <v>2.64</v>
      </c>
      <c r="T35" s="402">
        <f t="shared" si="10"/>
        <v>15.364599999999999</v>
      </c>
      <c r="U35" s="127"/>
      <c r="V35" s="127"/>
      <c r="W35" t="str">
        <f>IFERROR(#REF!*J35,"")</f>
        <v/>
      </c>
      <c r="X35">
        <f t="shared" si="11"/>
        <v>250.32</v>
      </c>
      <c r="Y35">
        <f t="shared" si="12"/>
        <v>132</v>
      </c>
      <c r="Z35" s="127">
        <f t="shared" si="13"/>
        <v>52.800000000000004</v>
      </c>
      <c r="AA35" s="127">
        <f t="shared" si="14"/>
        <v>303.12</v>
      </c>
      <c r="AB35" s="127">
        <f t="shared" si="15"/>
        <v>55.070399999999978</v>
      </c>
      <c r="AC35" s="127">
        <f t="shared" si="16"/>
        <v>10.559999999999999</v>
      </c>
      <c r="AD35" s="127">
        <f t="shared" si="17"/>
        <v>368.75039999999996</v>
      </c>
      <c r="AF35" s="127" t="str">
        <f>IFERROR(W35*'FlightConfig '!$K$3,"")</f>
        <v/>
      </c>
      <c r="AG35" s="127">
        <f>IFERROR(X35*'FlightConfig '!$K$17,"")</f>
        <v>91116.479999999996</v>
      </c>
      <c r="AH35" s="127">
        <f>IFERROR(Y35*'FlightConfig '!$K$17,"")</f>
        <v>48048</v>
      </c>
      <c r="AI35" s="127">
        <f>IFERROR(Z35*'FlightConfig '!$K$17,"")</f>
        <v>19219.2</v>
      </c>
      <c r="AJ35" s="127">
        <f>IFERROR(AA35*'FlightConfig '!$K$17,"")</f>
        <v>110335.68000000001</v>
      </c>
      <c r="AK35" s="127">
        <f>IFERROR(AB35*'FlightConfig '!$K$17,"")</f>
        <v>20045.625599999992</v>
      </c>
    </row>
    <row r="36" spans="1:37" ht="18" hidden="1" customHeight="1">
      <c r="A36" t="s">
        <v>157</v>
      </c>
      <c r="B36" s="171">
        <v>1</v>
      </c>
      <c r="C36" s="176" t="str">
        <f t="shared" si="22"/>
        <v>PREMIUM ECONOMY CLASS1</v>
      </c>
      <c r="D36" s="311"/>
      <c r="E36" s="304">
        <v>1032</v>
      </c>
      <c r="F36" s="310"/>
      <c r="G36" t="str">
        <f>VLOOKUP(E36,'FG MASTER'!$A$10:$AB$218,2,0)</f>
        <v>PY C1 DINNER ENTRÉE 2 GRILLED CHICKEN KEBAB, HONEY HARISSA GLAZE, ROASTED RED PEPPER, LEMON HERB RICE, FETA CHEESE</v>
      </c>
      <c r="H36" s="285">
        <v>1</v>
      </c>
      <c r="I36" s="173">
        <v>0.35</v>
      </c>
      <c r="J36" s="291">
        <f>IFERROR(IF(I36="std",H36,HLOOKUP(A36,'FlightConfig '!$B$28:$G$29,2,0)*I36),"")</f>
        <v>16.799999999999997</v>
      </c>
      <c r="K36" s="244">
        <f>VLOOKUP(Food!E36,'FG MASTER'!$A$1:$AC$536,16,0)</f>
        <v>2.19</v>
      </c>
      <c r="L36" s="245">
        <f>VLOOKUP(Food!E36,'FG MASTER'!$A$10:$AC$536,17,0)</f>
        <v>5.5</v>
      </c>
      <c r="M36" s="132">
        <f t="shared" si="23"/>
        <v>2.2000000000000002</v>
      </c>
      <c r="N36" s="132">
        <f t="shared" si="24"/>
        <v>4.3900000000000006</v>
      </c>
      <c r="O36" s="132">
        <f t="shared" si="5"/>
        <v>0.48179999999999978</v>
      </c>
      <c r="P36" s="132">
        <f t="shared" si="6"/>
        <v>0.43999999999999995</v>
      </c>
      <c r="Q36" s="132">
        <f t="shared" si="26"/>
        <v>5.3117999999999999</v>
      </c>
      <c r="R36" s="402">
        <f t="shared" si="8"/>
        <v>2.6717999999999997</v>
      </c>
      <c r="S36" s="402">
        <f t="shared" si="9"/>
        <v>2.64</v>
      </c>
      <c r="T36" s="402">
        <f t="shared" si="10"/>
        <v>5.3117999999999999</v>
      </c>
      <c r="U36" s="127"/>
      <c r="V36" s="127"/>
      <c r="W36" t="str">
        <f>IFERROR(#REF!*J36,"")</f>
        <v/>
      </c>
      <c r="X36">
        <f t="shared" si="11"/>
        <v>36.791999999999994</v>
      </c>
      <c r="Y36">
        <f t="shared" si="12"/>
        <v>92.399999999999977</v>
      </c>
      <c r="Z36" s="127">
        <f t="shared" si="13"/>
        <v>36.959999999999994</v>
      </c>
      <c r="AA36" s="127">
        <f t="shared" si="14"/>
        <v>73.751999999999995</v>
      </c>
      <c r="AB36" s="127">
        <f t="shared" si="15"/>
        <v>8.0942399999999957</v>
      </c>
      <c r="AC36" s="127">
        <f t="shared" si="16"/>
        <v>7.3919999999999977</v>
      </c>
      <c r="AD36" s="127">
        <f t="shared" si="17"/>
        <v>89.238239999999976</v>
      </c>
      <c r="AF36" s="127" t="str">
        <f>IFERROR(W36*'FlightConfig '!$K$3,"")</f>
        <v/>
      </c>
      <c r="AG36" s="127">
        <f>IFERROR(X36*'FlightConfig '!$K$17,"")</f>
        <v>13392.287999999999</v>
      </c>
      <c r="AH36" s="127">
        <f>IFERROR(Y36*'FlightConfig '!$K$17,"")</f>
        <v>33633.599999999991</v>
      </c>
      <c r="AI36" s="127">
        <f>IFERROR(Z36*'FlightConfig '!$K$17,"")</f>
        <v>13453.439999999997</v>
      </c>
      <c r="AJ36" s="127">
        <f>IFERROR(AA36*'FlightConfig '!$K$17,"")</f>
        <v>26845.727999999999</v>
      </c>
      <c r="AK36" s="127">
        <f>IFERROR(AB36*'FlightConfig '!$K$17,"")</f>
        <v>2946.3033599999985</v>
      </c>
    </row>
    <row r="37" spans="1:37" ht="18" hidden="1" customHeight="1">
      <c r="A37" t="s">
        <v>157</v>
      </c>
      <c r="B37" s="171">
        <v>1</v>
      </c>
      <c r="C37" s="176" t="str">
        <f t="shared" si="22"/>
        <v>PREMIUM ECONOMY CLASS1</v>
      </c>
      <c r="D37" s="311"/>
      <c r="E37" s="304">
        <v>1033</v>
      </c>
      <c r="F37" s="310"/>
      <c r="G37" t="str">
        <f>VLOOKUP(E37,'FG MASTER'!$A$10:$AB$218,2,0)</f>
        <v xml:space="preserve">PY C1 DINNER ENTRÉE 3 SMOKED MOZZARELLA RAVIOLI, MARINARA SAUCE, PESTO MARINATED BOCCONCINI MOZZARELLA, SHREDDED, PARMESAN, SPINACH </v>
      </c>
      <c r="H37" s="285">
        <v>1</v>
      </c>
      <c r="I37" s="173">
        <v>0.2</v>
      </c>
      <c r="J37" s="291">
        <f>IFERROR(IF(I37="std",H37,HLOOKUP(A37,'FlightConfig '!$B$28:$G$29,2,0)*I37),"")</f>
        <v>9.6000000000000014</v>
      </c>
      <c r="K37" s="244">
        <f>VLOOKUP(Food!E37,'FG MASTER'!$A$1:$AC$536,16,0)</f>
        <v>4.2</v>
      </c>
      <c r="L37" s="245">
        <f>VLOOKUP(Food!E37,'FG MASTER'!$A$10:$AC$536,17,0)</f>
        <v>3.25</v>
      </c>
      <c r="M37" s="132">
        <f t="shared" si="23"/>
        <v>1.3</v>
      </c>
      <c r="N37" s="132">
        <f t="shared" si="24"/>
        <v>5.5</v>
      </c>
      <c r="O37" s="132">
        <f t="shared" si="5"/>
        <v>0.92399999999999949</v>
      </c>
      <c r="P37" s="132">
        <f t="shared" si="6"/>
        <v>0.26</v>
      </c>
      <c r="Q37" s="132">
        <f t="shared" si="26"/>
        <v>6.6839999999999993</v>
      </c>
      <c r="R37" s="402">
        <f t="shared" si="8"/>
        <v>5.1239999999999997</v>
      </c>
      <c r="S37" s="402">
        <f t="shared" si="9"/>
        <v>1.56</v>
      </c>
      <c r="T37" s="402">
        <f t="shared" si="10"/>
        <v>6.6839999999999993</v>
      </c>
      <c r="U37" s="127"/>
      <c r="V37" s="127"/>
      <c r="W37" t="str">
        <f>IFERROR(#REF!*J37,"")</f>
        <v/>
      </c>
      <c r="X37">
        <f t="shared" si="11"/>
        <v>40.320000000000007</v>
      </c>
      <c r="Y37">
        <f t="shared" si="12"/>
        <v>31.200000000000003</v>
      </c>
      <c r="Z37" s="127">
        <f t="shared" si="13"/>
        <v>12.480000000000002</v>
      </c>
      <c r="AA37" s="127">
        <f t="shared" si="14"/>
        <v>52.800000000000011</v>
      </c>
      <c r="AB37" s="127">
        <f t="shared" si="15"/>
        <v>8.8703999999999965</v>
      </c>
      <c r="AC37" s="127">
        <f t="shared" si="16"/>
        <v>2.4960000000000004</v>
      </c>
      <c r="AD37" s="127">
        <f t="shared" si="17"/>
        <v>64.166399999999996</v>
      </c>
      <c r="AF37" s="127" t="str">
        <f>IFERROR(W37*'FlightConfig '!$K$3,"")</f>
        <v/>
      </c>
      <c r="AG37" s="127">
        <f>IFERROR(X37*'FlightConfig '!$K$17,"")</f>
        <v>14676.480000000003</v>
      </c>
      <c r="AH37" s="127">
        <f>IFERROR(Y37*'FlightConfig '!$K$17,"")</f>
        <v>11356.800000000001</v>
      </c>
      <c r="AI37" s="127">
        <f>IFERROR(Z37*'FlightConfig '!$K$17,"")</f>
        <v>4542.7200000000012</v>
      </c>
      <c r="AJ37" s="127">
        <f>IFERROR(AA37*'FlightConfig '!$K$17,"")</f>
        <v>19219.200000000004</v>
      </c>
      <c r="AK37" s="127">
        <f>IFERROR(AB37*'FlightConfig '!$K$17,"")</f>
        <v>3228.8255999999988</v>
      </c>
    </row>
    <row r="38" spans="1:37" ht="18" hidden="1" customHeight="1">
      <c r="A38" t="s">
        <v>157</v>
      </c>
      <c r="B38" s="171">
        <v>1</v>
      </c>
      <c r="C38" s="176" t="str">
        <f t="shared" si="22"/>
        <v>PREMIUM ECONOMY CLASS1</v>
      </c>
      <c r="D38" s="311"/>
      <c r="E38" s="304">
        <v>1034</v>
      </c>
      <c r="F38" s="310"/>
      <c r="G38" t="str">
        <f>VLOOKUP(E38,'FG MASTER'!$A$10:$AB$218,2,0)</f>
        <v xml:space="preserve">PY C1 DINNER DESSERT BLACKBERRY PEACH COBBLER TART, CRÈME GRAICHE </v>
      </c>
      <c r="H38" s="285">
        <v>1</v>
      </c>
      <c r="I38" s="173">
        <v>1</v>
      </c>
      <c r="J38" s="291">
        <f>IFERROR(IF(I38="std",H38,HLOOKUP(A38,'FlightConfig '!$B$28:$G$29,2,0)*I38),"")</f>
        <v>48</v>
      </c>
      <c r="K38" s="244">
        <f>VLOOKUP(Food!E38,'FG MASTER'!$A$1:$AC$536,16,0)</f>
        <v>0.83</v>
      </c>
      <c r="L38" s="245">
        <f>VLOOKUP(Food!E38,'FG MASTER'!$A$10:$AC$536,17,0)</f>
        <v>1.25</v>
      </c>
      <c r="M38" s="132">
        <f t="shared" si="23"/>
        <v>0.5</v>
      </c>
      <c r="N38" s="132">
        <f t="shared" si="24"/>
        <v>1.33</v>
      </c>
      <c r="O38" s="132">
        <f t="shared" si="5"/>
        <v>0.18259999999999998</v>
      </c>
      <c r="P38" s="132">
        <f t="shared" si="6"/>
        <v>9.9999999999999978E-2</v>
      </c>
      <c r="Q38" s="132">
        <f t="shared" si="26"/>
        <v>1.6126</v>
      </c>
      <c r="R38" s="402">
        <f t="shared" si="8"/>
        <v>1.0125999999999999</v>
      </c>
      <c r="S38" s="402">
        <f t="shared" si="9"/>
        <v>0.6</v>
      </c>
      <c r="T38" s="402">
        <f t="shared" si="10"/>
        <v>1.6126</v>
      </c>
      <c r="U38" s="127"/>
      <c r="V38" s="127"/>
      <c r="W38" t="str">
        <f>IFERROR(#REF!*J38,"")</f>
        <v/>
      </c>
      <c r="X38">
        <f t="shared" si="11"/>
        <v>39.839999999999996</v>
      </c>
      <c r="Y38">
        <f t="shared" si="12"/>
        <v>60</v>
      </c>
      <c r="Z38" s="127">
        <f t="shared" si="13"/>
        <v>24</v>
      </c>
      <c r="AA38" s="127">
        <f t="shared" si="14"/>
        <v>63.84</v>
      </c>
      <c r="AB38" s="127">
        <f t="shared" si="15"/>
        <v>8.7647999999999993</v>
      </c>
      <c r="AC38" s="127">
        <f t="shared" si="16"/>
        <v>4.7999999999999989</v>
      </c>
      <c r="AD38" s="127">
        <f t="shared" si="17"/>
        <v>77.404799999999994</v>
      </c>
      <c r="AF38" s="127" t="str">
        <f>IFERROR(W38*'FlightConfig '!$K$3,"")</f>
        <v/>
      </c>
      <c r="AG38" s="127">
        <f>IFERROR(X38*'FlightConfig '!$K$17,"")</f>
        <v>14501.759999999998</v>
      </c>
      <c r="AH38" s="127">
        <f>IFERROR(Y38*'FlightConfig '!$K$17,"")</f>
        <v>21840</v>
      </c>
      <c r="AI38" s="127">
        <f>IFERROR(Z38*'FlightConfig '!$K$17,"")</f>
        <v>8736</v>
      </c>
      <c r="AJ38" s="127">
        <f>IFERROR(AA38*'FlightConfig '!$K$17,"")</f>
        <v>23237.760000000002</v>
      </c>
      <c r="AK38" s="127">
        <f>IFERROR(AB38*'FlightConfig '!$K$17,"")</f>
        <v>3190.3871999999997</v>
      </c>
    </row>
    <row r="39" spans="1:37" ht="18" hidden="1" customHeight="1">
      <c r="A39" t="s">
        <v>157</v>
      </c>
      <c r="B39" s="171">
        <v>1</v>
      </c>
      <c r="C39" s="176" t="str">
        <f t="shared" si="22"/>
        <v>PREMIUM ECONOMY CLASS1</v>
      </c>
      <c r="D39" s="311"/>
      <c r="E39" s="304">
        <v>1035</v>
      </c>
      <c r="F39" s="310"/>
      <c r="G39" t="str">
        <f>VLOOKUP(E39,'FG MASTER'!$A$10:$AB$218,2,0)</f>
        <v xml:space="preserve">PY C1 DINNER CHEESE, THOMASVILLE TOMME, ASHER BLUE, ANGRY CUKES, MESCADINE JELLY </v>
      </c>
      <c r="H39" s="285">
        <v>1</v>
      </c>
      <c r="I39" s="173">
        <v>1</v>
      </c>
      <c r="J39" s="291">
        <f>IFERROR(IF(I39="std",H39,HLOOKUP(A39,'FlightConfig '!$B$28:$G$29,2,0)*I39),"")</f>
        <v>48</v>
      </c>
      <c r="K39" s="244">
        <f>VLOOKUP(Food!E39,'FG MASTER'!$A$1:$AC$536,16,0)</f>
        <v>1.9</v>
      </c>
      <c r="L39" s="245">
        <f>VLOOKUP(Food!E39,'FG MASTER'!$A$10:$AC$536,17,0)</f>
        <v>2</v>
      </c>
      <c r="M39" s="132">
        <f t="shared" si="23"/>
        <v>0.8</v>
      </c>
      <c r="N39" s="132">
        <f t="shared" si="24"/>
        <v>2.7</v>
      </c>
      <c r="O39" s="132">
        <f t="shared" si="5"/>
        <v>0.41800000000000015</v>
      </c>
      <c r="P39" s="132">
        <f t="shared" si="6"/>
        <v>0.15999999999999992</v>
      </c>
      <c r="Q39" s="132">
        <f t="shared" si="26"/>
        <v>3.2780000000000005</v>
      </c>
      <c r="R39" s="402">
        <f t="shared" si="8"/>
        <v>2.3180000000000001</v>
      </c>
      <c r="S39" s="402">
        <f t="shared" si="9"/>
        <v>0.96</v>
      </c>
      <c r="T39" s="402">
        <f t="shared" si="10"/>
        <v>3.278</v>
      </c>
      <c r="U39" s="127"/>
      <c r="V39" s="127"/>
      <c r="W39" t="str">
        <f>IFERROR(#REF!*J39,"")</f>
        <v/>
      </c>
      <c r="X39">
        <f t="shared" si="11"/>
        <v>91.199999999999989</v>
      </c>
      <c r="Y39">
        <f t="shared" si="12"/>
        <v>96</v>
      </c>
      <c r="Z39" s="127">
        <f t="shared" si="13"/>
        <v>38.400000000000006</v>
      </c>
      <c r="AA39" s="127">
        <f t="shared" si="14"/>
        <v>129.60000000000002</v>
      </c>
      <c r="AB39" s="127">
        <f t="shared" si="15"/>
        <v>20.064000000000007</v>
      </c>
      <c r="AC39" s="127">
        <f t="shared" si="16"/>
        <v>7.6799999999999962</v>
      </c>
      <c r="AD39" s="127">
        <f t="shared" si="17"/>
        <v>157.34400000000002</v>
      </c>
      <c r="AF39" s="127" t="str">
        <f>IFERROR(W39*'FlightConfig '!$K$3,"")</f>
        <v/>
      </c>
      <c r="AG39" s="127">
        <f>IFERROR(X39*'FlightConfig '!$K$17,"")</f>
        <v>33196.799999999996</v>
      </c>
      <c r="AH39" s="127">
        <f>IFERROR(Y39*'FlightConfig '!$K$17,"")</f>
        <v>34944</v>
      </c>
      <c r="AI39" s="127">
        <f>IFERROR(Z39*'FlightConfig '!$K$17,"")</f>
        <v>13977.600000000002</v>
      </c>
      <c r="AJ39" s="127">
        <f>IFERROR(AA39*'FlightConfig '!$K$17,"")</f>
        <v>47174.400000000009</v>
      </c>
      <c r="AK39" s="127">
        <f>IFERROR(AB39*'FlightConfig '!$K$17,"")</f>
        <v>7303.296000000003</v>
      </c>
    </row>
    <row r="40" spans="1:37" ht="18" hidden="1" customHeight="1">
      <c r="A40" t="s">
        <v>157</v>
      </c>
      <c r="B40" s="171">
        <v>1</v>
      </c>
      <c r="C40" s="176" t="str">
        <f t="shared" si="22"/>
        <v>PREMIUM ECONOMY CLASS1</v>
      </c>
      <c r="D40" s="311"/>
      <c r="E40" s="304">
        <v>1036</v>
      </c>
      <c r="F40" s="310"/>
      <c r="G40" t="str">
        <f>VLOOKUP(E40,'FG MASTER'!$A$10:$AB$218,2,0)</f>
        <v>PY C1 BREAKFAST BUTTERMILK BISCUIT, SCRAMBLE EGG, MAPLE SAUISAGE GRAVY, CHICKEN SAUSAGE PATTY, ,SCALLIOM</v>
      </c>
      <c r="H40" s="285">
        <v>1</v>
      </c>
      <c r="I40" s="173">
        <v>0.5</v>
      </c>
      <c r="J40" s="291">
        <f>IFERROR(IF(I40="std",H40,HLOOKUP(A40,'FlightConfig '!$B$28:$G$29,2,0)*I40),"")</f>
        <v>24</v>
      </c>
      <c r="K40" s="244">
        <f>VLOOKUP(Food!E40,'FG MASTER'!$A$1:$AC$536,16,0)</f>
        <v>1.77</v>
      </c>
      <c r="L40" s="245">
        <f>VLOOKUP(Food!E40,'FG MASTER'!$A$10:$AC$536,17,0)</f>
        <v>3.25</v>
      </c>
      <c r="M40" s="132">
        <f t="shared" si="23"/>
        <v>1.3</v>
      </c>
      <c r="N40" s="132">
        <f t="shared" si="24"/>
        <v>3.0700000000000003</v>
      </c>
      <c r="O40" s="132">
        <f t="shared" si="5"/>
        <v>0.38939999999999975</v>
      </c>
      <c r="P40" s="132">
        <f t="shared" si="6"/>
        <v>0.26</v>
      </c>
      <c r="Q40" s="132">
        <f t="shared" si="26"/>
        <v>3.7194000000000003</v>
      </c>
      <c r="R40" s="402">
        <f t="shared" si="8"/>
        <v>2.1593999999999998</v>
      </c>
      <c r="S40" s="402">
        <f t="shared" si="9"/>
        <v>1.56</v>
      </c>
      <c r="T40" s="402">
        <f t="shared" si="10"/>
        <v>3.7193999999999998</v>
      </c>
      <c r="U40" s="127"/>
      <c r="V40" s="127"/>
      <c r="W40" t="str">
        <f>IFERROR(#REF!*J40,"")</f>
        <v/>
      </c>
      <c r="X40">
        <f t="shared" si="11"/>
        <v>42.480000000000004</v>
      </c>
      <c r="Y40">
        <f t="shared" si="12"/>
        <v>78</v>
      </c>
      <c r="Z40" s="127">
        <f t="shared" si="13"/>
        <v>31.200000000000003</v>
      </c>
      <c r="AA40" s="127">
        <f t="shared" si="14"/>
        <v>73.680000000000007</v>
      </c>
      <c r="AB40" s="127">
        <f t="shared" si="15"/>
        <v>9.3455999999999939</v>
      </c>
      <c r="AC40" s="127">
        <f t="shared" si="16"/>
        <v>6.24</v>
      </c>
      <c r="AD40" s="127">
        <f t="shared" si="17"/>
        <v>89.265600000000006</v>
      </c>
      <c r="AF40" s="127" t="str">
        <f>IFERROR(W40*'FlightConfig '!$K$3,"")</f>
        <v/>
      </c>
      <c r="AG40" s="127">
        <f>IFERROR(X40*'FlightConfig '!$K$17,"")</f>
        <v>15462.720000000001</v>
      </c>
      <c r="AH40" s="127">
        <f>IFERROR(Y40*'FlightConfig '!$K$17,"")</f>
        <v>28392</v>
      </c>
      <c r="AI40" s="127">
        <f>IFERROR(Z40*'FlightConfig '!$K$17,"")</f>
        <v>11356.800000000001</v>
      </c>
      <c r="AJ40" s="127">
        <f>IFERROR(AA40*'FlightConfig '!$K$17,"")</f>
        <v>26819.520000000004</v>
      </c>
      <c r="AK40" s="127">
        <f>IFERROR(AB40*'FlightConfig '!$K$17,"")</f>
        <v>3401.7983999999979</v>
      </c>
    </row>
    <row r="41" spans="1:37" ht="18" hidden="1" customHeight="1">
      <c r="A41" t="s">
        <v>157</v>
      </c>
      <c r="B41" s="171">
        <v>1</v>
      </c>
      <c r="C41" s="176" t="str">
        <f t="shared" si="22"/>
        <v>PREMIUM ECONOMY CLASS1</v>
      </c>
      <c r="D41" s="311"/>
      <c r="E41" s="304">
        <v>1037</v>
      </c>
      <c r="F41" s="310"/>
      <c r="G41" t="str">
        <f>VLOOKUP(E41,'FG MASTER'!$A$10:$AB$218,2,0)</f>
        <v>PY C1 BREAKFAST SCRAMBLE EGG, GINGERLING POTATOES, ASPARAGUS, CHERRY TOMATOES</v>
      </c>
      <c r="H41" s="285">
        <v>1</v>
      </c>
      <c r="I41" s="173">
        <v>0.3</v>
      </c>
      <c r="J41" s="291">
        <f>IFERROR(IF(I41="std",H41,HLOOKUP(A41,'FlightConfig '!$B$28:$G$29,2,0)*I41),"")</f>
        <v>14.399999999999999</v>
      </c>
      <c r="K41" s="244">
        <f>VLOOKUP(Food!E41,'FG MASTER'!$A$1:$AC$536,16,0)</f>
        <v>1.77</v>
      </c>
      <c r="L41" s="245">
        <f>VLOOKUP(Food!E41,'FG MASTER'!$A$10:$AC$536,17,0)</f>
        <v>4</v>
      </c>
      <c r="M41" s="132">
        <f t="shared" si="23"/>
        <v>1.6</v>
      </c>
      <c r="N41" s="132">
        <f t="shared" si="24"/>
        <v>3.37</v>
      </c>
      <c r="O41" s="132">
        <f t="shared" si="5"/>
        <v>0.38939999999999975</v>
      </c>
      <c r="P41" s="132">
        <f t="shared" si="6"/>
        <v>0.31999999999999984</v>
      </c>
      <c r="Q41" s="132">
        <f t="shared" si="26"/>
        <v>4.0793999999999997</v>
      </c>
      <c r="R41" s="402">
        <f t="shared" si="8"/>
        <v>2.1593999999999998</v>
      </c>
      <c r="S41" s="402">
        <f t="shared" si="9"/>
        <v>1.92</v>
      </c>
      <c r="T41" s="402">
        <f t="shared" si="10"/>
        <v>4.0793999999999997</v>
      </c>
      <c r="U41" s="127"/>
      <c r="V41" s="127"/>
      <c r="W41" t="str">
        <f>IFERROR(#REF!*J41,"")</f>
        <v/>
      </c>
      <c r="X41">
        <f t="shared" si="11"/>
        <v>25.487999999999996</v>
      </c>
      <c r="Y41">
        <f t="shared" si="12"/>
        <v>57.599999999999994</v>
      </c>
      <c r="Z41" s="127">
        <f t="shared" si="13"/>
        <v>23.04</v>
      </c>
      <c r="AA41" s="127">
        <f t="shared" si="14"/>
        <v>48.527999999999999</v>
      </c>
      <c r="AB41" s="127">
        <f t="shared" si="15"/>
        <v>5.6073599999999955</v>
      </c>
      <c r="AC41" s="127">
        <f t="shared" si="16"/>
        <v>4.607999999999997</v>
      </c>
      <c r="AD41" s="127">
        <f t="shared" si="17"/>
        <v>58.743359999999988</v>
      </c>
      <c r="AF41" s="127" t="str">
        <f>IFERROR(W41*'FlightConfig '!$K$3,"")</f>
        <v/>
      </c>
      <c r="AG41" s="127">
        <f>IFERROR(X41*'FlightConfig '!$K$17,"")</f>
        <v>9277.6319999999978</v>
      </c>
      <c r="AH41" s="127">
        <f>IFERROR(Y41*'FlightConfig '!$K$17,"")</f>
        <v>20966.399999999998</v>
      </c>
      <c r="AI41" s="127">
        <f>IFERROR(Z41*'FlightConfig '!$K$17,"")</f>
        <v>8386.56</v>
      </c>
      <c r="AJ41" s="127">
        <f>IFERROR(AA41*'FlightConfig '!$K$17,"")</f>
        <v>17664.191999999999</v>
      </c>
      <c r="AK41" s="127">
        <f>IFERROR(AB41*'FlightConfig '!$K$17,"")</f>
        <v>2041.0790399999983</v>
      </c>
    </row>
    <row r="42" spans="1:37" ht="18" hidden="1" customHeight="1">
      <c r="A42" t="s">
        <v>157</v>
      </c>
      <c r="B42" s="171">
        <v>1</v>
      </c>
      <c r="C42" s="176" t="str">
        <f t="shared" si="22"/>
        <v>PREMIUM ECONOMY CLASS1</v>
      </c>
      <c r="D42" s="311"/>
      <c r="E42" s="304">
        <v>1038</v>
      </c>
      <c r="F42" s="310"/>
      <c r="G42" t="str">
        <f>VLOOKUP(E42,'FG MASTER'!$A$10:$AB$218,2,0)</f>
        <v>PY C1 BREAKFAST CHALLAH FRENCH TOAST CASSEROLE, ORANGE WHIPPED RICOTTA, CHERRY COMPOTE</v>
      </c>
      <c r="H42" s="285">
        <v>1</v>
      </c>
      <c r="I42" s="173">
        <v>0.2</v>
      </c>
      <c r="J42" s="291">
        <f>IFERROR(IF(I42="std",H42,HLOOKUP(A42,'FlightConfig '!$B$28:$G$29,2,0)*I42),"")</f>
        <v>9.6000000000000014</v>
      </c>
      <c r="K42" s="244">
        <f>VLOOKUP(Food!E42,'FG MASTER'!$A$1:$AC$536,16,0)</f>
        <v>1.1100000000000001</v>
      </c>
      <c r="L42" s="245">
        <f>VLOOKUP(Food!E42,'FG MASTER'!$A$10:$AC$536,17,0)</f>
        <v>2.5</v>
      </c>
      <c r="M42" s="132">
        <f t="shared" si="23"/>
        <v>1</v>
      </c>
      <c r="N42" s="132">
        <f t="shared" si="24"/>
        <v>2.1100000000000003</v>
      </c>
      <c r="O42" s="132">
        <f t="shared" si="5"/>
        <v>0.24419999999999997</v>
      </c>
      <c r="P42" s="132">
        <f t="shared" si="6"/>
        <v>0.19999999999999996</v>
      </c>
      <c r="Q42" s="132">
        <f t="shared" si="26"/>
        <v>2.5542000000000007</v>
      </c>
      <c r="R42" s="402">
        <f t="shared" si="8"/>
        <v>1.3542000000000001</v>
      </c>
      <c r="S42" s="402">
        <f t="shared" si="9"/>
        <v>1.2</v>
      </c>
      <c r="T42" s="402">
        <f t="shared" si="10"/>
        <v>2.5541999999999998</v>
      </c>
      <c r="U42" s="127"/>
      <c r="V42" s="127"/>
      <c r="W42" t="str">
        <f>IFERROR(#REF!*J42,"")</f>
        <v/>
      </c>
      <c r="X42">
        <f t="shared" si="11"/>
        <v>10.656000000000002</v>
      </c>
      <c r="Y42">
        <f t="shared" si="12"/>
        <v>24.000000000000004</v>
      </c>
      <c r="Z42" s="127">
        <f t="shared" si="13"/>
        <v>9.6000000000000014</v>
      </c>
      <c r="AA42" s="127">
        <f t="shared" si="14"/>
        <v>20.256000000000007</v>
      </c>
      <c r="AB42" s="127">
        <f t="shared" si="15"/>
        <v>2.3443200000000002</v>
      </c>
      <c r="AC42" s="127">
        <f t="shared" si="16"/>
        <v>1.92</v>
      </c>
      <c r="AD42" s="127">
        <f t="shared" si="17"/>
        <v>24.520320000000009</v>
      </c>
      <c r="AF42" s="127" t="str">
        <f>IFERROR(W42*'FlightConfig '!$K$3,"")</f>
        <v/>
      </c>
      <c r="AG42" s="127">
        <f>IFERROR(X42*'FlightConfig '!$K$17,"")</f>
        <v>3878.784000000001</v>
      </c>
      <c r="AH42" s="127">
        <f>IFERROR(Y42*'FlightConfig '!$K$17,"")</f>
        <v>8736.0000000000018</v>
      </c>
      <c r="AI42" s="127">
        <f>IFERROR(Z42*'FlightConfig '!$K$17,"")</f>
        <v>3494.4000000000005</v>
      </c>
      <c r="AJ42" s="127">
        <f>IFERROR(AA42*'FlightConfig '!$K$17,"")</f>
        <v>7373.1840000000029</v>
      </c>
      <c r="AK42" s="127">
        <f>IFERROR(AB42*'FlightConfig '!$K$17,"")</f>
        <v>853.33248000000003</v>
      </c>
    </row>
    <row r="43" spans="1:37" ht="18" hidden="1" customHeight="1">
      <c r="A43" t="s">
        <v>157</v>
      </c>
      <c r="B43" s="171">
        <v>1</v>
      </c>
      <c r="C43" s="176" t="str">
        <f t="shared" si="22"/>
        <v>PREMIUM ECONOMY CLASS1</v>
      </c>
      <c r="D43" s="311"/>
      <c r="E43" s="304">
        <v>1039</v>
      </c>
      <c r="F43" s="310"/>
      <c r="G43" t="str">
        <f>VLOOKUP(E43,'FG MASTER'!$A$10:$AB$218,2,0)</f>
        <v>PY C1 BREAKFAST SIDE 1 FRUIT PLATE SESONAL FRUIT 100G</v>
      </c>
      <c r="H43" s="285">
        <v>1</v>
      </c>
      <c r="I43" s="173">
        <v>1</v>
      </c>
      <c r="J43" s="291">
        <f>IFERROR(IF(I43="std",H43,HLOOKUP(A43,'FlightConfig '!$B$28:$G$29,2,0)*I43),"")</f>
        <v>48</v>
      </c>
      <c r="K43" s="244">
        <f>VLOOKUP(Food!E43,'FG MASTER'!$A$1:$AC$536,16,0)</f>
        <v>0.61</v>
      </c>
      <c r="L43" s="245">
        <f>VLOOKUP(Food!E43,'FG MASTER'!$A$10:$AC$536,17,0)</f>
        <v>1.5</v>
      </c>
      <c r="M43" s="132">
        <f t="shared" si="23"/>
        <v>0.60000000000000009</v>
      </c>
      <c r="N43" s="132">
        <f t="shared" si="24"/>
        <v>1.21</v>
      </c>
      <c r="O43" s="132">
        <f t="shared" si="5"/>
        <v>0.13419999999999999</v>
      </c>
      <c r="P43" s="132">
        <f t="shared" si="6"/>
        <v>0.12</v>
      </c>
      <c r="Q43" s="132">
        <f t="shared" si="26"/>
        <v>1.4641999999999999</v>
      </c>
      <c r="R43" s="402">
        <f t="shared" si="8"/>
        <v>0.74419999999999997</v>
      </c>
      <c r="S43" s="402">
        <f t="shared" si="9"/>
        <v>0.72000000000000008</v>
      </c>
      <c r="T43" s="402">
        <f t="shared" si="10"/>
        <v>1.4641999999999999</v>
      </c>
      <c r="U43" s="127"/>
      <c r="V43" s="127"/>
      <c r="W43" t="str">
        <f>IFERROR(#REF!*J43,"")</f>
        <v/>
      </c>
      <c r="X43">
        <f t="shared" si="11"/>
        <v>29.28</v>
      </c>
      <c r="Y43">
        <f t="shared" si="12"/>
        <v>72</v>
      </c>
      <c r="Z43" s="127">
        <f t="shared" si="13"/>
        <v>28.800000000000004</v>
      </c>
      <c r="AA43" s="127">
        <f t="shared" si="14"/>
        <v>58.08</v>
      </c>
      <c r="AB43" s="127">
        <f t="shared" si="15"/>
        <v>6.4415999999999993</v>
      </c>
      <c r="AC43" s="127">
        <f t="shared" si="16"/>
        <v>5.76</v>
      </c>
      <c r="AD43" s="127">
        <f t="shared" si="17"/>
        <v>70.281599999999997</v>
      </c>
      <c r="AF43" s="127" t="str">
        <f>IFERROR(W43*'FlightConfig '!$K$3,"")</f>
        <v/>
      </c>
      <c r="AG43" s="127">
        <f>IFERROR(X43*'FlightConfig '!$K$17,"")</f>
        <v>10657.92</v>
      </c>
      <c r="AH43" s="127">
        <f>IFERROR(Y43*'FlightConfig '!$K$17,"")</f>
        <v>26208</v>
      </c>
      <c r="AI43" s="127">
        <f>IFERROR(Z43*'FlightConfig '!$K$17,"")</f>
        <v>10483.200000000001</v>
      </c>
      <c r="AJ43" s="127">
        <f>IFERROR(AA43*'FlightConfig '!$K$17,"")</f>
        <v>21141.119999999999</v>
      </c>
      <c r="AK43" s="127">
        <f>IFERROR(AB43*'FlightConfig '!$K$17,"")</f>
        <v>2344.7423999999996</v>
      </c>
    </row>
    <row r="44" spans="1:37" ht="18" hidden="1" customHeight="1">
      <c r="A44" t="s">
        <v>157</v>
      </c>
      <c r="B44" s="171">
        <v>1</v>
      </c>
      <c r="C44" s="176" t="str">
        <f t="shared" si="22"/>
        <v>PREMIUM ECONOMY CLASS1</v>
      </c>
      <c r="D44" s="311"/>
      <c r="E44" s="304">
        <v>1040</v>
      </c>
      <c r="F44" s="310"/>
      <c r="G44" t="str">
        <f>VLOOKUP(E44,'FG MASTER'!$A$10:$AB$218,2,0)</f>
        <v xml:space="preserve">PY C1 BREAKFAST SIDE 2 GREEK YOGURT 100G </v>
      </c>
      <c r="H44" s="285">
        <v>1</v>
      </c>
      <c r="I44" s="173">
        <v>0</v>
      </c>
      <c r="J44" s="291">
        <f>IFERROR(IF(I44="std",H44,HLOOKUP(A44,'FlightConfig '!$B$28:$G$29,2,0)*I44),"")</f>
        <v>0</v>
      </c>
      <c r="K44" s="244">
        <f>VLOOKUP(Food!E44,'FG MASTER'!$A$1:$AC$536,16,0)</f>
        <v>0.48</v>
      </c>
      <c r="L44" s="245">
        <f>VLOOKUP(Food!E44,'FG MASTER'!$A$10:$AC$536,17,0)</f>
        <v>0.5</v>
      </c>
      <c r="M44" s="132">
        <f t="shared" si="23"/>
        <v>0.2</v>
      </c>
      <c r="N44" s="132">
        <f t="shared" si="24"/>
        <v>0.67999999999999994</v>
      </c>
      <c r="O44" s="132">
        <f t="shared" si="5"/>
        <v>0.10560000000000003</v>
      </c>
      <c r="P44" s="132">
        <f t="shared" si="6"/>
        <v>3.999999999999998E-2</v>
      </c>
      <c r="Q44" s="132">
        <f t="shared" si="26"/>
        <v>0.82559999999999989</v>
      </c>
      <c r="R44" s="402">
        <f t="shared" si="8"/>
        <v>0.58560000000000001</v>
      </c>
      <c r="S44" s="402">
        <f t="shared" si="9"/>
        <v>0.24</v>
      </c>
      <c r="T44" s="402">
        <f t="shared" si="10"/>
        <v>0.8256</v>
      </c>
      <c r="U44" s="127"/>
      <c r="V44" s="127"/>
      <c r="W44" t="str">
        <f>IFERROR(#REF!*J44,"")</f>
        <v/>
      </c>
      <c r="X44">
        <f t="shared" si="11"/>
        <v>0</v>
      </c>
      <c r="Y44">
        <f t="shared" si="12"/>
        <v>0</v>
      </c>
      <c r="Z44" s="127">
        <f t="shared" si="13"/>
        <v>0</v>
      </c>
      <c r="AA44" s="127">
        <f t="shared" si="14"/>
        <v>0</v>
      </c>
      <c r="AB44" s="127">
        <f t="shared" si="15"/>
        <v>0</v>
      </c>
      <c r="AC44" s="127">
        <f t="shared" si="16"/>
        <v>0</v>
      </c>
      <c r="AD44" s="127">
        <f t="shared" si="17"/>
        <v>0</v>
      </c>
      <c r="AF44" s="127" t="str">
        <f>IFERROR(W44*'FlightConfig '!$K$3,"")</f>
        <v/>
      </c>
      <c r="AG44" s="127">
        <f>IFERROR(X44*'FlightConfig '!$K$17,"")</f>
        <v>0</v>
      </c>
      <c r="AH44" s="127">
        <f>IFERROR(Y44*'FlightConfig '!$K$17,"")</f>
        <v>0</v>
      </c>
      <c r="AI44" s="127">
        <f>IFERROR(Z44*'FlightConfig '!$K$17,"")</f>
        <v>0</v>
      </c>
      <c r="AJ44" s="127">
        <f>IFERROR(AA44*'FlightConfig '!$K$17,"")</f>
        <v>0</v>
      </c>
      <c r="AK44" s="127">
        <f>IFERROR(AB44*'FlightConfig '!$K$17,"")</f>
        <v>0</v>
      </c>
    </row>
    <row r="45" spans="1:37" ht="18" hidden="1" customHeight="1">
      <c r="A45" t="s">
        <v>157</v>
      </c>
      <c r="B45" s="171">
        <v>1</v>
      </c>
      <c r="C45" s="176" t="str">
        <f t="shared" si="22"/>
        <v>PREMIUM ECONOMY CLASS1</v>
      </c>
      <c r="D45" s="311"/>
      <c r="E45" s="304">
        <v>1041</v>
      </c>
      <c r="F45" s="310"/>
      <c r="G45" t="str">
        <f>VLOOKUP(E45,'FG MASTER'!$A$10:$AB$218,2,0)</f>
        <v>PY C1 BREAKFAST SIDE 3 PEACH AND PECAN SCONE</v>
      </c>
      <c r="H45" s="285">
        <v>1</v>
      </c>
      <c r="I45" s="173">
        <v>0</v>
      </c>
      <c r="J45" s="291">
        <f>IFERROR(IF(I45="std",H45,HLOOKUP(A45,'FlightConfig '!$B$28:$G$29,2,0)*I45),"")</f>
        <v>0</v>
      </c>
      <c r="K45" s="244">
        <f>VLOOKUP(Food!E45,'FG MASTER'!$A$1:$AC$536,16,0)</f>
        <v>0.55000000000000004</v>
      </c>
      <c r="L45" s="245">
        <f>VLOOKUP(Food!E45,'FG MASTER'!$A$10:$AC$536,17,0)</f>
        <v>2.5</v>
      </c>
      <c r="M45" s="132">
        <f t="shared" si="23"/>
        <v>1</v>
      </c>
      <c r="N45" s="132">
        <f t="shared" si="24"/>
        <v>1.55</v>
      </c>
      <c r="O45" s="132">
        <f t="shared" si="5"/>
        <v>0.121</v>
      </c>
      <c r="P45" s="132">
        <f t="shared" si="6"/>
        <v>0.19999999999999996</v>
      </c>
      <c r="Q45" s="132">
        <f t="shared" si="26"/>
        <v>1.871</v>
      </c>
      <c r="R45" s="402">
        <f t="shared" si="8"/>
        <v>0.67100000000000004</v>
      </c>
      <c r="S45" s="402">
        <f t="shared" si="9"/>
        <v>1.2</v>
      </c>
      <c r="T45" s="402">
        <f t="shared" si="10"/>
        <v>1.871</v>
      </c>
      <c r="U45" s="127"/>
      <c r="V45" s="127"/>
      <c r="W45" t="str">
        <f>IFERROR(#REF!*J45,"")</f>
        <v/>
      </c>
      <c r="X45">
        <f t="shared" si="11"/>
        <v>0</v>
      </c>
      <c r="Y45">
        <f t="shared" si="12"/>
        <v>0</v>
      </c>
      <c r="Z45" s="127">
        <f t="shared" si="13"/>
        <v>0</v>
      </c>
      <c r="AA45" s="127">
        <f t="shared" si="14"/>
        <v>0</v>
      </c>
      <c r="AB45" s="127">
        <f t="shared" si="15"/>
        <v>0</v>
      </c>
      <c r="AC45" s="127">
        <f t="shared" si="16"/>
        <v>0</v>
      </c>
      <c r="AD45" s="127">
        <f t="shared" si="17"/>
        <v>0</v>
      </c>
      <c r="AF45" s="127" t="str">
        <f>IFERROR(W45*'FlightConfig '!$K$3,"")</f>
        <v/>
      </c>
      <c r="AG45" s="127">
        <f>IFERROR(X45*'FlightConfig '!$K$17,"")</f>
        <v>0</v>
      </c>
      <c r="AH45" s="127">
        <f>IFERROR(Y45*'FlightConfig '!$K$17,"")</f>
        <v>0</v>
      </c>
      <c r="AI45" s="127">
        <f>IFERROR(Z45*'FlightConfig '!$K$17,"")</f>
        <v>0</v>
      </c>
      <c r="AJ45" s="127">
        <f>IFERROR(AA45*'FlightConfig '!$K$17,"")</f>
        <v>0</v>
      </c>
      <c r="AK45" s="127">
        <f>IFERROR(AB45*'FlightConfig '!$K$17,"")</f>
        <v>0</v>
      </c>
    </row>
    <row r="46" spans="1:37" ht="18" hidden="1" customHeight="1">
      <c r="A46" t="s">
        <v>158</v>
      </c>
      <c r="B46" s="171">
        <v>1</v>
      </c>
      <c r="C46" s="176" t="str">
        <f t="shared" si="22"/>
        <v>ECONOMY CLASS1</v>
      </c>
      <c r="D46" s="311"/>
      <c r="E46" s="304">
        <v>1042</v>
      </c>
      <c r="F46" s="310"/>
      <c r="G46" t="str">
        <f>VLOOKUP(E46,'FG MASTER'!$A$10:$AB$218,2,0)</f>
        <v xml:space="preserve">YC C1 DINNER SWEETWATER BEET AND CHEESE ROLL </v>
      </c>
      <c r="H46" s="285">
        <v>1</v>
      </c>
      <c r="I46" s="173">
        <v>1</v>
      </c>
      <c r="J46" s="291">
        <f>IFERROR(IF(I46="std",H46,HLOOKUP(A46,'FlightConfig '!$B$28:$G$29,2,0)*I46),"")</f>
        <v>198</v>
      </c>
      <c r="K46" s="244">
        <f>VLOOKUP(Food!E46,'FG MASTER'!$A$1:$AC$536,16,0)</f>
        <v>0.3</v>
      </c>
      <c r="L46" s="245">
        <f>VLOOKUP(Food!E46,'FG MASTER'!$A$10:$AC$536,17,0)</f>
        <v>0.25</v>
      </c>
      <c r="M46" s="132">
        <f>IFERROR(L46*$M$2,"")</f>
        <v>0.1</v>
      </c>
      <c r="N46" s="132">
        <f t="shared" si="24"/>
        <v>0.4</v>
      </c>
      <c r="O46" s="132">
        <f t="shared" si="5"/>
        <v>6.6000000000000003E-2</v>
      </c>
      <c r="P46" s="132">
        <f t="shared" si="6"/>
        <v>1.999999999999999E-2</v>
      </c>
      <c r="Q46" s="132">
        <f t="shared" si="26"/>
        <v>0.48599999999999999</v>
      </c>
      <c r="R46" s="402">
        <f t="shared" si="8"/>
        <v>0.36599999999999999</v>
      </c>
      <c r="S46" s="402">
        <f t="shared" si="9"/>
        <v>0.12</v>
      </c>
      <c r="T46" s="402">
        <f t="shared" si="10"/>
        <v>0.48599999999999999</v>
      </c>
      <c r="U46" s="127"/>
      <c r="V46" s="127"/>
      <c r="W46" t="str">
        <f>IFERROR(#REF!*J46,"")</f>
        <v/>
      </c>
      <c r="X46">
        <f t="shared" si="11"/>
        <v>59.4</v>
      </c>
      <c r="Y46">
        <f t="shared" si="12"/>
        <v>49.5</v>
      </c>
      <c r="Z46" s="127">
        <f t="shared" si="13"/>
        <v>19.8</v>
      </c>
      <c r="AA46" s="127">
        <f t="shared" si="14"/>
        <v>79.2</v>
      </c>
      <c r="AB46" s="127">
        <f t="shared" si="15"/>
        <v>13.068000000000001</v>
      </c>
      <c r="AC46" s="127">
        <f t="shared" si="16"/>
        <v>3.9599999999999982</v>
      </c>
      <c r="AD46" s="127">
        <f t="shared" si="17"/>
        <v>96.227999999999994</v>
      </c>
      <c r="AF46" s="127" t="str">
        <f>IFERROR(W46*'FlightConfig '!$K$3,"")</f>
        <v/>
      </c>
      <c r="AG46" s="127">
        <f>IFERROR(X46*'FlightConfig '!$K$17,"")</f>
        <v>21621.599999999999</v>
      </c>
      <c r="AH46" s="127">
        <f>IFERROR(Y46*'FlightConfig '!$K$17,"")</f>
        <v>18018</v>
      </c>
      <c r="AI46" s="127">
        <f>IFERROR(Z46*'FlightConfig '!$K$17,"")</f>
        <v>7207.2</v>
      </c>
      <c r="AJ46" s="127">
        <f>IFERROR(AA46*'FlightConfig '!$K$17,"")</f>
        <v>28828.799999999999</v>
      </c>
      <c r="AK46" s="127">
        <f>IFERROR(AB46*'FlightConfig '!$K$17,"")</f>
        <v>4756.7520000000004</v>
      </c>
    </row>
    <row r="47" spans="1:37" ht="18" hidden="1" customHeight="1">
      <c r="A47" t="s">
        <v>158</v>
      </c>
      <c r="B47" s="171">
        <v>1</v>
      </c>
      <c r="C47" s="176" t="str">
        <f t="shared" si="22"/>
        <v>ECONOMY CLASS1</v>
      </c>
      <c r="D47" s="311"/>
      <c r="E47" s="304">
        <v>1043</v>
      </c>
      <c r="F47" s="310"/>
      <c r="G47" t="str">
        <f>VLOOKUP(E47,'FG MASTER'!$A$10:$AB$218,2,0)</f>
        <v>YC C1 DINNER BUTTER CHIP 10G</v>
      </c>
      <c r="H47" s="285">
        <v>1</v>
      </c>
      <c r="I47" s="173">
        <v>1</v>
      </c>
      <c r="J47" s="291">
        <f>IFERROR(IF(I47="std",H47,HLOOKUP(A47,'FlightConfig '!$B$28:$G$29,2,0)*I47),"")</f>
        <v>198</v>
      </c>
      <c r="K47" s="244">
        <f>VLOOKUP(Food!E47,'FG MASTER'!$A$1:$AC$536,16,0)</f>
        <v>0.14000000000000001</v>
      </c>
      <c r="L47" s="245">
        <f>VLOOKUP(Food!E47,'FG MASTER'!$A$10:$AC$536,17,0)</f>
        <v>0.25</v>
      </c>
      <c r="M47" s="132">
        <f t="shared" ref="M47:M59" si="27">IFERROR(L47*$M$2,"")</f>
        <v>0.1</v>
      </c>
      <c r="N47" s="132">
        <f t="shared" si="24"/>
        <v>0.24000000000000002</v>
      </c>
      <c r="O47" s="132">
        <f t="shared" si="5"/>
        <v>3.0799999999999994E-2</v>
      </c>
      <c r="P47" s="132">
        <f t="shared" si="6"/>
        <v>1.999999999999999E-2</v>
      </c>
      <c r="Q47" s="132">
        <f t="shared" si="26"/>
        <v>0.29080000000000006</v>
      </c>
      <c r="R47" s="402">
        <f t="shared" si="8"/>
        <v>0.17080000000000001</v>
      </c>
      <c r="S47" s="402">
        <f t="shared" si="9"/>
        <v>0.12</v>
      </c>
      <c r="T47" s="402">
        <f t="shared" si="10"/>
        <v>0.2908</v>
      </c>
      <c r="U47" s="127"/>
      <c r="V47" s="127"/>
      <c r="W47" t="str">
        <f>IFERROR(#REF!*J47,"")</f>
        <v/>
      </c>
      <c r="X47">
        <f t="shared" si="11"/>
        <v>27.720000000000002</v>
      </c>
      <c r="Y47">
        <f t="shared" si="12"/>
        <v>49.5</v>
      </c>
      <c r="Z47" s="127">
        <f t="shared" si="13"/>
        <v>19.8</v>
      </c>
      <c r="AA47" s="127">
        <f t="shared" si="14"/>
        <v>47.52</v>
      </c>
      <c r="AB47" s="127">
        <f t="shared" si="15"/>
        <v>6.0983999999999989</v>
      </c>
      <c r="AC47" s="127">
        <f t="shared" si="16"/>
        <v>3.9599999999999982</v>
      </c>
      <c r="AD47" s="127">
        <f t="shared" si="17"/>
        <v>57.578400000000009</v>
      </c>
      <c r="AF47" s="127" t="str">
        <f>IFERROR(W47*'FlightConfig '!$K$3,"")</f>
        <v/>
      </c>
      <c r="AG47" s="127">
        <f>IFERROR(X47*'FlightConfig '!$K$17,"")</f>
        <v>10090.080000000002</v>
      </c>
      <c r="AH47" s="127">
        <f>IFERROR(Y47*'FlightConfig '!$K$17,"")</f>
        <v>18018</v>
      </c>
      <c r="AI47" s="127">
        <f>IFERROR(Z47*'FlightConfig '!$K$17,"")</f>
        <v>7207.2</v>
      </c>
      <c r="AJ47" s="127">
        <f>IFERROR(AA47*'FlightConfig '!$K$17,"")</f>
        <v>17297.280000000002</v>
      </c>
      <c r="AK47" s="127">
        <f>IFERROR(AB47*'FlightConfig '!$K$17,"")</f>
        <v>2219.8175999999994</v>
      </c>
    </row>
    <row r="48" spans="1:37" ht="18" hidden="1" customHeight="1">
      <c r="A48" t="s">
        <v>158</v>
      </c>
      <c r="B48" s="171">
        <v>1</v>
      </c>
      <c r="C48" s="176" t="str">
        <f>CONCATENATE(A48&amp;B48&amp;F48)</f>
        <v>ECONOMY CLASS1</v>
      </c>
      <c r="D48" s="311"/>
      <c r="E48" s="304">
        <v>1044</v>
      </c>
      <c r="F48" s="310"/>
      <c r="G48" t="str">
        <f>VLOOKUP(E48,'FG MASTER'!$A$10:$AB$218,2,0)</f>
        <v>YC C1 DINNER STARTER 1 MESCLUN MIX, CUCUMBER, CARROT, CHERRY TOMATO</v>
      </c>
      <c r="H48" s="285">
        <v>1</v>
      </c>
      <c r="I48" s="173">
        <v>1</v>
      </c>
      <c r="J48" s="291">
        <f>IFERROR(IF(I48="std",H48,HLOOKUP(A48,'FlightConfig '!$B$28:$G$29,2,0)*I48),"")</f>
        <v>198</v>
      </c>
      <c r="K48" s="244">
        <f>VLOOKUP(Food!E48,'FG MASTER'!$A$1:$AC$536,16,0)</f>
        <v>0.28999999999999998</v>
      </c>
      <c r="L48" s="245">
        <f>VLOOKUP(Food!E48,'FG MASTER'!$A$10:$AC$536,17,0)</f>
        <v>1.25</v>
      </c>
      <c r="M48" s="132">
        <f t="shared" si="27"/>
        <v>0.5</v>
      </c>
      <c r="N48" s="132">
        <f>IFERROR((K48)+M48,"")</f>
        <v>0.79</v>
      </c>
      <c r="O48" s="132">
        <f t="shared" si="5"/>
        <v>6.3799999999999968E-2</v>
      </c>
      <c r="P48" s="132">
        <f t="shared" si="6"/>
        <v>9.9999999999999978E-2</v>
      </c>
      <c r="Q48" s="132">
        <f t="shared" si="26"/>
        <v>0.95379999999999998</v>
      </c>
      <c r="R48" s="402">
        <f t="shared" si="8"/>
        <v>0.35379999999999995</v>
      </c>
      <c r="S48" s="402">
        <f t="shared" si="9"/>
        <v>0.6</v>
      </c>
      <c r="T48" s="402">
        <f t="shared" si="10"/>
        <v>0.95379999999999998</v>
      </c>
      <c r="U48" s="127"/>
      <c r="V48" s="127"/>
      <c r="W48" t="str">
        <f>IFERROR(#REF!*J48,"")</f>
        <v/>
      </c>
      <c r="X48">
        <f t="shared" si="11"/>
        <v>57.419999999999995</v>
      </c>
      <c r="Y48">
        <f t="shared" si="12"/>
        <v>247.5</v>
      </c>
      <c r="Z48" s="127">
        <f t="shared" si="13"/>
        <v>99</v>
      </c>
      <c r="AA48" s="127">
        <f t="shared" si="14"/>
        <v>156.42000000000002</v>
      </c>
      <c r="AB48" s="127">
        <f t="shared" si="15"/>
        <v>12.632399999999993</v>
      </c>
      <c r="AC48" s="127">
        <f t="shared" si="16"/>
        <v>19.799999999999997</v>
      </c>
      <c r="AD48" s="127">
        <f t="shared" si="17"/>
        <v>188.85239999999999</v>
      </c>
      <c r="AF48" s="127" t="str">
        <f>IFERROR(W48*'FlightConfig '!$K$3,"")</f>
        <v/>
      </c>
      <c r="AG48" s="127">
        <f>IFERROR(X48*'FlightConfig '!$K$17,"")</f>
        <v>20900.879999999997</v>
      </c>
      <c r="AH48" s="127">
        <f>IFERROR(Y48*'FlightConfig '!$K$17,"")</f>
        <v>90090</v>
      </c>
      <c r="AI48" s="127">
        <f>IFERROR(Z48*'FlightConfig '!$K$17,"")</f>
        <v>36036</v>
      </c>
      <c r="AJ48" s="127">
        <f>IFERROR(AA48*'FlightConfig '!$K$17,"")</f>
        <v>56936.880000000005</v>
      </c>
      <c r="AK48" s="127">
        <f>IFERROR(AB48*'FlightConfig '!$K$17,"")</f>
        <v>4598.1935999999978</v>
      </c>
    </row>
    <row r="49" spans="1:37" ht="18" hidden="1" customHeight="1">
      <c r="A49" t="s">
        <v>158</v>
      </c>
      <c r="B49" s="171">
        <v>1</v>
      </c>
      <c r="C49" s="176" t="str">
        <f>CONCATENATE(A49&amp;B49&amp;F49)</f>
        <v>ECONOMY CLASS1</v>
      </c>
      <c r="D49" s="311"/>
      <c r="E49" s="304">
        <v>1045</v>
      </c>
      <c r="F49" s="310"/>
      <c r="G49" t="str">
        <f>VLOOKUP(E49,'FG MASTER'!$A$10:$AB$218,2,0)</f>
        <v>YC C1 DINNER STARTER 2 RED QUINOA, CORN CAVIAR, SUNFLOWER SEED</v>
      </c>
      <c r="H49" s="285">
        <v>1</v>
      </c>
      <c r="I49" s="173">
        <v>0</v>
      </c>
      <c r="J49" s="291">
        <f>IFERROR(IF(I49="std",H49,HLOOKUP(A49,'FlightConfig '!$B$28:$G$29,2,0)*I49),"")</f>
        <v>0</v>
      </c>
      <c r="K49" s="244">
        <f>VLOOKUP(Food!E49,'FG MASTER'!$A$1:$AC$536,16,0)</f>
        <v>0.43</v>
      </c>
      <c r="L49" s="245">
        <f>VLOOKUP(Food!E49,'FG MASTER'!$A$10:$AC$536,17,0)</f>
        <v>1.25</v>
      </c>
      <c r="M49" s="132">
        <f t="shared" ref="M49" si="28">IFERROR(L49*$M$2,"")</f>
        <v>0.5</v>
      </c>
      <c r="N49" s="132">
        <f>IFERROR((K49)+M49,"")</f>
        <v>0.92999999999999994</v>
      </c>
      <c r="O49" s="132">
        <f t="shared" si="5"/>
        <v>9.4599999999999962E-2</v>
      </c>
      <c r="P49" s="132">
        <f t="shared" si="6"/>
        <v>9.9999999999999978E-2</v>
      </c>
      <c r="Q49" s="132">
        <f t="shared" ref="Q49" si="29">SUM(N49:P49)</f>
        <v>1.1246</v>
      </c>
      <c r="R49" s="402">
        <f t="shared" si="8"/>
        <v>0.52459999999999996</v>
      </c>
      <c r="S49" s="402">
        <f t="shared" si="9"/>
        <v>0.6</v>
      </c>
      <c r="T49" s="402">
        <f t="shared" si="10"/>
        <v>1.1246</v>
      </c>
      <c r="U49" s="127"/>
      <c r="V49" s="127"/>
      <c r="W49" t="str">
        <f>IFERROR(#REF!*J49,"")</f>
        <v/>
      </c>
      <c r="X49">
        <f t="shared" si="11"/>
        <v>0</v>
      </c>
      <c r="Y49">
        <f t="shared" si="12"/>
        <v>0</v>
      </c>
      <c r="Z49" s="127">
        <f t="shared" si="13"/>
        <v>0</v>
      </c>
      <c r="AA49" s="127">
        <f t="shared" si="14"/>
        <v>0</v>
      </c>
      <c r="AB49" s="127">
        <f t="shared" si="15"/>
        <v>0</v>
      </c>
      <c r="AC49" s="127">
        <f t="shared" si="16"/>
        <v>0</v>
      </c>
      <c r="AD49" s="127">
        <f t="shared" si="17"/>
        <v>0</v>
      </c>
      <c r="AF49" s="127" t="str">
        <f>IFERROR(W49*'FlightConfig '!$K$3,"")</f>
        <v/>
      </c>
      <c r="AG49" s="127">
        <f>IFERROR(X49*'FlightConfig '!$K$17,"")</f>
        <v>0</v>
      </c>
      <c r="AH49" s="127">
        <f>IFERROR(Y49*'FlightConfig '!$K$17,"")</f>
        <v>0</v>
      </c>
      <c r="AI49" s="127">
        <f>IFERROR(Z49*'FlightConfig '!$K$17,"")</f>
        <v>0</v>
      </c>
      <c r="AJ49" s="127">
        <f>IFERROR(AA49*'FlightConfig '!$K$17,"")</f>
        <v>0</v>
      </c>
      <c r="AK49" s="127">
        <f>IFERROR(AB49*'FlightConfig '!$K$17,"")</f>
        <v>0</v>
      </c>
    </row>
    <row r="50" spans="1:37" ht="18" hidden="1" customHeight="1">
      <c r="A50" t="s">
        <v>158</v>
      </c>
      <c r="B50" s="171">
        <v>1</v>
      </c>
      <c r="C50" s="176" t="str">
        <f>CONCATENATE(A50&amp;B50&amp;F50)</f>
        <v>ECONOMY CLASS1</v>
      </c>
      <c r="D50" s="311"/>
      <c r="E50" s="304">
        <v>1046</v>
      </c>
      <c r="F50" s="310"/>
      <c r="G50" t="str">
        <f>VLOOKUP(E50,'FG MASTER'!$A$10:$AB$218,2,0)</f>
        <v>YC C1 DINNER ENTRÉE 1 BUTTER CHICKEN, CILANTRO LIME RICE, MIXED VEGETABLE</v>
      </c>
      <c r="H50" s="285">
        <v>1</v>
      </c>
      <c r="I50" s="173">
        <v>0.7</v>
      </c>
      <c r="J50" s="291">
        <f>IFERROR(IF(I50="std",H50,HLOOKUP(A50,'FlightConfig '!$B$28:$G$29,2,0)*I50),"")</f>
        <v>138.6</v>
      </c>
      <c r="K50" s="244">
        <f>VLOOKUP(Food!E50,'FG MASTER'!$A$1:$AC$536,16,0)</f>
        <v>1.54</v>
      </c>
      <c r="L50" s="245">
        <f>VLOOKUP(Food!E50,'FG MASTER'!$A$10:$AC$536,17,0)</f>
        <v>4.75</v>
      </c>
      <c r="M50" s="132">
        <f t="shared" si="27"/>
        <v>1.9000000000000001</v>
      </c>
      <c r="N50" s="132">
        <f>IFERROR((K50)+M50,"")</f>
        <v>3.4400000000000004</v>
      </c>
      <c r="O50" s="132">
        <f t="shared" si="5"/>
        <v>0.33879999999999999</v>
      </c>
      <c r="P50" s="132">
        <f t="shared" si="6"/>
        <v>0.38000000000000012</v>
      </c>
      <c r="Q50" s="132">
        <f t="shared" si="26"/>
        <v>4.1588000000000003</v>
      </c>
      <c r="R50" s="402">
        <f t="shared" si="8"/>
        <v>1.8788</v>
      </c>
      <c r="S50" s="402">
        <f t="shared" si="9"/>
        <v>2.2800000000000002</v>
      </c>
      <c r="T50" s="402">
        <f t="shared" si="10"/>
        <v>4.1588000000000003</v>
      </c>
      <c r="U50" s="127"/>
      <c r="V50" s="127"/>
      <c r="W50" t="str">
        <f>IFERROR(#REF!*J50,"")</f>
        <v/>
      </c>
      <c r="X50">
        <f t="shared" si="11"/>
        <v>213.44399999999999</v>
      </c>
      <c r="Y50">
        <f t="shared" si="12"/>
        <v>658.35</v>
      </c>
      <c r="Z50" s="127">
        <f t="shared" si="13"/>
        <v>263.34000000000003</v>
      </c>
      <c r="AA50" s="127">
        <f t="shared" si="14"/>
        <v>476.78400000000005</v>
      </c>
      <c r="AB50" s="127">
        <f t="shared" si="15"/>
        <v>46.957679999999996</v>
      </c>
      <c r="AC50" s="127">
        <f t="shared" si="16"/>
        <v>52.668000000000013</v>
      </c>
      <c r="AD50" s="127">
        <f t="shared" si="17"/>
        <v>576.40967999999998</v>
      </c>
      <c r="AF50" s="127" t="str">
        <f>IFERROR(W50*'FlightConfig '!$K$3,"")</f>
        <v/>
      </c>
      <c r="AG50" s="127">
        <f>IFERROR(X50*'FlightConfig '!$K$17,"")</f>
        <v>77693.615999999995</v>
      </c>
      <c r="AH50" s="127">
        <f>IFERROR(Y50*'FlightConfig '!$K$17,"")</f>
        <v>239639.4</v>
      </c>
      <c r="AI50" s="127">
        <f>IFERROR(Z50*'FlightConfig '!$K$17,"")</f>
        <v>95855.760000000009</v>
      </c>
      <c r="AJ50" s="127">
        <f>IFERROR(AA50*'FlightConfig '!$K$17,"")</f>
        <v>173549.37600000002</v>
      </c>
      <c r="AK50" s="127">
        <f>IFERROR(AB50*'FlightConfig '!$K$17,"")</f>
        <v>17092.595519999999</v>
      </c>
    </row>
    <row r="51" spans="1:37" ht="18" hidden="1" customHeight="1">
      <c r="A51" t="s">
        <v>158</v>
      </c>
      <c r="B51" s="171">
        <v>1</v>
      </c>
      <c r="C51" s="176" t="str">
        <f>CONCATENATE(A51&amp;B51&amp;F51)</f>
        <v>ECONOMY CLASS1</v>
      </c>
      <c r="D51" s="311"/>
      <c r="E51" s="304">
        <v>1047</v>
      </c>
      <c r="F51" s="310"/>
      <c r="G51" t="str">
        <f>VLOOKUP(E51,'FG MASTER'!$A$10:$AB$218,2,0)</f>
        <v>YC C1 DINNER ENTRÉE 2 RIGATONI PASTA, POMODORINI SAUCE, WHIPPED RICOTTA, RED PEPPER</v>
      </c>
      <c r="H51" s="285">
        <v>1</v>
      </c>
      <c r="I51" s="173">
        <v>0.3</v>
      </c>
      <c r="J51" s="291">
        <f>IFERROR(IF(I51="std",H51,HLOOKUP(A51,'FlightConfig '!$B$28:$G$29,2,0)*I51),"")</f>
        <v>59.4</v>
      </c>
      <c r="K51" s="244">
        <f>VLOOKUP(Food!E51,'FG MASTER'!$A$1:$AC$536,16,0)</f>
        <v>1.51</v>
      </c>
      <c r="L51" s="245">
        <f>VLOOKUP(Food!E51,'FG MASTER'!$A$10:$AC$536,17,0)</f>
        <v>4</v>
      </c>
      <c r="M51" s="132">
        <f t="shared" si="27"/>
        <v>1.6</v>
      </c>
      <c r="N51" s="132">
        <f>IFERROR((K51)+M51,"")</f>
        <v>3.1100000000000003</v>
      </c>
      <c r="O51" s="132">
        <f t="shared" si="5"/>
        <v>0.33220000000000005</v>
      </c>
      <c r="P51" s="132">
        <f t="shared" si="6"/>
        <v>0.31999999999999984</v>
      </c>
      <c r="Q51" s="132">
        <f t="shared" si="26"/>
        <v>3.7622000000000004</v>
      </c>
      <c r="R51" s="402">
        <f t="shared" si="8"/>
        <v>1.8422000000000001</v>
      </c>
      <c r="S51" s="402">
        <f t="shared" si="9"/>
        <v>1.92</v>
      </c>
      <c r="T51" s="402">
        <f t="shared" si="10"/>
        <v>3.7622</v>
      </c>
      <c r="U51" s="127"/>
      <c r="V51" s="127"/>
      <c r="W51" t="str">
        <f>IFERROR(#REF!*J51,"")</f>
        <v/>
      </c>
      <c r="X51">
        <f t="shared" si="11"/>
        <v>89.694000000000003</v>
      </c>
      <c r="Y51">
        <f t="shared" si="12"/>
        <v>237.6</v>
      </c>
      <c r="Z51" s="127">
        <f t="shared" si="13"/>
        <v>95.04</v>
      </c>
      <c r="AA51" s="127">
        <f t="shared" si="14"/>
        <v>184.73400000000001</v>
      </c>
      <c r="AB51" s="127">
        <f t="shared" si="15"/>
        <v>19.732680000000002</v>
      </c>
      <c r="AC51" s="127">
        <f t="shared" si="16"/>
        <v>19.007999999999988</v>
      </c>
      <c r="AD51" s="127">
        <f t="shared" si="17"/>
        <v>223.47468000000001</v>
      </c>
      <c r="AF51" s="127" t="str">
        <f>IFERROR(W51*'FlightConfig '!$K$3,"")</f>
        <v/>
      </c>
      <c r="AG51" s="127">
        <f>IFERROR(X51*'FlightConfig '!$K$17,"")</f>
        <v>32648.616000000002</v>
      </c>
      <c r="AH51" s="127">
        <f>IFERROR(Y51*'FlightConfig '!$K$17,"")</f>
        <v>86486.399999999994</v>
      </c>
      <c r="AI51" s="127">
        <f>IFERROR(Z51*'FlightConfig '!$K$17,"")</f>
        <v>34594.560000000005</v>
      </c>
      <c r="AJ51" s="127">
        <f>IFERROR(AA51*'FlightConfig '!$K$17,"")</f>
        <v>67243.176000000007</v>
      </c>
      <c r="AK51" s="127">
        <f>IFERROR(AB51*'FlightConfig '!$K$17,"")</f>
        <v>7182.6955200000011</v>
      </c>
    </row>
    <row r="52" spans="1:37" ht="18" hidden="1" customHeight="1">
      <c r="A52" t="s">
        <v>158</v>
      </c>
      <c r="B52" s="171">
        <v>1</v>
      </c>
      <c r="C52" s="176" t="str">
        <f>CONCATENATE(A52&amp;B52&amp;F52)</f>
        <v>ECONOMY CLASS1</v>
      </c>
      <c r="D52" s="311"/>
      <c r="E52" s="304">
        <v>1048</v>
      </c>
      <c r="F52" s="310"/>
      <c r="G52" t="str">
        <f>VLOOKUP(E52,'FG MASTER'!$A$10:$AB$218,2,0)</f>
        <v>YC C1 DINNER SIDE 1 TOMATO KACHUMBER SAQLAD</v>
      </c>
      <c r="H52" s="285">
        <v>1</v>
      </c>
      <c r="I52" s="173">
        <v>0</v>
      </c>
      <c r="J52" s="291">
        <f>IFERROR(IF(I52="std",H52,HLOOKUP(A52,'FlightConfig '!$B$28:$G$29,2,0)*I52),"")</f>
        <v>0</v>
      </c>
      <c r="K52" s="244">
        <f>VLOOKUP(Food!E52,'FG MASTER'!$A$1:$AC$536,16,0)</f>
        <v>0.05</v>
      </c>
      <c r="L52" s="245">
        <f>VLOOKUP(Food!E52,'FG MASTER'!$A$10:$AC$536,17,0)</f>
        <v>1</v>
      </c>
      <c r="M52" s="132">
        <f t="shared" si="27"/>
        <v>0.4</v>
      </c>
      <c r="N52" s="132">
        <f>IFERROR((K52)+M52,"")</f>
        <v>0.45</v>
      </c>
      <c r="O52" s="132">
        <f t="shared" si="5"/>
        <v>1.0999999999999996E-2</v>
      </c>
      <c r="P52" s="132">
        <f t="shared" si="6"/>
        <v>7.999999999999996E-2</v>
      </c>
      <c r="Q52" s="132">
        <f t="shared" si="26"/>
        <v>0.54099999999999993</v>
      </c>
      <c r="R52" s="402">
        <f t="shared" si="8"/>
        <v>6.0999999999999999E-2</v>
      </c>
      <c r="S52" s="402">
        <f t="shared" si="9"/>
        <v>0.48</v>
      </c>
      <c r="T52" s="402">
        <f t="shared" si="10"/>
        <v>0.54099999999999993</v>
      </c>
      <c r="U52" s="127"/>
      <c r="V52" s="127"/>
      <c r="W52" t="str">
        <f>IFERROR(#REF!*J52,"")</f>
        <v/>
      </c>
      <c r="X52">
        <f t="shared" si="11"/>
        <v>0</v>
      </c>
      <c r="Y52">
        <f t="shared" si="12"/>
        <v>0</v>
      </c>
      <c r="Z52" s="127">
        <f t="shared" si="13"/>
        <v>0</v>
      </c>
      <c r="AA52" s="127">
        <f t="shared" si="14"/>
        <v>0</v>
      </c>
      <c r="AB52" s="127">
        <f t="shared" si="15"/>
        <v>0</v>
      </c>
      <c r="AC52" s="127">
        <f t="shared" si="16"/>
        <v>0</v>
      </c>
      <c r="AD52" s="127">
        <f t="shared" si="17"/>
        <v>0</v>
      </c>
      <c r="AF52" s="127" t="str">
        <f>IFERROR(W52*'FlightConfig '!$K$3,"")</f>
        <v/>
      </c>
      <c r="AG52" s="127">
        <f>IFERROR(X52*'FlightConfig '!$K$17,"")</f>
        <v>0</v>
      </c>
      <c r="AH52" s="127">
        <f>IFERROR(Y52*'FlightConfig '!$K$17,"")</f>
        <v>0</v>
      </c>
      <c r="AI52" s="127">
        <f>IFERROR(Z52*'FlightConfig '!$K$17,"")</f>
        <v>0</v>
      </c>
      <c r="AJ52" s="127">
        <f>IFERROR(AA52*'FlightConfig '!$K$17,"")</f>
        <v>0</v>
      </c>
      <c r="AK52" s="127">
        <f>IFERROR(AB52*'FlightConfig '!$K$17,"")</f>
        <v>0</v>
      </c>
    </row>
    <row r="53" spans="1:37" ht="18" hidden="1" customHeight="1">
      <c r="A53" t="s">
        <v>158</v>
      </c>
      <c r="B53" s="171">
        <v>1</v>
      </c>
      <c r="C53" s="176" t="str">
        <f t="shared" ref="C53:C69" si="30">CONCATENATE(A53&amp;B53&amp;F53)</f>
        <v>ECONOMY CLASS1</v>
      </c>
      <c r="D53" s="311"/>
      <c r="E53" s="304">
        <v>1049</v>
      </c>
      <c r="F53" s="310"/>
      <c r="G53" t="str">
        <f>VLOOKUP(E53,'FG MASTER'!$A$10:$AB$218,2,0)</f>
        <v>YC C1 DINNER DESSERT BANANA PUDDING, BISCOFF CUMBLE, BUTTERSCOTCH</v>
      </c>
      <c r="H53" s="285">
        <v>1</v>
      </c>
      <c r="I53" s="173">
        <v>1</v>
      </c>
      <c r="J53" s="291">
        <f>IFERROR(IF(I53="std",H53,HLOOKUP(A53,'FlightConfig '!$B$28:$G$29,2,0)*I53),"")</f>
        <v>198</v>
      </c>
      <c r="K53" s="244">
        <f>VLOOKUP(Food!E53,'FG MASTER'!$A$1:$AC$536,16,0)</f>
        <v>0.63</v>
      </c>
      <c r="L53" s="245">
        <f>VLOOKUP(Food!E53,'FG MASTER'!$A$10:$AC$536,17,0)</f>
        <v>1.5</v>
      </c>
      <c r="M53" s="132">
        <f t="shared" si="27"/>
        <v>0.60000000000000009</v>
      </c>
      <c r="N53" s="132">
        <f t="shared" ref="N53:N65" si="31">IFERROR((K53)+M53,"")</f>
        <v>1.23</v>
      </c>
      <c r="O53" s="132">
        <f t="shared" si="5"/>
        <v>0.13859999999999995</v>
      </c>
      <c r="P53" s="132">
        <f t="shared" si="6"/>
        <v>0.12</v>
      </c>
      <c r="Q53" s="132">
        <f t="shared" si="26"/>
        <v>1.4885999999999999</v>
      </c>
      <c r="R53" s="402">
        <f t="shared" si="8"/>
        <v>0.76859999999999995</v>
      </c>
      <c r="S53" s="402">
        <f t="shared" si="9"/>
        <v>0.72000000000000008</v>
      </c>
      <c r="T53" s="402">
        <f t="shared" si="10"/>
        <v>1.4885999999999999</v>
      </c>
      <c r="U53" s="127"/>
      <c r="V53" s="127"/>
      <c r="W53" t="str">
        <f>IFERROR(#REF!*J53,"")</f>
        <v/>
      </c>
      <c r="X53">
        <f t="shared" si="11"/>
        <v>124.74</v>
      </c>
      <c r="Y53">
        <f t="shared" si="12"/>
        <v>297</v>
      </c>
      <c r="Z53" s="127">
        <f t="shared" si="13"/>
        <v>118.80000000000001</v>
      </c>
      <c r="AA53" s="127">
        <f t="shared" si="14"/>
        <v>243.54</v>
      </c>
      <c r="AB53" s="127">
        <f t="shared" si="15"/>
        <v>27.442799999999988</v>
      </c>
      <c r="AC53" s="127">
        <f t="shared" si="16"/>
        <v>23.759999999999998</v>
      </c>
      <c r="AD53" s="127">
        <f t="shared" si="17"/>
        <v>294.74279999999999</v>
      </c>
      <c r="AF53" s="127" t="str">
        <f>IFERROR(W53*'FlightConfig '!$K$3,"")</f>
        <v/>
      </c>
      <c r="AG53" s="127">
        <f>IFERROR(X53*'FlightConfig '!$K$17,"")</f>
        <v>45405.36</v>
      </c>
      <c r="AH53" s="127">
        <f>IFERROR(Y53*'FlightConfig '!$K$17,"")</f>
        <v>108108</v>
      </c>
      <c r="AI53" s="127">
        <f>IFERROR(Z53*'FlightConfig '!$K$17,"")</f>
        <v>43243.200000000004</v>
      </c>
      <c r="AJ53" s="127">
        <f>IFERROR(AA53*'FlightConfig '!$K$17,"")</f>
        <v>88648.56</v>
      </c>
      <c r="AK53" s="127">
        <f>IFERROR(AB53*'FlightConfig '!$K$17,"")</f>
        <v>9989.179199999995</v>
      </c>
    </row>
    <row r="54" spans="1:37" ht="18" hidden="1" customHeight="1">
      <c r="A54" t="s">
        <v>158</v>
      </c>
      <c r="B54" s="171">
        <v>1</v>
      </c>
      <c r="C54" s="176" t="str">
        <f t="shared" si="30"/>
        <v>ECONOMY CLASS1</v>
      </c>
      <c r="D54" s="311"/>
      <c r="E54" s="304">
        <v>1050</v>
      </c>
      <c r="F54" s="310"/>
      <c r="G54" t="str">
        <f>VLOOKUP(E54,'FG MASTER'!$A$10:$AB$218,2,0)</f>
        <v>YC C1 BREAKFAST SANDWICH 1 FARM EGG BREAKFAST BURROTTO, SALSA ROJA</v>
      </c>
      <c r="H54" s="285">
        <v>1</v>
      </c>
      <c r="I54" s="173">
        <v>0.4</v>
      </c>
      <c r="J54" s="291">
        <f>IFERROR(IF(I54="std",H54,HLOOKUP(A54,'FlightConfig '!$B$28:$G$29,2,0)*I54),"")</f>
        <v>79.2</v>
      </c>
      <c r="K54" s="244">
        <f>VLOOKUP(Food!E54,'FG MASTER'!$A$1:$AC$536,16,0)</f>
        <v>1.3</v>
      </c>
      <c r="L54" s="245">
        <f>VLOOKUP(Food!E54,'FG MASTER'!$A$10:$AC$536,17,0)</f>
        <v>1.25</v>
      </c>
      <c r="M54" s="132">
        <f t="shared" si="27"/>
        <v>0.5</v>
      </c>
      <c r="N54" s="132">
        <f t="shared" si="31"/>
        <v>1.8</v>
      </c>
      <c r="O54" s="132">
        <f t="shared" si="5"/>
        <v>0.28600000000000003</v>
      </c>
      <c r="P54" s="132">
        <f t="shared" si="6"/>
        <v>9.9999999999999978E-2</v>
      </c>
      <c r="Q54" s="132">
        <f t="shared" si="26"/>
        <v>2.1860000000000004</v>
      </c>
      <c r="R54" s="402">
        <f t="shared" si="8"/>
        <v>1.5860000000000001</v>
      </c>
      <c r="S54" s="402">
        <f t="shared" si="9"/>
        <v>0.6</v>
      </c>
      <c r="T54" s="402">
        <f t="shared" si="10"/>
        <v>2.1859999999999999</v>
      </c>
      <c r="U54" s="127"/>
      <c r="V54" s="127"/>
      <c r="W54" t="str">
        <f>IFERROR(#REF!*J54,"")</f>
        <v/>
      </c>
      <c r="X54">
        <f t="shared" si="11"/>
        <v>102.96000000000001</v>
      </c>
      <c r="Y54">
        <f t="shared" si="12"/>
        <v>99</v>
      </c>
      <c r="Z54" s="127">
        <f t="shared" si="13"/>
        <v>39.6</v>
      </c>
      <c r="AA54" s="127">
        <f t="shared" si="14"/>
        <v>142.56</v>
      </c>
      <c r="AB54" s="127">
        <f t="shared" si="15"/>
        <v>22.651200000000003</v>
      </c>
      <c r="AC54" s="127">
        <f t="shared" si="16"/>
        <v>7.9199999999999982</v>
      </c>
      <c r="AD54" s="127">
        <f t="shared" si="17"/>
        <v>173.13120000000004</v>
      </c>
      <c r="AF54" s="127" t="str">
        <f>IFERROR(W54*'FlightConfig '!$K$3,"")</f>
        <v/>
      </c>
      <c r="AG54" s="127">
        <f>IFERROR(X54*'FlightConfig '!$K$17,"")</f>
        <v>37477.440000000002</v>
      </c>
      <c r="AH54" s="127">
        <f>IFERROR(Y54*'FlightConfig '!$K$17,"")</f>
        <v>36036</v>
      </c>
      <c r="AI54" s="127">
        <f>IFERROR(Z54*'FlightConfig '!$K$17,"")</f>
        <v>14414.4</v>
      </c>
      <c r="AJ54" s="127">
        <f>IFERROR(AA54*'FlightConfig '!$K$17,"")</f>
        <v>51891.840000000004</v>
      </c>
      <c r="AK54" s="127">
        <f>IFERROR(AB54*'FlightConfig '!$K$17,"")</f>
        <v>8245.0368000000017</v>
      </c>
    </row>
    <row r="55" spans="1:37" ht="18" hidden="1" customHeight="1">
      <c r="A55" t="s">
        <v>158</v>
      </c>
      <c r="B55" s="171">
        <v>1</v>
      </c>
      <c r="C55" s="176" t="str">
        <f t="shared" si="30"/>
        <v>ECONOMY CLASS1</v>
      </c>
      <c r="D55" s="311"/>
      <c r="E55" s="304">
        <v>1051</v>
      </c>
      <c r="F55" s="310"/>
      <c r="G55" t="str">
        <f>VLOOKUP(E55,'FG MASTER'!$A$10:$AB$218,2,0)</f>
        <v>YC C1 BREAKFAST SANDWICH 2 BACON, EGG AND CHEESE HAND PIE WITH HASH BROWNS, SUNDRIED TOMATO AIOLI</v>
      </c>
      <c r="H55" s="285">
        <v>1</v>
      </c>
      <c r="I55" s="173">
        <v>0.6</v>
      </c>
      <c r="J55" s="291">
        <f>IFERROR(IF(I55="std",H55,HLOOKUP(A55,'FlightConfig '!$B$28:$G$29,2,0)*I55),"")</f>
        <v>118.8</v>
      </c>
      <c r="K55" s="244">
        <f>VLOOKUP(Food!E55,'FG MASTER'!$A$1:$AC$536,16,0)</f>
        <v>1.94</v>
      </c>
      <c r="L55" s="245">
        <f>VLOOKUP(Food!E55,'FG MASTER'!$A$10:$AC$536,17,0)</f>
        <v>1.25</v>
      </c>
      <c r="M55" s="132">
        <f t="shared" si="27"/>
        <v>0.5</v>
      </c>
      <c r="N55" s="132">
        <f t="shared" si="31"/>
        <v>2.44</v>
      </c>
      <c r="O55" s="132">
        <f t="shared" si="5"/>
        <v>0.42680000000000007</v>
      </c>
      <c r="P55" s="132">
        <f t="shared" si="6"/>
        <v>9.9999999999999978E-2</v>
      </c>
      <c r="Q55" s="132">
        <f t="shared" si="26"/>
        <v>2.9668000000000001</v>
      </c>
      <c r="R55" s="402">
        <f t="shared" si="8"/>
        <v>2.3668</v>
      </c>
      <c r="S55" s="402">
        <f t="shared" si="9"/>
        <v>0.6</v>
      </c>
      <c r="T55" s="402">
        <f t="shared" si="10"/>
        <v>2.9668000000000001</v>
      </c>
      <c r="U55" s="127"/>
      <c r="V55" s="127"/>
      <c r="W55" t="str">
        <f>IFERROR(#REF!*J55,"")</f>
        <v/>
      </c>
      <c r="X55">
        <f t="shared" si="11"/>
        <v>230.47199999999998</v>
      </c>
      <c r="Y55">
        <f t="shared" si="12"/>
        <v>148.5</v>
      </c>
      <c r="Z55" s="127">
        <f t="shared" si="13"/>
        <v>59.4</v>
      </c>
      <c r="AA55" s="127">
        <f t="shared" si="14"/>
        <v>289.87200000000001</v>
      </c>
      <c r="AB55" s="127">
        <f t="shared" si="15"/>
        <v>50.703840000000007</v>
      </c>
      <c r="AC55" s="127">
        <f t="shared" si="16"/>
        <v>11.879999999999997</v>
      </c>
      <c r="AD55" s="127">
        <f t="shared" si="17"/>
        <v>352.45584000000002</v>
      </c>
      <c r="AF55" s="127" t="str">
        <f>IFERROR(W55*'FlightConfig '!$K$3,"")</f>
        <v/>
      </c>
      <c r="AG55" s="127">
        <f>IFERROR(X55*'FlightConfig '!$K$17,"")</f>
        <v>83891.80799999999</v>
      </c>
      <c r="AH55" s="127">
        <f>IFERROR(Y55*'FlightConfig '!$K$17,"")</f>
        <v>54054</v>
      </c>
      <c r="AI55" s="127">
        <f>IFERROR(Z55*'FlightConfig '!$K$17,"")</f>
        <v>21621.599999999999</v>
      </c>
      <c r="AJ55" s="127">
        <f>IFERROR(AA55*'FlightConfig '!$K$17,"")</f>
        <v>105513.40800000001</v>
      </c>
      <c r="AK55" s="127">
        <f>IFERROR(AB55*'FlightConfig '!$K$17,"")</f>
        <v>18456.197760000003</v>
      </c>
    </row>
    <row r="56" spans="1:37" ht="18" hidden="1" customHeight="1">
      <c r="A56" t="s">
        <v>158</v>
      </c>
      <c r="B56" s="171">
        <v>1</v>
      </c>
      <c r="C56" s="176" t="str">
        <f t="shared" si="30"/>
        <v>ECONOMY CLASS1</v>
      </c>
      <c r="D56" s="311"/>
      <c r="E56" s="304">
        <v>1052</v>
      </c>
      <c r="F56" s="310"/>
      <c r="G56" t="str">
        <f>VLOOKUP(E56,'FG MASTER'!$A$10:$AB$218,2,0)</f>
        <v>YC C1 BREAKFAST SIDE 1 COCONUT CHIA OVERNIGHT OATS</v>
      </c>
      <c r="H56" s="285">
        <v>1</v>
      </c>
      <c r="I56" s="173">
        <v>0</v>
      </c>
      <c r="J56" s="291">
        <f>IFERROR(IF(I56="std",H56,HLOOKUP(A56,'FlightConfig '!$B$28:$G$29,2,0)*I56),"")</f>
        <v>0</v>
      </c>
      <c r="K56" s="244">
        <f>VLOOKUP(Food!E56,'FG MASTER'!$A$1:$AC$536,16,0)</f>
        <v>0.59</v>
      </c>
      <c r="L56" s="245">
        <f>VLOOKUP(Food!E56,'FG MASTER'!$A$10:$AC$536,17,0)</f>
        <v>1.5</v>
      </c>
      <c r="M56" s="132">
        <f t="shared" si="27"/>
        <v>0.60000000000000009</v>
      </c>
      <c r="N56" s="132">
        <f t="shared" si="31"/>
        <v>1.19</v>
      </c>
      <c r="O56" s="132">
        <f t="shared" si="5"/>
        <v>0.12980000000000003</v>
      </c>
      <c r="P56" s="132">
        <f t="shared" si="6"/>
        <v>0.12</v>
      </c>
      <c r="Q56" s="132">
        <f t="shared" si="26"/>
        <v>1.4398</v>
      </c>
      <c r="R56" s="402">
        <f t="shared" si="8"/>
        <v>0.7198</v>
      </c>
      <c r="S56" s="402">
        <f t="shared" si="9"/>
        <v>0.72000000000000008</v>
      </c>
      <c r="T56" s="402">
        <f t="shared" si="10"/>
        <v>1.4398</v>
      </c>
      <c r="U56" s="127"/>
      <c r="V56" s="127"/>
      <c r="W56" t="str">
        <f>IFERROR(#REF!*J56,"")</f>
        <v/>
      </c>
      <c r="X56">
        <f t="shared" si="11"/>
        <v>0</v>
      </c>
      <c r="Y56">
        <f t="shared" si="12"/>
        <v>0</v>
      </c>
      <c r="Z56" s="127">
        <f t="shared" si="13"/>
        <v>0</v>
      </c>
      <c r="AA56" s="127">
        <f t="shared" si="14"/>
        <v>0</v>
      </c>
      <c r="AB56" s="127">
        <f t="shared" si="15"/>
        <v>0</v>
      </c>
      <c r="AC56" s="127">
        <f t="shared" si="16"/>
        <v>0</v>
      </c>
      <c r="AD56" s="127">
        <f t="shared" si="17"/>
        <v>0</v>
      </c>
      <c r="AF56" s="127" t="str">
        <f>IFERROR(W56*'FlightConfig '!$K$3,"")</f>
        <v/>
      </c>
      <c r="AG56" s="127">
        <f>IFERROR(X56*'FlightConfig '!$K$17,"")</f>
        <v>0</v>
      </c>
      <c r="AH56" s="127">
        <f>IFERROR(Y56*'FlightConfig '!$K$17,"")</f>
        <v>0</v>
      </c>
      <c r="AI56" s="127">
        <f>IFERROR(Z56*'FlightConfig '!$K$17,"")</f>
        <v>0</v>
      </c>
      <c r="AJ56" s="127">
        <f>IFERROR(AA56*'FlightConfig '!$K$17,"")</f>
        <v>0</v>
      </c>
      <c r="AK56" s="127">
        <f>IFERROR(AB56*'FlightConfig '!$K$17,"")</f>
        <v>0</v>
      </c>
    </row>
    <row r="57" spans="1:37" ht="18" hidden="1" customHeight="1">
      <c r="A57" t="s">
        <v>158</v>
      </c>
      <c r="B57" s="171">
        <v>1</v>
      </c>
      <c r="C57" s="176" t="str">
        <f t="shared" si="30"/>
        <v>ECONOMY CLASS1</v>
      </c>
      <c r="D57" s="311"/>
      <c r="E57" s="304">
        <v>1053</v>
      </c>
      <c r="F57" s="310"/>
      <c r="G57" t="str">
        <f>VLOOKUP(E57,'FG MASTER'!$A$10:$AB$218,2,0)</f>
        <v>YC C1 BREAKFAST SIDE 2 HOMEMADE BANANA BREAD</v>
      </c>
      <c r="H57" s="285">
        <v>1</v>
      </c>
      <c r="I57" s="173">
        <v>0</v>
      </c>
      <c r="J57" s="291">
        <f>IFERROR(IF(I57="std",H57,HLOOKUP(A57,'FlightConfig '!$B$28:$G$29,2,0)*I57),"")</f>
        <v>0</v>
      </c>
      <c r="K57" s="244">
        <f>VLOOKUP(Food!E57,'FG MASTER'!$A$1:$AC$536,16,0)</f>
        <v>0.28000000000000003</v>
      </c>
      <c r="L57" s="245">
        <f>VLOOKUP(Food!E57,'FG MASTER'!$A$10:$AC$536,17,0)</f>
        <v>1</v>
      </c>
      <c r="M57" s="132">
        <f t="shared" si="27"/>
        <v>0.4</v>
      </c>
      <c r="N57" s="132">
        <f t="shared" si="31"/>
        <v>0.68</v>
      </c>
      <c r="O57" s="132">
        <f t="shared" si="5"/>
        <v>6.1599999999999988E-2</v>
      </c>
      <c r="P57" s="132">
        <f t="shared" si="6"/>
        <v>7.999999999999996E-2</v>
      </c>
      <c r="Q57" s="132">
        <f t="shared" si="26"/>
        <v>0.8216</v>
      </c>
      <c r="R57" s="402">
        <f t="shared" si="8"/>
        <v>0.34160000000000001</v>
      </c>
      <c r="S57" s="402">
        <f t="shared" si="9"/>
        <v>0.48</v>
      </c>
      <c r="T57" s="402">
        <f t="shared" si="10"/>
        <v>0.8216</v>
      </c>
      <c r="U57" s="127"/>
      <c r="V57" s="127"/>
      <c r="W57" t="str">
        <f>IFERROR(#REF!*J57,"")</f>
        <v/>
      </c>
      <c r="X57">
        <f t="shared" si="11"/>
        <v>0</v>
      </c>
      <c r="Y57">
        <f t="shared" si="12"/>
        <v>0</v>
      </c>
      <c r="Z57" s="127">
        <f t="shared" si="13"/>
        <v>0</v>
      </c>
      <c r="AA57" s="127">
        <f t="shared" si="14"/>
        <v>0</v>
      </c>
      <c r="AB57" s="127">
        <f t="shared" si="15"/>
        <v>0</v>
      </c>
      <c r="AC57" s="127">
        <f t="shared" si="16"/>
        <v>0</v>
      </c>
      <c r="AD57" s="127">
        <f t="shared" si="17"/>
        <v>0</v>
      </c>
      <c r="AF57" s="127" t="str">
        <f>IFERROR(W57*'FlightConfig '!$K$3,"")</f>
        <v/>
      </c>
      <c r="AG57" s="127">
        <f>IFERROR(X57*'FlightConfig '!$K$17,"")</f>
        <v>0</v>
      </c>
      <c r="AH57" s="127">
        <f>IFERROR(Y57*'FlightConfig '!$K$17,"")</f>
        <v>0</v>
      </c>
      <c r="AI57" s="127">
        <f>IFERROR(Z57*'FlightConfig '!$K$17,"")</f>
        <v>0</v>
      </c>
      <c r="AJ57" s="127">
        <f>IFERROR(AA57*'FlightConfig '!$K$17,"")</f>
        <v>0</v>
      </c>
      <c r="AK57" s="127">
        <f>IFERROR(AB57*'FlightConfig '!$K$17,"")</f>
        <v>0</v>
      </c>
    </row>
    <row r="58" spans="1:37" ht="18" hidden="1" customHeight="1">
      <c r="A58" t="s">
        <v>189</v>
      </c>
      <c r="B58" s="171">
        <v>1</v>
      </c>
      <c r="C58" s="176" t="str">
        <f t="shared" si="30"/>
        <v>CABIN CREW CLASS1</v>
      </c>
      <c r="D58" s="311"/>
      <c r="E58" s="304">
        <v>1054</v>
      </c>
      <c r="F58" s="310"/>
      <c r="G58" t="str">
        <f>VLOOKUP(E58,'FG MASTER'!$A$10:$AB$218,2,0)</f>
        <v>CREW C1 DINNER CHEESE &amp; CRACKER, CELERY STICK, CARROT, HUMMUS</v>
      </c>
      <c r="H58" s="285">
        <v>1</v>
      </c>
      <c r="I58" s="173">
        <v>1</v>
      </c>
      <c r="J58" s="291">
        <f>IFERROR(IF(I58="std",H58,HLOOKUP(A58,'FlightConfig '!$B$28:$G$29,2,0)*I58),"")</f>
        <v>6</v>
      </c>
      <c r="K58" s="244">
        <f>VLOOKUP(Food!E58,'FG MASTER'!$A$1:$AC$536,16,0)</f>
        <v>1.23</v>
      </c>
      <c r="L58" s="245">
        <f>VLOOKUP(Food!E58,'FG MASTER'!$A$10:$AC$536,17,0)</f>
        <v>1.5</v>
      </c>
      <c r="M58" s="132">
        <f t="shared" si="27"/>
        <v>0.60000000000000009</v>
      </c>
      <c r="N58" s="132">
        <f t="shared" si="31"/>
        <v>1.83</v>
      </c>
      <c r="O58" s="132">
        <f t="shared" si="5"/>
        <v>0.27059999999999995</v>
      </c>
      <c r="P58" s="132">
        <f t="shared" si="6"/>
        <v>0.12</v>
      </c>
      <c r="Q58" s="132">
        <f t="shared" si="26"/>
        <v>2.2206000000000001</v>
      </c>
      <c r="R58" s="402">
        <f t="shared" si="8"/>
        <v>1.5005999999999999</v>
      </c>
      <c r="S58" s="402">
        <f t="shared" si="9"/>
        <v>0.72000000000000008</v>
      </c>
      <c r="T58" s="402">
        <f t="shared" si="10"/>
        <v>2.2206000000000001</v>
      </c>
      <c r="U58" s="127"/>
      <c r="V58" s="127"/>
      <c r="W58" t="str">
        <f>IFERROR(#REF!*J58,"")</f>
        <v/>
      </c>
      <c r="X58">
        <f t="shared" si="11"/>
        <v>7.38</v>
      </c>
      <c r="Y58">
        <f t="shared" si="12"/>
        <v>9</v>
      </c>
      <c r="Z58" s="127">
        <f t="shared" si="13"/>
        <v>3.6000000000000005</v>
      </c>
      <c r="AA58" s="127">
        <f t="shared" si="14"/>
        <v>10.98</v>
      </c>
      <c r="AB58" s="127">
        <f t="shared" si="15"/>
        <v>1.6235999999999997</v>
      </c>
      <c r="AC58" s="127">
        <f t="shared" si="16"/>
        <v>0.72</v>
      </c>
      <c r="AD58" s="127">
        <f t="shared" si="17"/>
        <v>13.323600000000001</v>
      </c>
      <c r="AF58" s="127" t="str">
        <f>IFERROR(W58*'FlightConfig '!$K$3,"")</f>
        <v/>
      </c>
      <c r="AG58" s="127">
        <f>IFERROR(X58*'FlightConfig '!$K$17,"")</f>
        <v>2686.32</v>
      </c>
      <c r="AH58" s="127">
        <f>IFERROR(Y58*'FlightConfig '!$K$17,"")</f>
        <v>3276</v>
      </c>
      <c r="AI58" s="127">
        <f>IFERROR(Z58*'FlightConfig '!$K$17,"")</f>
        <v>1310.4000000000001</v>
      </c>
      <c r="AJ58" s="127">
        <f>IFERROR(AA58*'FlightConfig '!$K$17,"")</f>
        <v>3996.7200000000003</v>
      </c>
      <c r="AK58" s="127">
        <f>IFERROR(AB58*'FlightConfig '!$K$17,"")</f>
        <v>590.99039999999991</v>
      </c>
    </row>
    <row r="59" spans="1:37" ht="18" hidden="1" customHeight="1">
      <c r="A59" t="s">
        <v>189</v>
      </c>
      <c r="B59" s="171">
        <v>1</v>
      </c>
      <c r="C59" s="176" t="str">
        <f t="shared" si="30"/>
        <v>CABIN CREW CLASS1</v>
      </c>
      <c r="D59" s="311"/>
      <c r="E59" s="304">
        <v>1055</v>
      </c>
      <c r="F59" s="310"/>
      <c r="G59" t="str">
        <f>VLOOKUP(E59,'FG MASTER'!$A$10:$AB$218,2,0)</f>
        <v>CREW C1 DINNER HARD BOILED EGG WITH TURKEY CUBES AND CHEDDAR</v>
      </c>
      <c r="H59" s="285">
        <v>1</v>
      </c>
      <c r="I59" s="173">
        <v>1</v>
      </c>
      <c r="J59" s="291">
        <f>IFERROR(IF(I59="std",H59,HLOOKUP(A59,'FlightConfig '!$B$28:$G$29,2,0)*I59),"")</f>
        <v>6</v>
      </c>
      <c r="K59" s="244">
        <f>VLOOKUP(Food!E59,'FG MASTER'!$A$1:$AC$536,16,0)</f>
        <v>2.08</v>
      </c>
      <c r="L59" s="245">
        <f>VLOOKUP(Food!E59,'FG MASTER'!$A$10:$AC$536,17,0)</f>
        <v>1</v>
      </c>
      <c r="M59" s="132">
        <f t="shared" si="27"/>
        <v>0.4</v>
      </c>
      <c r="N59" s="132">
        <f t="shared" si="31"/>
        <v>2.48</v>
      </c>
      <c r="O59" s="132">
        <f t="shared" si="5"/>
        <v>0.45759999999999978</v>
      </c>
      <c r="P59" s="132">
        <f t="shared" si="6"/>
        <v>7.999999999999996E-2</v>
      </c>
      <c r="Q59" s="132">
        <f t="shared" si="26"/>
        <v>3.0175999999999998</v>
      </c>
      <c r="R59" s="402">
        <f t="shared" si="8"/>
        <v>2.5375999999999999</v>
      </c>
      <c r="S59" s="402">
        <f t="shared" si="9"/>
        <v>0.48</v>
      </c>
      <c r="T59" s="402">
        <f t="shared" si="10"/>
        <v>3.0175999999999998</v>
      </c>
      <c r="U59" s="127"/>
      <c r="V59" s="127"/>
      <c r="W59" t="str">
        <f>IFERROR(#REF!*J59,"")</f>
        <v/>
      </c>
      <c r="X59">
        <f t="shared" si="11"/>
        <v>12.48</v>
      </c>
      <c r="Y59">
        <f t="shared" si="12"/>
        <v>6</v>
      </c>
      <c r="Z59" s="127">
        <f t="shared" si="13"/>
        <v>2.4000000000000004</v>
      </c>
      <c r="AA59" s="127">
        <f t="shared" si="14"/>
        <v>14.879999999999999</v>
      </c>
      <c r="AB59" s="127">
        <f t="shared" si="15"/>
        <v>2.7455999999999987</v>
      </c>
      <c r="AC59" s="127">
        <f t="shared" si="16"/>
        <v>0.47999999999999976</v>
      </c>
      <c r="AD59" s="127">
        <f t="shared" si="17"/>
        <v>18.105599999999999</v>
      </c>
      <c r="AF59" s="127" t="str">
        <f>IFERROR(W59*'FlightConfig '!$K$3,"")</f>
        <v/>
      </c>
      <c r="AG59" s="127">
        <f>IFERROR(X59*'FlightConfig '!$K$17,"")</f>
        <v>4542.72</v>
      </c>
      <c r="AH59" s="127">
        <f>IFERROR(Y59*'FlightConfig '!$K$17,"")</f>
        <v>2184</v>
      </c>
      <c r="AI59" s="127">
        <f>IFERROR(Z59*'FlightConfig '!$K$17,"")</f>
        <v>873.60000000000014</v>
      </c>
      <c r="AJ59" s="127">
        <f>IFERROR(AA59*'FlightConfig '!$K$17,"")</f>
        <v>5416.32</v>
      </c>
      <c r="AK59" s="127">
        <f>IFERROR(AB59*'FlightConfig '!$K$17,"")</f>
        <v>999.39839999999958</v>
      </c>
    </row>
    <row r="60" spans="1:37" ht="18" hidden="1" customHeight="1">
      <c r="A60" t="s">
        <v>189</v>
      </c>
      <c r="B60" s="171">
        <v>1</v>
      </c>
      <c r="C60" s="176" t="str">
        <f t="shared" si="30"/>
        <v>CABIN CREW CLASS1</v>
      </c>
      <c r="D60" s="311"/>
      <c r="E60" s="304">
        <v>1056</v>
      </c>
      <c r="F60" s="310"/>
      <c r="G60" t="str">
        <f>VLOOKUP(E60,'FG MASTER'!$A$10:$AB$218,2,0)</f>
        <v>CREW C1 DINNER WHOLE FRUIT BANANA, APPLES AND ORANGE</v>
      </c>
      <c r="H60" s="285">
        <v>1</v>
      </c>
      <c r="I60" s="173">
        <v>1</v>
      </c>
      <c r="J60" s="291">
        <f>IFERROR(IF(I60="std",H60,HLOOKUP(A60,'FlightConfig '!$B$28:$G$29,2,0)*I60),"")</f>
        <v>6</v>
      </c>
      <c r="K60" s="244">
        <f>VLOOKUP(Food!E60,'FG MASTER'!$A$1:$AC$536,16,0)</f>
        <v>1.32</v>
      </c>
      <c r="L60" s="245">
        <f>VLOOKUP(Food!E60,'FG MASTER'!$A$10:$AC$536,17,0)</f>
        <v>1</v>
      </c>
      <c r="M60" s="132">
        <f>IFERROR(L60*$M$2,"")</f>
        <v>0.4</v>
      </c>
      <c r="N60" s="132">
        <f t="shared" si="31"/>
        <v>1.7200000000000002</v>
      </c>
      <c r="O60" s="132">
        <f t="shared" si="5"/>
        <v>0.29039999999999999</v>
      </c>
      <c r="P60" s="132">
        <f t="shared" si="6"/>
        <v>7.999999999999996E-2</v>
      </c>
      <c r="Q60" s="132">
        <f t="shared" si="26"/>
        <v>2.0904000000000003</v>
      </c>
      <c r="R60" s="402">
        <f t="shared" si="8"/>
        <v>1.6104000000000001</v>
      </c>
      <c r="S60" s="402">
        <f t="shared" si="9"/>
        <v>0.48</v>
      </c>
      <c r="T60" s="402">
        <f t="shared" si="10"/>
        <v>2.0903999999999998</v>
      </c>
      <c r="U60" s="127"/>
      <c r="V60" s="127"/>
      <c r="W60" t="str">
        <f>IFERROR(#REF!*J60,"")</f>
        <v/>
      </c>
      <c r="X60">
        <f t="shared" si="11"/>
        <v>7.92</v>
      </c>
      <c r="Y60">
        <f t="shared" si="12"/>
        <v>6</v>
      </c>
      <c r="Z60" s="127">
        <f t="shared" si="13"/>
        <v>2.4000000000000004</v>
      </c>
      <c r="AA60" s="127">
        <f t="shared" si="14"/>
        <v>10.32</v>
      </c>
      <c r="AB60" s="127">
        <f t="shared" si="15"/>
        <v>1.7423999999999999</v>
      </c>
      <c r="AC60" s="127">
        <f t="shared" si="16"/>
        <v>0.47999999999999976</v>
      </c>
      <c r="AD60" s="127">
        <f t="shared" si="17"/>
        <v>12.542400000000001</v>
      </c>
      <c r="AF60" s="127" t="str">
        <f>IFERROR(W60*'FlightConfig '!$K$3,"")</f>
        <v/>
      </c>
      <c r="AG60" s="127">
        <f>IFERROR(X60*'FlightConfig '!$K$17,"")</f>
        <v>2882.88</v>
      </c>
      <c r="AH60" s="127">
        <f>IFERROR(Y60*'FlightConfig '!$K$17,"")</f>
        <v>2184</v>
      </c>
      <c r="AI60" s="127">
        <f>IFERROR(Z60*'FlightConfig '!$K$17,"")</f>
        <v>873.60000000000014</v>
      </c>
      <c r="AJ60" s="127">
        <f>IFERROR(AA60*'FlightConfig '!$K$17,"")</f>
        <v>3756.48</v>
      </c>
      <c r="AK60" s="127">
        <f>IFERROR(AB60*'FlightConfig '!$K$17,"")</f>
        <v>634.23360000000002</v>
      </c>
    </row>
    <row r="61" spans="1:37" ht="18" hidden="1" customHeight="1">
      <c r="A61" t="s">
        <v>189</v>
      </c>
      <c r="B61" s="171">
        <v>1</v>
      </c>
      <c r="C61" s="176" t="str">
        <f t="shared" si="30"/>
        <v>CABIN CREW CLASS1</v>
      </c>
      <c r="D61" s="293"/>
      <c r="E61" s="305">
        <v>1057</v>
      </c>
      <c r="F61" s="310"/>
      <c r="G61" t="str">
        <f>VLOOKUP(E61,'FG MASTER'!$A$10:$AB$218,2,0)</f>
        <v xml:space="preserve">CREW C1 DINNER ENTRÉE 1 VEGAN COCONUT CURRY WITH BASMATI RICE </v>
      </c>
      <c r="H61" s="285">
        <v>1</v>
      </c>
      <c r="I61" s="173">
        <v>1</v>
      </c>
      <c r="J61" s="291">
        <f>IFERROR(IF(I61="std",H61,HLOOKUP(A61,'FlightConfig '!$B$28:$G$29,2,0)*I61),"")</f>
        <v>6</v>
      </c>
      <c r="K61" s="244">
        <f>VLOOKUP(Food!E61,'FG MASTER'!$A$1:$AC$536,16,0)</f>
        <v>2.16</v>
      </c>
      <c r="L61" s="245">
        <f>VLOOKUP(Food!E61,'FG MASTER'!$A$10:$AC$536,17,0)</f>
        <v>3.5</v>
      </c>
      <c r="M61" s="132">
        <f t="shared" ref="M61:M69" si="32">IFERROR(L61*$M$2,"")</f>
        <v>1.4000000000000001</v>
      </c>
      <c r="N61" s="132">
        <f t="shared" si="31"/>
        <v>3.5600000000000005</v>
      </c>
      <c r="O61" s="132">
        <f t="shared" si="5"/>
        <v>0.47520000000000007</v>
      </c>
      <c r="P61" s="132">
        <f t="shared" si="6"/>
        <v>0.28000000000000003</v>
      </c>
      <c r="Q61" s="132">
        <f t="shared" si="26"/>
        <v>4.3152000000000008</v>
      </c>
      <c r="R61" s="402">
        <f t="shared" si="8"/>
        <v>2.6352000000000002</v>
      </c>
      <c r="S61" s="402">
        <f t="shared" si="9"/>
        <v>1.6800000000000002</v>
      </c>
      <c r="T61" s="402">
        <f t="shared" si="10"/>
        <v>4.3152000000000008</v>
      </c>
      <c r="U61" s="127"/>
      <c r="V61" s="127"/>
      <c r="W61" t="str">
        <f>IFERROR(#REF!*J61,"")</f>
        <v/>
      </c>
      <c r="X61">
        <f t="shared" si="11"/>
        <v>12.96</v>
      </c>
      <c r="Y61">
        <f t="shared" si="12"/>
        <v>21</v>
      </c>
      <c r="Z61" s="127">
        <f t="shared" si="13"/>
        <v>8.4</v>
      </c>
      <c r="AA61" s="127">
        <f t="shared" si="14"/>
        <v>21.360000000000003</v>
      </c>
      <c r="AB61" s="127">
        <f t="shared" si="15"/>
        <v>2.8512000000000004</v>
      </c>
      <c r="AC61" s="127">
        <f t="shared" si="16"/>
        <v>1.6800000000000002</v>
      </c>
      <c r="AD61" s="127">
        <f t="shared" si="17"/>
        <v>25.891200000000005</v>
      </c>
      <c r="AF61" s="127" t="str">
        <f>IFERROR(W61*'FlightConfig '!$K$3,"")</f>
        <v/>
      </c>
      <c r="AG61" s="127">
        <f>IFERROR(X61*'FlightConfig '!$K$17,"")</f>
        <v>4717.4400000000005</v>
      </c>
      <c r="AH61" s="127">
        <f>IFERROR(Y61*'FlightConfig '!$K$17,"")</f>
        <v>7644</v>
      </c>
      <c r="AI61" s="127">
        <f>IFERROR(Z61*'FlightConfig '!$K$17,"")</f>
        <v>3057.6</v>
      </c>
      <c r="AJ61" s="127">
        <f>IFERROR(AA61*'FlightConfig '!$K$17,"")</f>
        <v>7775.0400000000009</v>
      </c>
      <c r="AK61" s="127">
        <f>IFERROR(AB61*'FlightConfig '!$K$17,"")</f>
        <v>1037.8368</v>
      </c>
    </row>
    <row r="62" spans="1:37" ht="18" hidden="1" customHeight="1">
      <c r="A62" t="s">
        <v>189</v>
      </c>
      <c r="B62" s="171">
        <v>1</v>
      </c>
      <c r="C62" s="176" t="str">
        <f t="shared" si="30"/>
        <v>CABIN CREW CLASS1</v>
      </c>
      <c r="D62" s="293"/>
      <c r="E62" s="305">
        <v>1058</v>
      </c>
      <c r="F62" s="310"/>
      <c r="G62" t="str">
        <f>VLOOKUP(E62,'FG MASTER'!$A$10:$AB$218,2,0)</f>
        <v>CREW C1 DINNER ENTRÉE 2 LEMON CONFIT CHICKEN LEG WITH FINGERING POTATOES, HARICOT VERT, CHICKEN JUS AND LEMON AGRUMATO</v>
      </c>
      <c r="H62" s="285">
        <v>1</v>
      </c>
      <c r="I62" s="173">
        <v>1</v>
      </c>
      <c r="J62" s="291">
        <f>IFERROR(IF(I62="std",H62,HLOOKUP(A62,'FlightConfig '!$B$28:$G$29,2,0)*I62),"")</f>
        <v>6</v>
      </c>
      <c r="K62" s="244">
        <f>VLOOKUP(Food!E62,'FG MASTER'!$A$1:$AC$536,16,0)</f>
        <v>4.28</v>
      </c>
      <c r="L62" s="245">
        <f>VLOOKUP(Food!E62,'FG MASTER'!$A$10:$AC$536,17,0)</f>
        <v>4.25</v>
      </c>
      <c r="M62" s="132">
        <f t="shared" si="32"/>
        <v>1.7000000000000002</v>
      </c>
      <c r="N62" s="132">
        <f t="shared" si="31"/>
        <v>5.98</v>
      </c>
      <c r="O62" s="132">
        <f t="shared" si="5"/>
        <v>0.94160000000000021</v>
      </c>
      <c r="P62" s="132">
        <f t="shared" si="6"/>
        <v>0.33999999999999986</v>
      </c>
      <c r="Q62" s="132">
        <f t="shared" si="26"/>
        <v>7.2616000000000005</v>
      </c>
      <c r="R62" s="402">
        <f t="shared" si="8"/>
        <v>5.2216000000000005</v>
      </c>
      <c r="S62" s="402">
        <f t="shared" si="9"/>
        <v>2.04</v>
      </c>
      <c r="T62" s="402">
        <f t="shared" si="10"/>
        <v>7.2616000000000005</v>
      </c>
      <c r="U62" s="127"/>
      <c r="V62" s="127"/>
      <c r="W62" t="str">
        <f>IFERROR(#REF!*J62,"")</f>
        <v/>
      </c>
      <c r="X62">
        <f t="shared" si="11"/>
        <v>25.68</v>
      </c>
      <c r="Y62">
        <f t="shared" si="12"/>
        <v>25.5</v>
      </c>
      <c r="Z62" s="127">
        <f t="shared" si="13"/>
        <v>10.200000000000001</v>
      </c>
      <c r="AA62" s="127">
        <f t="shared" si="14"/>
        <v>35.880000000000003</v>
      </c>
      <c r="AB62" s="127">
        <f t="shared" si="15"/>
        <v>5.6496000000000013</v>
      </c>
      <c r="AC62" s="127">
        <f t="shared" si="16"/>
        <v>2.0399999999999991</v>
      </c>
      <c r="AD62" s="127">
        <f t="shared" si="17"/>
        <v>43.569600000000001</v>
      </c>
      <c r="AF62" s="127" t="str">
        <f>IFERROR(W62*'FlightConfig '!$K$3,"")</f>
        <v/>
      </c>
      <c r="AG62" s="127">
        <f>IFERROR(X62*'FlightConfig '!$K$17,"")</f>
        <v>9347.52</v>
      </c>
      <c r="AH62" s="127">
        <f>IFERROR(Y62*'FlightConfig '!$K$17,"")</f>
        <v>9282</v>
      </c>
      <c r="AI62" s="127">
        <f>IFERROR(Z62*'FlightConfig '!$K$17,"")</f>
        <v>3712.8</v>
      </c>
      <c r="AJ62" s="127">
        <f>IFERROR(AA62*'FlightConfig '!$K$17,"")</f>
        <v>13060.320000000002</v>
      </c>
      <c r="AK62" s="127">
        <f>IFERROR(AB62*'FlightConfig '!$K$17,"")</f>
        <v>2056.4544000000005</v>
      </c>
    </row>
    <row r="63" spans="1:37" ht="18" hidden="1" customHeight="1">
      <c r="A63" t="s">
        <v>189</v>
      </c>
      <c r="B63" s="171">
        <v>1</v>
      </c>
      <c r="C63" s="176" t="str">
        <f t="shared" si="30"/>
        <v>CABIN CREW CLASS1</v>
      </c>
      <c r="D63" s="293"/>
      <c r="E63" s="303">
        <v>1059</v>
      </c>
      <c r="F63" s="310"/>
      <c r="G63" t="str">
        <f>VLOOKUP(E63,'FG MASTER'!$A$10:$AB$218,2,0)</f>
        <v>CREW C1 DINNER ENTRÉE 3 TRUFFLE PARMESAN RISOTTO WITH ZUCCHINI, WILD MUSHROOM CONSERVA, ASPARAGUS, BABAY ARTICHOKE</v>
      </c>
      <c r="H63" s="285">
        <v>1</v>
      </c>
      <c r="I63" s="173">
        <v>1</v>
      </c>
      <c r="J63" s="291">
        <f>IFERROR(IF(I63="std",H63,HLOOKUP(A63,'FlightConfig '!$B$28:$G$29,2,0)*I63),"")</f>
        <v>6</v>
      </c>
      <c r="K63" s="244">
        <f>VLOOKUP(Food!E63,'FG MASTER'!$A$1:$AC$536,16,0)</f>
        <v>3.41</v>
      </c>
      <c r="L63" s="245">
        <f>VLOOKUP(Food!E63,'FG MASTER'!$A$10:$AC$536,17,0)</f>
        <v>4.25</v>
      </c>
      <c r="M63" s="132">
        <f t="shared" si="32"/>
        <v>1.7000000000000002</v>
      </c>
      <c r="N63" s="132">
        <f t="shared" si="31"/>
        <v>5.1100000000000003</v>
      </c>
      <c r="O63" s="132">
        <f t="shared" si="5"/>
        <v>0.75019999999999953</v>
      </c>
      <c r="P63" s="132">
        <f t="shared" si="6"/>
        <v>0.33999999999999986</v>
      </c>
      <c r="Q63" s="132">
        <f t="shared" si="26"/>
        <v>6.2001999999999997</v>
      </c>
      <c r="R63" s="402">
        <f t="shared" si="8"/>
        <v>4.1601999999999997</v>
      </c>
      <c r="S63" s="402">
        <f t="shared" si="9"/>
        <v>2.04</v>
      </c>
      <c r="T63" s="402">
        <f t="shared" si="10"/>
        <v>6.2001999999999997</v>
      </c>
      <c r="U63" s="127"/>
      <c r="V63" s="127"/>
      <c r="W63" t="str">
        <f>IFERROR(#REF!*J63,"")</f>
        <v/>
      </c>
      <c r="X63">
        <f t="shared" si="11"/>
        <v>20.46</v>
      </c>
      <c r="Y63">
        <f t="shared" si="12"/>
        <v>25.5</v>
      </c>
      <c r="Z63" s="127">
        <f t="shared" si="13"/>
        <v>10.200000000000001</v>
      </c>
      <c r="AA63" s="127">
        <f t="shared" si="14"/>
        <v>30.660000000000004</v>
      </c>
      <c r="AB63" s="127">
        <f t="shared" si="15"/>
        <v>4.5011999999999972</v>
      </c>
      <c r="AC63" s="127">
        <f t="shared" si="16"/>
        <v>2.0399999999999991</v>
      </c>
      <c r="AD63" s="127">
        <f t="shared" si="17"/>
        <v>37.2012</v>
      </c>
      <c r="AF63" s="127" t="str">
        <f>IFERROR(W63*'FlightConfig '!$K$3,"")</f>
        <v/>
      </c>
      <c r="AG63" s="127">
        <f>IFERROR(X63*'FlightConfig '!$K$17,"")</f>
        <v>7447.4400000000005</v>
      </c>
      <c r="AH63" s="127">
        <f>IFERROR(Y63*'FlightConfig '!$K$17,"")</f>
        <v>9282</v>
      </c>
      <c r="AI63" s="127">
        <f>IFERROR(Z63*'FlightConfig '!$K$17,"")</f>
        <v>3712.8</v>
      </c>
      <c r="AJ63" s="127">
        <f>IFERROR(AA63*'FlightConfig '!$K$17,"")</f>
        <v>11160.240000000002</v>
      </c>
      <c r="AK63" s="127">
        <f>IFERROR(AB63*'FlightConfig '!$K$17,"")</f>
        <v>1638.436799999999</v>
      </c>
    </row>
    <row r="64" spans="1:37" ht="18" hidden="1" customHeight="1">
      <c r="A64" t="s">
        <v>189</v>
      </c>
      <c r="B64" s="171">
        <v>1</v>
      </c>
      <c r="C64" s="176" t="str">
        <f t="shared" si="30"/>
        <v>CABIN CREW CLASS1</v>
      </c>
      <c r="D64" s="293"/>
      <c r="E64" s="304">
        <v>1060</v>
      </c>
      <c r="F64" s="310"/>
      <c r="G64" t="str">
        <f>VLOOKUP(E64,'FG MASTER'!$A$10:$AB$218,2,0)</f>
        <v>CREW C1 DINNER ENTRÉE 4 BAKED RIGATONI WITH HERB WHIPPED RICCOTA</v>
      </c>
      <c r="H64" s="285">
        <v>1</v>
      </c>
      <c r="I64" s="173">
        <v>1</v>
      </c>
      <c r="J64" s="291">
        <f>IFERROR(IF(I64="std",H64,HLOOKUP(A64,'FlightConfig '!$B$28:$G$29,2,0)*I64),"")</f>
        <v>6</v>
      </c>
      <c r="K64" s="244">
        <f>VLOOKUP(Food!E64,'FG MASTER'!$A$1:$AC$536,16,0)</f>
        <v>1.51</v>
      </c>
      <c r="L64" s="245">
        <f>VLOOKUP(Food!E64,'FG MASTER'!$A$10:$AC$536,17,0)</f>
        <v>4</v>
      </c>
      <c r="M64" s="132">
        <f t="shared" si="32"/>
        <v>1.6</v>
      </c>
      <c r="N64" s="132">
        <f t="shared" si="31"/>
        <v>3.1100000000000003</v>
      </c>
      <c r="O64" s="132">
        <f t="shared" si="5"/>
        <v>0.33220000000000005</v>
      </c>
      <c r="P64" s="132">
        <f t="shared" si="6"/>
        <v>0.31999999999999984</v>
      </c>
      <c r="Q64" s="132">
        <f t="shared" si="26"/>
        <v>3.7622000000000004</v>
      </c>
      <c r="R64" s="402">
        <f t="shared" si="8"/>
        <v>1.8422000000000001</v>
      </c>
      <c r="S64" s="402">
        <f t="shared" si="9"/>
        <v>1.92</v>
      </c>
      <c r="T64" s="402">
        <f t="shared" si="10"/>
        <v>3.7622</v>
      </c>
      <c r="U64" s="127"/>
      <c r="V64" s="127"/>
      <c r="W64" t="str">
        <f>IFERROR(#REF!*J64,"")</f>
        <v/>
      </c>
      <c r="X64">
        <f t="shared" si="11"/>
        <v>9.06</v>
      </c>
      <c r="Y64">
        <f t="shared" si="12"/>
        <v>24</v>
      </c>
      <c r="Z64" s="127">
        <f t="shared" si="13"/>
        <v>9.6000000000000014</v>
      </c>
      <c r="AA64" s="127">
        <f t="shared" si="14"/>
        <v>18.660000000000004</v>
      </c>
      <c r="AB64" s="127">
        <f t="shared" si="15"/>
        <v>1.9932000000000003</v>
      </c>
      <c r="AC64" s="127">
        <f t="shared" si="16"/>
        <v>1.919999999999999</v>
      </c>
      <c r="AD64" s="127">
        <f t="shared" si="17"/>
        <v>22.573200000000003</v>
      </c>
      <c r="AF64" s="127" t="str">
        <f>IFERROR(W64*'FlightConfig '!$K$3,"")</f>
        <v/>
      </c>
      <c r="AG64" s="127">
        <f>IFERROR(X64*'FlightConfig '!$K$17,"")</f>
        <v>3297.84</v>
      </c>
      <c r="AH64" s="127">
        <f>IFERROR(Y64*'FlightConfig '!$K$17,"")</f>
        <v>8736</v>
      </c>
      <c r="AI64" s="127">
        <f>IFERROR(Z64*'FlightConfig '!$K$17,"")</f>
        <v>3494.4000000000005</v>
      </c>
      <c r="AJ64" s="127">
        <f>IFERROR(AA64*'FlightConfig '!$K$17,"")</f>
        <v>6792.2400000000016</v>
      </c>
      <c r="AK64" s="127">
        <f>IFERROR(AB64*'FlightConfig '!$K$17,"")</f>
        <v>725.52480000000014</v>
      </c>
    </row>
    <row r="65" spans="1:37" ht="18" hidden="1" customHeight="1">
      <c r="A65" t="s">
        <v>189</v>
      </c>
      <c r="B65" s="171">
        <v>1</v>
      </c>
      <c r="C65" s="176" t="str">
        <f t="shared" si="30"/>
        <v>CABIN CREW CLASS1</v>
      </c>
      <c r="D65" s="293"/>
      <c r="E65" s="304">
        <v>1061</v>
      </c>
      <c r="F65" s="310"/>
      <c r="G65" t="str">
        <f>VLOOKUP(E65,'FG MASTER'!$A$10:$AB$218,2,0)</f>
        <v xml:space="preserve">CREW C1 DINNER ENTRÉE 5 </v>
      </c>
      <c r="H65" s="285">
        <v>1</v>
      </c>
      <c r="I65" s="173">
        <v>1</v>
      </c>
      <c r="J65" s="291">
        <f>IFERROR(IF(I65="std",H65,HLOOKUP(A65,'FlightConfig '!$B$28:$G$29,2,0)*I65),"")</f>
        <v>6</v>
      </c>
      <c r="K65" s="244">
        <f>VLOOKUP(Food!E65,'FG MASTER'!$A$1:$AC$536,16,0)</f>
        <v>0</v>
      </c>
      <c r="L65" s="245">
        <f>VLOOKUP(Food!E65,'FG MASTER'!$A$10:$AC$536,17,0)</f>
        <v>0</v>
      </c>
      <c r="M65" s="132">
        <f t="shared" si="32"/>
        <v>0</v>
      </c>
      <c r="N65" s="132">
        <f t="shared" si="31"/>
        <v>0</v>
      </c>
      <c r="O65" s="132">
        <f t="shared" si="5"/>
        <v>0</v>
      </c>
      <c r="P65" s="132">
        <f t="shared" si="6"/>
        <v>0</v>
      </c>
      <c r="Q65" s="132">
        <f t="shared" si="26"/>
        <v>0</v>
      </c>
      <c r="R65" s="402">
        <f t="shared" si="8"/>
        <v>0</v>
      </c>
      <c r="S65" s="402">
        <f t="shared" si="9"/>
        <v>0</v>
      </c>
      <c r="T65" s="402">
        <f t="shared" si="10"/>
        <v>0</v>
      </c>
      <c r="U65" s="127"/>
      <c r="V65" s="127"/>
      <c r="W65" t="str">
        <f>IFERROR(#REF!*J65,"")</f>
        <v/>
      </c>
      <c r="X65">
        <f t="shared" si="11"/>
        <v>0</v>
      </c>
      <c r="Y65">
        <f t="shared" si="12"/>
        <v>0</v>
      </c>
      <c r="Z65" s="127">
        <f t="shared" si="13"/>
        <v>0</v>
      </c>
      <c r="AA65" s="127">
        <f t="shared" si="14"/>
        <v>0</v>
      </c>
      <c r="AB65" s="127">
        <f t="shared" si="15"/>
        <v>0</v>
      </c>
      <c r="AC65" s="127">
        <f t="shared" si="16"/>
        <v>0</v>
      </c>
      <c r="AD65" s="127">
        <f t="shared" si="17"/>
        <v>0</v>
      </c>
      <c r="AF65" s="127" t="str">
        <f>IFERROR(W65*'FlightConfig '!$K$3,"")</f>
        <v/>
      </c>
      <c r="AG65" s="127">
        <f>IFERROR(X65*'FlightConfig '!$K$17,"")</f>
        <v>0</v>
      </c>
      <c r="AH65" s="127">
        <f>IFERROR(Y65*'FlightConfig '!$K$17,"")</f>
        <v>0</v>
      </c>
      <c r="AI65" s="127">
        <f>IFERROR(Z65*'FlightConfig '!$K$17,"")</f>
        <v>0</v>
      </c>
      <c r="AJ65" s="127">
        <f>IFERROR(AA65*'FlightConfig '!$K$17,"")</f>
        <v>0</v>
      </c>
      <c r="AK65" s="127">
        <f>IFERROR(AB65*'FlightConfig '!$K$17,"")</f>
        <v>0</v>
      </c>
    </row>
    <row r="66" spans="1:37" ht="18" hidden="1" customHeight="1">
      <c r="A66" t="s">
        <v>189</v>
      </c>
      <c r="B66" s="171">
        <v>1</v>
      </c>
      <c r="C66" s="176" t="str">
        <f t="shared" si="30"/>
        <v>CABIN CREW CLASS1</v>
      </c>
      <c r="D66" s="293"/>
      <c r="E66" s="304">
        <v>1062</v>
      </c>
      <c r="F66" s="310"/>
      <c r="G66" t="str">
        <f>VLOOKUP(E66,'FG MASTER'!$A$10:$AB$218,2,0)</f>
        <v>CREW C1 SANDWICH 1 CAPRESE SANDWICH</v>
      </c>
      <c r="H66" s="285">
        <v>1</v>
      </c>
      <c r="I66" s="173">
        <v>1</v>
      </c>
      <c r="J66" s="291">
        <f>IFERROR(IF(I66="std",H66,HLOOKUP(A66,'FlightConfig '!$B$28:$G$29,2,0)*I66),"")</f>
        <v>6</v>
      </c>
      <c r="K66" s="244">
        <f>VLOOKUP(Food!E66,'FG MASTER'!$A$1:$AC$536,16,0)</f>
        <v>1.63</v>
      </c>
      <c r="L66" s="245">
        <f>VLOOKUP(Food!E66,'FG MASTER'!$A$10:$AC$536,17,0)</f>
        <v>1.5</v>
      </c>
      <c r="M66" s="132">
        <f t="shared" si="32"/>
        <v>0.60000000000000009</v>
      </c>
      <c r="N66" s="132">
        <f>IFERROR((K66)+M66,"")</f>
        <v>2.23</v>
      </c>
      <c r="O66" s="132">
        <f t="shared" si="5"/>
        <v>0.35860000000000003</v>
      </c>
      <c r="P66" s="132">
        <f t="shared" si="6"/>
        <v>0.12</v>
      </c>
      <c r="Q66" s="132">
        <f t="shared" si="26"/>
        <v>2.7086000000000001</v>
      </c>
      <c r="R66" s="402">
        <f t="shared" si="8"/>
        <v>1.9885999999999999</v>
      </c>
      <c r="S66" s="402">
        <f t="shared" si="9"/>
        <v>0.72000000000000008</v>
      </c>
      <c r="T66" s="402">
        <f t="shared" si="10"/>
        <v>2.7086000000000001</v>
      </c>
      <c r="U66" s="127"/>
      <c r="V66" s="127"/>
      <c r="W66" t="str">
        <f>IFERROR(#REF!*J66,"")</f>
        <v/>
      </c>
      <c r="X66">
        <f t="shared" si="11"/>
        <v>9.7799999999999994</v>
      </c>
      <c r="Y66">
        <f t="shared" si="12"/>
        <v>9</v>
      </c>
      <c r="Z66" s="127">
        <f t="shared" si="13"/>
        <v>3.6000000000000005</v>
      </c>
      <c r="AA66" s="127">
        <f t="shared" si="14"/>
        <v>13.379999999999999</v>
      </c>
      <c r="AB66" s="127">
        <f t="shared" si="15"/>
        <v>2.1516000000000002</v>
      </c>
      <c r="AC66" s="127">
        <f t="shared" si="16"/>
        <v>0.72</v>
      </c>
      <c r="AD66" s="127">
        <f t="shared" si="17"/>
        <v>16.2516</v>
      </c>
      <c r="AF66" s="127" t="str">
        <f>IFERROR(W66*'FlightConfig '!$K$3,"")</f>
        <v/>
      </c>
      <c r="AG66" s="127">
        <f>IFERROR(X66*'FlightConfig '!$K$17,"")</f>
        <v>3559.9199999999996</v>
      </c>
      <c r="AH66" s="127">
        <f>IFERROR(Y66*'FlightConfig '!$K$17,"")</f>
        <v>3276</v>
      </c>
      <c r="AI66" s="127">
        <f>IFERROR(Z66*'FlightConfig '!$K$17,"")</f>
        <v>1310.4000000000001</v>
      </c>
      <c r="AJ66" s="127">
        <f>IFERROR(AA66*'FlightConfig '!$K$17,"")</f>
        <v>4870.32</v>
      </c>
      <c r="AK66" s="127">
        <f>IFERROR(AB66*'FlightConfig '!$K$17,"")</f>
        <v>783.18240000000003</v>
      </c>
    </row>
    <row r="67" spans="1:37" ht="18" hidden="1" customHeight="1">
      <c r="A67" t="s">
        <v>189</v>
      </c>
      <c r="B67" s="171">
        <v>1</v>
      </c>
      <c r="C67" s="176" t="str">
        <f t="shared" si="30"/>
        <v>CABIN CREW CLASS1</v>
      </c>
      <c r="D67" s="293"/>
      <c r="E67" s="304">
        <v>1063</v>
      </c>
      <c r="F67" s="310"/>
      <c r="G67" t="str">
        <f>VLOOKUP(E67,'FG MASTER'!$A$10:$AB$218,2,0)</f>
        <v>CREW C1 SANDWICH 2 TURKEY AND CHEESE</v>
      </c>
      <c r="H67" s="285">
        <v>1</v>
      </c>
      <c r="I67" s="173">
        <v>1</v>
      </c>
      <c r="J67" s="291">
        <f>IFERROR(IF(I67="std",H67,HLOOKUP(A67,'FlightConfig '!$B$28:$G$29,2,0)*I67),"")</f>
        <v>6</v>
      </c>
      <c r="K67" s="244">
        <f>VLOOKUP(Food!E67,'FG MASTER'!$A$1:$AC$536,16,0)</f>
        <v>1.63</v>
      </c>
      <c r="L67" s="245">
        <f>VLOOKUP(Food!E67,'FG MASTER'!$A$10:$AC$536,17,0)</f>
        <v>1.5</v>
      </c>
      <c r="M67" s="132">
        <f t="shared" si="32"/>
        <v>0.60000000000000009</v>
      </c>
      <c r="N67" s="132">
        <f t="shared" ref="N67:N69" si="33">IFERROR((K67)+M67,"")</f>
        <v>2.23</v>
      </c>
      <c r="O67" s="132">
        <f t="shared" si="5"/>
        <v>0.35860000000000003</v>
      </c>
      <c r="P67" s="132">
        <f t="shared" si="6"/>
        <v>0.12</v>
      </c>
      <c r="Q67" s="132">
        <f t="shared" si="26"/>
        <v>2.7086000000000001</v>
      </c>
      <c r="R67" s="402">
        <f t="shared" si="8"/>
        <v>1.9885999999999999</v>
      </c>
      <c r="S67" s="402">
        <f t="shared" si="9"/>
        <v>0.72000000000000008</v>
      </c>
      <c r="T67" s="402">
        <f t="shared" si="10"/>
        <v>2.7086000000000001</v>
      </c>
      <c r="U67" s="127"/>
      <c r="V67" s="127"/>
      <c r="W67" t="str">
        <f>IFERROR(#REF!*J67,"")</f>
        <v/>
      </c>
      <c r="X67">
        <f t="shared" si="11"/>
        <v>9.7799999999999994</v>
      </c>
      <c r="Y67">
        <f t="shared" si="12"/>
        <v>9</v>
      </c>
      <c r="Z67" s="127">
        <f t="shared" si="13"/>
        <v>3.6000000000000005</v>
      </c>
      <c r="AA67" s="127">
        <f t="shared" si="14"/>
        <v>13.379999999999999</v>
      </c>
      <c r="AB67" s="127">
        <f t="shared" si="15"/>
        <v>2.1516000000000002</v>
      </c>
      <c r="AC67" s="127">
        <f t="shared" si="16"/>
        <v>0.72</v>
      </c>
      <c r="AD67" s="127">
        <f t="shared" si="17"/>
        <v>16.2516</v>
      </c>
      <c r="AF67" s="127" t="str">
        <f>IFERROR(W67*'FlightConfig '!$K$3,"")</f>
        <v/>
      </c>
      <c r="AG67" s="127">
        <f>IFERROR(X67*'FlightConfig '!$K$17,"")</f>
        <v>3559.9199999999996</v>
      </c>
      <c r="AH67" s="127">
        <f>IFERROR(Y67*'FlightConfig '!$K$17,"")</f>
        <v>3276</v>
      </c>
      <c r="AI67" s="127">
        <f>IFERROR(Z67*'FlightConfig '!$K$17,"")</f>
        <v>1310.4000000000001</v>
      </c>
      <c r="AJ67" s="127">
        <f>IFERROR(AA67*'FlightConfig '!$K$17,"")</f>
        <v>4870.32</v>
      </c>
      <c r="AK67" s="127">
        <f>IFERROR(AB67*'FlightConfig '!$K$17,"")</f>
        <v>783.18240000000003</v>
      </c>
    </row>
    <row r="68" spans="1:37" ht="18" hidden="1" customHeight="1">
      <c r="A68" t="s">
        <v>189</v>
      </c>
      <c r="B68" s="171">
        <v>1</v>
      </c>
      <c r="C68" s="176" t="str">
        <f t="shared" si="30"/>
        <v>CABIN CREW CLASS1</v>
      </c>
      <c r="D68" s="293"/>
      <c r="E68" s="304">
        <v>1064</v>
      </c>
      <c r="F68" s="310"/>
      <c r="G68" t="str">
        <f>VLOOKUP(E68,'FG MASTER'!$A$10:$AB$218,2,0)</f>
        <v xml:space="preserve">CREW C1 SANDWICH 3 PHILLY CHEESE STEAK SANDWICH </v>
      </c>
      <c r="H68" s="285">
        <v>1</v>
      </c>
      <c r="I68" s="173">
        <v>1</v>
      </c>
      <c r="J68" s="291">
        <f>IFERROR(IF(I68="std",H68,HLOOKUP(A68,'FlightConfig '!$B$28:$G$29,2,0)*I68),"")</f>
        <v>6</v>
      </c>
      <c r="K68" s="244">
        <f>VLOOKUP(Food!E68,'FG MASTER'!$A$1:$AC$536,16,0)</f>
        <v>2.2999999999999998</v>
      </c>
      <c r="L68" s="245">
        <f>VLOOKUP(Food!E68,'FG MASTER'!$A$10:$AC$536,17,0)</f>
        <v>1.5</v>
      </c>
      <c r="M68" s="132">
        <f t="shared" si="32"/>
        <v>0.60000000000000009</v>
      </c>
      <c r="N68" s="132">
        <f t="shared" si="33"/>
        <v>2.9</v>
      </c>
      <c r="O68" s="132">
        <f t="shared" si="5"/>
        <v>0.50599999999999978</v>
      </c>
      <c r="P68" s="132">
        <f t="shared" si="6"/>
        <v>0.12</v>
      </c>
      <c r="Q68" s="132">
        <f t="shared" si="26"/>
        <v>3.5259999999999998</v>
      </c>
      <c r="R68" s="402">
        <f t="shared" si="8"/>
        <v>2.8059999999999996</v>
      </c>
      <c r="S68" s="402">
        <f t="shared" si="9"/>
        <v>0.72000000000000008</v>
      </c>
      <c r="T68" s="402">
        <f t="shared" si="10"/>
        <v>3.5259999999999998</v>
      </c>
      <c r="U68" s="127"/>
      <c r="V68" s="127"/>
      <c r="W68" t="str">
        <f>IFERROR(#REF!*J68,"")</f>
        <v/>
      </c>
      <c r="X68">
        <f t="shared" si="11"/>
        <v>13.799999999999999</v>
      </c>
      <c r="Y68">
        <f t="shared" si="12"/>
        <v>9</v>
      </c>
      <c r="Z68" s="127">
        <f t="shared" si="13"/>
        <v>3.6000000000000005</v>
      </c>
      <c r="AA68" s="127">
        <f t="shared" si="14"/>
        <v>17.399999999999999</v>
      </c>
      <c r="AB68" s="127">
        <f t="shared" si="15"/>
        <v>3.0359999999999987</v>
      </c>
      <c r="AC68" s="127">
        <f t="shared" si="16"/>
        <v>0.72</v>
      </c>
      <c r="AD68" s="127">
        <f t="shared" si="17"/>
        <v>21.155999999999999</v>
      </c>
      <c r="AF68" s="127" t="str">
        <f>IFERROR(W68*'FlightConfig '!$K$3,"")</f>
        <v/>
      </c>
      <c r="AG68" s="127">
        <f>IFERROR(X68*'FlightConfig '!$K$17,"")</f>
        <v>5023.2</v>
      </c>
      <c r="AH68" s="127">
        <f>IFERROR(Y68*'FlightConfig '!$K$17,"")</f>
        <v>3276</v>
      </c>
      <c r="AI68" s="127">
        <f>IFERROR(Z68*'FlightConfig '!$K$17,"")</f>
        <v>1310.4000000000001</v>
      </c>
      <c r="AJ68" s="127">
        <f>IFERROR(AA68*'FlightConfig '!$K$17,"")</f>
        <v>6333.5999999999995</v>
      </c>
      <c r="AK68" s="127">
        <f>IFERROR(AB68*'FlightConfig '!$K$17,"")</f>
        <v>1105.1039999999996</v>
      </c>
    </row>
    <row r="69" spans="1:37" ht="18" hidden="1" customHeight="1">
      <c r="A69" t="s">
        <v>189</v>
      </c>
      <c r="B69" s="171">
        <v>1</v>
      </c>
      <c r="C69" s="176" t="str">
        <f t="shared" si="30"/>
        <v>CABIN CREW CLASS1</v>
      </c>
      <c r="D69" s="293"/>
      <c r="E69" s="304">
        <v>1065</v>
      </c>
      <c r="F69" s="310"/>
      <c r="G69" t="str">
        <f>VLOOKUP(E69,'FG MASTER'!$A$10:$AB$218,2,0)</f>
        <v xml:space="preserve">CREW C1 SANDWICH 4 CHICKEN SALAD CROISSANT SANDWICH </v>
      </c>
      <c r="H69" s="285">
        <v>1</v>
      </c>
      <c r="I69" s="173">
        <v>1</v>
      </c>
      <c r="J69" s="291">
        <f>IFERROR(IF(I69="std",H69,HLOOKUP(A69,'FlightConfig '!$B$28:$G$29,2,0)*I69),"")</f>
        <v>6</v>
      </c>
      <c r="K69" s="244">
        <f>VLOOKUP(Food!E69,'FG MASTER'!$A$1:$AC$536,16,0)</f>
        <v>2.0499999999999998</v>
      </c>
      <c r="L69" s="245">
        <f>VLOOKUP(Food!E69,'FG MASTER'!$A$10:$AC$536,17,0)</f>
        <v>1.5</v>
      </c>
      <c r="M69" s="132">
        <f t="shared" si="32"/>
        <v>0.60000000000000009</v>
      </c>
      <c r="N69" s="132">
        <f t="shared" si="33"/>
        <v>2.65</v>
      </c>
      <c r="O69" s="132">
        <f t="shared" si="5"/>
        <v>0.45100000000000007</v>
      </c>
      <c r="P69" s="132">
        <f t="shared" si="6"/>
        <v>0.12</v>
      </c>
      <c r="Q69" s="132">
        <f t="shared" si="26"/>
        <v>3.2210000000000001</v>
      </c>
      <c r="R69" s="402">
        <f t="shared" si="8"/>
        <v>2.5009999999999999</v>
      </c>
      <c r="S69" s="402">
        <f t="shared" si="9"/>
        <v>0.72000000000000008</v>
      </c>
      <c r="T69" s="402">
        <f t="shared" si="10"/>
        <v>3.2210000000000001</v>
      </c>
      <c r="U69" s="127"/>
      <c r="V69" s="127"/>
      <c r="W69" t="str">
        <f>IFERROR(#REF!*J69,"")</f>
        <v/>
      </c>
      <c r="X69">
        <f t="shared" si="11"/>
        <v>12.299999999999999</v>
      </c>
      <c r="Y69">
        <f t="shared" si="12"/>
        <v>9</v>
      </c>
      <c r="Z69" s="127">
        <f t="shared" si="13"/>
        <v>3.6000000000000005</v>
      </c>
      <c r="AA69" s="127">
        <f t="shared" si="14"/>
        <v>15.899999999999999</v>
      </c>
      <c r="AB69" s="127">
        <f t="shared" si="15"/>
        <v>2.7060000000000004</v>
      </c>
      <c r="AC69" s="127">
        <f t="shared" si="16"/>
        <v>0.72</v>
      </c>
      <c r="AD69" s="127">
        <f t="shared" si="17"/>
        <v>19.326000000000001</v>
      </c>
      <c r="AF69" s="127" t="str">
        <f>IFERROR(W69*'FlightConfig '!$K$3,"")</f>
        <v/>
      </c>
      <c r="AG69" s="127">
        <f>IFERROR(X69*'FlightConfig '!$K$17,"")</f>
        <v>4477.2</v>
      </c>
      <c r="AH69" s="127">
        <f>IFERROR(Y69*'FlightConfig '!$K$17,"")</f>
        <v>3276</v>
      </c>
      <c r="AI69" s="127">
        <f>IFERROR(Z69*'FlightConfig '!$K$17,"")</f>
        <v>1310.4000000000001</v>
      </c>
      <c r="AJ69" s="127">
        <f>IFERROR(AA69*'FlightConfig '!$K$17,"")</f>
        <v>5787.5999999999995</v>
      </c>
      <c r="AK69" s="127">
        <f>IFERROR(AB69*'FlightConfig '!$K$17,"")</f>
        <v>984.98400000000015</v>
      </c>
    </row>
    <row r="70" spans="1:37" ht="18" hidden="1" customHeight="1">
      <c r="A70" t="s">
        <v>189</v>
      </c>
      <c r="B70" s="171">
        <v>1</v>
      </c>
      <c r="C70" s="176" t="str">
        <f>CONCATENATE(A70&amp;B70&amp;F70)</f>
        <v>CABIN CREW CLASS1</v>
      </c>
      <c r="D70" s="293"/>
      <c r="E70" s="304">
        <v>1066</v>
      </c>
      <c r="F70" s="310"/>
      <c r="G70" t="str">
        <f>VLOOKUP(E70,'FG MASTER'!$A$10:$AB$218,2,0)</f>
        <v xml:space="preserve">CREW C1 SANDWICH 5 HAM AND CHEESE SANDWICH </v>
      </c>
      <c r="H70" s="285">
        <v>1</v>
      </c>
      <c r="I70" s="173">
        <v>1</v>
      </c>
      <c r="J70" s="291">
        <f>IFERROR(IF(I70="std",H70,HLOOKUP(A70,'FlightConfig '!$B$28:$G$29,2,0)*I70),"")</f>
        <v>6</v>
      </c>
      <c r="K70" s="244">
        <f>VLOOKUP(Food!E70,'FG MASTER'!$A$1:$AC$536,16,0)</f>
        <v>1.68</v>
      </c>
      <c r="L70" s="245">
        <f>VLOOKUP(Food!E70,'FG MASTER'!$A$10:$AC$536,17,0)</f>
        <v>1.5</v>
      </c>
      <c r="M70" s="132">
        <f t="shared" ref="M70:M97" si="34">IFERROR(L70*$M$2,"")</f>
        <v>0.60000000000000009</v>
      </c>
      <c r="N70" s="132">
        <f t="shared" ref="N70:N97" si="35">IFERROR((K70)+M70,"")</f>
        <v>2.2800000000000002</v>
      </c>
      <c r="O70" s="132">
        <f t="shared" ref="O70:O133" si="36">IFERROR($K70*(1+$O$2)-$K70,0)</f>
        <v>0.36959999999999993</v>
      </c>
      <c r="P70" s="132">
        <f t="shared" ref="P70:P133" si="37">IFERROR($M70*(1+$P$2)-$M70,0)</f>
        <v>0.12</v>
      </c>
      <c r="Q70" s="132">
        <f t="shared" ref="Q70:Q74" si="38">SUM(N70:P70)</f>
        <v>2.7696000000000005</v>
      </c>
      <c r="R70" s="402">
        <f t="shared" ref="R70:R133" si="39">K70*(1+$O$2)</f>
        <v>2.0495999999999999</v>
      </c>
      <c r="S70" s="402">
        <f t="shared" ref="S70:S133" si="40">M70*(1+$P$2)</f>
        <v>0.72000000000000008</v>
      </c>
      <c r="T70" s="402">
        <f t="shared" ref="T70:T133" si="41">R70+S70</f>
        <v>2.7696000000000001</v>
      </c>
      <c r="U70" s="127"/>
      <c r="V70" s="127"/>
      <c r="W70" t="str">
        <f>IFERROR(#REF!*J70,"")</f>
        <v/>
      </c>
      <c r="X70">
        <f t="shared" ref="X70:X133" si="42">IFERROR(K70*J70,"")</f>
        <v>10.08</v>
      </c>
      <c r="Y70">
        <f t="shared" ref="Y70:Y133" si="43">IFERROR(+L70*J70,"")</f>
        <v>9</v>
      </c>
      <c r="Z70" s="127">
        <f t="shared" ref="Z70:Z133" si="44">IFERROR(+M70*J70,"")</f>
        <v>3.6000000000000005</v>
      </c>
      <c r="AA70" s="127">
        <f t="shared" ref="AA70:AA133" si="45">IFERROR(+N70*J70,"")</f>
        <v>13.680000000000001</v>
      </c>
      <c r="AB70" s="127">
        <f t="shared" ref="AB70:AB133" si="46">IFERROR(O70*$J70,"")</f>
        <v>2.2175999999999996</v>
      </c>
      <c r="AC70" s="127">
        <f t="shared" ref="AC70:AC133" si="47">IFERROR(P70*$J70,"")</f>
        <v>0.72</v>
      </c>
      <c r="AD70" s="127">
        <f t="shared" ref="AD70:AD133" si="48">IFERROR(+Q70*J70,"")</f>
        <v>16.617600000000003</v>
      </c>
      <c r="AF70" s="127" t="str">
        <f>IFERROR(W70*'FlightConfig '!$K$3,"")</f>
        <v/>
      </c>
      <c r="AG70" s="127">
        <f>IFERROR(X70*'FlightConfig '!$K$17,"")</f>
        <v>3669.12</v>
      </c>
      <c r="AH70" s="127">
        <f>IFERROR(Y70*'FlightConfig '!$K$17,"")</f>
        <v>3276</v>
      </c>
      <c r="AI70" s="127">
        <f>IFERROR(Z70*'FlightConfig '!$K$17,"")</f>
        <v>1310.4000000000001</v>
      </c>
      <c r="AJ70" s="127">
        <f>IFERROR(AA70*'FlightConfig '!$K$17,"")</f>
        <v>4979.5200000000004</v>
      </c>
      <c r="AK70" s="127">
        <f>IFERROR(AB70*'FlightConfig '!$K$17,"")</f>
        <v>807.2063999999998</v>
      </c>
    </row>
    <row r="71" spans="1:37" ht="18" hidden="1" customHeight="1">
      <c r="A71" t="s">
        <v>189</v>
      </c>
      <c r="B71" s="171">
        <v>1</v>
      </c>
      <c r="C71" s="176" t="str">
        <f t="shared" ref="C71:C74" si="49">CONCATENATE(A71&amp;B71&amp;F71)</f>
        <v>CABIN CREW CLASS1</v>
      </c>
      <c r="D71" s="293"/>
      <c r="E71" s="304">
        <v>1067</v>
      </c>
      <c r="F71" s="310"/>
      <c r="G71" t="str">
        <f>VLOOKUP(E71,'FG MASTER'!$A$10:$AB$218,2,0)</f>
        <v>CREW C1 MIDNIGHT SNACK CHICKIEN TENDERS WITH FRIES</v>
      </c>
      <c r="H71" s="285">
        <v>1</v>
      </c>
      <c r="I71" s="173">
        <v>1</v>
      </c>
      <c r="J71" s="291">
        <f>IFERROR(IF(I71="std",H71,HLOOKUP(A71,'FlightConfig '!$B$28:$G$29,2,0)*I71),"")</f>
        <v>6</v>
      </c>
      <c r="K71" s="244">
        <f>VLOOKUP(Food!E71,'FG MASTER'!$A$1:$AC$536,16,0)</f>
        <v>1.8</v>
      </c>
      <c r="L71" s="245">
        <f>VLOOKUP(Food!E71,'FG MASTER'!$A$10:$AC$536,17,0)</f>
        <v>2</v>
      </c>
      <c r="M71" s="132">
        <f t="shared" si="34"/>
        <v>0.8</v>
      </c>
      <c r="N71" s="132">
        <f t="shared" si="35"/>
        <v>2.6</v>
      </c>
      <c r="O71" s="132">
        <f t="shared" si="36"/>
        <v>0.39600000000000013</v>
      </c>
      <c r="P71" s="132">
        <f t="shared" si="37"/>
        <v>0.15999999999999992</v>
      </c>
      <c r="Q71" s="132">
        <f t="shared" si="38"/>
        <v>3.1560000000000006</v>
      </c>
      <c r="R71" s="402">
        <f t="shared" si="39"/>
        <v>2.1960000000000002</v>
      </c>
      <c r="S71" s="402">
        <f t="shared" si="40"/>
        <v>0.96</v>
      </c>
      <c r="T71" s="402">
        <f t="shared" si="41"/>
        <v>3.1560000000000001</v>
      </c>
      <c r="U71" s="127"/>
      <c r="V71" s="127"/>
      <c r="W71" t="str">
        <f>IFERROR(#REF!*J71,"")</f>
        <v/>
      </c>
      <c r="X71">
        <f t="shared" si="42"/>
        <v>10.8</v>
      </c>
      <c r="Y71">
        <f t="shared" si="43"/>
        <v>12</v>
      </c>
      <c r="Z71" s="127">
        <f t="shared" si="44"/>
        <v>4.8000000000000007</v>
      </c>
      <c r="AA71" s="127">
        <f t="shared" si="45"/>
        <v>15.600000000000001</v>
      </c>
      <c r="AB71" s="127">
        <f t="shared" si="46"/>
        <v>2.3760000000000008</v>
      </c>
      <c r="AC71" s="127">
        <f t="shared" si="47"/>
        <v>0.95999999999999952</v>
      </c>
      <c r="AD71" s="127">
        <f t="shared" si="48"/>
        <v>18.936000000000003</v>
      </c>
      <c r="AF71" s="127" t="str">
        <f>IFERROR(W71*'FlightConfig '!$K$3,"")</f>
        <v/>
      </c>
      <c r="AG71" s="127">
        <f>IFERROR(X71*'FlightConfig '!$K$17,"")</f>
        <v>3931.2000000000003</v>
      </c>
      <c r="AH71" s="127">
        <f>IFERROR(Y71*'FlightConfig '!$K$17,"")</f>
        <v>4368</v>
      </c>
      <c r="AI71" s="127">
        <f>IFERROR(Z71*'FlightConfig '!$K$17,"")</f>
        <v>1747.2000000000003</v>
      </c>
      <c r="AJ71" s="127">
        <f>IFERROR(AA71*'FlightConfig '!$K$17,"")</f>
        <v>5678.4000000000005</v>
      </c>
      <c r="AK71" s="127">
        <f>IFERROR(AB71*'FlightConfig '!$K$17,"")</f>
        <v>864.86400000000026</v>
      </c>
    </row>
    <row r="72" spans="1:37" ht="18" hidden="1" customHeight="1">
      <c r="A72" t="s">
        <v>189</v>
      </c>
      <c r="B72" s="171">
        <v>1</v>
      </c>
      <c r="C72" s="176" t="str">
        <f t="shared" si="49"/>
        <v>CABIN CREW CLASS1</v>
      </c>
      <c r="D72" s="293"/>
      <c r="E72" s="304">
        <v>1068</v>
      </c>
      <c r="F72" s="310"/>
      <c r="G72" t="str">
        <f>VLOOKUP(E72,'FG MASTER'!$A$10:$AB$218,2,0)</f>
        <v>CREW C1 BREAKFAST HOT SANDWICH 1 EGG AND CHEESE ENGLISH MUFFIN</v>
      </c>
      <c r="H72" s="285">
        <v>1</v>
      </c>
      <c r="I72" s="173">
        <v>1</v>
      </c>
      <c r="J72" s="291">
        <f>IFERROR(IF(I72="std",H72,HLOOKUP(A72,'FlightConfig '!$B$28:$G$29,2,0)*I72),"")</f>
        <v>6</v>
      </c>
      <c r="K72" s="244">
        <f>VLOOKUP(Food!E72,'FG MASTER'!$A$1:$AC$536,16,0)</f>
        <v>0.94</v>
      </c>
      <c r="L72" s="245">
        <f>VLOOKUP(Food!E72,'FG MASTER'!$A$10:$AC$536,17,0)</f>
        <v>1.5</v>
      </c>
      <c r="M72" s="132">
        <f t="shared" si="34"/>
        <v>0.60000000000000009</v>
      </c>
      <c r="N72" s="132">
        <f t="shared" si="35"/>
        <v>1.54</v>
      </c>
      <c r="O72" s="132">
        <f t="shared" si="36"/>
        <v>0.20679999999999987</v>
      </c>
      <c r="P72" s="132">
        <f t="shared" si="37"/>
        <v>0.12</v>
      </c>
      <c r="Q72" s="132">
        <f t="shared" si="38"/>
        <v>1.8668</v>
      </c>
      <c r="R72" s="402">
        <f t="shared" si="39"/>
        <v>1.1467999999999998</v>
      </c>
      <c r="S72" s="402">
        <f t="shared" si="40"/>
        <v>0.72000000000000008</v>
      </c>
      <c r="T72" s="402">
        <f t="shared" si="41"/>
        <v>1.8668</v>
      </c>
      <c r="U72" s="127"/>
      <c r="V72" s="127"/>
      <c r="W72" t="str">
        <f>IFERROR(#REF!*J72,"")</f>
        <v/>
      </c>
      <c r="X72">
        <f t="shared" si="42"/>
        <v>5.64</v>
      </c>
      <c r="Y72">
        <f t="shared" si="43"/>
        <v>9</v>
      </c>
      <c r="Z72" s="127">
        <f t="shared" si="44"/>
        <v>3.6000000000000005</v>
      </c>
      <c r="AA72" s="127">
        <f t="shared" si="45"/>
        <v>9.24</v>
      </c>
      <c r="AB72" s="127">
        <f t="shared" si="46"/>
        <v>1.2407999999999992</v>
      </c>
      <c r="AC72" s="127">
        <f t="shared" si="47"/>
        <v>0.72</v>
      </c>
      <c r="AD72" s="127">
        <f t="shared" si="48"/>
        <v>11.200800000000001</v>
      </c>
      <c r="AF72" s="127" t="str">
        <f>IFERROR(W72*'FlightConfig '!$K$3,"")</f>
        <v/>
      </c>
      <c r="AG72" s="127">
        <f>IFERROR(X72*'FlightConfig '!$K$17,"")</f>
        <v>2052.96</v>
      </c>
      <c r="AH72" s="127">
        <f>IFERROR(Y72*'FlightConfig '!$K$17,"")</f>
        <v>3276</v>
      </c>
      <c r="AI72" s="127">
        <f>IFERROR(Z72*'FlightConfig '!$K$17,"")</f>
        <v>1310.4000000000001</v>
      </c>
      <c r="AJ72" s="127">
        <f>IFERROR(AA72*'FlightConfig '!$K$17,"")</f>
        <v>3363.36</v>
      </c>
      <c r="AK72" s="127">
        <f>IFERROR(AB72*'FlightConfig '!$K$17,"")</f>
        <v>451.65119999999973</v>
      </c>
    </row>
    <row r="73" spans="1:37" ht="18" hidden="1" customHeight="1">
      <c r="A73" t="s">
        <v>189</v>
      </c>
      <c r="B73" s="171">
        <v>1</v>
      </c>
      <c r="C73" s="176" t="str">
        <f t="shared" si="49"/>
        <v>CABIN CREW CLASS1</v>
      </c>
      <c r="D73" s="293"/>
      <c r="E73" s="304">
        <v>1069</v>
      </c>
      <c r="F73" s="310"/>
      <c r="G73" t="str">
        <f>VLOOKUP(E73,'FG MASTER'!$A$10:$AB$218,2,0)</f>
        <v>CREW C1 BREAKFAST HOT SANDWICH 2 BACON EGG AND CHEESE ENGLISH MUFFIN</v>
      </c>
      <c r="H73" s="285">
        <v>1</v>
      </c>
      <c r="I73" s="173">
        <v>1</v>
      </c>
      <c r="J73" s="291">
        <f>IFERROR(IF(I73="std",H73,HLOOKUP(A73,'FlightConfig '!$B$28:$G$29,2,0)*I73),"")</f>
        <v>6</v>
      </c>
      <c r="K73" s="244">
        <f>VLOOKUP(Food!E73,'FG MASTER'!$A$1:$AC$536,16,0)</f>
        <v>1.77</v>
      </c>
      <c r="L73" s="245">
        <f>VLOOKUP(Food!E73,'FG MASTER'!$A$10:$AC$536,17,0)</f>
        <v>2</v>
      </c>
      <c r="M73" s="132">
        <f t="shared" si="34"/>
        <v>0.8</v>
      </c>
      <c r="N73" s="132">
        <f t="shared" si="35"/>
        <v>2.5700000000000003</v>
      </c>
      <c r="O73" s="132">
        <f t="shared" si="36"/>
        <v>0.38939999999999975</v>
      </c>
      <c r="P73" s="132">
        <f t="shared" si="37"/>
        <v>0.15999999999999992</v>
      </c>
      <c r="Q73" s="132">
        <f t="shared" si="38"/>
        <v>3.1193999999999997</v>
      </c>
      <c r="R73" s="402">
        <f t="shared" si="39"/>
        <v>2.1593999999999998</v>
      </c>
      <c r="S73" s="402">
        <f t="shared" si="40"/>
        <v>0.96</v>
      </c>
      <c r="T73" s="402">
        <f t="shared" si="41"/>
        <v>3.1193999999999997</v>
      </c>
      <c r="U73" s="127"/>
      <c r="V73" s="127"/>
      <c r="W73" t="str">
        <f>IFERROR(#REF!*J73,"")</f>
        <v/>
      </c>
      <c r="X73">
        <f t="shared" si="42"/>
        <v>10.620000000000001</v>
      </c>
      <c r="Y73">
        <f t="shared" si="43"/>
        <v>12</v>
      </c>
      <c r="Z73" s="127">
        <f t="shared" si="44"/>
        <v>4.8000000000000007</v>
      </c>
      <c r="AA73" s="127">
        <f t="shared" si="45"/>
        <v>15.420000000000002</v>
      </c>
      <c r="AB73" s="127">
        <f t="shared" si="46"/>
        <v>2.3363999999999985</v>
      </c>
      <c r="AC73" s="127">
        <f t="shared" si="47"/>
        <v>0.95999999999999952</v>
      </c>
      <c r="AD73" s="127">
        <f t="shared" si="48"/>
        <v>18.7164</v>
      </c>
      <c r="AF73" s="127" t="str">
        <f>IFERROR(W73*'FlightConfig '!$K$3,"")</f>
        <v/>
      </c>
      <c r="AG73" s="127">
        <f>IFERROR(X73*'FlightConfig '!$K$17,"")</f>
        <v>3865.6800000000003</v>
      </c>
      <c r="AH73" s="127">
        <f>IFERROR(Y73*'FlightConfig '!$K$17,"")</f>
        <v>4368</v>
      </c>
      <c r="AI73" s="127">
        <f>IFERROR(Z73*'FlightConfig '!$K$17,"")</f>
        <v>1747.2000000000003</v>
      </c>
      <c r="AJ73" s="127">
        <f>IFERROR(AA73*'FlightConfig '!$K$17,"")</f>
        <v>5612.880000000001</v>
      </c>
      <c r="AK73" s="127">
        <f>IFERROR(AB73*'FlightConfig '!$K$17,"")</f>
        <v>850.44959999999946</v>
      </c>
    </row>
    <row r="74" spans="1:37" ht="18" hidden="1" customHeight="1">
      <c r="A74" t="s">
        <v>189</v>
      </c>
      <c r="B74" s="171">
        <v>1</v>
      </c>
      <c r="C74" s="176" t="str">
        <f t="shared" si="49"/>
        <v>CABIN CREW CLASS1</v>
      </c>
      <c r="D74" s="293"/>
      <c r="E74" s="304">
        <v>1070</v>
      </c>
      <c r="F74" s="310"/>
      <c r="G74" t="str">
        <f>VLOOKUP(E74,'FG MASTER'!$A$10:$AB$218,2,0)</f>
        <v>CREW C1 BREAKFAST HOT SANDWICH 3 FRIED CHICKEN BISCUIT</v>
      </c>
      <c r="H74" s="285">
        <v>1</v>
      </c>
      <c r="I74" s="173">
        <v>1</v>
      </c>
      <c r="J74" s="291">
        <f>IFERROR(IF(I74="std",H74,HLOOKUP(A74,'FlightConfig '!$B$28:$G$29,2,0)*I74),"")</f>
        <v>6</v>
      </c>
      <c r="K74" s="244">
        <f>VLOOKUP(Food!E74,'FG MASTER'!$A$1:$AC$536,16,0)</f>
        <v>1.1399999999999999</v>
      </c>
      <c r="L74" s="245">
        <f>VLOOKUP(Food!E74,'FG MASTER'!$A$10:$AC$536,17,0)</f>
        <v>2</v>
      </c>
      <c r="M74" s="132">
        <f t="shared" si="34"/>
        <v>0.8</v>
      </c>
      <c r="N74" s="132">
        <f t="shared" si="35"/>
        <v>1.94</v>
      </c>
      <c r="O74" s="132">
        <f t="shared" si="36"/>
        <v>0.25079999999999991</v>
      </c>
      <c r="P74" s="132">
        <f t="shared" si="37"/>
        <v>0.15999999999999992</v>
      </c>
      <c r="Q74" s="132">
        <f t="shared" si="38"/>
        <v>2.3507999999999996</v>
      </c>
      <c r="R74" s="402">
        <f t="shared" si="39"/>
        <v>1.3907999999999998</v>
      </c>
      <c r="S74" s="402">
        <f t="shared" si="40"/>
        <v>0.96</v>
      </c>
      <c r="T74" s="402">
        <f t="shared" si="41"/>
        <v>2.3507999999999996</v>
      </c>
      <c r="U74" s="127"/>
      <c r="V74" s="127"/>
      <c r="W74" t="str">
        <f>IFERROR(#REF!*J74,"")</f>
        <v/>
      </c>
      <c r="X74">
        <f t="shared" si="42"/>
        <v>6.84</v>
      </c>
      <c r="Y74">
        <f t="shared" si="43"/>
        <v>12</v>
      </c>
      <c r="Z74" s="127">
        <f t="shared" si="44"/>
        <v>4.8000000000000007</v>
      </c>
      <c r="AA74" s="127">
        <f t="shared" si="45"/>
        <v>11.64</v>
      </c>
      <c r="AB74" s="127">
        <f t="shared" si="46"/>
        <v>1.5047999999999995</v>
      </c>
      <c r="AC74" s="127">
        <f t="shared" si="47"/>
        <v>0.95999999999999952</v>
      </c>
      <c r="AD74" s="127">
        <f t="shared" si="48"/>
        <v>14.104799999999997</v>
      </c>
      <c r="AF74" s="127" t="str">
        <f>IFERROR(W74*'FlightConfig '!$K$3,"")</f>
        <v/>
      </c>
      <c r="AG74" s="127">
        <f>IFERROR(X74*'FlightConfig '!$K$17,"")</f>
        <v>2489.7599999999998</v>
      </c>
      <c r="AH74" s="127">
        <f>IFERROR(Y74*'FlightConfig '!$K$17,"")</f>
        <v>4368</v>
      </c>
      <c r="AI74" s="127">
        <f>IFERROR(Z74*'FlightConfig '!$K$17,"")</f>
        <v>1747.2000000000003</v>
      </c>
      <c r="AJ74" s="127">
        <f>IFERROR(AA74*'FlightConfig '!$K$17,"")</f>
        <v>4236.96</v>
      </c>
      <c r="AK74" s="127">
        <f>IFERROR(AB74*'FlightConfig '!$K$17,"")</f>
        <v>547.74719999999979</v>
      </c>
    </row>
    <row r="75" spans="1:37">
      <c r="A75" t="s">
        <v>156</v>
      </c>
      <c r="B75" s="171">
        <v>1</v>
      </c>
      <c r="C75" s="176" t="str">
        <f>CONCATENATE(A75&amp;B75&amp;F75)</f>
        <v>BUSINESS CLASS1110</v>
      </c>
      <c r="D75" s="172"/>
      <c r="E75" s="304">
        <v>1001</v>
      </c>
      <c r="F75" s="310">
        <v>110</v>
      </c>
      <c r="G75" t="str">
        <f>VLOOKUP(E75,'FG MASTER'!$A:$AB,2,0)</f>
        <v xml:space="preserve">BC C1 DINNER GEORGIA PEACH CHILI WHIPPED BUTTER </v>
      </c>
      <c r="H75" s="285">
        <v>1</v>
      </c>
      <c r="I75" s="173">
        <v>1</v>
      </c>
      <c r="J75" s="291">
        <f>IFERROR(IF(I75="std",H75,HLOOKUP(A75,'FlightConfig '!$B$34:$G$35,2,0)*I75),"")</f>
        <v>30</v>
      </c>
      <c r="K75" s="244">
        <f>VLOOKUP(Food!E75,'FG MASTER'!$A$1:$AC$536,16,0)</f>
        <v>0.33</v>
      </c>
      <c r="L75" s="245">
        <f>VLOOKUP(Food!E75,'FG MASTER'!$A$10:$AC$536,17,0)</f>
        <v>0.5</v>
      </c>
      <c r="M75" s="132">
        <f t="shared" si="34"/>
        <v>0.2</v>
      </c>
      <c r="N75" s="132">
        <f t="shared" si="35"/>
        <v>0.53</v>
      </c>
      <c r="O75" s="132">
        <f t="shared" si="36"/>
        <v>7.2599999999999998E-2</v>
      </c>
      <c r="P75" s="132">
        <f t="shared" si="37"/>
        <v>3.999999999999998E-2</v>
      </c>
      <c r="Q75" s="132">
        <f>SUM(N75:P75)</f>
        <v>0.64260000000000006</v>
      </c>
      <c r="R75" s="402">
        <f t="shared" si="39"/>
        <v>0.40260000000000001</v>
      </c>
      <c r="S75" s="402">
        <f t="shared" si="40"/>
        <v>0.24</v>
      </c>
      <c r="T75" s="402">
        <f t="shared" si="41"/>
        <v>0.64260000000000006</v>
      </c>
      <c r="U75" s="127"/>
      <c r="V75" s="127"/>
      <c r="W75" t="str">
        <f>IFERROR(#REF!*J75,"")</f>
        <v/>
      </c>
      <c r="X75">
        <f t="shared" si="42"/>
        <v>9.9</v>
      </c>
      <c r="Y75">
        <f t="shared" si="43"/>
        <v>15</v>
      </c>
      <c r="Z75" s="127">
        <f t="shared" si="44"/>
        <v>6</v>
      </c>
      <c r="AA75" s="127">
        <f t="shared" si="45"/>
        <v>15.9</v>
      </c>
      <c r="AB75" s="127">
        <f t="shared" si="46"/>
        <v>2.1779999999999999</v>
      </c>
      <c r="AC75" s="127">
        <f t="shared" si="47"/>
        <v>1.1999999999999993</v>
      </c>
      <c r="AD75" s="127">
        <f t="shared" si="48"/>
        <v>19.278000000000002</v>
      </c>
      <c r="AF75" s="127" t="str">
        <f>IFERROR(W75*'FlightConfig '!$K$3,"")</f>
        <v/>
      </c>
      <c r="AG75" s="127">
        <f>IFERROR(X75*'FlightConfig '!$K$23,"")</f>
        <v>3603.6</v>
      </c>
      <c r="AH75" s="127">
        <f>IFERROR(Y75*'FlightConfig '!$K$23,"")</f>
        <v>5460</v>
      </c>
      <c r="AI75" s="127">
        <f>IFERROR(Z75*'FlightConfig '!$K$23,"")</f>
        <v>2184</v>
      </c>
      <c r="AJ75" s="127">
        <f>IFERROR(AA75*'FlightConfig '!$K$23,"")</f>
        <v>5787.6</v>
      </c>
      <c r="AK75" s="127">
        <f>IFERROR(AB75*'FlightConfig '!$K$23,"")</f>
        <v>792.79200000000003</v>
      </c>
    </row>
    <row r="76" spans="1:37">
      <c r="A76" t="s">
        <v>156</v>
      </c>
      <c r="B76" s="171">
        <v>1</v>
      </c>
      <c r="C76" s="176" t="str">
        <f t="shared" ref="C76:C94" si="50">CONCATENATE(A76&amp;B76&amp;F76)</f>
        <v>BUSINESS CLASS1110</v>
      </c>
      <c r="D76" s="172"/>
      <c r="E76" s="304">
        <v>1002</v>
      </c>
      <c r="F76" s="310">
        <v>110</v>
      </c>
      <c r="G76" t="str">
        <f>VLOOKUP(E76,'FG MASTER'!$A:$AB,2,0)</f>
        <v xml:space="preserve">BC C1 DINNER SWEETWATER BEET AND CHEESE ROLL </v>
      </c>
      <c r="H76" s="285">
        <v>1</v>
      </c>
      <c r="I76" s="173">
        <v>0.4</v>
      </c>
      <c r="J76" s="291">
        <f>IFERROR(IF(I76="std",H76,HLOOKUP(A76,'FlightConfig '!$B$34:$G$35,2,0)*I76),"")</f>
        <v>12</v>
      </c>
      <c r="K76" s="244">
        <f>VLOOKUP(Food!E76,'FG MASTER'!$A$1:$AC$536,16,0)</f>
        <v>0.3</v>
      </c>
      <c r="L76" s="245">
        <f>VLOOKUP(Food!E76,'FG MASTER'!$A$10:$AC$536,17,0)</f>
        <v>0.25</v>
      </c>
      <c r="M76" s="132">
        <f t="shared" si="34"/>
        <v>0.1</v>
      </c>
      <c r="N76" s="132">
        <f t="shared" si="35"/>
        <v>0.4</v>
      </c>
      <c r="O76" s="132">
        <f t="shared" si="36"/>
        <v>6.6000000000000003E-2</v>
      </c>
      <c r="P76" s="132">
        <f t="shared" si="37"/>
        <v>1.999999999999999E-2</v>
      </c>
      <c r="Q76" s="132">
        <f t="shared" ref="Q76:Q83" si="51">SUM(N76:P76)</f>
        <v>0.48599999999999999</v>
      </c>
      <c r="R76" s="402">
        <f t="shared" si="39"/>
        <v>0.36599999999999999</v>
      </c>
      <c r="S76" s="402">
        <f t="shared" si="40"/>
        <v>0.12</v>
      </c>
      <c r="T76" s="402">
        <f t="shared" si="41"/>
        <v>0.48599999999999999</v>
      </c>
      <c r="U76" s="127">
        <v>0.47</v>
      </c>
      <c r="V76" s="127"/>
      <c r="W76" t="str">
        <f>IFERROR(#REF!*J76,"")</f>
        <v/>
      </c>
      <c r="X76">
        <f t="shared" si="42"/>
        <v>3.5999999999999996</v>
      </c>
      <c r="Y76">
        <f t="shared" si="43"/>
        <v>3</v>
      </c>
      <c r="Z76" s="127">
        <f t="shared" si="44"/>
        <v>1.2000000000000002</v>
      </c>
      <c r="AA76" s="127">
        <f t="shared" si="45"/>
        <v>4.8000000000000007</v>
      </c>
      <c r="AB76" s="127">
        <f t="shared" si="46"/>
        <v>0.79200000000000004</v>
      </c>
      <c r="AC76" s="127">
        <f t="shared" si="47"/>
        <v>0.23999999999999988</v>
      </c>
      <c r="AD76" s="127">
        <f t="shared" si="48"/>
        <v>5.8319999999999999</v>
      </c>
      <c r="AF76" s="127" t="str">
        <f>IFERROR(W76*'FlightConfig '!$K$3,"")</f>
        <v/>
      </c>
      <c r="AG76" s="127">
        <f>IFERROR(X76*'FlightConfig '!$K$23,"")</f>
        <v>1310.3999999999999</v>
      </c>
      <c r="AH76" s="127">
        <f>IFERROR(Y76*'FlightConfig '!$K$23,"")</f>
        <v>1092</v>
      </c>
      <c r="AI76" s="127">
        <f>IFERROR(Z76*'FlightConfig '!$K$23,"")</f>
        <v>436.80000000000007</v>
      </c>
      <c r="AJ76" s="127">
        <f>IFERROR(AA76*'FlightConfig '!$K$23,"")</f>
        <v>1747.2000000000003</v>
      </c>
      <c r="AK76" s="127">
        <f>IFERROR(AB76*'FlightConfig '!$K$23,"")</f>
        <v>288.28800000000001</v>
      </c>
    </row>
    <row r="77" spans="1:37">
      <c r="A77" t="s">
        <v>156</v>
      </c>
      <c r="B77" s="171">
        <v>1</v>
      </c>
      <c r="C77" s="176" t="str">
        <f t="shared" si="50"/>
        <v>BUSINESS CLASS1110</v>
      </c>
      <c r="D77" s="172"/>
      <c r="E77" s="304">
        <v>1003</v>
      </c>
      <c r="F77" s="310">
        <v>110</v>
      </c>
      <c r="G77" t="str">
        <f>VLOOKUP(E77,'FG MASTER'!$A:$AB,2,0)</f>
        <v xml:space="preserve">BC C1 DINNER HERB FOCACCIA ROLL </v>
      </c>
      <c r="H77" s="285">
        <v>1</v>
      </c>
      <c r="I77" s="173">
        <v>0.4</v>
      </c>
      <c r="J77" s="291">
        <f>IFERROR(IF(I77="std",H77,HLOOKUP(A77,'FlightConfig '!$B$34:$G$35,2,0)*I77),"")</f>
        <v>12</v>
      </c>
      <c r="K77" s="244">
        <f>VLOOKUP(Food!E77,'FG MASTER'!$A$1:$AC$536,16,0)</f>
        <v>0.14000000000000001</v>
      </c>
      <c r="L77" s="245">
        <f>VLOOKUP(Food!E77,'FG MASTER'!$A$10:$AC$536,17,0)</f>
        <v>0.25</v>
      </c>
      <c r="M77" s="132">
        <f t="shared" si="34"/>
        <v>0.1</v>
      </c>
      <c r="N77" s="132">
        <f t="shared" si="35"/>
        <v>0.24000000000000002</v>
      </c>
      <c r="O77" s="132">
        <f t="shared" si="36"/>
        <v>3.0799999999999994E-2</v>
      </c>
      <c r="P77" s="132">
        <f t="shared" si="37"/>
        <v>1.999999999999999E-2</v>
      </c>
      <c r="Q77" s="132">
        <f t="shared" si="51"/>
        <v>0.29080000000000006</v>
      </c>
      <c r="R77" s="402">
        <f t="shared" si="39"/>
        <v>0.17080000000000001</v>
      </c>
      <c r="S77" s="402">
        <f t="shared" si="40"/>
        <v>0.12</v>
      </c>
      <c r="T77" s="402">
        <f t="shared" si="41"/>
        <v>0.2908</v>
      </c>
      <c r="U77" s="127"/>
      <c r="V77" s="127"/>
      <c r="W77" t="str">
        <f>IFERROR(#REF!*J77,"")</f>
        <v/>
      </c>
      <c r="X77">
        <f t="shared" si="42"/>
        <v>1.6800000000000002</v>
      </c>
      <c r="Y77">
        <f t="shared" si="43"/>
        <v>3</v>
      </c>
      <c r="Z77" s="127">
        <f t="shared" si="44"/>
        <v>1.2000000000000002</v>
      </c>
      <c r="AA77" s="127">
        <f t="shared" si="45"/>
        <v>2.8800000000000003</v>
      </c>
      <c r="AB77" s="127">
        <f t="shared" si="46"/>
        <v>0.36959999999999993</v>
      </c>
      <c r="AC77" s="127">
        <f t="shared" si="47"/>
        <v>0.23999999999999988</v>
      </c>
      <c r="AD77" s="127">
        <f t="shared" si="48"/>
        <v>3.4896000000000007</v>
      </c>
      <c r="AF77" s="127" t="str">
        <f>IFERROR(W77*'FlightConfig '!$K$3,"")</f>
        <v/>
      </c>
      <c r="AG77" s="127">
        <f>IFERROR(X77*'FlightConfig '!$K$23,"")</f>
        <v>611.5200000000001</v>
      </c>
      <c r="AH77" s="127">
        <f>IFERROR(Y77*'FlightConfig '!$K$23,"")</f>
        <v>1092</v>
      </c>
      <c r="AI77" s="127">
        <f>IFERROR(Z77*'FlightConfig '!$K$23,"")</f>
        <v>436.80000000000007</v>
      </c>
      <c r="AJ77" s="127">
        <f>IFERROR(AA77*'FlightConfig '!$K$23,"")</f>
        <v>1048.3200000000002</v>
      </c>
      <c r="AK77" s="127">
        <f>IFERROR(AB77*'FlightConfig '!$K$23,"")</f>
        <v>134.53439999999998</v>
      </c>
    </row>
    <row r="78" spans="1:37">
      <c r="A78" t="s">
        <v>156</v>
      </c>
      <c r="B78" s="171">
        <v>1</v>
      </c>
      <c r="C78" s="176" t="str">
        <f t="shared" si="50"/>
        <v>BUSINESS CLASS1110</v>
      </c>
      <c r="D78" s="172"/>
      <c r="E78" s="304">
        <v>1004</v>
      </c>
      <c r="F78" s="310">
        <v>110</v>
      </c>
      <c r="G78" t="str">
        <f>VLOOKUP(E78,'FG MASTER'!$A:$AB,2,0)</f>
        <v xml:space="preserve">BC C1 DINNER HHAWAIIAN ROLL </v>
      </c>
      <c r="H78" s="285">
        <v>1</v>
      </c>
      <c r="I78" s="173">
        <v>0.4</v>
      </c>
      <c r="J78" s="291">
        <f>IFERROR(IF(I78="std",H78,HLOOKUP(A78,'FlightConfig '!$B$34:$G$35,2,0)*I78),"")</f>
        <v>12</v>
      </c>
      <c r="K78" s="244">
        <f>VLOOKUP(Food!E78,'FG MASTER'!$A$1:$AC$536,16,0)</f>
        <v>0.25</v>
      </c>
      <c r="L78" s="245">
        <f>VLOOKUP(Food!E78,'FG MASTER'!$A$10:$AC$536,17,0)</f>
        <v>0.25</v>
      </c>
      <c r="M78" s="132">
        <f t="shared" si="34"/>
        <v>0.1</v>
      </c>
      <c r="N78" s="132">
        <f t="shared" si="35"/>
        <v>0.35</v>
      </c>
      <c r="O78" s="132">
        <f t="shared" si="36"/>
        <v>5.4999999999999993E-2</v>
      </c>
      <c r="P78" s="132">
        <f t="shared" si="37"/>
        <v>1.999999999999999E-2</v>
      </c>
      <c r="Q78" s="132">
        <f t="shared" si="51"/>
        <v>0.42499999999999993</v>
      </c>
      <c r="R78" s="402">
        <f t="shared" si="39"/>
        <v>0.30499999999999999</v>
      </c>
      <c r="S78" s="402">
        <f t="shared" si="40"/>
        <v>0.12</v>
      </c>
      <c r="T78" s="402">
        <f t="shared" si="41"/>
        <v>0.42499999999999999</v>
      </c>
      <c r="U78" s="127"/>
      <c r="V78" s="127"/>
      <c r="W78" t="str">
        <f>IFERROR(#REF!*J78,"")</f>
        <v/>
      </c>
      <c r="X78">
        <f t="shared" si="42"/>
        <v>3</v>
      </c>
      <c r="Y78">
        <f t="shared" si="43"/>
        <v>3</v>
      </c>
      <c r="Z78" s="127">
        <f t="shared" si="44"/>
        <v>1.2000000000000002</v>
      </c>
      <c r="AA78" s="127">
        <f t="shared" si="45"/>
        <v>4.1999999999999993</v>
      </c>
      <c r="AB78" s="127">
        <f t="shared" si="46"/>
        <v>0.65999999999999992</v>
      </c>
      <c r="AC78" s="127">
        <f t="shared" si="47"/>
        <v>0.23999999999999988</v>
      </c>
      <c r="AD78" s="127">
        <f t="shared" si="48"/>
        <v>5.0999999999999996</v>
      </c>
      <c r="AF78" s="127" t="str">
        <f>IFERROR(W78*'FlightConfig '!$K$3,"")</f>
        <v/>
      </c>
      <c r="AG78" s="127">
        <f>IFERROR(X78*'FlightConfig '!$K$23,"")</f>
        <v>1092</v>
      </c>
      <c r="AH78" s="127">
        <f>IFERROR(Y78*'FlightConfig '!$K$23,"")</f>
        <v>1092</v>
      </c>
      <c r="AI78" s="127">
        <f>IFERROR(Z78*'FlightConfig '!$K$23,"")</f>
        <v>436.80000000000007</v>
      </c>
      <c r="AJ78" s="127">
        <f>IFERROR(AA78*'FlightConfig '!$K$23,"")</f>
        <v>1528.7999999999997</v>
      </c>
      <c r="AK78" s="127">
        <f>IFERROR(AB78*'FlightConfig '!$K$23,"")</f>
        <v>240.23999999999998</v>
      </c>
    </row>
    <row r="79" spans="1:37" ht="18.75" customHeight="1">
      <c r="A79" t="s">
        <v>156</v>
      </c>
      <c r="B79" s="171">
        <v>1</v>
      </c>
      <c r="C79" s="176" t="str">
        <f t="shared" si="50"/>
        <v>BUSINESS CLASS1110</v>
      </c>
      <c r="D79" s="172"/>
      <c r="E79" s="304">
        <v>1090</v>
      </c>
      <c r="F79" s="310">
        <v>110</v>
      </c>
      <c r="G79" t="str">
        <f>VLOOKUP(E79,'FG MASTER'!$A:$AB,2,0)</f>
        <v>BC C1 DINNER HOT STARTER 1 GRILLED PRAWN, MANGO CURRY AIOLI, SWEET PEPPER CILANTRO SLAW</v>
      </c>
      <c r="H79" s="285">
        <v>1</v>
      </c>
      <c r="I79" s="173">
        <v>0.55000000000000004</v>
      </c>
      <c r="J79" s="291">
        <f>IFERROR(IF(I79="std",H79,HLOOKUP(A79,'FlightConfig '!$B$34:$G$35,2,0)*I79),"")</f>
        <v>16.5</v>
      </c>
      <c r="K79" s="244">
        <f>VLOOKUP(Food!E79,'FG MASTER'!$A$1:$AC$536,16,0)</f>
        <v>1.86</v>
      </c>
      <c r="L79" s="245">
        <f>VLOOKUP(Food!E79,'FG MASTER'!$A$10:$AC$536,17,0)</f>
        <v>4</v>
      </c>
      <c r="M79" s="132">
        <f t="shared" si="34"/>
        <v>1.6</v>
      </c>
      <c r="N79" s="132">
        <f t="shared" si="35"/>
        <v>3.46</v>
      </c>
      <c r="O79" s="132">
        <f t="shared" si="36"/>
        <v>0.40920000000000001</v>
      </c>
      <c r="P79" s="132">
        <f t="shared" si="37"/>
        <v>0.31999999999999984</v>
      </c>
      <c r="Q79" s="132">
        <f t="shared" si="51"/>
        <v>4.1891999999999996</v>
      </c>
      <c r="R79" s="402">
        <f t="shared" si="39"/>
        <v>2.2692000000000001</v>
      </c>
      <c r="S79" s="402">
        <f t="shared" si="40"/>
        <v>1.92</v>
      </c>
      <c r="T79" s="402">
        <f t="shared" si="41"/>
        <v>4.1891999999999996</v>
      </c>
      <c r="U79" s="127"/>
      <c r="V79" s="127"/>
      <c r="W79" t="str">
        <f>IFERROR(#REF!*J79,"")</f>
        <v/>
      </c>
      <c r="X79">
        <f t="shared" si="42"/>
        <v>30.69</v>
      </c>
      <c r="Y79">
        <f t="shared" si="43"/>
        <v>66</v>
      </c>
      <c r="Z79" s="127">
        <f t="shared" si="44"/>
        <v>26.400000000000002</v>
      </c>
      <c r="AA79" s="127">
        <f t="shared" si="45"/>
        <v>57.089999999999996</v>
      </c>
      <c r="AB79" s="127">
        <f t="shared" si="46"/>
        <v>6.7518000000000002</v>
      </c>
      <c r="AC79" s="127">
        <f t="shared" si="47"/>
        <v>5.2799999999999976</v>
      </c>
      <c r="AD79" s="127">
        <f t="shared" si="48"/>
        <v>69.121799999999993</v>
      </c>
      <c r="AF79" s="127" t="str">
        <f>IFERROR(W79*'FlightConfig '!$K$3,"")</f>
        <v/>
      </c>
      <c r="AG79" s="127">
        <f>IFERROR(X79*'FlightConfig '!$K$23,"")</f>
        <v>11171.16</v>
      </c>
      <c r="AH79" s="127">
        <f>IFERROR(Y79*'FlightConfig '!$K$23,"")</f>
        <v>24024</v>
      </c>
      <c r="AI79" s="127">
        <f>IFERROR(Z79*'FlightConfig '!$K$23,"")</f>
        <v>9609.6</v>
      </c>
      <c r="AJ79" s="127">
        <f>IFERROR(AA79*'FlightConfig '!$K$23,"")</f>
        <v>20780.759999999998</v>
      </c>
      <c r="AK79" s="127">
        <f>IFERROR(AB79*'FlightConfig '!$K$23,"")</f>
        <v>2457.6552000000001</v>
      </c>
    </row>
    <row r="80" spans="1:37" ht="18.75" customHeight="1">
      <c r="A80" t="s">
        <v>156</v>
      </c>
      <c r="B80" s="171">
        <v>1</v>
      </c>
      <c r="C80" s="176" t="str">
        <f t="shared" si="50"/>
        <v>BUSINESS CLASS1110</v>
      </c>
      <c r="D80" s="172"/>
      <c r="E80" s="304">
        <v>1091</v>
      </c>
      <c r="F80" s="310">
        <v>110</v>
      </c>
      <c r="G80" t="str">
        <f>VLOOKUP(E80,'FG MASTER'!$A:$AB,2,0)</f>
        <v>BC C1 DINNER COLD STARTER 2 BURRATA CCHEESE, MARINATED HEIRLOOM TOMATOES, ARUGULA, BALSAMIC PEARLS</v>
      </c>
      <c r="H80" s="285">
        <v>1</v>
      </c>
      <c r="I80" s="173">
        <v>0.55000000000000004</v>
      </c>
      <c r="J80" s="291">
        <f>IFERROR(IF(I80="std",H80,HLOOKUP(A80,'FlightConfig '!$B$34:$G$35,2,0)*I80),"")</f>
        <v>16.5</v>
      </c>
      <c r="K80" s="244">
        <f>VLOOKUP(Food!E80,'FG MASTER'!$A$1:$AC$536,16,0)</f>
        <v>3.57</v>
      </c>
      <c r="L80" s="245">
        <f>VLOOKUP(Food!E80,'FG MASTER'!$A$10:$AC$536,17,0)</f>
        <v>2.5</v>
      </c>
      <c r="M80" s="132">
        <f t="shared" si="34"/>
        <v>1</v>
      </c>
      <c r="N80" s="132">
        <f t="shared" si="35"/>
        <v>4.57</v>
      </c>
      <c r="O80" s="132">
        <f t="shared" si="36"/>
        <v>0.78539999999999965</v>
      </c>
      <c r="P80" s="132">
        <f t="shared" si="37"/>
        <v>0.19999999999999996</v>
      </c>
      <c r="Q80" s="132">
        <f t="shared" si="51"/>
        <v>5.5553999999999997</v>
      </c>
      <c r="R80" s="402">
        <f t="shared" si="39"/>
        <v>4.3553999999999995</v>
      </c>
      <c r="S80" s="402">
        <f t="shared" si="40"/>
        <v>1.2</v>
      </c>
      <c r="T80" s="402">
        <f t="shared" si="41"/>
        <v>5.5553999999999997</v>
      </c>
      <c r="U80" s="127"/>
      <c r="V80" s="127"/>
      <c r="W80" t="str">
        <f>IFERROR(#REF!*J80,"")</f>
        <v/>
      </c>
      <c r="X80">
        <f t="shared" si="42"/>
        <v>58.904999999999994</v>
      </c>
      <c r="Y80">
        <f t="shared" si="43"/>
        <v>41.25</v>
      </c>
      <c r="Z80" s="127">
        <f t="shared" si="44"/>
        <v>16.5</v>
      </c>
      <c r="AA80" s="127">
        <f t="shared" si="45"/>
        <v>75.405000000000001</v>
      </c>
      <c r="AB80" s="127">
        <f t="shared" si="46"/>
        <v>12.959099999999994</v>
      </c>
      <c r="AC80" s="127">
        <f t="shared" si="47"/>
        <v>3.2999999999999994</v>
      </c>
      <c r="AD80" s="127">
        <f t="shared" si="48"/>
        <v>91.664099999999991</v>
      </c>
      <c r="AF80" s="127" t="str">
        <f>IFERROR(W80*'FlightConfig '!$K$3,"")</f>
        <v/>
      </c>
      <c r="AG80" s="127">
        <f>IFERROR(X80*'FlightConfig '!$K$23,"")</f>
        <v>21441.42</v>
      </c>
      <c r="AH80" s="127">
        <f>IFERROR(Y80*'FlightConfig '!$K$23,"")</f>
        <v>15015</v>
      </c>
      <c r="AI80" s="127">
        <f>IFERROR(Z80*'FlightConfig '!$K$23,"")</f>
        <v>6006</v>
      </c>
      <c r="AJ80" s="127">
        <f>IFERROR(AA80*'FlightConfig '!$K$23,"")</f>
        <v>27447.420000000002</v>
      </c>
      <c r="AK80" s="127">
        <f>IFERROR(AB80*'FlightConfig '!$K$23,"")</f>
        <v>4717.1123999999982</v>
      </c>
    </row>
    <row r="81" spans="1:37" ht="18.75" customHeight="1">
      <c r="A81" t="s">
        <v>156</v>
      </c>
      <c r="B81" s="171">
        <v>1</v>
      </c>
      <c r="C81" s="176" t="str">
        <f t="shared" si="50"/>
        <v>BUSINESS CLASS1110</v>
      </c>
      <c r="D81" s="172"/>
      <c r="E81" s="304">
        <v>1088</v>
      </c>
      <c r="F81" s="310">
        <v>110</v>
      </c>
      <c r="G81" t="str">
        <f>VLOOKUP(E81,'FG MASTER'!$A:$AB,2,0)</f>
        <v>BC C1 DINNER COLD STARTER 1 PROSCUITTO WRAPPED GRILLED PEACHES, FRISSEE, LIME MINT WATERMELON CHUNK, FETA CUBES, MINT LIME VINAIGRETTE GEL</v>
      </c>
      <c r="H81" s="285">
        <v>1</v>
      </c>
      <c r="I81" s="173">
        <v>0</v>
      </c>
      <c r="J81" s="291">
        <f>IFERROR(IF(I81="std",H81,HLOOKUP(A81,'FlightConfig '!$B$34:$G$35,2,0)*I81),"")</f>
        <v>0</v>
      </c>
      <c r="K81" s="244">
        <f>VLOOKUP(Food!E81,'FG MASTER'!$A$1:$AC$536,16,0)</f>
        <v>2.91</v>
      </c>
      <c r="L81" s="245">
        <f>VLOOKUP(Food!E81,'FG MASTER'!$A$10:$AC$536,17,0)</f>
        <v>3.75</v>
      </c>
      <c r="M81" s="132">
        <f t="shared" si="34"/>
        <v>1.5</v>
      </c>
      <c r="N81" s="132">
        <f t="shared" si="35"/>
        <v>4.41</v>
      </c>
      <c r="O81" s="132">
        <f t="shared" si="36"/>
        <v>0.6402000000000001</v>
      </c>
      <c r="P81" s="132">
        <f t="shared" si="37"/>
        <v>0.29999999999999982</v>
      </c>
      <c r="Q81" s="132">
        <f t="shared" si="51"/>
        <v>5.3502000000000001</v>
      </c>
      <c r="R81" s="402">
        <f t="shared" si="39"/>
        <v>3.5502000000000002</v>
      </c>
      <c r="S81" s="402">
        <f t="shared" si="40"/>
        <v>1.7999999999999998</v>
      </c>
      <c r="T81" s="402">
        <f t="shared" si="41"/>
        <v>5.3502000000000001</v>
      </c>
      <c r="U81" s="127">
        <v>5.08</v>
      </c>
      <c r="V81" s="127"/>
      <c r="W81" t="str">
        <f>IFERROR(#REF!*J81,"")</f>
        <v/>
      </c>
      <c r="X81">
        <f t="shared" si="42"/>
        <v>0</v>
      </c>
      <c r="Y81">
        <f t="shared" si="43"/>
        <v>0</v>
      </c>
      <c r="Z81" s="127">
        <f t="shared" si="44"/>
        <v>0</v>
      </c>
      <c r="AA81" s="127">
        <f t="shared" si="45"/>
        <v>0</v>
      </c>
      <c r="AB81" s="127">
        <f t="shared" si="46"/>
        <v>0</v>
      </c>
      <c r="AC81" s="127">
        <f t="shared" si="47"/>
        <v>0</v>
      </c>
      <c r="AD81" s="127">
        <f t="shared" si="48"/>
        <v>0</v>
      </c>
      <c r="AF81" s="127" t="str">
        <f>IFERROR(W81*'FlightConfig '!$K$3,"")</f>
        <v/>
      </c>
      <c r="AG81" s="127">
        <f>IFERROR(X81*'FlightConfig '!$K$23,"")</f>
        <v>0</v>
      </c>
      <c r="AH81" s="127">
        <f>IFERROR(Y81*'FlightConfig '!$K$23,"")</f>
        <v>0</v>
      </c>
      <c r="AI81" s="127">
        <f>IFERROR(Z81*'FlightConfig '!$K$23,"")</f>
        <v>0</v>
      </c>
      <c r="AJ81" s="127">
        <f>IFERROR(AA81*'FlightConfig '!$K$23,"")</f>
        <v>0</v>
      </c>
      <c r="AK81" s="127">
        <f>IFERROR(AB81*'FlightConfig '!$K$23,"")</f>
        <v>0</v>
      </c>
    </row>
    <row r="82" spans="1:37" ht="18.75" customHeight="1">
      <c r="A82" t="s">
        <v>156</v>
      </c>
      <c r="B82" s="171">
        <v>1</v>
      </c>
      <c r="C82" s="176" t="str">
        <f t="shared" si="50"/>
        <v>BUSINESS CLASS1110</v>
      </c>
      <c r="D82" s="172"/>
      <c r="E82" s="304">
        <v>1089</v>
      </c>
      <c r="F82" s="310">
        <v>110</v>
      </c>
      <c r="G82" t="str">
        <f>VLOOKUP(E82,'FG MASTER'!$A:$AB,2,0)</f>
        <v xml:space="preserve">BC C1 DINNER HOT STARTER 2 PIMENTO CHEESE, GREEN TOMATO FRITTER, DOU SOUTH RED PEPPER JELLY </v>
      </c>
      <c r="H82" s="285">
        <v>1</v>
      </c>
      <c r="I82" s="173">
        <v>0</v>
      </c>
      <c r="J82" s="291">
        <f>IFERROR(IF(I82="std",H82,HLOOKUP(A82,'FlightConfig '!$B$34:$G$35,2,0)*I82),"")</f>
        <v>0</v>
      </c>
      <c r="K82" s="244">
        <f>VLOOKUP(Food!E82,'FG MASTER'!$A$1:$AC$536,16,0)</f>
        <v>1.24</v>
      </c>
      <c r="L82" s="245">
        <f>VLOOKUP(Food!E82,'FG MASTER'!$A$10:$AC$536,17,0)</f>
        <v>3.25</v>
      </c>
      <c r="M82" s="132">
        <f t="shared" si="34"/>
        <v>1.3</v>
      </c>
      <c r="N82" s="132">
        <f t="shared" si="35"/>
        <v>2.54</v>
      </c>
      <c r="O82" s="132">
        <f t="shared" si="36"/>
        <v>0.27279999999999993</v>
      </c>
      <c r="P82" s="132">
        <f t="shared" si="37"/>
        <v>0.26</v>
      </c>
      <c r="Q82" s="132">
        <f t="shared" si="51"/>
        <v>3.0728</v>
      </c>
      <c r="R82" s="402">
        <f t="shared" si="39"/>
        <v>1.5127999999999999</v>
      </c>
      <c r="S82" s="402">
        <f t="shared" si="40"/>
        <v>1.56</v>
      </c>
      <c r="T82" s="402">
        <f t="shared" si="41"/>
        <v>3.0728</v>
      </c>
      <c r="U82" s="127">
        <v>2.93</v>
      </c>
      <c r="V82" s="127"/>
      <c r="W82" t="str">
        <f>IFERROR(#REF!*J82,"")</f>
        <v/>
      </c>
      <c r="X82">
        <f t="shared" si="42"/>
        <v>0</v>
      </c>
      <c r="Y82">
        <f t="shared" si="43"/>
        <v>0</v>
      </c>
      <c r="Z82" s="127">
        <f t="shared" si="44"/>
        <v>0</v>
      </c>
      <c r="AA82" s="127">
        <f t="shared" si="45"/>
        <v>0</v>
      </c>
      <c r="AB82" s="127">
        <f t="shared" si="46"/>
        <v>0</v>
      </c>
      <c r="AC82" s="127">
        <f t="shared" si="47"/>
        <v>0</v>
      </c>
      <c r="AD82" s="127">
        <f t="shared" si="48"/>
        <v>0</v>
      </c>
      <c r="AF82" s="127" t="str">
        <f>IFERROR(W82*'FlightConfig '!$K$3,"")</f>
        <v/>
      </c>
      <c r="AG82" s="127">
        <f>IFERROR(X82*'FlightConfig '!$K$23,"")</f>
        <v>0</v>
      </c>
      <c r="AH82" s="127">
        <f>IFERROR(Y82*'FlightConfig '!$K$23,"")</f>
        <v>0</v>
      </c>
      <c r="AI82" s="127">
        <f>IFERROR(Z82*'FlightConfig '!$K$23,"")</f>
        <v>0</v>
      </c>
      <c r="AJ82" s="127">
        <f>IFERROR(AA82*'FlightConfig '!$K$23,"")</f>
        <v>0</v>
      </c>
      <c r="AK82" s="127">
        <f>IFERROR(AB82*'FlightConfig '!$K$23,"")</f>
        <v>0</v>
      </c>
    </row>
    <row r="83" spans="1:37" ht="18.75" customHeight="1">
      <c r="A83" t="s">
        <v>156</v>
      </c>
      <c r="B83" s="171">
        <v>1</v>
      </c>
      <c r="C83" s="176" t="str">
        <f t="shared" si="50"/>
        <v>BUSINESS CLASS1110</v>
      </c>
      <c r="D83" s="172"/>
      <c r="E83" s="304">
        <v>1092</v>
      </c>
      <c r="F83" s="310">
        <v>110</v>
      </c>
      <c r="G83" t="str">
        <f>VLOOKUP(E83,'FG MASTER'!$A:$AB,2,0)</f>
        <v>BC C1 DINNER GARNISH ARUGULA</v>
      </c>
      <c r="H83" s="285">
        <v>1</v>
      </c>
      <c r="I83" s="173">
        <v>0.6</v>
      </c>
      <c r="J83" s="291">
        <f>IFERROR(IF(I83="std",H83,HLOOKUP(A83,'FlightConfig '!$B$34:$G$35,2,0)*I83),"")</f>
        <v>18</v>
      </c>
      <c r="K83" s="244">
        <f>VLOOKUP(Food!E83,'FG MASTER'!$A$1:$AC$536,16,0)</f>
        <v>3</v>
      </c>
      <c r="L83" s="245">
        <f>VLOOKUP(Food!E83,'FG MASTER'!$A$10:$AC$536,17,0)</f>
        <v>1</v>
      </c>
      <c r="M83" s="132">
        <f t="shared" si="34"/>
        <v>0.4</v>
      </c>
      <c r="N83" s="132">
        <f t="shared" si="35"/>
        <v>3.4</v>
      </c>
      <c r="O83" s="132">
        <f t="shared" si="36"/>
        <v>0.66000000000000014</v>
      </c>
      <c r="P83" s="132">
        <f t="shared" si="37"/>
        <v>7.999999999999996E-2</v>
      </c>
      <c r="Q83" s="132">
        <f t="shared" si="51"/>
        <v>4.1400000000000006</v>
      </c>
      <c r="R83" s="402">
        <f t="shared" si="39"/>
        <v>3.66</v>
      </c>
      <c r="S83" s="402">
        <f t="shared" si="40"/>
        <v>0.48</v>
      </c>
      <c r="T83" s="402">
        <f t="shared" si="41"/>
        <v>4.1400000000000006</v>
      </c>
      <c r="U83" s="127"/>
      <c r="V83" s="127"/>
      <c r="W83" t="str">
        <f>IFERROR(#REF!*J83,"")</f>
        <v/>
      </c>
      <c r="X83">
        <f t="shared" si="42"/>
        <v>54</v>
      </c>
      <c r="Y83">
        <f t="shared" si="43"/>
        <v>18</v>
      </c>
      <c r="Z83" s="127">
        <f t="shared" si="44"/>
        <v>7.2</v>
      </c>
      <c r="AA83" s="127">
        <f t="shared" si="45"/>
        <v>61.199999999999996</v>
      </c>
      <c r="AB83" s="127">
        <f t="shared" si="46"/>
        <v>11.880000000000003</v>
      </c>
      <c r="AC83" s="127">
        <f t="shared" si="47"/>
        <v>1.4399999999999993</v>
      </c>
      <c r="AD83" s="127">
        <f t="shared" si="48"/>
        <v>74.52000000000001</v>
      </c>
      <c r="AF83" s="127" t="str">
        <f>IFERROR(W83*'FlightConfig '!$K$3,"")</f>
        <v/>
      </c>
      <c r="AG83" s="127">
        <f>IFERROR(X83*'FlightConfig '!$K$23,"")</f>
        <v>19656</v>
      </c>
      <c r="AH83" s="127">
        <f>IFERROR(Y83*'FlightConfig '!$K$23,"")</f>
        <v>6552</v>
      </c>
      <c r="AI83" s="127">
        <f>IFERROR(Z83*'FlightConfig '!$K$23,"")</f>
        <v>2620.8000000000002</v>
      </c>
      <c r="AJ83" s="127">
        <f>IFERROR(AA83*'FlightConfig '!$K$23,"")</f>
        <v>22276.799999999999</v>
      </c>
      <c r="AK83" s="127">
        <f>IFERROR(AB83*'FlightConfig '!$K$23,"")</f>
        <v>4324.3200000000006</v>
      </c>
    </row>
    <row r="84" spans="1:37" ht="18.75" customHeight="1">
      <c r="A84" t="s">
        <v>156</v>
      </c>
      <c r="B84" s="171">
        <v>1</v>
      </c>
      <c r="C84" s="176" t="str">
        <f t="shared" si="50"/>
        <v>BUSINESS CLASS1110</v>
      </c>
      <c r="D84" s="172"/>
      <c r="E84" s="304">
        <v>1093</v>
      </c>
      <c r="F84" s="310">
        <v>110</v>
      </c>
      <c r="G84" t="str">
        <f>VLOOKUP(E84,'FG MASTER'!$A:$AB,2,0)</f>
        <v>BC C1 DINNER ENTRÉE 1 LEMON CHICKEN BREAST, WILD MUSHROOM CONSERVA, LEMON CHICKEN JUS, ROASTED FINGERLING POTATOES, HARICOT VERT</v>
      </c>
      <c r="H84" s="285">
        <v>1</v>
      </c>
      <c r="I84" s="173">
        <v>0.6</v>
      </c>
      <c r="J84" s="291">
        <f>IFERROR(IF(I84="std",H84,HLOOKUP(A84,'FlightConfig '!$B$34:$G$35,2,0)*I84),"")</f>
        <v>18</v>
      </c>
      <c r="K84" s="244">
        <f>VLOOKUP(Food!E84,'FG MASTER'!$A$1:$AC$536,16,0)</f>
        <v>5.72</v>
      </c>
      <c r="L84" s="245">
        <f>VLOOKUP(Food!E84,'FG MASTER'!$A$10:$AC$536,17,0)</f>
        <v>5.75</v>
      </c>
      <c r="M84" s="132">
        <f t="shared" si="34"/>
        <v>2.3000000000000003</v>
      </c>
      <c r="N84" s="132">
        <f t="shared" si="35"/>
        <v>8.02</v>
      </c>
      <c r="O84" s="132">
        <f t="shared" si="36"/>
        <v>1.2584</v>
      </c>
      <c r="P84" s="132">
        <f t="shared" si="37"/>
        <v>0.45999999999999996</v>
      </c>
      <c r="Q84" s="132">
        <f>SUM(N84:P84)</f>
        <v>9.7383999999999986</v>
      </c>
      <c r="R84" s="402">
        <f t="shared" si="39"/>
        <v>6.9783999999999997</v>
      </c>
      <c r="S84" s="402">
        <f t="shared" si="40"/>
        <v>2.7600000000000002</v>
      </c>
      <c r="T84" s="402">
        <f t="shared" si="41"/>
        <v>9.7384000000000004</v>
      </c>
      <c r="U84" s="127">
        <v>9.23</v>
      </c>
      <c r="V84" s="127"/>
      <c r="W84" t="str">
        <f>IFERROR(#REF!*J84,"")</f>
        <v/>
      </c>
      <c r="X84">
        <f t="shared" si="42"/>
        <v>102.96</v>
      </c>
      <c r="Y84">
        <f t="shared" si="43"/>
        <v>103.5</v>
      </c>
      <c r="Z84" s="127">
        <f t="shared" si="44"/>
        <v>41.400000000000006</v>
      </c>
      <c r="AA84" s="127">
        <f t="shared" si="45"/>
        <v>144.35999999999999</v>
      </c>
      <c r="AB84" s="127">
        <f t="shared" si="46"/>
        <v>22.651199999999999</v>
      </c>
      <c r="AC84" s="127">
        <f t="shared" si="47"/>
        <v>8.2799999999999994</v>
      </c>
      <c r="AD84" s="127">
        <f t="shared" si="48"/>
        <v>175.29119999999998</v>
      </c>
      <c r="AF84" s="127" t="str">
        <f>IFERROR(W84*'FlightConfig '!$K$3,"")</f>
        <v/>
      </c>
      <c r="AG84" s="127">
        <f>IFERROR(X84*'FlightConfig '!$K$23,"")</f>
        <v>37477.439999999995</v>
      </c>
      <c r="AH84" s="127">
        <f>IFERROR(Y84*'FlightConfig '!$K$23,"")</f>
        <v>37674</v>
      </c>
      <c r="AI84" s="127">
        <f>IFERROR(Z84*'FlightConfig '!$K$23,"")</f>
        <v>15069.600000000002</v>
      </c>
      <c r="AJ84" s="127">
        <f>IFERROR(AA84*'FlightConfig '!$K$23,"")</f>
        <v>52547.039999999994</v>
      </c>
      <c r="AK84" s="127">
        <f>IFERROR(AB84*'FlightConfig '!$K$23,"")</f>
        <v>8245.0367999999999</v>
      </c>
    </row>
    <row r="85" spans="1:37" ht="18.75" customHeight="1">
      <c r="A85" t="s">
        <v>156</v>
      </c>
      <c r="B85" s="171">
        <v>1</v>
      </c>
      <c r="C85" s="176" t="str">
        <f t="shared" si="50"/>
        <v>BUSINESS CLASS1110</v>
      </c>
      <c r="D85" s="172"/>
      <c r="E85" s="304">
        <v>1094</v>
      </c>
      <c r="F85" s="310">
        <v>110</v>
      </c>
      <c r="G85" t="str">
        <f>VLOOKUP(E85,'FG MASTER'!$A:$AB,2,0)</f>
        <v>BC C1 DINNER ENTRÉE 2 HALIBUT, TOMATO CITRUS NAGE, FENNEL CAPER OLIVE RELISH, SAFFRON COUSCOUS, BLISTERED TOMATO</v>
      </c>
      <c r="H85" s="285">
        <v>1</v>
      </c>
      <c r="I85" s="173">
        <v>0.3</v>
      </c>
      <c r="J85" s="291">
        <f>IFERROR(IF(I85="std",H85,HLOOKUP(A85,'FlightConfig '!$B$34:$G$35,2,0)*I85),"")</f>
        <v>9</v>
      </c>
      <c r="K85" s="244">
        <f>VLOOKUP(Food!E85,'FG MASTER'!$A$1:$AC$536,16,0)</f>
        <v>10.86</v>
      </c>
      <c r="L85" s="245">
        <f>VLOOKUP(Food!E85,'FG MASTER'!$A$10:$AC$536,17,0)</f>
        <v>7</v>
      </c>
      <c r="M85" s="132">
        <f t="shared" si="34"/>
        <v>2.8000000000000003</v>
      </c>
      <c r="N85" s="132">
        <f t="shared" si="35"/>
        <v>13.66</v>
      </c>
      <c r="O85" s="132">
        <f t="shared" si="36"/>
        <v>2.3891999999999989</v>
      </c>
      <c r="P85" s="132">
        <f t="shared" si="37"/>
        <v>0.56000000000000005</v>
      </c>
      <c r="Q85" s="132">
        <f t="shared" ref="Q85:Q87" si="52">SUM(N85:P85)</f>
        <v>16.609199999999998</v>
      </c>
      <c r="R85" s="402">
        <f t="shared" si="39"/>
        <v>13.249199999999998</v>
      </c>
      <c r="S85" s="402">
        <f t="shared" si="40"/>
        <v>3.3600000000000003</v>
      </c>
      <c r="T85" s="402">
        <f t="shared" si="41"/>
        <v>16.609199999999998</v>
      </c>
      <c r="U85" s="127"/>
      <c r="V85" s="127"/>
      <c r="W85" t="str">
        <f>IFERROR(#REF!*J85,"")</f>
        <v/>
      </c>
      <c r="X85">
        <f t="shared" si="42"/>
        <v>97.74</v>
      </c>
      <c r="Y85">
        <f t="shared" si="43"/>
        <v>63</v>
      </c>
      <c r="Z85" s="127">
        <f t="shared" si="44"/>
        <v>25.200000000000003</v>
      </c>
      <c r="AA85" s="127">
        <f t="shared" si="45"/>
        <v>122.94</v>
      </c>
      <c r="AB85" s="127">
        <f t="shared" si="46"/>
        <v>21.50279999999999</v>
      </c>
      <c r="AC85" s="127">
        <f t="shared" si="47"/>
        <v>5.0400000000000009</v>
      </c>
      <c r="AD85" s="127">
        <f t="shared" si="48"/>
        <v>149.48279999999997</v>
      </c>
      <c r="AF85" s="127" t="str">
        <f>IFERROR(W85*'FlightConfig '!$K$3,"")</f>
        <v/>
      </c>
      <c r="AG85" s="127">
        <f>IFERROR(X85*'FlightConfig '!$K$23,"")</f>
        <v>35577.360000000001</v>
      </c>
      <c r="AH85" s="127">
        <f>IFERROR(Y85*'FlightConfig '!$K$23,"")</f>
        <v>22932</v>
      </c>
      <c r="AI85" s="127">
        <f>IFERROR(Z85*'FlightConfig '!$K$23,"")</f>
        <v>9172.8000000000011</v>
      </c>
      <c r="AJ85" s="127">
        <f>IFERROR(AA85*'FlightConfig '!$K$23,"")</f>
        <v>44750.159999999996</v>
      </c>
      <c r="AK85" s="127">
        <f>IFERROR(AB85*'FlightConfig '!$K$23,"")</f>
        <v>7827.0191999999961</v>
      </c>
    </row>
    <row r="86" spans="1:37" ht="18.75" customHeight="1">
      <c r="A86" t="s">
        <v>156</v>
      </c>
      <c r="B86" s="171">
        <v>1</v>
      </c>
      <c r="C86" s="176" t="str">
        <f t="shared" si="50"/>
        <v>BUSINESS CLASS1110</v>
      </c>
      <c r="D86" s="172"/>
      <c r="E86" s="305">
        <v>1095</v>
      </c>
      <c r="F86" s="310">
        <v>110</v>
      </c>
      <c r="G86" t="str">
        <f>VLOOKUP(E86,'FG MASTER'!$A:$AB,2,0)</f>
        <v>BC C1 DINNER ENTRÉE 3 TRUFFLE PARM RISSOTTO, GRILLED BABY ZUCCHINI, MUSHROOM VONSERVA, ASPARAGUS, BABY ARTICHOKE</v>
      </c>
      <c r="H86" s="285">
        <v>1</v>
      </c>
      <c r="I86" s="173">
        <v>0.3</v>
      </c>
      <c r="J86" s="291">
        <f>IFERROR(IF(I86="std",H86,HLOOKUP(A86,'FlightConfig '!$B$34:$G$35,2,0)*I86),"")</f>
        <v>9</v>
      </c>
      <c r="K86" s="244">
        <f>VLOOKUP(Food!E86,'FG MASTER'!$A$1:$AC$536,16,0)</f>
        <v>4.47</v>
      </c>
      <c r="L86" s="245">
        <f>VLOOKUP(Food!E86,'FG MASTER'!$A$10:$AC$536,17,0)</f>
        <v>3.75</v>
      </c>
      <c r="M86" s="132">
        <f t="shared" si="34"/>
        <v>1.5</v>
      </c>
      <c r="N86" s="132">
        <f t="shared" si="35"/>
        <v>5.97</v>
      </c>
      <c r="O86" s="132">
        <f t="shared" si="36"/>
        <v>0.98339999999999961</v>
      </c>
      <c r="P86" s="132">
        <f t="shared" si="37"/>
        <v>0.29999999999999982</v>
      </c>
      <c r="Q86" s="132">
        <f t="shared" si="52"/>
        <v>7.2533999999999992</v>
      </c>
      <c r="R86" s="402">
        <f t="shared" si="39"/>
        <v>5.4533999999999994</v>
      </c>
      <c r="S86" s="402">
        <f t="shared" si="40"/>
        <v>1.7999999999999998</v>
      </c>
      <c r="T86" s="402">
        <f t="shared" si="41"/>
        <v>7.2533999999999992</v>
      </c>
      <c r="U86" s="127"/>
      <c r="V86" s="127"/>
      <c r="W86" t="str">
        <f>IFERROR(#REF!*J86,"")</f>
        <v/>
      </c>
      <c r="X86">
        <f t="shared" si="42"/>
        <v>40.229999999999997</v>
      </c>
      <c r="Y86">
        <f t="shared" si="43"/>
        <v>33.75</v>
      </c>
      <c r="Z86" s="127">
        <f t="shared" si="44"/>
        <v>13.5</v>
      </c>
      <c r="AA86" s="127">
        <f t="shared" si="45"/>
        <v>53.73</v>
      </c>
      <c r="AB86" s="127">
        <f t="shared" si="46"/>
        <v>8.8505999999999965</v>
      </c>
      <c r="AC86" s="127">
        <f t="shared" si="47"/>
        <v>2.6999999999999984</v>
      </c>
      <c r="AD86" s="127">
        <f t="shared" si="48"/>
        <v>65.280599999999993</v>
      </c>
      <c r="AF86" s="127" t="str">
        <f>IFERROR(W86*'FlightConfig '!$K$3,"")</f>
        <v/>
      </c>
      <c r="AG86" s="127">
        <f>IFERROR(X86*'FlightConfig '!$K$23,"")</f>
        <v>14643.72</v>
      </c>
      <c r="AH86" s="127">
        <f>IFERROR(Y86*'FlightConfig '!$K$23,"")</f>
        <v>12285</v>
      </c>
      <c r="AI86" s="127">
        <f>IFERROR(Z86*'FlightConfig '!$K$23,"")</f>
        <v>4914</v>
      </c>
      <c r="AJ86" s="127">
        <f>IFERROR(AA86*'FlightConfig '!$K$23,"")</f>
        <v>19557.719999999998</v>
      </c>
      <c r="AK86" s="127">
        <f>IFERROR(AB86*'FlightConfig '!$K$23,"")</f>
        <v>3221.6183999999989</v>
      </c>
    </row>
    <row r="87" spans="1:37" ht="18.75" customHeight="1">
      <c r="A87" t="s">
        <v>156</v>
      </c>
      <c r="B87" s="171">
        <v>1</v>
      </c>
      <c r="C87" s="176" t="str">
        <f t="shared" si="50"/>
        <v>BUSINESS CLASS1110</v>
      </c>
      <c r="D87" s="172"/>
      <c r="E87" s="305">
        <v>1096</v>
      </c>
      <c r="F87" s="310">
        <v>110</v>
      </c>
      <c r="G87" t="str">
        <f>VLOOKUP(E87,'FG MASTER'!$A:$AB,2,0)</f>
        <v>BC C1 DINNER ENTRÉE 4 CHALLAH GRILLED TOAST, TRUFFLE CHEESE FILLING, PROVOLONE CHEESE SLICE, SMOKED TOMATO BISQUE</v>
      </c>
      <c r="H87" s="285">
        <v>1</v>
      </c>
      <c r="I87" s="173">
        <v>0.2</v>
      </c>
      <c r="J87" s="291">
        <f>IFERROR(IF(I87="std",H87,HLOOKUP(A87,'FlightConfig '!$B$34:$G$35,2,0)*I87),"")</f>
        <v>6</v>
      </c>
      <c r="K87" s="244">
        <f>VLOOKUP(Food!E87,'FG MASTER'!$A$1:$AC$536,16,0)</f>
        <v>1.43</v>
      </c>
      <c r="L87" s="245">
        <f>VLOOKUP(Food!E87,'FG MASTER'!$A$10:$AC$536,17,0)</f>
        <v>4</v>
      </c>
      <c r="M87" s="132">
        <f t="shared" si="34"/>
        <v>1.6</v>
      </c>
      <c r="N87" s="132">
        <f t="shared" si="35"/>
        <v>3.0300000000000002</v>
      </c>
      <c r="O87" s="132">
        <f t="shared" si="36"/>
        <v>0.31459999999999999</v>
      </c>
      <c r="P87" s="132">
        <f t="shared" si="37"/>
        <v>0.31999999999999984</v>
      </c>
      <c r="Q87" s="132">
        <f t="shared" si="52"/>
        <v>3.6646000000000001</v>
      </c>
      <c r="R87" s="402">
        <f t="shared" si="39"/>
        <v>1.7445999999999999</v>
      </c>
      <c r="S87" s="402">
        <f t="shared" si="40"/>
        <v>1.92</v>
      </c>
      <c r="T87" s="402">
        <f t="shared" si="41"/>
        <v>3.6646000000000001</v>
      </c>
      <c r="U87" s="127"/>
      <c r="V87" s="127"/>
      <c r="W87" t="str">
        <f>IFERROR(#REF!*J87,"")</f>
        <v/>
      </c>
      <c r="X87">
        <f t="shared" si="42"/>
        <v>8.58</v>
      </c>
      <c r="Y87">
        <f t="shared" si="43"/>
        <v>24</v>
      </c>
      <c r="Z87" s="127">
        <f t="shared" si="44"/>
        <v>9.6000000000000014</v>
      </c>
      <c r="AA87" s="127">
        <f t="shared" si="45"/>
        <v>18.18</v>
      </c>
      <c r="AB87" s="127">
        <f t="shared" si="46"/>
        <v>1.8875999999999999</v>
      </c>
      <c r="AC87" s="127">
        <f t="shared" si="47"/>
        <v>1.919999999999999</v>
      </c>
      <c r="AD87" s="127">
        <f t="shared" si="48"/>
        <v>21.9876</v>
      </c>
      <c r="AF87" s="127" t="str">
        <f>IFERROR(W87*'FlightConfig '!$K$3,"")</f>
        <v/>
      </c>
      <c r="AG87" s="127">
        <f>IFERROR(X87*'FlightConfig '!$K$23,"")</f>
        <v>3123.12</v>
      </c>
      <c r="AH87" s="127">
        <f>IFERROR(Y87*'FlightConfig '!$K$23,"")</f>
        <v>8736</v>
      </c>
      <c r="AI87" s="127">
        <f>IFERROR(Z87*'FlightConfig '!$K$23,"")</f>
        <v>3494.4000000000005</v>
      </c>
      <c r="AJ87" s="127">
        <f>IFERROR(AA87*'FlightConfig '!$K$23,"")</f>
        <v>6617.5199999999995</v>
      </c>
      <c r="AK87" s="127">
        <f>IFERROR(AB87*'FlightConfig '!$K$23,"")</f>
        <v>687.08640000000003</v>
      </c>
    </row>
    <row r="88" spans="1:37" ht="18.75" customHeight="1">
      <c r="A88" t="s">
        <v>156</v>
      </c>
      <c r="B88" s="171">
        <v>1</v>
      </c>
      <c r="C88" s="176" t="str">
        <f t="shared" si="50"/>
        <v>BUSINESS CLASS1110</v>
      </c>
      <c r="D88" s="172"/>
      <c r="E88" s="303">
        <v>1097</v>
      </c>
      <c r="F88" s="310">
        <v>110</v>
      </c>
      <c r="G88" t="str">
        <f>VLOOKUP(E88,'FG MASTER'!$A:$AB,2,0)</f>
        <v xml:space="preserve">BC C1 DINNER ENTRÉE GARNISH BASIL OIL </v>
      </c>
      <c r="H88" s="285">
        <v>1</v>
      </c>
      <c r="I88" s="173">
        <v>0</v>
      </c>
      <c r="J88" s="291">
        <f>IFERROR(IF(I88="std",H88,HLOOKUP(A88,'FlightConfig '!$B$34:$G$35,2,0)*I88),"")</f>
        <v>0</v>
      </c>
      <c r="K88" s="244">
        <f>VLOOKUP(Food!E88,'FG MASTER'!$A$1:$AC$536,16,0)</f>
        <v>4.4400000000000004</v>
      </c>
      <c r="L88" s="245">
        <f>VLOOKUP(Food!E88,'FG MASTER'!$A$10:$AC$536,17,0)</f>
        <v>2</v>
      </c>
      <c r="M88" s="132">
        <f t="shared" si="34"/>
        <v>0.8</v>
      </c>
      <c r="N88" s="132">
        <f t="shared" si="35"/>
        <v>5.24</v>
      </c>
      <c r="O88" s="132">
        <f t="shared" si="36"/>
        <v>0.97679999999999989</v>
      </c>
      <c r="P88" s="132">
        <f t="shared" si="37"/>
        <v>0.15999999999999992</v>
      </c>
      <c r="Q88" s="132">
        <f>SUM(N88:P88)</f>
        <v>6.3768000000000002</v>
      </c>
      <c r="R88" s="402">
        <f t="shared" si="39"/>
        <v>5.4168000000000003</v>
      </c>
      <c r="S88" s="402">
        <f t="shared" si="40"/>
        <v>0.96</v>
      </c>
      <c r="T88" s="402">
        <f t="shared" si="41"/>
        <v>6.3768000000000002</v>
      </c>
      <c r="U88" s="127"/>
      <c r="W88" t="str">
        <f>IFERROR(#REF!*J88,"")</f>
        <v/>
      </c>
      <c r="X88">
        <f t="shared" si="42"/>
        <v>0</v>
      </c>
      <c r="Y88">
        <f t="shared" si="43"/>
        <v>0</v>
      </c>
      <c r="Z88" s="127">
        <f t="shared" si="44"/>
        <v>0</v>
      </c>
      <c r="AA88" s="127">
        <f t="shared" si="45"/>
        <v>0</v>
      </c>
      <c r="AB88" s="127">
        <f t="shared" si="46"/>
        <v>0</v>
      </c>
      <c r="AC88" s="127">
        <f t="shared" si="47"/>
        <v>0</v>
      </c>
      <c r="AD88" s="127">
        <f t="shared" si="48"/>
        <v>0</v>
      </c>
      <c r="AF88" s="127" t="str">
        <f>IFERROR(W88*'FlightConfig '!$K$3,"")</f>
        <v/>
      </c>
      <c r="AG88" s="127">
        <f>IFERROR(X88*'FlightConfig '!$K$23,"")</f>
        <v>0</v>
      </c>
      <c r="AH88" s="127">
        <f>IFERROR(Y88*'FlightConfig '!$K$23,"")</f>
        <v>0</v>
      </c>
      <c r="AI88" s="127">
        <f>IFERROR(Z88*'FlightConfig '!$K$23,"")</f>
        <v>0</v>
      </c>
      <c r="AJ88" s="127">
        <f>IFERROR(AA88*'FlightConfig '!$K$23,"")</f>
        <v>0</v>
      </c>
      <c r="AK88" s="127">
        <f>IFERROR(AB88*'FlightConfig '!$K$23,"")</f>
        <v>0</v>
      </c>
    </row>
    <row r="89" spans="1:37" ht="18.75" customHeight="1">
      <c r="A89" t="s">
        <v>156</v>
      </c>
      <c r="B89" s="171">
        <v>1</v>
      </c>
      <c r="C89" s="176" t="str">
        <f t="shared" si="50"/>
        <v>BUSINESS CLASS1110</v>
      </c>
      <c r="D89" s="172"/>
      <c r="E89" s="305">
        <v>1098</v>
      </c>
      <c r="F89" s="310">
        <v>110</v>
      </c>
      <c r="G89" t="str">
        <f>VLOOKUP(E89,'FG MASTER'!$A:$AB,2,0)</f>
        <v xml:space="preserve">BC C1 DINNER DESSERT 1 CHOCOLATE CAKE, COCOA BUTTER CREAM STRAWBERRY COULIS, CHOCOLATE PEARLS, CHANTILLY CREAM </v>
      </c>
      <c r="H89" s="285">
        <v>1</v>
      </c>
      <c r="I89" s="173">
        <v>0.4</v>
      </c>
      <c r="J89" s="291">
        <f>IFERROR(IF(I89="std",H89,HLOOKUP(A89,'FlightConfig '!$B$34:$G$35,2,0)*I89),"")</f>
        <v>12</v>
      </c>
      <c r="K89" s="244">
        <f>VLOOKUP(Food!E89,'FG MASTER'!$A$1:$AC$536,16,0)</f>
        <v>2.0299999999999998</v>
      </c>
      <c r="L89" s="245">
        <f>VLOOKUP(Food!E89,'FG MASTER'!$A$10:$AC$536,17,0)</f>
        <v>2.75</v>
      </c>
      <c r="M89" s="132">
        <f>IFERROR(L89*$M$2,"")</f>
        <v>1.1000000000000001</v>
      </c>
      <c r="N89" s="132">
        <f t="shared" si="35"/>
        <v>3.13</v>
      </c>
      <c r="O89" s="132">
        <f t="shared" si="36"/>
        <v>0.44660000000000011</v>
      </c>
      <c r="P89" s="132">
        <f t="shared" si="37"/>
        <v>0.21999999999999997</v>
      </c>
      <c r="Q89" s="132">
        <f t="shared" ref="Q89:Q93" si="53">SUM(N89:P89)</f>
        <v>3.7965999999999998</v>
      </c>
      <c r="R89" s="402">
        <f t="shared" si="39"/>
        <v>2.4765999999999999</v>
      </c>
      <c r="S89" s="402">
        <f t="shared" si="40"/>
        <v>1.32</v>
      </c>
      <c r="T89" s="402">
        <f t="shared" si="41"/>
        <v>3.7965999999999998</v>
      </c>
      <c r="U89" s="127"/>
      <c r="V89" s="127"/>
      <c r="W89" t="str">
        <f>IFERROR(#REF!*J89,"")</f>
        <v/>
      </c>
      <c r="X89">
        <f t="shared" si="42"/>
        <v>24.36</v>
      </c>
      <c r="Y89">
        <f t="shared" si="43"/>
        <v>33</v>
      </c>
      <c r="Z89" s="127">
        <f t="shared" si="44"/>
        <v>13.200000000000001</v>
      </c>
      <c r="AA89" s="127">
        <f t="shared" si="45"/>
        <v>37.56</v>
      </c>
      <c r="AB89" s="127">
        <f t="shared" si="46"/>
        <v>5.3592000000000013</v>
      </c>
      <c r="AC89" s="127">
        <f t="shared" si="47"/>
        <v>2.6399999999999997</v>
      </c>
      <c r="AD89" s="127">
        <f t="shared" si="48"/>
        <v>45.559199999999997</v>
      </c>
      <c r="AF89" s="127" t="str">
        <f>IFERROR(W89*'FlightConfig '!$K$3,"")</f>
        <v/>
      </c>
      <c r="AG89" s="127">
        <f>IFERROR(X89*'FlightConfig '!$K$23,"")</f>
        <v>8867.0399999999991</v>
      </c>
      <c r="AH89" s="127">
        <f>IFERROR(Y89*'FlightConfig '!$K$23,"")</f>
        <v>12012</v>
      </c>
      <c r="AI89" s="127">
        <f>IFERROR(Z89*'FlightConfig '!$K$23,"")</f>
        <v>4804.8</v>
      </c>
      <c r="AJ89" s="127">
        <f>IFERROR(AA89*'FlightConfig '!$K$23,"")</f>
        <v>13671.84</v>
      </c>
      <c r="AK89" s="127">
        <f>IFERROR(AB89*'FlightConfig '!$K$23,"")</f>
        <v>1950.7488000000005</v>
      </c>
    </row>
    <row r="90" spans="1:37" ht="18.75" customHeight="1">
      <c r="A90" t="s">
        <v>156</v>
      </c>
      <c r="B90" s="171">
        <v>1</v>
      </c>
      <c r="C90" s="176" t="str">
        <f t="shared" si="50"/>
        <v>BUSINESS CLASS1110</v>
      </c>
      <c r="D90" s="172"/>
      <c r="E90" s="303">
        <v>1099</v>
      </c>
      <c r="F90" s="310">
        <v>110</v>
      </c>
      <c r="G90" t="str">
        <f>VLOOKUP(E90,'FG MASTER'!$A:$AB,2,0)</f>
        <v xml:space="preserve">BC C1 DINNER DESSERT 2 STICKY TOFFEE PUDDINGM TOFFEE SAUCE, CHANTILLY CREAM </v>
      </c>
      <c r="H90" s="285">
        <v>1</v>
      </c>
      <c r="I90" s="173">
        <v>0.5</v>
      </c>
      <c r="J90" s="291">
        <f>IFERROR(IF(I90="std",H90,HLOOKUP(A90,'FlightConfig '!$B$34:$G$35,2,0)*I90),"")</f>
        <v>15</v>
      </c>
      <c r="K90" s="244">
        <f>VLOOKUP(Food!E90,'FG MASTER'!$A$1:$AC$536,16,0)</f>
        <v>1.02</v>
      </c>
      <c r="L90" s="245">
        <f>VLOOKUP(Food!E90,'FG MASTER'!$A$10:$AC$536,17,0)</f>
        <v>1.5</v>
      </c>
      <c r="M90" s="132">
        <f t="shared" si="34"/>
        <v>0.60000000000000009</v>
      </c>
      <c r="N90" s="132">
        <f t="shared" si="35"/>
        <v>1.62</v>
      </c>
      <c r="O90" s="132">
        <f t="shared" si="36"/>
        <v>0.22439999999999993</v>
      </c>
      <c r="P90" s="132">
        <f t="shared" si="37"/>
        <v>0.12</v>
      </c>
      <c r="Q90" s="132">
        <f t="shared" si="53"/>
        <v>1.9643999999999999</v>
      </c>
      <c r="R90" s="402">
        <f t="shared" si="39"/>
        <v>1.2444</v>
      </c>
      <c r="S90" s="402">
        <f t="shared" si="40"/>
        <v>0.72000000000000008</v>
      </c>
      <c r="T90" s="402">
        <f t="shared" si="41"/>
        <v>1.9643999999999999</v>
      </c>
      <c r="U90" s="127"/>
      <c r="V90" s="127"/>
      <c r="W90" t="str">
        <f>IFERROR(#REF!*J90,"")</f>
        <v/>
      </c>
      <c r="X90">
        <f t="shared" si="42"/>
        <v>15.3</v>
      </c>
      <c r="Y90">
        <f t="shared" si="43"/>
        <v>22.5</v>
      </c>
      <c r="Z90" s="127">
        <f t="shared" si="44"/>
        <v>9.0000000000000018</v>
      </c>
      <c r="AA90" s="127">
        <f t="shared" si="45"/>
        <v>24.3</v>
      </c>
      <c r="AB90" s="127">
        <f t="shared" si="46"/>
        <v>3.3659999999999988</v>
      </c>
      <c r="AC90" s="127">
        <f t="shared" si="47"/>
        <v>1.7999999999999998</v>
      </c>
      <c r="AD90" s="127">
        <f t="shared" si="48"/>
        <v>29.465999999999998</v>
      </c>
      <c r="AF90" s="127" t="str">
        <f>IFERROR(W90*'FlightConfig '!$K$3,"")</f>
        <v/>
      </c>
      <c r="AG90" s="127">
        <f>IFERROR(X90*'FlightConfig '!$K$23,"")</f>
        <v>5569.2</v>
      </c>
      <c r="AH90" s="127">
        <f>IFERROR(Y90*'FlightConfig '!$K$23,"")</f>
        <v>8190</v>
      </c>
      <c r="AI90" s="127">
        <f>IFERROR(Z90*'FlightConfig '!$K$23,"")</f>
        <v>3276.0000000000005</v>
      </c>
      <c r="AJ90" s="127">
        <f>IFERROR(AA90*'FlightConfig '!$K$23,"")</f>
        <v>8845.2000000000007</v>
      </c>
      <c r="AK90" s="127">
        <f>IFERROR(AB90*'FlightConfig '!$K$23,"")</f>
        <v>1225.2239999999995</v>
      </c>
    </row>
    <row r="91" spans="1:37" ht="18.75" customHeight="1">
      <c r="A91" t="s">
        <v>156</v>
      </c>
      <c r="B91" s="171">
        <v>1</v>
      </c>
      <c r="C91" s="176" t="str">
        <f t="shared" si="50"/>
        <v>BUSINESS CLASS1110</v>
      </c>
      <c r="D91" s="172"/>
      <c r="E91" s="303">
        <v>1100</v>
      </c>
      <c r="F91" s="310">
        <v>110</v>
      </c>
      <c r="G91" t="str">
        <f>VLOOKUP(E91,'FG MASTER'!$A:$AB,2,0)</f>
        <v>BC C1 DINNER DESSERT 1 BANANA PUDDING CHEESECAKE, BISCOFF CRUMBLES, BLUEBERRIES, CARAMEL SAUCE, CHANTILLY CREAM</v>
      </c>
      <c r="H91" s="285">
        <v>1</v>
      </c>
      <c r="I91" s="173">
        <v>0</v>
      </c>
      <c r="J91" s="291">
        <f>IFERROR(IF(I91="std",H91,HLOOKUP(A91,'FlightConfig '!$B$34:$G$35,2,0)*I91),"")</f>
        <v>0</v>
      </c>
      <c r="K91" s="244">
        <f>VLOOKUP(Food!E91,'FG MASTER'!$A$1:$AC$536,16,0)</f>
        <v>1.52</v>
      </c>
      <c r="L91" s="245">
        <f>VLOOKUP(Food!E91,'FG MASTER'!$A$10:$AC$536,17,0)</f>
        <v>2</v>
      </c>
      <c r="M91" s="132">
        <f t="shared" si="34"/>
        <v>0.8</v>
      </c>
      <c r="N91" s="132">
        <f t="shared" si="35"/>
        <v>2.3200000000000003</v>
      </c>
      <c r="O91" s="132">
        <f t="shared" si="36"/>
        <v>0.33440000000000003</v>
      </c>
      <c r="P91" s="132">
        <f t="shared" si="37"/>
        <v>0.15999999999999992</v>
      </c>
      <c r="Q91" s="132">
        <f t="shared" si="53"/>
        <v>2.8144</v>
      </c>
      <c r="R91" s="402">
        <f t="shared" si="39"/>
        <v>1.8544</v>
      </c>
      <c r="S91" s="402">
        <f t="shared" si="40"/>
        <v>0.96</v>
      </c>
      <c r="T91" s="402">
        <f t="shared" si="41"/>
        <v>2.8144</v>
      </c>
      <c r="U91" s="127"/>
      <c r="V91" s="127"/>
      <c r="W91" t="str">
        <f>IFERROR(#REF!*J91,"")</f>
        <v/>
      </c>
      <c r="X91">
        <f t="shared" si="42"/>
        <v>0</v>
      </c>
      <c r="Y91">
        <f t="shared" si="43"/>
        <v>0</v>
      </c>
      <c r="Z91" s="127">
        <f t="shared" si="44"/>
        <v>0</v>
      </c>
      <c r="AA91" s="127">
        <f t="shared" si="45"/>
        <v>0</v>
      </c>
      <c r="AB91" s="127">
        <f t="shared" si="46"/>
        <v>0</v>
      </c>
      <c r="AC91" s="127">
        <f t="shared" si="47"/>
        <v>0</v>
      </c>
      <c r="AD91" s="127">
        <f t="shared" si="48"/>
        <v>0</v>
      </c>
      <c r="AF91" s="127" t="str">
        <f>IFERROR(W91*'FlightConfig '!$K$3,"")</f>
        <v/>
      </c>
      <c r="AG91" s="127">
        <f>IFERROR(X91*'FlightConfig '!$K$23,"")</f>
        <v>0</v>
      </c>
      <c r="AH91" s="127">
        <f>IFERROR(Y91*'FlightConfig '!$K$23,"")</f>
        <v>0</v>
      </c>
      <c r="AI91" s="127">
        <f>IFERROR(Z91*'FlightConfig '!$K$23,"")</f>
        <v>0</v>
      </c>
      <c r="AJ91" s="127">
        <f>IFERROR(AA91*'FlightConfig '!$K$23,"")</f>
        <v>0</v>
      </c>
      <c r="AK91" s="127">
        <f>IFERROR(AB91*'FlightConfig '!$K$23,"")</f>
        <v>0</v>
      </c>
    </row>
    <row r="92" spans="1:37" ht="18.75" customHeight="1">
      <c r="A92" t="s">
        <v>156</v>
      </c>
      <c r="B92" s="171">
        <v>1</v>
      </c>
      <c r="C92" s="176" t="str">
        <f t="shared" si="50"/>
        <v>BUSINESS CLASS1110</v>
      </c>
      <c r="D92" s="172"/>
      <c r="E92" s="303">
        <v>1101</v>
      </c>
      <c r="F92" s="310">
        <v>110</v>
      </c>
      <c r="G92" t="str">
        <f>VLOOKUP(E92,'FG MASTER'!$A:$AB,2,0)</f>
        <v>BC C1 DINNER DESSERT 2 BLACKBERRY PEACH COBBLER TART, BRULEE SLICED PEACHES, CRÈME FRAICHE</v>
      </c>
      <c r="H92" s="285">
        <v>1</v>
      </c>
      <c r="I92" s="173">
        <v>0</v>
      </c>
      <c r="J92" s="291">
        <f>IFERROR(IF(I92="std",H92,HLOOKUP(A92,'FlightConfig '!$B$34:$G$35,2,0)*I92),"")</f>
        <v>0</v>
      </c>
      <c r="K92" s="244">
        <f>VLOOKUP(Food!E92,'FG MASTER'!$A$1:$AC$536,16,0)</f>
        <v>1.31</v>
      </c>
      <c r="L92" s="245">
        <f>VLOOKUP(Food!E92,'FG MASTER'!$A$10:$AC$536,17,0)</f>
        <v>2.25</v>
      </c>
      <c r="M92" s="132">
        <f t="shared" si="34"/>
        <v>0.9</v>
      </c>
      <c r="N92" s="132">
        <f t="shared" si="35"/>
        <v>2.21</v>
      </c>
      <c r="O92" s="132">
        <f t="shared" si="36"/>
        <v>0.28820000000000001</v>
      </c>
      <c r="P92" s="132">
        <f t="shared" si="37"/>
        <v>0.18000000000000005</v>
      </c>
      <c r="Q92" s="132">
        <f t="shared" si="53"/>
        <v>2.6781999999999999</v>
      </c>
      <c r="R92" s="402">
        <f t="shared" si="39"/>
        <v>1.5982000000000001</v>
      </c>
      <c r="S92" s="402">
        <f t="shared" si="40"/>
        <v>1.08</v>
      </c>
      <c r="T92" s="402">
        <f t="shared" si="41"/>
        <v>2.6782000000000004</v>
      </c>
      <c r="U92" s="127"/>
      <c r="V92" s="127"/>
      <c r="W92" t="str">
        <f>IFERROR(#REF!*J92,"")</f>
        <v/>
      </c>
      <c r="X92">
        <f t="shared" si="42"/>
        <v>0</v>
      </c>
      <c r="Y92">
        <f t="shared" si="43"/>
        <v>0</v>
      </c>
      <c r="Z92" s="127">
        <f t="shared" si="44"/>
        <v>0</v>
      </c>
      <c r="AA92" s="127">
        <f t="shared" si="45"/>
        <v>0</v>
      </c>
      <c r="AB92" s="127">
        <f t="shared" si="46"/>
        <v>0</v>
      </c>
      <c r="AC92" s="127">
        <f t="shared" si="47"/>
        <v>0</v>
      </c>
      <c r="AD92" s="127">
        <f t="shared" si="48"/>
        <v>0</v>
      </c>
      <c r="AF92" s="127" t="str">
        <f>IFERROR(W92*'FlightConfig '!$K$3,"")</f>
        <v/>
      </c>
      <c r="AG92" s="127">
        <f>IFERROR(X92*'FlightConfig '!$K$23,"")</f>
        <v>0</v>
      </c>
      <c r="AH92" s="127">
        <f>IFERROR(Y92*'FlightConfig '!$K$23,"")</f>
        <v>0</v>
      </c>
      <c r="AI92" s="127">
        <f>IFERROR(Z92*'FlightConfig '!$K$23,"")</f>
        <v>0</v>
      </c>
      <c r="AJ92" s="127">
        <f>IFERROR(AA92*'FlightConfig '!$K$23,"")</f>
        <v>0</v>
      </c>
      <c r="AK92" s="127">
        <f>IFERROR(AB92*'FlightConfig '!$K$23,"")</f>
        <v>0</v>
      </c>
    </row>
    <row r="93" spans="1:37" ht="18.75" customHeight="1">
      <c r="A93" t="s">
        <v>156</v>
      </c>
      <c r="B93" s="171">
        <v>1</v>
      </c>
      <c r="C93" s="176" t="str">
        <f t="shared" si="50"/>
        <v>BUSINESS CLASS1110</v>
      </c>
      <c r="D93" s="172"/>
      <c r="E93" s="303">
        <v>1102</v>
      </c>
      <c r="F93" s="310">
        <v>110</v>
      </c>
      <c r="G93" t="str">
        <f>VLOOKUP(E93,'FG MASTER'!$A:$AB,2,0)</f>
        <v>BC C1 DINNER CHEESE PLATE HUMBOLT GOF, LAMB CHOPPER, CHEDDAR, SOULSHINE CUCUMBERS, MUSCADINE JELLY, GRAPE, CRACKER</v>
      </c>
      <c r="H93" s="285">
        <v>1</v>
      </c>
      <c r="I93" s="173">
        <v>0.6</v>
      </c>
      <c r="J93" s="291">
        <f>IFERROR(IF(I93="std",H93,HLOOKUP(A93,'FlightConfig '!$B$34:$G$35,2,0)*I93),"")</f>
        <v>18</v>
      </c>
      <c r="K93" s="244">
        <f>VLOOKUP(Food!E93,'FG MASTER'!$A$1:$AC$536,16,0)</f>
        <v>4.42</v>
      </c>
      <c r="L93" s="245">
        <f>VLOOKUP(Food!E93,'FG MASTER'!$A$10:$AC$536,17,0)</f>
        <v>2.5</v>
      </c>
      <c r="M93" s="132">
        <f t="shared" si="34"/>
        <v>1</v>
      </c>
      <c r="N93" s="132">
        <f t="shared" si="35"/>
        <v>5.42</v>
      </c>
      <c r="O93" s="132">
        <f t="shared" si="36"/>
        <v>0.97239999999999949</v>
      </c>
      <c r="P93" s="132">
        <f t="shared" si="37"/>
        <v>0.19999999999999996</v>
      </c>
      <c r="Q93" s="132">
        <f t="shared" si="53"/>
        <v>6.5923999999999996</v>
      </c>
      <c r="R93" s="402">
        <f t="shared" si="39"/>
        <v>5.3923999999999994</v>
      </c>
      <c r="S93" s="402">
        <f t="shared" si="40"/>
        <v>1.2</v>
      </c>
      <c r="T93" s="402">
        <f t="shared" si="41"/>
        <v>6.5923999999999996</v>
      </c>
      <c r="U93" s="127"/>
      <c r="V93" s="127"/>
      <c r="W93" t="str">
        <f>IFERROR(#REF!*J93,"")</f>
        <v/>
      </c>
      <c r="X93">
        <f t="shared" si="42"/>
        <v>79.56</v>
      </c>
      <c r="Y93">
        <f t="shared" si="43"/>
        <v>45</v>
      </c>
      <c r="Z93" s="127">
        <f t="shared" si="44"/>
        <v>18</v>
      </c>
      <c r="AA93" s="127">
        <f t="shared" si="45"/>
        <v>97.56</v>
      </c>
      <c r="AB93" s="127">
        <f t="shared" si="46"/>
        <v>17.503199999999993</v>
      </c>
      <c r="AC93" s="127">
        <f t="shared" si="47"/>
        <v>3.5999999999999992</v>
      </c>
      <c r="AD93" s="127">
        <f t="shared" si="48"/>
        <v>118.66319999999999</v>
      </c>
      <c r="AF93" s="127" t="str">
        <f>IFERROR(W93*'FlightConfig '!$K$3,"")</f>
        <v/>
      </c>
      <c r="AG93" s="127">
        <f>IFERROR(X93*'FlightConfig '!$K$23,"")</f>
        <v>28959.84</v>
      </c>
      <c r="AH93" s="127">
        <f>IFERROR(Y93*'FlightConfig '!$K$23,"")</f>
        <v>16380</v>
      </c>
      <c r="AI93" s="127">
        <f>IFERROR(Z93*'FlightConfig '!$K$23,"")</f>
        <v>6552</v>
      </c>
      <c r="AJ93" s="127">
        <f>IFERROR(AA93*'FlightConfig '!$K$23,"")</f>
        <v>35511.840000000004</v>
      </c>
      <c r="AK93" s="127">
        <f>IFERROR(AB93*'FlightConfig '!$K$23,"")</f>
        <v>6371.1647999999968</v>
      </c>
    </row>
    <row r="94" spans="1:37" ht="18.75" customHeight="1">
      <c r="A94" t="s">
        <v>156</v>
      </c>
      <c r="B94" s="171">
        <v>1</v>
      </c>
      <c r="C94" s="176" t="str">
        <f t="shared" si="50"/>
        <v>BUSINESS CLASS1110</v>
      </c>
      <c r="D94" s="172"/>
      <c r="E94" s="303">
        <v>1103</v>
      </c>
      <c r="F94" s="310">
        <v>110</v>
      </c>
      <c r="G94" t="str">
        <f>VLOOKUP(E94,'FG MASTER'!$A:$AB,2,0)</f>
        <v xml:space="preserve">BC C1 BREAKFAST ENTRÉE 1 CURED SALMON, EVERTHING CREAM CHEESE, HALF EGG, PICKLED ONION </v>
      </c>
      <c r="H94" s="285">
        <v>1</v>
      </c>
      <c r="I94" s="173">
        <v>0.3</v>
      </c>
      <c r="J94" s="291">
        <f>IFERROR(IF(I94="std",H94,HLOOKUP(A94,'FlightConfig '!$B$34:$G$35,2,0)*I94),"")</f>
        <v>9</v>
      </c>
      <c r="K94" s="244">
        <f>VLOOKUP(Food!E94,'FG MASTER'!$A$1:$AC$536,16,0)</f>
        <v>3.47</v>
      </c>
      <c r="L94" s="245">
        <f>VLOOKUP(Food!E94,'FG MASTER'!$A$10:$AC$536,17,0)</f>
        <v>4.5</v>
      </c>
      <c r="M94" s="132">
        <f t="shared" si="34"/>
        <v>1.8</v>
      </c>
      <c r="N94" s="132">
        <f t="shared" si="35"/>
        <v>5.2700000000000005</v>
      </c>
      <c r="O94" s="132">
        <f t="shared" si="36"/>
        <v>0.7634000000000003</v>
      </c>
      <c r="P94" s="132">
        <f t="shared" si="37"/>
        <v>0.3600000000000001</v>
      </c>
      <c r="Q94" s="132">
        <f>SUM(N94:P94)</f>
        <v>6.3934000000000006</v>
      </c>
      <c r="R94" s="402">
        <f t="shared" si="39"/>
        <v>4.2334000000000005</v>
      </c>
      <c r="S94" s="402">
        <f t="shared" si="40"/>
        <v>2.16</v>
      </c>
      <c r="T94" s="402">
        <f t="shared" si="41"/>
        <v>6.3934000000000006</v>
      </c>
      <c r="U94" s="127"/>
      <c r="V94" s="127"/>
      <c r="W94" t="str">
        <f>IFERROR(#REF!*J94,"")</f>
        <v/>
      </c>
      <c r="X94">
        <f t="shared" si="42"/>
        <v>31.23</v>
      </c>
      <c r="Y94">
        <f t="shared" si="43"/>
        <v>40.5</v>
      </c>
      <c r="Z94" s="127">
        <f t="shared" si="44"/>
        <v>16.2</v>
      </c>
      <c r="AA94" s="127">
        <f t="shared" si="45"/>
        <v>47.430000000000007</v>
      </c>
      <c r="AB94" s="127">
        <f t="shared" si="46"/>
        <v>6.8706000000000031</v>
      </c>
      <c r="AC94" s="127">
        <f t="shared" si="47"/>
        <v>3.2400000000000011</v>
      </c>
      <c r="AD94" s="127">
        <f t="shared" si="48"/>
        <v>57.540600000000005</v>
      </c>
      <c r="AF94" s="127" t="str">
        <f>IFERROR(W94*'FlightConfig '!$K$3,"")</f>
        <v/>
      </c>
      <c r="AG94" s="127">
        <f>IFERROR(X94*'FlightConfig '!$K$23,"")</f>
        <v>11367.72</v>
      </c>
      <c r="AH94" s="127">
        <f>IFERROR(Y94*'FlightConfig '!$K$23,"")</f>
        <v>14742</v>
      </c>
      <c r="AI94" s="127">
        <f>IFERROR(Z94*'FlightConfig '!$K$23,"")</f>
        <v>5896.8</v>
      </c>
      <c r="AJ94" s="127">
        <f>IFERROR(AA94*'FlightConfig '!$K$23,"")</f>
        <v>17264.520000000004</v>
      </c>
      <c r="AK94" s="127">
        <f>IFERROR(AB94*'FlightConfig '!$K$23,"")</f>
        <v>2500.8984000000009</v>
      </c>
    </row>
    <row r="95" spans="1:37" ht="18.75" customHeight="1">
      <c r="A95" t="s">
        <v>156</v>
      </c>
      <c r="B95" s="171">
        <v>1</v>
      </c>
      <c r="C95" s="176" t="str">
        <f>CONCATENATE(A95&amp;B95&amp;F95)</f>
        <v>BUSINESS CLASS1110</v>
      </c>
      <c r="D95" s="172"/>
      <c r="E95" s="303">
        <v>1104</v>
      </c>
      <c r="F95" s="310">
        <v>110</v>
      </c>
      <c r="G95" t="str">
        <f>VLOOKUP(E95,'FG MASTER'!$A:$AB,2,0)</f>
        <v xml:space="preserve">BC C1 BREAKFAST ENTRÉE 2 SCRAMBLED EGG, BAKED BEAN, BACON, PORK SAUSAGE, HALF ROASTED TOMATO, </v>
      </c>
      <c r="H95" s="285">
        <v>1</v>
      </c>
      <c r="I95" s="173">
        <v>0.4</v>
      </c>
      <c r="J95" s="291">
        <f>IFERROR(IF(I95="std",H95,HLOOKUP(A95,'FlightConfig '!$B$34:$G$35,2,0)*I95),"")</f>
        <v>12</v>
      </c>
      <c r="K95" s="244">
        <f>VLOOKUP(Food!E95,'FG MASTER'!$A$1:$AC$536,16,0)</f>
        <v>4.04</v>
      </c>
      <c r="L95" s="245">
        <f>VLOOKUP(Food!E95,'FG MASTER'!$A$10:$AC$536,17,0)</f>
        <v>4.5</v>
      </c>
      <c r="M95" s="132">
        <f t="shared" si="34"/>
        <v>1.8</v>
      </c>
      <c r="N95" s="132">
        <f t="shared" si="35"/>
        <v>5.84</v>
      </c>
      <c r="O95" s="132">
        <f t="shared" si="36"/>
        <v>0.88879999999999981</v>
      </c>
      <c r="P95" s="132">
        <f t="shared" si="37"/>
        <v>0.3600000000000001</v>
      </c>
      <c r="Q95" s="132">
        <f>SUM(N95:P95)</f>
        <v>7.0888</v>
      </c>
      <c r="R95" s="402">
        <f t="shared" si="39"/>
        <v>4.9287999999999998</v>
      </c>
      <c r="S95" s="402">
        <f t="shared" si="40"/>
        <v>2.16</v>
      </c>
      <c r="T95" s="402">
        <f t="shared" si="41"/>
        <v>7.0888</v>
      </c>
      <c r="U95" s="127"/>
      <c r="V95" s="127"/>
      <c r="W95" t="str">
        <f>IFERROR(#REF!*J95,"")</f>
        <v/>
      </c>
      <c r="X95">
        <f t="shared" si="42"/>
        <v>48.480000000000004</v>
      </c>
      <c r="Y95">
        <f t="shared" si="43"/>
        <v>54</v>
      </c>
      <c r="Z95" s="127">
        <f t="shared" si="44"/>
        <v>21.6</v>
      </c>
      <c r="AA95" s="127">
        <f t="shared" si="45"/>
        <v>70.08</v>
      </c>
      <c r="AB95" s="127">
        <f t="shared" si="46"/>
        <v>10.665599999999998</v>
      </c>
      <c r="AC95" s="127">
        <f t="shared" si="47"/>
        <v>4.3200000000000012</v>
      </c>
      <c r="AD95" s="127">
        <f t="shared" si="48"/>
        <v>85.065600000000003</v>
      </c>
      <c r="AF95" s="127" t="str">
        <f>IFERROR(W95*'FlightConfig '!$K$3,"")</f>
        <v/>
      </c>
      <c r="AG95" s="127">
        <f>IFERROR(X95*'FlightConfig '!$K$23,"")</f>
        <v>17646.72</v>
      </c>
      <c r="AH95" s="127">
        <f>IFERROR(Y95*'FlightConfig '!$K$23,"")</f>
        <v>19656</v>
      </c>
      <c r="AI95" s="127">
        <f>IFERROR(Z95*'FlightConfig '!$K$23,"")</f>
        <v>7862.4000000000005</v>
      </c>
      <c r="AJ95" s="127">
        <f>IFERROR(AA95*'FlightConfig '!$K$23,"")</f>
        <v>25509.119999999999</v>
      </c>
      <c r="AK95" s="127">
        <f>IFERROR(AB95*'FlightConfig '!$K$23,"")</f>
        <v>3882.2783999999992</v>
      </c>
    </row>
    <row r="96" spans="1:37" ht="18.75" customHeight="1">
      <c r="A96" t="s">
        <v>156</v>
      </c>
      <c r="B96" s="171">
        <v>1</v>
      </c>
      <c r="C96" s="176" t="str">
        <f t="shared" ref="C96:C97" si="54">CONCATENATE(A96&amp;B96&amp;F96)</f>
        <v>BUSINESS CLASS1110</v>
      </c>
      <c r="D96" s="172"/>
      <c r="E96" s="303">
        <v>1105</v>
      </c>
      <c r="F96" s="310">
        <v>110</v>
      </c>
      <c r="G96" t="str">
        <f>VLOOKUP(E96,'FG MASTER'!$A:$AB,2,0)</f>
        <v>BC C1 BREAKFAST ENTRÉE 3 BANANA BREAD FRENCH TOAST, HALF TOAST POINTS, BLUBERRY COULIS, BRULEE PEACHES</v>
      </c>
      <c r="H96" s="285">
        <v>1</v>
      </c>
      <c r="I96" s="173">
        <v>0.27</v>
      </c>
      <c r="J96" s="291">
        <f>IFERROR(IF(I96="std",H96,HLOOKUP(A96,'FlightConfig '!$B$34:$G$35,2,0)*I96),"")</f>
        <v>8.1000000000000014</v>
      </c>
      <c r="K96" s="244">
        <f>VLOOKUP(Food!E96,'FG MASTER'!$A$1:$AC$536,16,0)</f>
        <v>1.8908519783774043</v>
      </c>
      <c r="L96" s="245">
        <f>VLOOKUP(Food!E96,'FG MASTER'!$A$10:$AC$536,17,0)</f>
        <v>3.25</v>
      </c>
      <c r="M96" s="132">
        <f t="shared" si="34"/>
        <v>1.3</v>
      </c>
      <c r="N96" s="132">
        <f t="shared" si="35"/>
        <v>3.1908519783774043</v>
      </c>
      <c r="O96" s="132">
        <f t="shared" si="36"/>
        <v>0.41598743524302884</v>
      </c>
      <c r="P96" s="132">
        <f t="shared" si="37"/>
        <v>0.26</v>
      </c>
      <c r="Q96" s="132">
        <f t="shared" ref="Q96:Q97" si="55">SUM(N96:P96)</f>
        <v>3.8668394136204327</v>
      </c>
      <c r="R96" s="402">
        <f t="shared" si="39"/>
        <v>2.3068394136204331</v>
      </c>
      <c r="S96" s="402">
        <f t="shared" si="40"/>
        <v>1.56</v>
      </c>
      <c r="T96" s="402">
        <f t="shared" si="41"/>
        <v>3.8668394136204332</v>
      </c>
      <c r="U96" s="127"/>
      <c r="V96" s="127"/>
      <c r="W96" t="str">
        <f>IFERROR(#REF!*J96,"")</f>
        <v/>
      </c>
      <c r="X96">
        <f t="shared" si="42"/>
        <v>15.315901024856977</v>
      </c>
      <c r="Y96">
        <f t="shared" si="43"/>
        <v>26.325000000000003</v>
      </c>
      <c r="Z96" s="127">
        <f t="shared" si="44"/>
        <v>10.530000000000003</v>
      </c>
      <c r="AA96" s="127">
        <f t="shared" si="45"/>
        <v>25.845901024856978</v>
      </c>
      <c r="AB96" s="127">
        <f t="shared" si="46"/>
        <v>3.3694982254685342</v>
      </c>
      <c r="AC96" s="127">
        <f t="shared" si="47"/>
        <v>2.1060000000000003</v>
      </c>
      <c r="AD96" s="127">
        <f t="shared" si="48"/>
        <v>31.321399250325509</v>
      </c>
      <c r="AF96" s="127" t="str">
        <f>IFERROR(W96*'FlightConfig '!$K$3,"")</f>
        <v/>
      </c>
      <c r="AG96" s="127">
        <f>IFERROR(X96*'FlightConfig '!$K$23,"")</f>
        <v>5574.9879730479397</v>
      </c>
      <c r="AH96" s="127">
        <f>IFERROR(Y96*'FlightConfig '!$K$23,"")</f>
        <v>9582.3000000000011</v>
      </c>
      <c r="AI96" s="127">
        <f>IFERROR(Z96*'FlightConfig '!$K$23,"")</f>
        <v>3832.920000000001</v>
      </c>
      <c r="AJ96" s="127">
        <f>IFERROR(AA96*'FlightConfig '!$K$23,"")</f>
        <v>9407.9079730479407</v>
      </c>
      <c r="AK96" s="127">
        <f>IFERROR(AB96*'FlightConfig '!$K$23,"")</f>
        <v>1226.4973540705464</v>
      </c>
    </row>
    <row r="97" spans="1:37" ht="18.75" customHeight="1">
      <c r="A97" t="s">
        <v>156</v>
      </c>
      <c r="B97" s="171">
        <v>1</v>
      </c>
      <c r="C97" s="176" t="str">
        <f t="shared" si="54"/>
        <v>BUSINESS CLASS1110</v>
      </c>
      <c r="D97" s="172"/>
      <c r="E97" s="303">
        <v>1106</v>
      </c>
      <c r="F97" s="310">
        <v>110</v>
      </c>
      <c r="G97" t="str">
        <f>VLOOKUP(E97,'FG MASTER'!$A:$AB,2,0)</f>
        <v>BC C1 BREAKFAST ENTRÉE 4 ENGLEMANS ROLL, SPOTTED TROTTER - BACON, HP SAUCE</v>
      </c>
      <c r="H97" s="285">
        <v>1</v>
      </c>
      <c r="I97" s="173">
        <v>0.27</v>
      </c>
      <c r="J97" s="291">
        <f>IFERROR(IF(I97="std",H97,HLOOKUP(A97,'FlightConfig '!$B$34:$G$35,2,0)*I97),"")</f>
        <v>8.1000000000000014</v>
      </c>
      <c r="K97" s="244">
        <f>VLOOKUP(Food!E97,'FG MASTER'!$A$1:$AC$536,16,0)</f>
        <v>1.97</v>
      </c>
      <c r="L97" s="245">
        <f>VLOOKUP(Food!E97,'FG MASTER'!$A$10:$AC$536,17,0)</f>
        <v>2.5</v>
      </c>
      <c r="M97" s="132">
        <f t="shared" si="34"/>
        <v>1</v>
      </c>
      <c r="N97" s="132">
        <f t="shared" si="35"/>
        <v>2.9699999999999998</v>
      </c>
      <c r="O97" s="132">
        <f t="shared" si="36"/>
        <v>0.43340000000000001</v>
      </c>
      <c r="P97" s="132">
        <f t="shared" si="37"/>
        <v>0.19999999999999996</v>
      </c>
      <c r="Q97" s="132">
        <f t="shared" si="55"/>
        <v>3.6033999999999997</v>
      </c>
      <c r="R97" s="402">
        <f t="shared" si="39"/>
        <v>2.4034</v>
      </c>
      <c r="S97" s="402">
        <f t="shared" si="40"/>
        <v>1.2</v>
      </c>
      <c r="T97" s="402">
        <f t="shared" si="41"/>
        <v>3.6033999999999997</v>
      </c>
      <c r="U97" s="127"/>
      <c r="V97" s="127"/>
      <c r="W97" t="str">
        <f>IFERROR(#REF!*J97,"")</f>
        <v/>
      </c>
      <c r="X97">
        <f t="shared" si="42"/>
        <v>15.957000000000003</v>
      </c>
      <c r="Y97">
        <f t="shared" si="43"/>
        <v>20.250000000000004</v>
      </c>
      <c r="Z97" s="127">
        <f t="shared" si="44"/>
        <v>8.1000000000000014</v>
      </c>
      <c r="AA97" s="127">
        <f t="shared" si="45"/>
        <v>24.057000000000002</v>
      </c>
      <c r="AB97" s="127">
        <f t="shared" si="46"/>
        <v>3.5105400000000007</v>
      </c>
      <c r="AC97" s="127">
        <f t="shared" si="47"/>
        <v>1.6199999999999999</v>
      </c>
      <c r="AD97" s="127">
        <f t="shared" si="48"/>
        <v>29.187540000000002</v>
      </c>
      <c r="AF97" s="127" t="str">
        <f>IFERROR(W97*'FlightConfig '!$K$3,"")</f>
        <v/>
      </c>
      <c r="AG97" s="127">
        <f>IFERROR(X97*'FlightConfig '!$K$23,"")</f>
        <v>5808.3480000000009</v>
      </c>
      <c r="AH97" s="127">
        <f>IFERROR(Y97*'FlightConfig '!$K$23,"")</f>
        <v>7371.0000000000009</v>
      </c>
      <c r="AI97" s="127">
        <f>IFERROR(Z97*'FlightConfig '!$K$23,"")</f>
        <v>2948.4000000000005</v>
      </c>
      <c r="AJ97" s="127">
        <f>IFERROR(AA97*'FlightConfig '!$K$23,"")</f>
        <v>8756.7480000000014</v>
      </c>
      <c r="AK97" s="127">
        <f>IFERROR(AB97*'FlightConfig '!$K$23,"")</f>
        <v>1277.8365600000002</v>
      </c>
    </row>
    <row r="98" spans="1:37" ht="18.75" customHeight="1">
      <c r="A98" t="s">
        <v>156</v>
      </c>
      <c r="B98" s="171">
        <v>1</v>
      </c>
      <c r="C98" s="176" t="str">
        <f>CONCATENATE(A98&amp;B98&amp;F98)</f>
        <v>BUSINESS CLASS1110</v>
      </c>
      <c r="D98" s="172"/>
      <c r="E98" s="303">
        <v>1107</v>
      </c>
      <c r="F98" s="310">
        <v>110</v>
      </c>
      <c r="G98" t="str">
        <f>VLOOKUP(E98,'FG MASTER'!$A:$AB,2,0)</f>
        <v>BC C1 BREAKFAST SIDE 1 FRUIT PLATE KIWI, PINEAPPLE, ORANGE, BLUEBERRIES, STRAWBERRIES 140G</v>
      </c>
      <c r="H98" s="285">
        <v>1</v>
      </c>
      <c r="I98" s="173">
        <v>0.5</v>
      </c>
      <c r="J98" s="291">
        <f>IFERROR(IF(I98="std",H98,HLOOKUP(A98,'FlightConfig '!$B$34:$G$35,2,0)*I98),"")</f>
        <v>15</v>
      </c>
      <c r="K98" s="244">
        <f>VLOOKUP(Food!E98,'FG MASTER'!$A$1:$AC$536,16,0)</f>
        <v>1.29</v>
      </c>
      <c r="L98" s="245">
        <f>VLOOKUP(Food!E98,'FG MASTER'!$A$10:$AC$536,17,0)</f>
        <v>2.5</v>
      </c>
      <c r="M98" s="132">
        <f>IFERROR(L98*$M$2,"")</f>
        <v>1</v>
      </c>
      <c r="N98" s="132">
        <f>IFERROR((K98)+M98,"")</f>
        <v>2.29</v>
      </c>
      <c r="O98" s="132">
        <f t="shared" si="36"/>
        <v>0.28380000000000005</v>
      </c>
      <c r="P98" s="132">
        <f t="shared" si="37"/>
        <v>0.19999999999999996</v>
      </c>
      <c r="Q98" s="132">
        <f>SUM(N98:P98)</f>
        <v>2.7738000000000005</v>
      </c>
      <c r="R98" s="402">
        <f t="shared" si="39"/>
        <v>1.5738000000000001</v>
      </c>
      <c r="S98" s="402">
        <f t="shared" si="40"/>
        <v>1.2</v>
      </c>
      <c r="T98" s="402">
        <f t="shared" si="41"/>
        <v>2.7738</v>
      </c>
      <c r="U98" s="127"/>
      <c r="V98" s="127"/>
      <c r="W98" t="str">
        <f>IFERROR(#REF!*J98,"")</f>
        <v/>
      </c>
      <c r="X98">
        <f t="shared" si="42"/>
        <v>19.350000000000001</v>
      </c>
      <c r="Y98">
        <f t="shared" si="43"/>
        <v>37.5</v>
      </c>
      <c r="Z98" s="127">
        <f t="shared" si="44"/>
        <v>15</v>
      </c>
      <c r="AA98" s="127">
        <f t="shared" si="45"/>
        <v>34.35</v>
      </c>
      <c r="AB98" s="127">
        <f t="shared" si="46"/>
        <v>4.2570000000000006</v>
      </c>
      <c r="AC98" s="127">
        <f t="shared" si="47"/>
        <v>2.9999999999999991</v>
      </c>
      <c r="AD98" s="127">
        <f t="shared" si="48"/>
        <v>41.607000000000006</v>
      </c>
      <c r="AF98" s="127" t="str">
        <f>IFERROR(W98*'FlightConfig '!$K$3,"")</f>
        <v/>
      </c>
      <c r="AG98" s="127">
        <f>IFERROR(X98*'FlightConfig '!$K$23,"")</f>
        <v>7043.4000000000005</v>
      </c>
      <c r="AH98" s="127">
        <f>IFERROR(Y98*'FlightConfig '!$K$23,"")</f>
        <v>13650</v>
      </c>
      <c r="AI98" s="127">
        <f>IFERROR(Z98*'FlightConfig '!$K$23,"")</f>
        <v>5460</v>
      </c>
      <c r="AJ98" s="127">
        <f>IFERROR(AA98*'FlightConfig '!$K$23,"")</f>
        <v>12503.4</v>
      </c>
      <c r="AK98" s="127">
        <f>IFERROR(AB98*'FlightConfig '!$K$23,"")</f>
        <v>1549.5480000000002</v>
      </c>
    </row>
    <row r="99" spans="1:37" ht="18.75" customHeight="1">
      <c r="A99" t="s">
        <v>156</v>
      </c>
      <c r="B99" s="171">
        <v>1</v>
      </c>
      <c r="C99" s="176" t="str">
        <f t="shared" ref="C99:C117" si="56">CONCATENATE(A99&amp;B99&amp;F99)</f>
        <v>BUSINESS CLASS1110</v>
      </c>
      <c r="D99" s="172"/>
      <c r="E99" s="303">
        <v>1108</v>
      </c>
      <c r="F99" s="310">
        <v>110</v>
      </c>
      <c r="G99" t="str">
        <f>VLOOKUP(E99,'FG MASTER'!$A:$AB,2,0)</f>
        <v>BC C1 BREAKFAST SIDE 2 PEACH AND PECAN SCONE</v>
      </c>
      <c r="H99" s="285">
        <v>1</v>
      </c>
      <c r="I99" s="173">
        <v>0.5</v>
      </c>
      <c r="J99" s="291">
        <f>IFERROR(IF(I99="std",H99,HLOOKUP(A99,'FlightConfig '!$B$34:$G$35,2,0)*I99),"")</f>
        <v>15</v>
      </c>
      <c r="K99" s="244">
        <f>VLOOKUP(Food!E99,'FG MASTER'!$A$1:$AC$536,16,0)</f>
        <v>0.55000000000000004</v>
      </c>
      <c r="L99" s="245">
        <f>VLOOKUP(Food!E99,'FG MASTER'!$A$10:$AC$536,17,0)</f>
        <v>2</v>
      </c>
      <c r="M99" s="132">
        <f t="shared" ref="M99:M115" si="57">IFERROR(L99*$M$2,"")</f>
        <v>0.8</v>
      </c>
      <c r="N99" s="132">
        <f t="shared" ref="N99:N117" si="58">IFERROR((K99)+M99,"")</f>
        <v>1.35</v>
      </c>
      <c r="O99" s="132">
        <f t="shared" si="36"/>
        <v>0.121</v>
      </c>
      <c r="P99" s="132">
        <f t="shared" si="37"/>
        <v>0.15999999999999992</v>
      </c>
      <c r="Q99" s="132">
        <f t="shared" ref="Q99:Q102" si="59">SUM(N99:P99)</f>
        <v>1.631</v>
      </c>
      <c r="R99" s="402">
        <f t="shared" si="39"/>
        <v>0.67100000000000004</v>
      </c>
      <c r="S99" s="402">
        <f t="shared" si="40"/>
        <v>0.96</v>
      </c>
      <c r="T99" s="402">
        <f t="shared" si="41"/>
        <v>1.631</v>
      </c>
      <c r="U99" s="127"/>
      <c r="V99" s="127"/>
      <c r="W99" t="str">
        <f>IFERROR(#REF!*J99,"")</f>
        <v/>
      </c>
      <c r="X99">
        <f t="shared" si="42"/>
        <v>8.25</v>
      </c>
      <c r="Y99">
        <f t="shared" si="43"/>
        <v>30</v>
      </c>
      <c r="Z99" s="127">
        <f t="shared" si="44"/>
        <v>12</v>
      </c>
      <c r="AA99" s="127">
        <f t="shared" si="45"/>
        <v>20.25</v>
      </c>
      <c r="AB99" s="127">
        <f t="shared" si="46"/>
        <v>1.8149999999999999</v>
      </c>
      <c r="AC99" s="127">
        <f t="shared" si="47"/>
        <v>2.3999999999999986</v>
      </c>
      <c r="AD99" s="127">
        <f t="shared" si="48"/>
        <v>24.465</v>
      </c>
      <c r="AF99" s="127" t="str">
        <f>IFERROR(W99*'FlightConfig '!$K$3,"")</f>
        <v/>
      </c>
      <c r="AG99" s="127">
        <f>IFERROR(X99*'FlightConfig '!$K$23,"")</f>
        <v>3003</v>
      </c>
      <c r="AH99" s="127">
        <f>IFERROR(Y99*'FlightConfig '!$K$23,"")</f>
        <v>10920</v>
      </c>
      <c r="AI99" s="127">
        <f>IFERROR(Z99*'FlightConfig '!$K$23,"")</f>
        <v>4368</v>
      </c>
      <c r="AJ99" s="127">
        <f>IFERROR(AA99*'FlightConfig '!$K$23,"")</f>
        <v>7371</v>
      </c>
      <c r="AK99" s="127">
        <f>IFERROR(AB99*'FlightConfig '!$K$23,"")</f>
        <v>660.66</v>
      </c>
    </row>
    <row r="100" spans="1:37" ht="18.75" customHeight="1">
      <c r="A100" t="s">
        <v>156</v>
      </c>
      <c r="B100" s="171">
        <v>1</v>
      </c>
      <c r="C100" s="176" t="str">
        <f t="shared" si="56"/>
        <v>BUSINESS CLASS1110</v>
      </c>
      <c r="D100" s="172"/>
      <c r="E100" s="304">
        <v>1109</v>
      </c>
      <c r="F100" s="310">
        <v>110</v>
      </c>
      <c r="G100" t="str">
        <f>VLOOKUP(E100,'FG MASTER'!$A:$AB,2,0)</f>
        <v xml:space="preserve">BC C1 BREAKFAST SIDE 3 COCONUT YOGURT </v>
      </c>
      <c r="H100" s="285">
        <v>1</v>
      </c>
      <c r="I100" s="173" t="s">
        <v>356</v>
      </c>
      <c r="J100" s="291">
        <f>IFERROR(IF(I100="std",H100,HLOOKUP(A100,'FlightConfig '!$B$34:$G$35,2,0)*I100),"")</f>
        <v>1</v>
      </c>
      <c r="K100" s="244">
        <f>VLOOKUP(Food!E100,'FG MASTER'!$A$1:$AC$536,16,0)</f>
        <v>8.33</v>
      </c>
      <c r="L100" s="245">
        <f>VLOOKUP(Food!E100,'FG MASTER'!$A$10:$AC$536,17,0)</f>
        <v>0.5</v>
      </c>
      <c r="M100" s="132">
        <f t="shared" si="57"/>
        <v>0.2</v>
      </c>
      <c r="N100" s="132">
        <f t="shared" si="58"/>
        <v>8.5299999999999994</v>
      </c>
      <c r="O100" s="132">
        <f t="shared" si="36"/>
        <v>1.8325999999999993</v>
      </c>
      <c r="P100" s="132">
        <f t="shared" si="37"/>
        <v>3.999999999999998E-2</v>
      </c>
      <c r="Q100" s="132">
        <f t="shared" si="59"/>
        <v>10.402599999999998</v>
      </c>
      <c r="R100" s="402">
        <f t="shared" si="39"/>
        <v>10.162599999999999</v>
      </c>
      <c r="S100" s="402">
        <f t="shared" si="40"/>
        <v>0.24</v>
      </c>
      <c r="T100" s="402">
        <f t="shared" si="41"/>
        <v>10.4026</v>
      </c>
      <c r="U100" s="127"/>
      <c r="V100" s="127"/>
      <c r="W100" t="str">
        <f>IFERROR(#REF!*J100,"")</f>
        <v/>
      </c>
      <c r="X100">
        <f t="shared" si="42"/>
        <v>8.33</v>
      </c>
      <c r="Y100">
        <f t="shared" si="43"/>
        <v>0.5</v>
      </c>
      <c r="Z100" s="127">
        <f t="shared" si="44"/>
        <v>0.2</v>
      </c>
      <c r="AA100" s="127">
        <f t="shared" si="45"/>
        <v>8.5299999999999994</v>
      </c>
      <c r="AB100" s="127">
        <f t="shared" si="46"/>
        <v>1.8325999999999993</v>
      </c>
      <c r="AC100" s="127">
        <f t="shared" si="47"/>
        <v>3.999999999999998E-2</v>
      </c>
      <c r="AD100" s="127">
        <f t="shared" si="48"/>
        <v>10.402599999999998</v>
      </c>
      <c r="AF100" s="127" t="str">
        <f>IFERROR(W100*'FlightConfig '!$K$3,"")</f>
        <v/>
      </c>
      <c r="AG100" s="127">
        <f>IFERROR(X100*'FlightConfig '!$K$23,"")</f>
        <v>3032.12</v>
      </c>
      <c r="AH100" s="127">
        <f>IFERROR(Y100*'FlightConfig '!$K$23,"")</f>
        <v>182</v>
      </c>
      <c r="AI100" s="127">
        <f>IFERROR(Z100*'FlightConfig '!$K$23,"")</f>
        <v>72.8</v>
      </c>
      <c r="AJ100" s="127">
        <f>IFERROR(AA100*'FlightConfig '!$K$23,"")</f>
        <v>3104.9199999999996</v>
      </c>
      <c r="AK100" s="127">
        <f>IFERROR(AB100*'FlightConfig '!$K$23,"")</f>
        <v>667.0663999999997</v>
      </c>
    </row>
    <row r="101" spans="1:37" ht="18.75" customHeight="1">
      <c r="A101" t="s">
        <v>156</v>
      </c>
      <c r="B101" s="171">
        <v>1</v>
      </c>
      <c r="C101" s="176" t="str">
        <f t="shared" si="56"/>
        <v>BUSINESS CLASS1110</v>
      </c>
      <c r="D101" s="172"/>
      <c r="E101" s="304">
        <v>1110</v>
      </c>
      <c r="F101" s="310">
        <v>110</v>
      </c>
      <c r="G101" t="str">
        <f>VLOOKUP(E101,'FG MASTER'!$A:$AB,2,0)</f>
        <v>BC C1 BREAKFAST SIDE 4 SUPER SEED GRANOLA</v>
      </c>
      <c r="H101" s="285">
        <v>1</v>
      </c>
      <c r="I101" s="173" t="s">
        <v>356</v>
      </c>
      <c r="J101" s="291">
        <f>IFERROR(IF(I101="std",H101,HLOOKUP(A101,'FlightConfig '!$B$34:$G$35,2,0)*I101),"")</f>
        <v>1</v>
      </c>
      <c r="K101" s="244">
        <f>VLOOKUP(Food!E101,'FG MASTER'!$A$1:$AC$536,16,0)</f>
        <v>3.39</v>
      </c>
      <c r="L101" s="245">
        <f>VLOOKUP(Food!E101,'FG MASTER'!$A$10:$AC$536,17,0)</f>
        <v>1</v>
      </c>
      <c r="M101" s="132">
        <f t="shared" si="57"/>
        <v>0.4</v>
      </c>
      <c r="N101" s="132">
        <f t="shared" si="58"/>
        <v>3.79</v>
      </c>
      <c r="O101" s="132">
        <f t="shared" si="36"/>
        <v>0.74579999999999957</v>
      </c>
      <c r="P101" s="132">
        <f t="shared" si="37"/>
        <v>7.999999999999996E-2</v>
      </c>
      <c r="Q101" s="132">
        <f t="shared" si="59"/>
        <v>4.6158000000000001</v>
      </c>
      <c r="R101" s="402">
        <f t="shared" si="39"/>
        <v>4.1357999999999997</v>
      </c>
      <c r="S101" s="402">
        <f t="shared" si="40"/>
        <v>0.48</v>
      </c>
      <c r="T101" s="402">
        <f t="shared" si="41"/>
        <v>4.6158000000000001</v>
      </c>
      <c r="U101" s="127"/>
      <c r="V101" s="127"/>
      <c r="W101" t="str">
        <f>IFERROR(#REF!*J101,"")</f>
        <v/>
      </c>
      <c r="X101">
        <f t="shared" si="42"/>
        <v>3.39</v>
      </c>
      <c r="Y101">
        <f t="shared" si="43"/>
        <v>1</v>
      </c>
      <c r="Z101" s="127">
        <f t="shared" si="44"/>
        <v>0.4</v>
      </c>
      <c r="AA101" s="127">
        <f t="shared" si="45"/>
        <v>3.79</v>
      </c>
      <c r="AB101" s="127">
        <f t="shared" si="46"/>
        <v>0.74579999999999957</v>
      </c>
      <c r="AC101" s="127">
        <f t="shared" si="47"/>
        <v>7.999999999999996E-2</v>
      </c>
      <c r="AD101" s="127">
        <f t="shared" si="48"/>
        <v>4.6158000000000001</v>
      </c>
      <c r="AF101" s="127" t="str">
        <f>IFERROR(W101*'FlightConfig '!$K$3,"")</f>
        <v/>
      </c>
      <c r="AG101" s="127">
        <f>IFERROR(X101*'FlightConfig '!$K$23,"")</f>
        <v>1233.96</v>
      </c>
      <c r="AH101" s="127">
        <f>IFERROR(Y101*'FlightConfig '!$K$23,"")</f>
        <v>364</v>
      </c>
      <c r="AI101" s="127">
        <f>IFERROR(Z101*'FlightConfig '!$K$23,"")</f>
        <v>145.6</v>
      </c>
      <c r="AJ101" s="127">
        <f>IFERROR(AA101*'FlightConfig '!$K$23,"")</f>
        <v>1379.56</v>
      </c>
      <c r="AK101" s="127">
        <f>IFERROR(AB101*'FlightConfig '!$K$23,"")</f>
        <v>271.47119999999984</v>
      </c>
    </row>
    <row r="102" spans="1:37" ht="18.75" customHeight="1">
      <c r="A102" t="s">
        <v>157</v>
      </c>
      <c r="B102" s="171">
        <v>1</v>
      </c>
      <c r="C102" s="176" t="str">
        <f t="shared" si="56"/>
        <v>PREMIUM ECONOMY CLASS1110</v>
      </c>
      <c r="D102" s="311"/>
      <c r="E102" s="304">
        <v>1111</v>
      </c>
      <c r="F102" s="310">
        <v>110</v>
      </c>
      <c r="G102" t="str">
        <f>VLOOKUP(E102,'FG MASTER'!$A:$AB,2,0)</f>
        <v>PY C1 DINNER TSU</v>
      </c>
      <c r="H102" s="285">
        <v>1</v>
      </c>
      <c r="I102" s="173">
        <v>1</v>
      </c>
      <c r="J102" s="291">
        <f>IFERROR(IF(I102="std",H102,HLOOKUP(A102,'FlightConfig '!$B$34:$G$35,2,0)*I102),"")</f>
        <v>44</v>
      </c>
      <c r="K102" s="244">
        <f>VLOOKUP(Food!E102,'FG MASTER'!$A$1:$AC$536,16,0)</f>
        <v>0</v>
      </c>
      <c r="L102" s="245">
        <f>VLOOKUP(Food!E102,'FG MASTER'!$A$10:$AC$536,17,0)</f>
        <v>1.5</v>
      </c>
      <c r="M102" s="132">
        <f t="shared" si="57"/>
        <v>0.60000000000000009</v>
      </c>
      <c r="N102" s="132">
        <f t="shared" si="58"/>
        <v>0.60000000000000009</v>
      </c>
      <c r="O102" s="132">
        <f t="shared" si="36"/>
        <v>0</v>
      </c>
      <c r="P102" s="132">
        <f t="shared" si="37"/>
        <v>0.12</v>
      </c>
      <c r="Q102" s="132">
        <f t="shared" si="59"/>
        <v>0.72000000000000008</v>
      </c>
      <c r="R102" s="402">
        <f t="shared" si="39"/>
        <v>0</v>
      </c>
      <c r="S102" s="402">
        <f t="shared" si="40"/>
        <v>0.72000000000000008</v>
      </c>
      <c r="T102" s="402">
        <f t="shared" si="41"/>
        <v>0.72000000000000008</v>
      </c>
      <c r="U102" s="127"/>
      <c r="V102" s="127"/>
      <c r="W102" t="str">
        <f>IFERROR(#REF!*J102,"")</f>
        <v/>
      </c>
      <c r="X102">
        <f t="shared" si="42"/>
        <v>0</v>
      </c>
      <c r="Y102">
        <f t="shared" si="43"/>
        <v>66</v>
      </c>
      <c r="Z102" s="127">
        <f t="shared" si="44"/>
        <v>26.400000000000006</v>
      </c>
      <c r="AA102" s="127">
        <f t="shared" si="45"/>
        <v>26.400000000000006</v>
      </c>
      <c r="AB102" s="127">
        <f t="shared" si="46"/>
        <v>0</v>
      </c>
      <c r="AC102" s="127">
        <f t="shared" si="47"/>
        <v>5.2799999999999994</v>
      </c>
      <c r="AD102" s="127">
        <f t="shared" si="48"/>
        <v>31.680000000000003</v>
      </c>
      <c r="AF102" s="127" t="str">
        <f>IFERROR(W102*'FlightConfig '!$K$3,"")</f>
        <v/>
      </c>
      <c r="AG102" s="127">
        <f>IFERROR(X102*'FlightConfig '!$K$23,"")</f>
        <v>0</v>
      </c>
      <c r="AH102" s="127">
        <f>IFERROR(Y102*'FlightConfig '!$K$23,"")</f>
        <v>24024</v>
      </c>
      <c r="AI102" s="127">
        <f>IFERROR(Z102*'FlightConfig '!$K$23,"")</f>
        <v>9609.6000000000022</v>
      </c>
      <c r="AJ102" s="127">
        <f>IFERROR(AA102*'FlightConfig '!$K$23,"")</f>
        <v>9609.6000000000022</v>
      </c>
      <c r="AK102" s="127">
        <f>IFERROR(AB102*'FlightConfig '!$K$23,"")</f>
        <v>0</v>
      </c>
    </row>
    <row r="103" spans="1:37" ht="18.75" customHeight="1">
      <c r="A103" t="s">
        <v>157</v>
      </c>
      <c r="B103" s="171">
        <v>1</v>
      </c>
      <c r="C103" s="176" t="str">
        <f t="shared" si="56"/>
        <v>PREMIUM ECONOMY CLASS1110</v>
      </c>
      <c r="D103" s="311"/>
      <c r="E103" s="304">
        <v>1112</v>
      </c>
      <c r="F103" s="310">
        <v>110</v>
      </c>
      <c r="G103" t="str">
        <f>VLOOKUP(E103,'FG MASTER'!$A:$AB,2,0)</f>
        <v>PY C1 DINNER BREAD HOUSEMADE SWEETWATER BEER AND CHEESE ROLL</v>
      </c>
      <c r="H103" s="285">
        <v>1</v>
      </c>
      <c r="I103" s="173">
        <v>1</v>
      </c>
      <c r="J103" s="291">
        <f>IFERROR(IF(I103="std",H103,HLOOKUP(A103,'FlightConfig '!$B$34:$G$35,2,0)*I103),"")</f>
        <v>44</v>
      </c>
      <c r="K103" s="244">
        <f>VLOOKUP(Food!E103,'FG MASTER'!$A$1:$AC$536,16,0)</f>
        <v>0.29738124999999999</v>
      </c>
      <c r="L103" s="245">
        <f>VLOOKUP(Food!E103,'FG MASTER'!$A$10:$AC$536,17,0)</f>
        <v>0.25</v>
      </c>
      <c r="M103" s="132">
        <f t="shared" si="57"/>
        <v>0.1</v>
      </c>
      <c r="N103" s="132">
        <f t="shared" si="58"/>
        <v>0.39738125000000002</v>
      </c>
      <c r="O103" s="132">
        <f t="shared" si="36"/>
        <v>6.5423874999999965E-2</v>
      </c>
      <c r="P103" s="132">
        <f t="shared" si="37"/>
        <v>1.999999999999999E-2</v>
      </c>
      <c r="Q103" s="132">
        <f t="shared" ref="Q103:Q118" si="60">SUM(N103:P103)</f>
        <v>0.48280512499999995</v>
      </c>
      <c r="R103" s="402">
        <f t="shared" si="39"/>
        <v>0.36280512499999995</v>
      </c>
      <c r="S103" s="402">
        <f t="shared" si="40"/>
        <v>0.12</v>
      </c>
      <c r="T103" s="402">
        <f t="shared" si="41"/>
        <v>0.48280512499999995</v>
      </c>
      <c r="U103" s="127"/>
      <c r="V103" s="127"/>
      <c r="W103" t="str">
        <f>IFERROR(#REF!*J103,"")</f>
        <v/>
      </c>
      <c r="X103">
        <f t="shared" si="42"/>
        <v>13.084774999999999</v>
      </c>
      <c r="Y103">
        <f t="shared" si="43"/>
        <v>11</v>
      </c>
      <c r="Z103" s="127">
        <f t="shared" si="44"/>
        <v>4.4000000000000004</v>
      </c>
      <c r="AA103" s="127">
        <f t="shared" si="45"/>
        <v>17.484774999999999</v>
      </c>
      <c r="AB103" s="127">
        <f t="shared" si="46"/>
        <v>2.8786504999999982</v>
      </c>
      <c r="AC103" s="127">
        <f t="shared" si="47"/>
        <v>0.87999999999999956</v>
      </c>
      <c r="AD103" s="127">
        <f t="shared" si="48"/>
        <v>21.243425499999997</v>
      </c>
      <c r="AF103" s="127" t="str">
        <f>IFERROR(W103*'FlightConfig '!$K$3,"")</f>
        <v/>
      </c>
      <c r="AG103" s="127">
        <f>IFERROR(X103*'FlightConfig '!$K$23,"")</f>
        <v>4762.8580999999995</v>
      </c>
      <c r="AH103" s="127">
        <f>IFERROR(Y103*'FlightConfig '!$K$23,"")</f>
        <v>4004</v>
      </c>
      <c r="AI103" s="127">
        <f>IFERROR(Z103*'FlightConfig '!$K$23,"")</f>
        <v>1601.6000000000001</v>
      </c>
      <c r="AJ103" s="127">
        <f>IFERROR(AA103*'FlightConfig '!$K$23,"")</f>
        <v>6364.4580999999998</v>
      </c>
      <c r="AK103" s="127">
        <f>IFERROR(AB103*'FlightConfig '!$K$23,"")</f>
        <v>1047.8287819999994</v>
      </c>
    </row>
    <row r="104" spans="1:37" ht="18.75" customHeight="1">
      <c r="A104" t="s">
        <v>157</v>
      </c>
      <c r="B104" s="171">
        <v>1</v>
      </c>
      <c r="C104" s="176" t="str">
        <f t="shared" si="56"/>
        <v>PREMIUM ECONOMY CLASS1110</v>
      </c>
      <c r="D104" s="311"/>
      <c r="E104" s="304">
        <v>1113</v>
      </c>
      <c r="F104" s="310">
        <v>110</v>
      </c>
      <c r="G104" t="str">
        <f>VLOOKUP(E104,'FG MASTER'!$A:$AB,2,0)</f>
        <v>PY C1 DINNER BUTTER</v>
      </c>
      <c r="H104" s="285">
        <v>1</v>
      </c>
      <c r="I104" s="173">
        <v>1</v>
      </c>
      <c r="J104" s="291">
        <f>IFERROR(IF(I104="std",H104,HLOOKUP(A104,'FlightConfig '!$B$34:$G$35,2,0)*I104),"")</f>
        <v>44</v>
      </c>
      <c r="K104" s="244">
        <f>VLOOKUP(Food!E104,'FG MASTER'!$A$1:$AC$536,16,0)</f>
        <v>0.3</v>
      </c>
      <c r="L104" s="245">
        <f>VLOOKUP(Food!E104,'FG MASTER'!$A$10:$AC$536,17,0)</f>
        <v>0.25</v>
      </c>
      <c r="M104" s="132">
        <f t="shared" si="57"/>
        <v>0.1</v>
      </c>
      <c r="N104" s="132">
        <f t="shared" si="58"/>
        <v>0.4</v>
      </c>
      <c r="O104" s="132">
        <f t="shared" si="36"/>
        <v>6.6000000000000003E-2</v>
      </c>
      <c r="P104" s="132">
        <f t="shared" si="37"/>
        <v>1.999999999999999E-2</v>
      </c>
      <c r="Q104" s="132">
        <f t="shared" si="60"/>
        <v>0.48599999999999999</v>
      </c>
      <c r="R104" s="402">
        <f t="shared" si="39"/>
        <v>0.36599999999999999</v>
      </c>
      <c r="S104" s="402">
        <f t="shared" si="40"/>
        <v>0.12</v>
      </c>
      <c r="T104" s="402">
        <f t="shared" si="41"/>
        <v>0.48599999999999999</v>
      </c>
      <c r="U104" s="127"/>
      <c r="V104" s="127"/>
      <c r="W104" t="str">
        <f>IFERROR(#REF!*J104,"")</f>
        <v/>
      </c>
      <c r="X104">
        <f t="shared" si="42"/>
        <v>13.2</v>
      </c>
      <c r="Y104">
        <f t="shared" si="43"/>
        <v>11</v>
      </c>
      <c r="Z104" s="127">
        <f t="shared" si="44"/>
        <v>4.4000000000000004</v>
      </c>
      <c r="AA104" s="127">
        <f t="shared" si="45"/>
        <v>17.600000000000001</v>
      </c>
      <c r="AB104" s="127">
        <f t="shared" si="46"/>
        <v>2.9039999999999999</v>
      </c>
      <c r="AC104" s="127">
        <f t="shared" si="47"/>
        <v>0.87999999999999956</v>
      </c>
      <c r="AD104" s="127">
        <f t="shared" si="48"/>
        <v>21.384</v>
      </c>
      <c r="AF104" s="127" t="str">
        <f>IFERROR(W104*'FlightConfig '!$K$3,"")</f>
        <v/>
      </c>
      <c r="AG104" s="127">
        <f>IFERROR(X104*'FlightConfig '!$K$23,"")</f>
        <v>4804.8</v>
      </c>
      <c r="AH104" s="127">
        <f>IFERROR(Y104*'FlightConfig '!$K$23,"")</f>
        <v>4004</v>
      </c>
      <c r="AI104" s="127">
        <f>IFERROR(Z104*'FlightConfig '!$K$23,"")</f>
        <v>1601.6000000000001</v>
      </c>
      <c r="AJ104" s="127">
        <f>IFERROR(AA104*'FlightConfig '!$K$23,"")</f>
        <v>6406.4000000000005</v>
      </c>
      <c r="AK104" s="127">
        <f>IFERROR(AB104*'FlightConfig '!$K$23,"")</f>
        <v>1057.056</v>
      </c>
    </row>
    <row r="105" spans="1:37" ht="18.75" customHeight="1">
      <c r="A105" t="s">
        <v>157</v>
      </c>
      <c r="B105" s="171">
        <v>1</v>
      </c>
      <c r="C105" s="176" t="str">
        <f t="shared" si="56"/>
        <v>PREMIUM ECONOMY CLASS1110</v>
      </c>
      <c r="D105" s="311"/>
      <c r="E105" s="304">
        <v>1114</v>
      </c>
      <c r="F105" s="310">
        <v>110</v>
      </c>
      <c r="G105" t="str">
        <f>VLOOKUP(E105,'FG MASTER'!$A:$AB,2,0)</f>
        <v xml:space="preserve">PY C1 DINNER STARTER MESCLUN MIX, CUCUMBER, GRAPE TOMATO, RADISH, BALSAMIC DRESSING </v>
      </c>
      <c r="H105" s="285">
        <v>1</v>
      </c>
      <c r="I105" s="173">
        <v>0.5</v>
      </c>
      <c r="J105" s="291">
        <f>IFERROR(IF(I105="std",H105,HLOOKUP(A105,'FlightConfig '!$B$34:$G$35,2,0)*I105),"")</f>
        <v>22</v>
      </c>
      <c r="K105" s="244">
        <f>VLOOKUP(Food!E105,'FG MASTER'!$A$1:$AC$536,16,0)</f>
        <v>1.24</v>
      </c>
      <c r="L105" s="245">
        <f>VLOOKUP(Food!E105,'FG MASTER'!$A$10:$AC$536,17,0)</f>
        <v>1.3</v>
      </c>
      <c r="M105" s="132">
        <f t="shared" si="57"/>
        <v>0.52</v>
      </c>
      <c r="N105" s="132">
        <f t="shared" si="58"/>
        <v>1.76</v>
      </c>
      <c r="O105" s="132">
        <f t="shared" si="36"/>
        <v>0.27279999999999993</v>
      </c>
      <c r="P105" s="132">
        <f t="shared" si="37"/>
        <v>0.10399999999999998</v>
      </c>
      <c r="Q105" s="132">
        <f t="shared" si="60"/>
        <v>2.1368</v>
      </c>
      <c r="R105" s="402">
        <f t="shared" si="39"/>
        <v>1.5127999999999999</v>
      </c>
      <c r="S105" s="402">
        <f t="shared" si="40"/>
        <v>0.624</v>
      </c>
      <c r="T105" s="402">
        <f t="shared" si="41"/>
        <v>2.1368</v>
      </c>
      <c r="U105" s="127"/>
      <c r="V105" s="127"/>
      <c r="W105" t="str">
        <f>IFERROR(#REF!*J105,"")</f>
        <v/>
      </c>
      <c r="X105">
        <f t="shared" si="42"/>
        <v>27.28</v>
      </c>
      <c r="Y105">
        <f t="shared" si="43"/>
        <v>28.6</v>
      </c>
      <c r="Z105" s="127">
        <f t="shared" si="44"/>
        <v>11.440000000000001</v>
      </c>
      <c r="AA105" s="127">
        <f t="shared" si="45"/>
        <v>38.72</v>
      </c>
      <c r="AB105" s="127">
        <f t="shared" si="46"/>
        <v>6.001599999999998</v>
      </c>
      <c r="AC105" s="127">
        <f t="shared" si="47"/>
        <v>2.2879999999999994</v>
      </c>
      <c r="AD105" s="127">
        <f t="shared" si="48"/>
        <v>47.009599999999999</v>
      </c>
      <c r="AF105" s="127" t="str">
        <f>IFERROR(W105*'FlightConfig '!$K$3,"")</f>
        <v/>
      </c>
      <c r="AG105" s="127">
        <f>IFERROR(X105*'FlightConfig '!$K$23,"")</f>
        <v>9929.92</v>
      </c>
      <c r="AH105" s="127">
        <f>IFERROR(Y105*'FlightConfig '!$K$23,"")</f>
        <v>10410.4</v>
      </c>
      <c r="AI105" s="127">
        <f>IFERROR(Z105*'FlightConfig '!$K$23,"")</f>
        <v>4164.1600000000008</v>
      </c>
      <c r="AJ105" s="127">
        <f>IFERROR(AA105*'FlightConfig '!$K$23,"")</f>
        <v>14094.08</v>
      </c>
      <c r="AK105" s="127">
        <f>IFERROR(AB105*'FlightConfig '!$K$23,"")</f>
        <v>2184.5823999999993</v>
      </c>
    </row>
    <row r="106" spans="1:37" ht="18.75" customHeight="1">
      <c r="A106" t="s">
        <v>157</v>
      </c>
      <c r="B106" s="171">
        <v>1</v>
      </c>
      <c r="C106" s="176" t="str">
        <f t="shared" si="56"/>
        <v>PREMIUM ECONOMY CLASS1110</v>
      </c>
      <c r="D106" s="311"/>
      <c r="E106" s="304">
        <v>1155</v>
      </c>
      <c r="F106" s="310">
        <v>110</v>
      </c>
      <c r="G106" t="str">
        <f>VLOOKUP(E106,'FG MASTER'!$A:$AB,2,0)</f>
        <v xml:space="preserve">PY C1 DINNER ENTRÉE 1 SHRIMP SCAMPI, POTATO AND RED ONION HASH, KALE, AND RED PEPPER CREAM SAUCE </v>
      </c>
      <c r="H106" s="285">
        <v>1</v>
      </c>
      <c r="I106" s="173">
        <v>0.3</v>
      </c>
      <c r="J106" s="291">
        <f>IFERROR(IF(I106="std",H106,HLOOKUP(A106,'FlightConfig '!$B$34:$G$35,2,0)*I106),"")</f>
        <v>13.2</v>
      </c>
      <c r="K106" s="244">
        <f>VLOOKUP(Food!E106,'FG MASTER'!$A$1:$AC$536,16,0)</f>
        <v>4.82</v>
      </c>
      <c r="L106" s="245">
        <f>VLOOKUP(Food!E106,'FG MASTER'!$A$10:$AC$536,17,0)</f>
        <v>4</v>
      </c>
      <c r="M106" s="132">
        <f t="shared" si="57"/>
        <v>1.6</v>
      </c>
      <c r="N106" s="132">
        <f t="shared" si="58"/>
        <v>6.42</v>
      </c>
      <c r="O106" s="132">
        <f t="shared" si="36"/>
        <v>1.0603999999999996</v>
      </c>
      <c r="P106" s="132">
        <f t="shared" si="37"/>
        <v>0.31999999999999984</v>
      </c>
      <c r="Q106" s="132">
        <f t="shared" si="60"/>
        <v>7.8003999999999998</v>
      </c>
      <c r="R106" s="402">
        <f t="shared" si="39"/>
        <v>5.8803999999999998</v>
      </c>
      <c r="S106" s="402">
        <f t="shared" si="40"/>
        <v>1.92</v>
      </c>
      <c r="T106" s="402">
        <f t="shared" si="41"/>
        <v>7.8003999999999998</v>
      </c>
      <c r="U106" s="127"/>
      <c r="V106" s="127"/>
      <c r="W106" t="str">
        <f>IFERROR(#REF!*J106,"")</f>
        <v/>
      </c>
      <c r="X106">
        <f t="shared" si="42"/>
        <v>63.624000000000002</v>
      </c>
      <c r="Y106">
        <f t="shared" si="43"/>
        <v>52.8</v>
      </c>
      <c r="Z106" s="127">
        <f t="shared" si="44"/>
        <v>21.12</v>
      </c>
      <c r="AA106" s="127">
        <f t="shared" si="45"/>
        <v>84.744</v>
      </c>
      <c r="AB106" s="127">
        <f t="shared" si="46"/>
        <v>13.997279999999993</v>
      </c>
      <c r="AC106" s="127">
        <f t="shared" si="47"/>
        <v>4.2239999999999975</v>
      </c>
      <c r="AD106" s="127">
        <f t="shared" si="48"/>
        <v>102.96527999999999</v>
      </c>
      <c r="AF106" s="127" t="str">
        <f>IFERROR(W106*'FlightConfig '!$K$3,"")</f>
        <v/>
      </c>
      <c r="AG106" s="127">
        <f>IFERROR(X106*'FlightConfig '!$K$23,"")</f>
        <v>23159.136000000002</v>
      </c>
      <c r="AH106" s="127">
        <f>IFERROR(Y106*'FlightConfig '!$K$23,"")</f>
        <v>19219.2</v>
      </c>
      <c r="AI106" s="127">
        <f>IFERROR(Z106*'FlightConfig '!$K$23,"")</f>
        <v>7687.68</v>
      </c>
      <c r="AJ106" s="127">
        <f>IFERROR(AA106*'FlightConfig '!$K$23,"")</f>
        <v>30846.815999999999</v>
      </c>
      <c r="AK106" s="127">
        <f>IFERROR(AB106*'FlightConfig '!$K$23,"")</f>
        <v>5095.0099199999977</v>
      </c>
    </row>
    <row r="107" spans="1:37" ht="18.75" customHeight="1">
      <c r="A107" t="s">
        <v>157</v>
      </c>
      <c r="B107" s="171">
        <v>1</v>
      </c>
      <c r="C107" s="176" t="str">
        <f t="shared" si="56"/>
        <v>PREMIUM ECONOMY CLASS1110</v>
      </c>
      <c r="D107" s="311"/>
      <c r="E107" s="304">
        <v>1116</v>
      </c>
      <c r="F107" s="310">
        <v>110</v>
      </c>
      <c r="G107" t="str">
        <f>VLOOKUP(E107,'FG MASTER'!$A:$AB,2,0)</f>
        <v>PY C1 DINNER ENTRÉE 2 CHICKEN KEBAB, HONEY HARISSA GLAZE, RED PEPPER, LEMON HERB RICE, FETA CHEESE</v>
      </c>
      <c r="H107" s="285">
        <v>1</v>
      </c>
      <c r="I107" s="173">
        <v>0.5</v>
      </c>
      <c r="J107" s="291">
        <f>IFERROR(IF(I107="std",H107,HLOOKUP(A107,'FlightConfig '!$B$34:$G$35,2,0)*I107),"")</f>
        <v>22</v>
      </c>
      <c r="K107" s="244">
        <f>VLOOKUP(Food!E107,'FG MASTER'!$A$1:$AC$536,16,0)</f>
        <v>1.96</v>
      </c>
      <c r="L107" s="245">
        <f>VLOOKUP(Food!E107,'FG MASTER'!$A$10:$AC$536,17,0)</f>
        <v>4.5</v>
      </c>
      <c r="M107" s="132">
        <f t="shared" si="57"/>
        <v>1.8</v>
      </c>
      <c r="N107" s="132">
        <f t="shared" si="58"/>
        <v>3.76</v>
      </c>
      <c r="O107" s="132">
        <f t="shared" si="36"/>
        <v>0.43120000000000003</v>
      </c>
      <c r="P107" s="132">
        <f t="shared" si="37"/>
        <v>0.3600000000000001</v>
      </c>
      <c r="Q107" s="132">
        <f t="shared" si="60"/>
        <v>4.5512000000000006</v>
      </c>
      <c r="R107" s="402">
        <f t="shared" si="39"/>
        <v>2.3912</v>
      </c>
      <c r="S107" s="402">
        <f t="shared" si="40"/>
        <v>2.16</v>
      </c>
      <c r="T107" s="402">
        <f t="shared" si="41"/>
        <v>4.5511999999999997</v>
      </c>
      <c r="U107" s="127"/>
      <c r="V107" s="127"/>
      <c r="W107" t="str">
        <f>IFERROR(#REF!*J107,"")</f>
        <v/>
      </c>
      <c r="X107">
        <f t="shared" si="42"/>
        <v>43.12</v>
      </c>
      <c r="Y107">
        <f t="shared" si="43"/>
        <v>99</v>
      </c>
      <c r="Z107" s="127">
        <f t="shared" si="44"/>
        <v>39.6</v>
      </c>
      <c r="AA107" s="127">
        <f t="shared" si="45"/>
        <v>82.72</v>
      </c>
      <c r="AB107" s="127">
        <f t="shared" si="46"/>
        <v>9.4863999999999997</v>
      </c>
      <c r="AC107" s="127">
        <f t="shared" si="47"/>
        <v>7.9200000000000017</v>
      </c>
      <c r="AD107" s="127">
        <f t="shared" si="48"/>
        <v>100.12640000000002</v>
      </c>
      <c r="AF107" s="127" t="str">
        <f>IFERROR(W107*'FlightConfig '!$K$3,"")</f>
        <v/>
      </c>
      <c r="AG107" s="127">
        <f>IFERROR(X107*'FlightConfig '!$K$23,"")</f>
        <v>15695.679999999998</v>
      </c>
      <c r="AH107" s="127">
        <f>IFERROR(Y107*'FlightConfig '!$K$23,"")</f>
        <v>36036</v>
      </c>
      <c r="AI107" s="127">
        <f>IFERROR(Z107*'FlightConfig '!$K$23,"")</f>
        <v>14414.4</v>
      </c>
      <c r="AJ107" s="127">
        <f>IFERROR(AA107*'FlightConfig '!$K$23,"")</f>
        <v>30110.079999999998</v>
      </c>
      <c r="AK107" s="127">
        <f>IFERROR(AB107*'FlightConfig '!$K$23,"")</f>
        <v>3453.0495999999998</v>
      </c>
    </row>
    <row r="108" spans="1:37" ht="18.75" customHeight="1">
      <c r="A108" t="s">
        <v>157</v>
      </c>
      <c r="B108" s="171">
        <v>1</v>
      </c>
      <c r="C108" s="176" t="str">
        <f t="shared" si="56"/>
        <v>PREMIUM ECONOMY CLASS1110</v>
      </c>
      <c r="D108" s="311"/>
      <c r="E108" s="304">
        <v>1117</v>
      </c>
      <c r="F108" s="310">
        <v>110</v>
      </c>
      <c r="G108" t="str">
        <f>VLOOKUP(E108,'FG MASTER'!$A:$AB,2,0)</f>
        <v xml:space="preserve">PY C1 DINNER ENTRÉE 3 SMOKED MOZZARELLA RAVIOLI, MARINARA SAUCE, PESTO MARINATED BOCCONCINI MOZZARELLA, SHREDDED PARMESAN, SPINACH </v>
      </c>
      <c r="H108" s="285">
        <v>1</v>
      </c>
      <c r="I108" s="173">
        <v>0.35</v>
      </c>
      <c r="J108" s="291">
        <f>IFERROR(IF(I108="std",H108,HLOOKUP(A108,'FlightConfig '!$B$34:$G$35,2,0)*I108),"")</f>
        <v>15.399999999999999</v>
      </c>
      <c r="K108" s="244">
        <f>VLOOKUP(Food!E108,'FG MASTER'!$A$1:$AC$536,16,0)</f>
        <v>2.64</v>
      </c>
      <c r="L108" s="245">
        <f>VLOOKUP(Food!E108,'FG MASTER'!$A$10:$AC$536,17,0)</f>
        <v>3.25</v>
      </c>
      <c r="M108" s="132">
        <f t="shared" si="57"/>
        <v>1.3</v>
      </c>
      <c r="N108" s="132">
        <f t="shared" si="58"/>
        <v>3.9400000000000004</v>
      </c>
      <c r="O108" s="132">
        <f t="shared" si="36"/>
        <v>0.58079999999999998</v>
      </c>
      <c r="P108" s="132">
        <f t="shared" si="37"/>
        <v>0.26</v>
      </c>
      <c r="Q108" s="132">
        <f t="shared" si="60"/>
        <v>4.7808000000000002</v>
      </c>
      <c r="R108" s="402">
        <f t="shared" si="39"/>
        <v>3.2208000000000001</v>
      </c>
      <c r="S108" s="402">
        <f t="shared" si="40"/>
        <v>1.56</v>
      </c>
      <c r="T108" s="402">
        <f t="shared" si="41"/>
        <v>4.7808000000000002</v>
      </c>
      <c r="U108" s="127">
        <v>4.54</v>
      </c>
      <c r="V108" s="127"/>
      <c r="W108" t="str">
        <f>IFERROR(#REF!*J108,"")</f>
        <v/>
      </c>
      <c r="X108">
        <f t="shared" si="42"/>
        <v>40.655999999999999</v>
      </c>
      <c r="Y108">
        <f t="shared" si="43"/>
        <v>50.05</v>
      </c>
      <c r="Z108" s="127">
        <f t="shared" si="44"/>
        <v>20.02</v>
      </c>
      <c r="AA108" s="127">
        <f t="shared" si="45"/>
        <v>60.676000000000002</v>
      </c>
      <c r="AB108" s="127">
        <f t="shared" si="46"/>
        <v>8.9443199999999994</v>
      </c>
      <c r="AC108" s="127">
        <f t="shared" si="47"/>
        <v>4.0039999999999996</v>
      </c>
      <c r="AD108" s="127">
        <f t="shared" si="48"/>
        <v>73.624319999999997</v>
      </c>
      <c r="AF108" s="127" t="str">
        <f>IFERROR(W108*'FlightConfig '!$K$3,"")</f>
        <v/>
      </c>
      <c r="AG108" s="127">
        <f>IFERROR(X108*'FlightConfig '!$K$23,"")</f>
        <v>14798.784</v>
      </c>
      <c r="AH108" s="127">
        <f>IFERROR(Y108*'FlightConfig '!$K$23,"")</f>
        <v>18218.2</v>
      </c>
      <c r="AI108" s="127">
        <f>IFERROR(Z108*'FlightConfig '!$K$23,"")</f>
        <v>7287.28</v>
      </c>
      <c r="AJ108" s="127">
        <f>IFERROR(AA108*'FlightConfig '!$K$23,"")</f>
        <v>22086.064000000002</v>
      </c>
      <c r="AK108" s="127">
        <f>IFERROR(AB108*'FlightConfig '!$K$23,"")</f>
        <v>3255.7324799999997</v>
      </c>
    </row>
    <row r="109" spans="1:37" ht="18.75" customHeight="1">
      <c r="A109" t="s">
        <v>157</v>
      </c>
      <c r="B109" s="171">
        <v>1</v>
      </c>
      <c r="C109" s="176" t="str">
        <f t="shared" si="56"/>
        <v>PREMIUM ECONOMY CLASS1110</v>
      </c>
      <c r="D109" s="311"/>
      <c r="E109" s="304">
        <v>1118</v>
      </c>
      <c r="F109" s="310">
        <v>110</v>
      </c>
      <c r="G109" t="str">
        <f>VLOOKUP(E109,'FG MASTER'!$A:$AB,2,0)</f>
        <v xml:space="preserve">PY C1 DINENR DESSERT PEACH COBBLEER TART, CRÈME FRAICHE </v>
      </c>
      <c r="H109" s="285">
        <v>1</v>
      </c>
      <c r="I109" s="173">
        <v>1</v>
      </c>
      <c r="J109" s="291">
        <f>IFERROR(IF(I109="std",H109,HLOOKUP(A109,'FlightConfig '!$B$34:$G$35,2,0)*I109),"")</f>
        <v>44</v>
      </c>
      <c r="K109" s="244">
        <f>VLOOKUP(Food!E109,'FG MASTER'!$A$1:$AC$536,16,0)</f>
        <v>0.89</v>
      </c>
      <c r="L109" s="245">
        <f>VLOOKUP(Food!E109,'FG MASTER'!$A$10:$AC$536,17,0)</f>
        <v>1</v>
      </c>
      <c r="M109" s="132">
        <f t="shared" si="57"/>
        <v>0.4</v>
      </c>
      <c r="N109" s="132">
        <f t="shared" si="58"/>
        <v>1.29</v>
      </c>
      <c r="O109" s="132">
        <f t="shared" si="36"/>
        <v>0.19580000000000009</v>
      </c>
      <c r="P109" s="132">
        <f t="shared" si="37"/>
        <v>7.999999999999996E-2</v>
      </c>
      <c r="Q109" s="132">
        <f t="shared" si="60"/>
        <v>1.5658000000000003</v>
      </c>
      <c r="R109" s="402">
        <f t="shared" si="39"/>
        <v>1.0858000000000001</v>
      </c>
      <c r="S109" s="402">
        <f t="shared" si="40"/>
        <v>0.48</v>
      </c>
      <c r="T109" s="402">
        <f t="shared" si="41"/>
        <v>1.5658000000000001</v>
      </c>
      <c r="U109" s="127"/>
      <c r="V109" s="127"/>
      <c r="W109" t="str">
        <f>IFERROR(#REF!*J109,"")</f>
        <v/>
      </c>
      <c r="X109">
        <f t="shared" si="42"/>
        <v>39.160000000000004</v>
      </c>
      <c r="Y109">
        <f t="shared" si="43"/>
        <v>44</v>
      </c>
      <c r="Z109" s="127">
        <f t="shared" si="44"/>
        <v>17.600000000000001</v>
      </c>
      <c r="AA109" s="127">
        <f t="shared" si="45"/>
        <v>56.760000000000005</v>
      </c>
      <c r="AB109" s="127">
        <f t="shared" si="46"/>
        <v>8.6152000000000033</v>
      </c>
      <c r="AC109" s="127">
        <f t="shared" si="47"/>
        <v>3.5199999999999982</v>
      </c>
      <c r="AD109" s="127">
        <f t="shared" si="48"/>
        <v>68.895200000000017</v>
      </c>
      <c r="AF109" s="127" t="str">
        <f>IFERROR(W109*'FlightConfig '!$K$3,"")</f>
        <v/>
      </c>
      <c r="AG109" s="127">
        <f>IFERROR(X109*'FlightConfig '!$K$23,"")</f>
        <v>14254.240000000002</v>
      </c>
      <c r="AH109" s="127">
        <f>IFERROR(Y109*'FlightConfig '!$K$23,"")</f>
        <v>16016</v>
      </c>
      <c r="AI109" s="127">
        <f>IFERROR(Z109*'FlightConfig '!$K$23,"")</f>
        <v>6406.4000000000005</v>
      </c>
      <c r="AJ109" s="127">
        <f>IFERROR(AA109*'FlightConfig '!$K$23,"")</f>
        <v>20660.640000000003</v>
      </c>
      <c r="AK109" s="127">
        <f>IFERROR(AB109*'FlightConfig '!$K$23,"")</f>
        <v>3135.9328000000014</v>
      </c>
    </row>
    <row r="110" spans="1:37" ht="18.75" customHeight="1">
      <c r="A110" t="s">
        <v>157</v>
      </c>
      <c r="B110" s="171">
        <v>1</v>
      </c>
      <c r="C110" s="176" t="str">
        <f t="shared" si="56"/>
        <v>PREMIUM ECONOMY CLASS1110</v>
      </c>
      <c r="D110" s="311"/>
      <c r="E110" s="304">
        <v>1119</v>
      </c>
      <c r="F110" s="310">
        <v>110</v>
      </c>
      <c r="G110" t="str">
        <f>VLOOKUP(E110,'FG MASTER'!$A:$AB,2,0)</f>
        <v>PY C1 DINENR CHEESE PLATE - CHEDDAR, MUENSTER CHEESE, DRIED APROCIT, JAM, CRACKER</v>
      </c>
      <c r="H110" s="285">
        <v>1</v>
      </c>
      <c r="I110" s="173">
        <v>0.5</v>
      </c>
      <c r="J110" s="291">
        <f>IFERROR(IF(I110="std",H110,HLOOKUP(A110,'FlightConfig '!$B$34:$G$35,2,0)*I110),"")</f>
        <v>22</v>
      </c>
      <c r="K110" s="244">
        <f>VLOOKUP(Food!E110,'FG MASTER'!$A$1:$AC$536,16,0)</f>
        <v>1.2</v>
      </c>
      <c r="L110" s="245">
        <f>VLOOKUP(Food!E110,'FG MASTER'!$A$10:$AC$536,17,0)</f>
        <v>1.75</v>
      </c>
      <c r="M110" s="132">
        <f t="shared" si="57"/>
        <v>0.70000000000000007</v>
      </c>
      <c r="N110" s="132">
        <f t="shared" si="58"/>
        <v>1.9</v>
      </c>
      <c r="O110" s="132">
        <f t="shared" si="36"/>
        <v>0.26400000000000001</v>
      </c>
      <c r="P110" s="132">
        <f t="shared" si="37"/>
        <v>0.14000000000000001</v>
      </c>
      <c r="Q110" s="132">
        <f t="shared" si="60"/>
        <v>2.3039999999999998</v>
      </c>
      <c r="R110" s="402">
        <f t="shared" si="39"/>
        <v>1.464</v>
      </c>
      <c r="S110" s="402">
        <f t="shared" si="40"/>
        <v>0.84000000000000008</v>
      </c>
      <c r="T110" s="402">
        <f t="shared" si="41"/>
        <v>2.3040000000000003</v>
      </c>
      <c r="U110" s="127"/>
      <c r="V110" s="127"/>
      <c r="W110" t="str">
        <f>IFERROR(#REF!*J110,"")</f>
        <v/>
      </c>
      <c r="X110">
        <f t="shared" si="42"/>
        <v>26.4</v>
      </c>
      <c r="Y110">
        <f t="shared" si="43"/>
        <v>38.5</v>
      </c>
      <c r="Z110" s="127">
        <f t="shared" si="44"/>
        <v>15.400000000000002</v>
      </c>
      <c r="AA110" s="127">
        <f t="shared" si="45"/>
        <v>41.8</v>
      </c>
      <c r="AB110" s="127">
        <f t="shared" si="46"/>
        <v>5.8079999999999998</v>
      </c>
      <c r="AC110" s="127">
        <f t="shared" si="47"/>
        <v>3.08</v>
      </c>
      <c r="AD110" s="127">
        <f t="shared" si="48"/>
        <v>50.687999999999995</v>
      </c>
      <c r="AF110" s="127" t="str">
        <f>IFERROR(W110*'FlightConfig '!$K$3,"")</f>
        <v/>
      </c>
      <c r="AG110" s="127">
        <f>IFERROR(X110*'FlightConfig '!$K$23,"")</f>
        <v>9609.6</v>
      </c>
      <c r="AH110" s="127">
        <f>IFERROR(Y110*'FlightConfig '!$K$23,"")</f>
        <v>14014</v>
      </c>
      <c r="AI110" s="127">
        <f>IFERROR(Z110*'FlightConfig '!$K$23,"")</f>
        <v>5605.6</v>
      </c>
      <c r="AJ110" s="127">
        <f>IFERROR(AA110*'FlightConfig '!$K$23,"")</f>
        <v>15215.199999999999</v>
      </c>
      <c r="AK110" s="127">
        <f>IFERROR(AB110*'FlightConfig '!$K$23,"")</f>
        <v>2114.1120000000001</v>
      </c>
    </row>
    <row r="111" spans="1:37" ht="18.75" customHeight="1">
      <c r="A111" t="s">
        <v>157</v>
      </c>
      <c r="B111" s="171">
        <v>1</v>
      </c>
      <c r="C111" s="176" t="str">
        <f t="shared" si="56"/>
        <v>PREMIUM ECONOMY CLASS1110</v>
      </c>
      <c r="D111" s="311"/>
      <c r="E111" s="304">
        <v>1120</v>
      </c>
      <c r="F111" s="310">
        <v>110</v>
      </c>
      <c r="G111" t="str">
        <f>VLOOKUP(E111,'FG MASTER'!$A:$AB,2,0)</f>
        <v>PY C1 BREAKFAST TSU</v>
      </c>
      <c r="H111" s="285">
        <v>1</v>
      </c>
      <c r="I111" s="173">
        <v>0.3</v>
      </c>
      <c r="J111" s="291">
        <f>IFERROR(IF(I111="std",H111,HLOOKUP(A111,'FlightConfig '!$B$34:$G$35,2,0)*I111),"")</f>
        <v>13.2</v>
      </c>
      <c r="K111" s="244">
        <f>VLOOKUP(Food!E111,'FG MASTER'!$A$1:$AC$536,16,0)</f>
        <v>0</v>
      </c>
      <c r="L111" s="245">
        <f>VLOOKUP(Food!E111,'FG MASTER'!$A$10:$AC$536,17,0)</f>
        <v>1.25</v>
      </c>
      <c r="M111" s="132">
        <f t="shared" si="57"/>
        <v>0.5</v>
      </c>
      <c r="N111" s="132">
        <f t="shared" si="58"/>
        <v>0.5</v>
      </c>
      <c r="O111" s="132">
        <f t="shared" si="36"/>
        <v>0</v>
      </c>
      <c r="P111" s="132">
        <f t="shared" si="37"/>
        <v>9.9999999999999978E-2</v>
      </c>
      <c r="Q111" s="132">
        <f t="shared" si="60"/>
        <v>0.6</v>
      </c>
      <c r="R111" s="402">
        <f t="shared" si="39"/>
        <v>0</v>
      </c>
      <c r="S111" s="402">
        <f t="shared" si="40"/>
        <v>0.6</v>
      </c>
      <c r="T111" s="402">
        <f t="shared" si="41"/>
        <v>0.6</v>
      </c>
      <c r="U111" s="127"/>
      <c r="V111" s="127"/>
      <c r="W111" t="str">
        <f>IFERROR(#REF!*J111,"")</f>
        <v/>
      </c>
      <c r="X111">
        <f t="shared" si="42"/>
        <v>0</v>
      </c>
      <c r="Y111">
        <f t="shared" si="43"/>
        <v>16.5</v>
      </c>
      <c r="Z111" s="127">
        <f t="shared" si="44"/>
        <v>6.6</v>
      </c>
      <c r="AA111" s="127">
        <f t="shared" si="45"/>
        <v>6.6</v>
      </c>
      <c r="AB111" s="127">
        <f t="shared" si="46"/>
        <v>0</v>
      </c>
      <c r="AC111" s="127">
        <f t="shared" si="47"/>
        <v>1.3199999999999996</v>
      </c>
      <c r="AD111" s="127">
        <f t="shared" si="48"/>
        <v>7.919999999999999</v>
      </c>
      <c r="AF111" s="127" t="str">
        <f>IFERROR(W111*'FlightConfig '!$K$3,"")</f>
        <v/>
      </c>
      <c r="AG111" s="127">
        <f>IFERROR(X111*'FlightConfig '!$K$23,"")</f>
        <v>0</v>
      </c>
      <c r="AH111" s="127">
        <f>IFERROR(Y111*'FlightConfig '!$K$23,"")</f>
        <v>6006</v>
      </c>
      <c r="AI111" s="127">
        <f>IFERROR(Z111*'FlightConfig '!$K$23,"")</f>
        <v>2402.4</v>
      </c>
      <c r="AJ111" s="127">
        <f>IFERROR(AA111*'FlightConfig '!$K$23,"")</f>
        <v>2402.4</v>
      </c>
      <c r="AK111" s="127">
        <f>IFERROR(AB111*'FlightConfig '!$K$23,"")</f>
        <v>0</v>
      </c>
    </row>
    <row r="112" spans="1:37" ht="18.75" customHeight="1">
      <c r="A112" t="s">
        <v>157</v>
      </c>
      <c r="B112" s="171">
        <v>1</v>
      </c>
      <c r="C112" s="176" t="str">
        <f t="shared" si="56"/>
        <v>PREMIUM ECONOMY CLASS1110</v>
      </c>
      <c r="D112" s="311"/>
      <c r="E112" s="304">
        <v>1121</v>
      </c>
      <c r="F112" s="310">
        <v>110</v>
      </c>
      <c r="G112" t="str">
        <f>VLOOKUP(E112,'FG MASTER'!$A:$AB,2,0)</f>
        <v xml:space="preserve">PY C1 BREAKFAST ENTRÉE 1 SCRAMBLED EGGS, BAKED BEANS, PORK SAUSAGE, MUSHROOMS AND GRAPE TOMATO </v>
      </c>
      <c r="H112" s="285">
        <v>1</v>
      </c>
      <c r="I112" s="173">
        <v>0.4</v>
      </c>
      <c r="J112" s="291">
        <f>IFERROR(IF(I112="std",H112,HLOOKUP(A112,'FlightConfig '!$B$34:$G$35,2,0)*I112),"")</f>
        <v>17.600000000000001</v>
      </c>
      <c r="K112" s="244">
        <f>VLOOKUP(Food!E112,'FG MASTER'!$A$1:$AC$536,16,0)</f>
        <v>1.68</v>
      </c>
      <c r="L112" s="245">
        <f>VLOOKUP(Food!E112,'FG MASTER'!$A$10:$AC$536,17,0)</f>
        <v>3.5</v>
      </c>
      <c r="M112" s="132">
        <f t="shared" si="57"/>
        <v>1.4000000000000001</v>
      </c>
      <c r="N112" s="132">
        <f t="shared" si="58"/>
        <v>3.08</v>
      </c>
      <c r="O112" s="132">
        <f t="shared" si="36"/>
        <v>0.36959999999999993</v>
      </c>
      <c r="P112" s="132">
        <f t="shared" si="37"/>
        <v>0.28000000000000003</v>
      </c>
      <c r="Q112" s="132">
        <f t="shared" si="60"/>
        <v>3.7296000000000005</v>
      </c>
      <c r="R112" s="402">
        <f t="shared" si="39"/>
        <v>2.0495999999999999</v>
      </c>
      <c r="S112" s="402">
        <f t="shared" si="40"/>
        <v>1.6800000000000002</v>
      </c>
      <c r="T112" s="402">
        <f t="shared" si="41"/>
        <v>3.7296</v>
      </c>
      <c r="U112" s="127"/>
      <c r="V112" s="127"/>
      <c r="W112" t="str">
        <f>IFERROR(#REF!*J112,"")</f>
        <v/>
      </c>
      <c r="X112">
        <f t="shared" si="42"/>
        <v>29.568000000000001</v>
      </c>
      <c r="Y112">
        <f t="shared" si="43"/>
        <v>61.600000000000009</v>
      </c>
      <c r="Z112" s="127">
        <f t="shared" si="44"/>
        <v>24.640000000000004</v>
      </c>
      <c r="AA112" s="127">
        <f t="shared" si="45"/>
        <v>54.208000000000006</v>
      </c>
      <c r="AB112" s="127">
        <f t="shared" si="46"/>
        <v>6.5049599999999996</v>
      </c>
      <c r="AC112" s="127">
        <f t="shared" si="47"/>
        <v>4.9280000000000008</v>
      </c>
      <c r="AD112" s="127">
        <f t="shared" si="48"/>
        <v>65.640960000000007</v>
      </c>
      <c r="AF112" s="127" t="str">
        <f>IFERROR(W112*'FlightConfig '!$K$3,"")</f>
        <v/>
      </c>
      <c r="AG112" s="127">
        <f>IFERROR(X112*'FlightConfig '!$K$23,"")</f>
        <v>10762.752</v>
      </c>
      <c r="AH112" s="127">
        <f>IFERROR(Y112*'FlightConfig '!$K$23,"")</f>
        <v>22422.400000000001</v>
      </c>
      <c r="AI112" s="127">
        <f>IFERROR(Z112*'FlightConfig '!$K$23,"")</f>
        <v>8968.9600000000009</v>
      </c>
      <c r="AJ112" s="127">
        <f>IFERROR(AA112*'FlightConfig '!$K$23,"")</f>
        <v>19731.712000000003</v>
      </c>
      <c r="AK112" s="127">
        <f>IFERROR(AB112*'FlightConfig '!$K$23,"")</f>
        <v>2367.8054400000001</v>
      </c>
    </row>
    <row r="113" spans="1:37" ht="18.75" customHeight="1">
      <c r="A113" t="s">
        <v>157</v>
      </c>
      <c r="B113" s="171">
        <v>1</v>
      </c>
      <c r="C113" s="176" t="str">
        <f t="shared" si="56"/>
        <v>PREMIUM ECONOMY CLASS1110</v>
      </c>
      <c r="D113" s="311"/>
      <c r="E113" s="304">
        <v>1122</v>
      </c>
      <c r="F113" s="310">
        <v>110</v>
      </c>
      <c r="G113" t="str">
        <f>VLOOKUP(E113,'FG MASTER'!$A:$AB,2,0)</f>
        <v>PY C1 BREAKFAST ENTRÉE 2 FETA EGG BITES, POTATOES AND RED ONION HASH, SHAKSHUKA SAUCE, FETA CHEESE CRUMBLES</v>
      </c>
      <c r="H113" s="285">
        <v>1</v>
      </c>
      <c r="I113" s="173">
        <v>0.3</v>
      </c>
      <c r="J113" s="291">
        <f>IFERROR(IF(I113="std",H113,HLOOKUP(A113,'FlightConfig '!$B$34:$G$35,2,0)*I113),"")</f>
        <v>13.2</v>
      </c>
      <c r="K113" s="244">
        <f>VLOOKUP(Food!E113,'FG MASTER'!$A$1:$AC$536,16,0)</f>
        <v>1.64</v>
      </c>
      <c r="L113" s="245">
        <f>VLOOKUP(Food!E113,'FG MASTER'!$A$10:$AC$536,17,0)</f>
        <v>3.25</v>
      </c>
      <c r="M113" s="132">
        <f t="shared" si="57"/>
        <v>1.3</v>
      </c>
      <c r="N113" s="132">
        <f t="shared" si="58"/>
        <v>2.94</v>
      </c>
      <c r="O113" s="132">
        <f t="shared" si="36"/>
        <v>0.36080000000000001</v>
      </c>
      <c r="P113" s="132">
        <f t="shared" si="37"/>
        <v>0.26</v>
      </c>
      <c r="Q113" s="132">
        <f t="shared" si="60"/>
        <v>3.5607999999999995</v>
      </c>
      <c r="R113" s="402">
        <f t="shared" si="39"/>
        <v>2.0007999999999999</v>
      </c>
      <c r="S113" s="402">
        <f t="shared" si="40"/>
        <v>1.56</v>
      </c>
      <c r="T113" s="402">
        <f t="shared" si="41"/>
        <v>3.5608</v>
      </c>
      <c r="U113" s="127"/>
      <c r="V113" s="127"/>
      <c r="W113" t="str">
        <f>IFERROR(#REF!*J113,"")</f>
        <v/>
      </c>
      <c r="X113">
        <f t="shared" si="42"/>
        <v>21.647999999999996</v>
      </c>
      <c r="Y113">
        <f t="shared" si="43"/>
        <v>42.9</v>
      </c>
      <c r="Z113" s="127">
        <f t="shared" si="44"/>
        <v>17.16</v>
      </c>
      <c r="AA113" s="127">
        <f t="shared" si="45"/>
        <v>38.808</v>
      </c>
      <c r="AB113" s="127">
        <f t="shared" si="46"/>
        <v>4.7625599999999997</v>
      </c>
      <c r="AC113" s="127">
        <f t="shared" si="47"/>
        <v>3.4319999999999999</v>
      </c>
      <c r="AD113" s="127">
        <f t="shared" si="48"/>
        <v>47.002559999999988</v>
      </c>
      <c r="AF113" s="127" t="str">
        <f>IFERROR(W113*'FlightConfig '!$K$3,"")</f>
        <v/>
      </c>
      <c r="AG113" s="127">
        <f>IFERROR(X113*'FlightConfig '!$K$23,"")</f>
        <v>7879.8719999999985</v>
      </c>
      <c r="AH113" s="127">
        <f>IFERROR(Y113*'FlightConfig '!$K$23,"")</f>
        <v>15615.6</v>
      </c>
      <c r="AI113" s="127">
        <f>IFERROR(Z113*'FlightConfig '!$K$23,"")</f>
        <v>6246.24</v>
      </c>
      <c r="AJ113" s="127">
        <f>IFERROR(AA113*'FlightConfig '!$K$23,"")</f>
        <v>14126.111999999999</v>
      </c>
      <c r="AK113" s="127">
        <f>IFERROR(AB113*'FlightConfig '!$K$23,"")</f>
        <v>1733.5718399999998</v>
      </c>
    </row>
    <row r="114" spans="1:37" ht="18.75" customHeight="1">
      <c r="A114" t="s">
        <v>157</v>
      </c>
      <c r="B114" s="171">
        <v>1</v>
      </c>
      <c r="C114" s="176" t="str">
        <f t="shared" si="56"/>
        <v>PREMIUM ECONOMY CLASS1110</v>
      </c>
      <c r="D114" s="311"/>
      <c r="E114" s="304">
        <v>1123</v>
      </c>
      <c r="F114" s="310">
        <v>110</v>
      </c>
      <c r="G114" t="str">
        <f>VLOOKUP(E114,'FG MASTER'!$A:$AB,2,0)</f>
        <v xml:space="preserve">PY C1 BREAKFAST ENTRÉE 3 CHALLAH FRENCH TOAST CASSEROLE WITH ORANGE WHIPPED RICOTTA, AND MORELLO CHERRY COMPOTE </v>
      </c>
      <c r="H114" s="285">
        <v>1</v>
      </c>
      <c r="I114" s="173">
        <v>0.2</v>
      </c>
      <c r="J114" s="291">
        <f>IFERROR(IF(I114="std",H114,HLOOKUP(A114,'FlightConfig '!$B$34:$G$35,2,0)*I114),"")</f>
        <v>8.8000000000000007</v>
      </c>
      <c r="K114" s="244">
        <f>VLOOKUP(Food!E114,'FG MASTER'!$A$1:$AC$536,16,0)</f>
        <v>1.17</v>
      </c>
      <c r="L114" s="245">
        <f>VLOOKUP(Food!E114,'FG MASTER'!$A$10:$AC$536,17,0)</f>
        <v>2.75</v>
      </c>
      <c r="M114" s="132">
        <f t="shared" si="57"/>
        <v>1.1000000000000001</v>
      </c>
      <c r="N114" s="132">
        <f t="shared" si="58"/>
        <v>2.27</v>
      </c>
      <c r="O114" s="132">
        <f t="shared" si="36"/>
        <v>0.25739999999999985</v>
      </c>
      <c r="P114" s="132">
        <f t="shared" si="37"/>
        <v>0.21999999999999997</v>
      </c>
      <c r="Q114" s="132">
        <f t="shared" si="60"/>
        <v>2.7473999999999998</v>
      </c>
      <c r="R114" s="402">
        <f t="shared" si="39"/>
        <v>1.4273999999999998</v>
      </c>
      <c r="S114" s="402">
        <f t="shared" si="40"/>
        <v>1.32</v>
      </c>
      <c r="T114" s="402">
        <f t="shared" si="41"/>
        <v>2.7473999999999998</v>
      </c>
      <c r="U114" s="127"/>
      <c r="V114" s="127"/>
      <c r="W114" t="str">
        <f>IFERROR(#REF!*J114,"")</f>
        <v/>
      </c>
      <c r="X114">
        <f t="shared" si="42"/>
        <v>10.295999999999999</v>
      </c>
      <c r="Y114">
        <f t="shared" si="43"/>
        <v>24.200000000000003</v>
      </c>
      <c r="Z114" s="127">
        <f t="shared" si="44"/>
        <v>9.6800000000000015</v>
      </c>
      <c r="AA114" s="127">
        <f t="shared" si="45"/>
        <v>19.976000000000003</v>
      </c>
      <c r="AB114" s="127">
        <f t="shared" si="46"/>
        <v>2.2651199999999987</v>
      </c>
      <c r="AC114" s="127">
        <f t="shared" si="47"/>
        <v>1.9359999999999999</v>
      </c>
      <c r="AD114" s="127">
        <f t="shared" si="48"/>
        <v>24.177120000000002</v>
      </c>
      <c r="AF114" s="127" t="str">
        <f>IFERROR(W114*'FlightConfig '!$K$3,"")</f>
        <v/>
      </c>
      <c r="AG114" s="127">
        <f>IFERROR(X114*'FlightConfig '!$K$23,"")</f>
        <v>3747.7439999999997</v>
      </c>
      <c r="AH114" s="127">
        <f>IFERROR(Y114*'FlightConfig '!$K$23,"")</f>
        <v>8808.8000000000011</v>
      </c>
      <c r="AI114" s="127">
        <f>IFERROR(Z114*'FlightConfig '!$K$23,"")</f>
        <v>3523.5200000000004</v>
      </c>
      <c r="AJ114" s="127">
        <f>IFERROR(AA114*'FlightConfig '!$K$23,"")</f>
        <v>7271.264000000001</v>
      </c>
      <c r="AK114" s="127">
        <f>IFERROR(AB114*'FlightConfig '!$K$23,"")</f>
        <v>824.50367999999958</v>
      </c>
    </row>
    <row r="115" spans="1:37" ht="18.75" customHeight="1">
      <c r="A115" t="s">
        <v>158</v>
      </c>
      <c r="B115" s="171">
        <v>1</v>
      </c>
      <c r="C115" s="176" t="str">
        <f t="shared" si="56"/>
        <v>ECONOMY CLASS1110</v>
      </c>
      <c r="D115" s="311"/>
      <c r="E115" s="304">
        <v>1124</v>
      </c>
      <c r="F115" s="310">
        <v>110</v>
      </c>
      <c r="G115" t="str">
        <f>VLOOKUP(E115,'FG MASTER'!$A:$AB,2,0)</f>
        <v xml:space="preserve">PY C1 BREAKFAST SIDE 1 PEACH SLICE, STRAWBERRIES, BLUEBERRIES, AND MINT </v>
      </c>
      <c r="H115" s="285">
        <v>1</v>
      </c>
      <c r="I115" s="173">
        <v>1</v>
      </c>
      <c r="J115" s="291">
        <f>IFERROR(IF(I115="std",H115,HLOOKUP(A115,'FlightConfig '!$B$34:$G$35,2,0)*I115),"")</f>
        <v>184</v>
      </c>
      <c r="K115" s="244">
        <f>VLOOKUP(Food!E115,'FG MASTER'!$A$1:$AC$536,16,0)</f>
        <v>1</v>
      </c>
      <c r="L115" s="245">
        <f>VLOOKUP(Food!E115,'FG MASTER'!$A$10:$AC$536,17,0)</f>
        <v>1.35</v>
      </c>
      <c r="M115" s="132">
        <f t="shared" si="57"/>
        <v>0.54</v>
      </c>
      <c r="N115" s="132">
        <f t="shared" si="58"/>
        <v>1.54</v>
      </c>
      <c r="O115" s="132">
        <f t="shared" si="36"/>
        <v>0.21999999999999997</v>
      </c>
      <c r="P115" s="132">
        <f t="shared" si="37"/>
        <v>0.10799999999999998</v>
      </c>
      <c r="Q115" s="132">
        <f t="shared" si="60"/>
        <v>1.8679999999999999</v>
      </c>
      <c r="R115" s="402">
        <f t="shared" si="39"/>
        <v>1.22</v>
      </c>
      <c r="S115" s="402">
        <f t="shared" si="40"/>
        <v>0.64800000000000002</v>
      </c>
      <c r="T115" s="402">
        <f t="shared" si="41"/>
        <v>1.8679999999999999</v>
      </c>
      <c r="U115" s="127"/>
      <c r="V115" s="127"/>
      <c r="W115" t="str">
        <f>IFERROR(#REF!*J115,"")</f>
        <v/>
      </c>
      <c r="X115">
        <f t="shared" si="42"/>
        <v>184</v>
      </c>
      <c r="Y115">
        <f t="shared" si="43"/>
        <v>248.4</v>
      </c>
      <c r="Z115" s="127">
        <f t="shared" si="44"/>
        <v>99.360000000000014</v>
      </c>
      <c r="AA115" s="127">
        <f t="shared" si="45"/>
        <v>283.36</v>
      </c>
      <c r="AB115" s="127">
        <f t="shared" si="46"/>
        <v>40.479999999999997</v>
      </c>
      <c r="AC115" s="127">
        <f t="shared" si="47"/>
        <v>19.871999999999996</v>
      </c>
      <c r="AD115" s="127">
        <f t="shared" si="48"/>
        <v>343.71199999999999</v>
      </c>
      <c r="AF115" s="127" t="str">
        <f>IFERROR(W115*'FlightConfig '!$K$3,"")</f>
        <v/>
      </c>
      <c r="AG115" s="127">
        <f>IFERROR(X115*'FlightConfig '!$K$23,"")</f>
        <v>66976</v>
      </c>
      <c r="AH115" s="127">
        <f>IFERROR(Y115*'FlightConfig '!$K$23,"")</f>
        <v>90417.600000000006</v>
      </c>
      <c r="AI115" s="127">
        <f>IFERROR(Z115*'FlightConfig '!$K$23,"")</f>
        <v>36167.040000000008</v>
      </c>
      <c r="AJ115" s="127">
        <f>IFERROR(AA115*'FlightConfig '!$K$23,"")</f>
        <v>103143.04000000001</v>
      </c>
      <c r="AK115" s="127">
        <f>IFERROR(AB115*'FlightConfig '!$K$23,"")</f>
        <v>14734.72</v>
      </c>
    </row>
    <row r="116" spans="1:37" ht="18.75" customHeight="1">
      <c r="A116" t="s">
        <v>158</v>
      </c>
      <c r="B116" s="171">
        <v>1</v>
      </c>
      <c r="C116" s="176" t="str">
        <f t="shared" si="56"/>
        <v>ECONOMY CLASS1110</v>
      </c>
      <c r="D116" s="311"/>
      <c r="E116" s="304">
        <v>1125</v>
      </c>
      <c r="F116" s="310">
        <v>110</v>
      </c>
      <c r="G116" t="str">
        <f>VLOOKUP(E116,'FG MASTER'!$A:$AB,2,0)</f>
        <v>PY C1 BREAKFAST SIDE 2 GREEK YOGURT 112G</v>
      </c>
      <c r="H116" s="285">
        <v>1</v>
      </c>
      <c r="I116" s="173">
        <v>1</v>
      </c>
      <c r="J116" s="291">
        <f>IFERROR(IF(I116="std",H116,HLOOKUP(A116,'FlightConfig '!$B$34:$G$35,2,0)*I116),"")</f>
        <v>184</v>
      </c>
      <c r="K116" s="244">
        <f>VLOOKUP(Food!E116,'FG MASTER'!$A$1:$AC$536,16,0)</f>
        <v>0.46</v>
      </c>
      <c r="L116" s="245">
        <f>VLOOKUP(Food!E116,'FG MASTER'!$A$10:$AC$536,17,0)</f>
        <v>0.5</v>
      </c>
      <c r="M116" s="132">
        <f>IFERROR(L116*$M$2,"")</f>
        <v>0.2</v>
      </c>
      <c r="N116" s="132">
        <f t="shared" si="58"/>
        <v>0.66</v>
      </c>
      <c r="O116" s="132">
        <f t="shared" si="36"/>
        <v>0.10120000000000001</v>
      </c>
      <c r="P116" s="132">
        <f t="shared" si="37"/>
        <v>3.999999999999998E-2</v>
      </c>
      <c r="Q116" s="132">
        <f t="shared" si="60"/>
        <v>0.80120000000000013</v>
      </c>
      <c r="R116" s="402">
        <f t="shared" si="39"/>
        <v>0.56120000000000003</v>
      </c>
      <c r="S116" s="402">
        <f t="shared" si="40"/>
        <v>0.24</v>
      </c>
      <c r="T116" s="402">
        <f t="shared" si="41"/>
        <v>0.80120000000000002</v>
      </c>
      <c r="U116" s="127"/>
      <c r="V116" s="127"/>
      <c r="W116" t="str">
        <f>IFERROR(#REF!*J116,"")</f>
        <v/>
      </c>
      <c r="X116">
        <f t="shared" si="42"/>
        <v>84.64</v>
      </c>
      <c r="Y116">
        <f t="shared" si="43"/>
        <v>92</v>
      </c>
      <c r="Z116" s="127">
        <f t="shared" si="44"/>
        <v>36.800000000000004</v>
      </c>
      <c r="AA116" s="127">
        <f t="shared" si="45"/>
        <v>121.44000000000001</v>
      </c>
      <c r="AB116" s="127">
        <f t="shared" si="46"/>
        <v>18.620800000000003</v>
      </c>
      <c r="AC116" s="127">
        <f t="shared" si="47"/>
        <v>7.3599999999999959</v>
      </c>
      <c r="AD116" s="127">
        <f t="shared" si="48"/>
        <v>147.42080000000001</v>
      </c>
      <c r="AF116" s="127" t="str">
        <f>IFERROR(W116*'FlightConfig '!$K$3,"")</f>
        <v/>
      </c>
      <c r="AG116" s="127">
        <f>IFERROR(X116*'FlightConfig '!$K$23,"")</f>
        <v>30808.959999999999</v>
      </c>
      <c r="AH116" s="127">
        <f>IFERROR(Y116*'FlightConfig '!$K$23,"")</f>
        <v>33488</v>
      </c>
      <c r="AI116" s="127">
        <f>IFERROR(Z116*'FlightConfig '!$K$23,"")</f>
        <v>13395.2</v>
      </c>
      <c r="AJ116" s="127">
        <f>IFERROR(AA116*'FlightConfig '!$K$23,"")</f>
        <v>44204.160000000003</v>
      </c>
      <c r="AK116" s="127">
        <f>IFERROR(AB116*'FlightConfig '!$K$23,"")</f>
        <v>6777.9712000000009</v>
      </c>
    </row>
    <row r="117" spans="1:37" ht="18.75" customHeight="1">
      <c r="A117" t="s">
        <v>158</v>
      </c>
      <c r="B117" s="171">
        <v>1</v>
      </c>
      <c r="C117" s="176" t="str">
        <f t="shared" si="56"/>
        <v>ECONOMY CLASS1110</v>
      </c>
      <c r="D117" s="311"/>
      <c r="E117" s="304">
        <v>1126</v>
      </c>
      <c r="F117" s="310">
        <v>110</v>
      </c>
      <c r="G117" t="str">
        <f>VLOOKUP(E117,'FG MASTER'!$A:$AB,2,0)</f>
        <v>PY C1 BREAKFAST SIDE 3 PEACH AND PECAN SCONE</v>
      </c>
      <c r="H117" s="285">
        <v>1</v>
      </c>
      <c r="I117" s="173">
        <v>0</v>
      </c>
      <c r="J117" s="291">
        <f>IFERROR(IF(I117="std",H117,HLOOKUP(A117,'FlightConfig '!$B$34:$G$35,2,0)*I117),"")</f>
        <v>0</v>
      </c>
      <c r="K117" s="244">
        <f>VLOOKUP(Food!E117,'FG MASTER'!$A$1:$AC$536,16,0)</f>
        <v>0.55000000000000004</v>
      </c>
      <c r="L117" s="245">
        <f>VLOOKUP(Food!E117,'FG MASTER'!$A$10:$AC$536,17,0)</f>
        <v>2.5</v>
      </c>
      <c r="M117" s="132">
        <f t="shared" ref="M117:M129" si="61">IFERROR(L117*$M$2,"")</f>
        <v>1</v>
      </c>
      <c r="N117" s="132">
        <f t="shared" si="58"/>
        <v>1.55</v>
      </c>
      <c r="O117" s="132">
        <f t="shared" si="36"/>
        <v>0.121</v>
      </c>
      <c r="P117" s="132">
        <f t="shared" si="37"/>
        <v>0.19999999999999996</v>
      </c>
      <c r="Q117" s="132">
        <f t="shared" si="60"/>
        <v>1.871</v>
      </c>
      <c r="R117" s="402">
        <f t="shared" si="39"/>
        <v>0.67100000000000004</v>
      </c>
      <c r="S117" s="402">
        <f t="shared" si="40"/>
        <v>1.2</v>
      </c>
      <c r="T117" s="402">
        <f t="shared" si="41"/>
        <v>1.871</v>
      </c>
      <c r="U117" s="127"/>
      <c r="V117" s="127"/>
      <c r="W117" t="str">
        <f>IFERROR(#REF!*J117,"")</f>
        <v/>
      </c>
      <c r="X117">
        <f t="shared" si="42"/>
        <v>0</v>
      </c>
      <c r="Y117">
        <f t="shared" si="43"/>
        <v>0</v>
      </c>
      <c r="Z117" s="127">
        <f t="shared" si="44"/>
        <v>0</v>
      </c>
      <c r="AA117" s="127">
        <f t="shared" si="45"/>
        <v>0</v>
      </c>
      <c r="AB117" s="127">
        <f t="shared" si="46"/>
        <v>0</v>
      </c>
      <c r="AC117" s="127">
        <f t="shared" si="47"/>
        <v>0</v>
      </c>
      <c r="AD117" s="127">
        <f t="shared" si="48"/>
        <v>0</v>
      </c>
      <c r="AF117" s="127" t="str">
        <f>IFERROR(W117*'FlightConfig '!$K$3,"")</f>
        <v/>
      </c>
      <c r="AG117" s="127">
        <f>IFERROR(X117*'FlightConfig '!$K$23,"")</f>
        <v>0</v>
      </c>
      <c r="AH117" s="127">
        <f>IFERROR(Y117*'FlightConfig '!$K$23,"")</f>
        <v>0</v>
      </c>
      <c r="AI117" s="127">
        <f>IFERROR(Z117*'FlightConfig '!$K$23,"")</f>
        <v>0</v>
      </c>
      <c r="AJ117" s="127">
        <f>IFERROR(AA117*'FlightConfig '!$K$23,"")</f>
        <v>0</v>
      </c>
      <c r="AK117" s="127">
        <f>IFERROR(AB117*'FlightConfig '!$K$23,"")</f>
        <v>0</v>
      </c>
    </row>
    <row r="118" spans="1:37" ht="18.75" customHeight="1">
      <c r="A118" t="s">
        <v>158</v>
      </c>
      <c r="B118" s="171">
        <v>1</v>
      </c>
      <c r="C118" s="176" t="str">
        <f>CONCATENATE(A118&amp;B118&amp;F118)</f>
        <v>ECONOMY CLASS1110</v>
      </c>
      <c r="D118" s="311"/>
      <c r="E118" s="304">
        <v>1127</v>
      </c>
      <c r="F118" s="310">
        <v>110</v>
      </c>
      <c r="G118" t="str">
        <f>VLOOKUP(E118,'FG MASTER'!$A:$AB,2,0)</f>
        <v>YC C1 DINNER TSU</v>
      </c>
      <c r="H118" s="285">
        <v>1</v>
      </c>
      <c r="I118" s="173">
        <v>1</v>
      </c>
      <c r="J118" s="291">
        <f>IFERROR(IF(I118="std",H118,HLOOKUP(A118,'FlightConfig '!$B$34:$G$35,2,0)*I118),"")</f>
        <v>184</v>
      </c>
      <c r="K118" s="244">
        <f>VLOOKUP(Food!E118,'FG MASTER'!$A$1:$AC$536,16,0)</f>
        <v>0</v>
      </c>
      <c r="L118" s="245">
        <f>VLOOKUP(Food!E118,'FG MASTER'!$A$10:$AC$536,17,0)</f>
        <v>0.5</v>
      </c>
      <c r="M118" s="132">
        <f t="shared" si="61"/>
        <v>0.2</v>
      </c>
      <c r="N118" s="132">
        <f>IFERROR((K118)+M118,"")</f>
        <v>0.2</v>
      </c>
      <c r="O118" s="132">
        <f t="shared" si="36"/>
        <v>0</v>
      </c>
      <c r="P118" s="132">
        <f t="shared" si="37"/>
        <v>3.999999999999998E-2</v>
      </c>
      <c r="Q118" s="132">
        <f t="shared" si="60"/>
        <v>0.24</v>
      </c>
      <c r="R118" s="402">
        <f t="shared" si="39"/>
        <v>0</v>
      </c>
      <c r="S118" s="402">
        <f t="shared" si="40"/>
        <v>0.24</v>
      </c>
      <c r="T118" s="402">
        <f t="shared" si="41"/>
        <v>0.24</v>
      </c>
      <c r="U118" s="127"/>
      <c r="V118" s="127"/>
      <c r="W118" t="str">
        <f>IFERROR(#REF!*J118,"")</f>
        <v/>
      </c>
      <c r="X118">
        <f t="shared" si="42"/>
        <v>0</v>
      </c>
      <c r="Y118">
        <f t="shared" si="43"/>
        <v>92</v>
      </c>
      <c r="Z118" s="127">
        <f t="shared" si="44"/>
        <v>36.800000000000004</v>
      </c>
      <c r="AA118" s="127">
        <f t="shared" si="45"/>
        <v>36.800000000000004</v>
      </c>
      <c r="AB118" s="127">
        <f t="shared" si="46"/>
        <v>0</v>
      </c>
      <c r="AC118" s="127">
        <f t="shared" si="47"/>
        <v>7.3599999999999959</v>
      </c>
      <c r="AD118" s="127">
        <f t="shared" si="48"/>
        <v>44.16</v>
      </c>
      <c r="AF118" s="127" t="str">
        <f>IFERROR(W118*'FlightConfig '!$K$3,"")</f>
        <v/>
      </c>
      <c r="AG118" s="127">
        <f>IFERROR(X118*'FlightConfig '!$K$23,"")</f>
        <v>0</v>
      </c>
      <c r="AH118" s="127">
        <f>IFERROR(Y118*'FlightConfig '!$K$23,"")</f>
        <v>33488</v>
      </c>
      <c r="AI118" s="127">
        <f>IFERROR(Z118*'FlightConfig '!$K$23,"")</f>
        <v>13395.2</v>
      </c>
      <c r="AJ118" s="127">
        <f>IFERROR(AA118*'FlightConfig '!$K$23,"")</f>
        <v>13395.2</v>
      </c>
      <c r="AK118" s="127">
        <f>IFERROR(AB118*'FlightConfig '!$K$23,"")</f>
        <v>0</v>
      </c>
    </row>
    <row r="119" spans="1:37" ht="18.75" customHeight="1">
      <c r="A119" t="s">
        <v>158</v>
      </c>
      <c r="B119" s="171">
        <v>1</v>
      </c>
      <c r="C119" s="176" t="str">
        <f>CONCATENATE(A119&amp;B119&amp;F119)</f>
        <v>ECONOMY CLASS1110</v>
      </c>
      <c r="D119" s="311"/>
      <c r="E119" s="304">
        <v>1128</v>
      </c>
      <c r="F119" s="310">
        <v>110</v>
      </c>
      <c r="G119" t="str">
        <f>VLOOKUP(E119,'FG MASTER'!$A:$AB,2,0)</f>
        <v xml:space="preserve">YC C1 DINNER BREAD SOURDOUGH ROLL </v>
      </c>
      <c r="H119" s="285">
        <v>1</v>
      </c>
      <c r="I119" s="173">
        <v>1</v>
      </c>
      <c r="J119" s="291">
        <f>IFERROR(IF(I119="std",H119,HLOOKUP(A119,'FlightConfig '!$B$34:$G$35,2,0)*I119),"")</f>
        <v>184</v>
      </c>
      <c r="K119" s="244">
        <f>VLOOKUP(Food!E119,'FG MASTER'!$A$1:$AC$536,16,0)</f>
        <v>0.3</v>
      </c>
      <c r="L119" s="245">
        <f>VLOOKUP(Food!E119,'FG MASTER'!$A$10:$AC$536,17,0)</f>
        <v>0.25</v>
      </c>
      <c r="M119" s="132">
        <f t="shared" si="61"/>
        <v>0.1</v>
      </c>
      <c r="N119" s="132">
        <f>IFERROR((K119)+M119,"")</f>
        <v>0.4</v>
      </c>
      <c r="O119" s="132">
        <f t="shared" si="36"/>
        <v>6.6000000000000003E-2</v>
      </c>
      <c r="P119" s="132">
        <f t="shared" si="37"/>
        <v>1.999999999999999E-2</v>
      </c>
      <c r="Q119" s="132">
        <f t="shared" ref="Q119" si="62">SUM(N119:P119)</f>
        <v>0.48599999999999999</v>
      </c>
      <c r="R119" s="402">
        <f t="shared" si="39"/>
        <v>0.36599999999999999</v>
      </c>
      <c r="S119" s="402">
        <f t="shared" si="40"/>
        <v>0.12</v>
      </c>
      <c r="T119" s="402">
        <f t="shared" si="41"/>
        <v>0.48599999999999999</v>
      </c>
      <c r="U119" s="127"/>
      <c r="V119" s="127"/>
      <c r="W119" t="str">
        <f>IFERROR(#REF!*J119,"")</f>
        <v/>
      </c>
      <c r="X119">
        <f t="shared" si="42"/>
        <v>55.199999999999996</v>
      </c>
      <c r="Y119">
        <f t="shared" si="43"/>
        <v>46</v>
      </c>
      <c r="Z119" s="127">
        <f t="shared" si="44"/>
        <v>18.400000000000002</v>
      </c>
      <c r="AA119" s="127">
        <f t="shared" si="45"/>
        <v>73.600000000000009</v>
      </c>
      <c r="AB119" s="127">
        <f t="shared" si="46"/>
        <v>12.144</v>
      </c>
      <c r="AC119" s="127">
        <f t="shared" si="47"/>
        <v>3.6799999999999979</v>
      </c>
      <c r="AD119" s="127">
        <f t="shared" si="48"/>
        <v>89.423999999999992</v>
      </c>
      <c r="AF119" s="127" t="str">
        <f>IFERROR(W119*'FlightConfig '!$K$3,"")</f>
        <v/>
      </c>
      <c r="AG119" s="127">
        <f>IFERROR(X119*'FlightConfig '!$K$23,"")</f>
        <v>20092.8</v>
      </c>
      <c r="AH119" s="127">
        <f>IFERROR(Y119*'FlightConfig '!$K$23,"")</f>
        <v>16744</v>
      </c>
      <c r="AI119" s="127">
        <f>IFERROR(Z119*'FlightConfig '!$K$23,"")</f>
        <v>6697.6</v>
      </c>
      <c r="AJ119" s="127">
        <f>IFERROR(AA119*'FlightConfig '!$K$23,"")</f>
        <v>26790.400000000001</v>
      </c>
      <c r="AK119" s="127">
        <f>IFERROR(AB119*'FlightConfig '!$K$23,"")</f>
        <v>4420.4160000000002</v>
      </c>
    </row>
    <row r="120" spans="1:37" ht="18.75" customHeight="1">
      <c r="A120" t="s">
        <v>158</v>
      </c>
      <c r="B120" s="171">
        <v>1</v>
      </c>
      <c r="C120" s="176" t="str">
        <f>CONCATENATE(A120&amp;B120&amp;F120)</f>
        <v>ECONOMY CLASS1110</v>
      </c>
      <c r="D120" s="311"/>
      <c r="E120" s="304">
        <v>1129</v>
      </c>
      <c r="F120" s="310">
        <v>110</v>
      </c>
      <c r="G120" t="str">
        <f>VLOOKUP(E120,'FG MASTER'!$A:$AB,2,0)</f>
        <v>YC C1 DINNER BUTTER</v>
      </c>
      <c r="H120" s="285">
        <v>1</v>
      </c>
      <c r="I120" s="173">
        <v>0.7</v>
      </c>
      <c r="J120" s="291">
        <f>IFERROR(IF(I120="std",H120,HLOOKUP(A120,'FlightConfig '!$B$34:$G$35,2,0)*I120),"")</f>
        <v>128.79999999999998</v>
      </c>
      <c r="K120" s="244">
        <f>VLOOKUP(Food!E120,'FG MASTER'!$A$1:$AC$536,16,0)</f>
        <v>0.3</v>
      </c>
      <c r="L120" s="245">
        <f>VLOOKUP(Food!E120,'FG MASTER'!$A$10:$AC$536,17,0)</f>
        <v>0.25</v>
      </c>
      <c r="M120" s="132">
        <f t="shared" si="61"/>
        <v>0.1</v>
      </c>
      <c r="N120" s="132">
        <f>IFERROR((K120)+M120,"")</f>
        <v>0.4</v>
      </c>
      <c r="O120" s="132">
        <f t="shared" si="36"/>
        <v>6.6000000000000003E-2</v>
      </c>
      <c r="P120" s="132">
        <f t="shared" si="37"/>
        <v>1.999999999999999E-2</v>
      </c>
      <c r="Q120" s="132">
        <f t="shared" ref="Q120:Q144" si="63">SUM(N120:P120)</f>
        <v>0.48599999999999999</v>
      </c>
      <c r="R120" s="402">
        <f t="shared" si="39"/>
        <v>0.36599999999999999</v>
      </c>
      <c r="S120" s="402">
        <f t="shared" si="40"/>
        <v>0.12</v>
      </c>
      <c r="T120" s="402">
        <f t="shared" si="41"/>
        <v>0.48599999999999999</v>
      </c>
      <c r="U120" s="127"/>
      <c r="V120" s="127"/>
      <c r="W120" t="str">
        <f>IFERROR(#REF!*J120,"")</f>
        <v/>
      </c>
      <c r="X120">
        <f t="shared" si="42"/>
        <v>38.639999999999993</v>
      </c>
      <c r="Y120">
        <f t="shared" si="43"/>
        <v>32.199999999999996</v>
      </c>
      <c r="Z120" s="127">
        <f t="shared" si="44"/>
        <v>12.879999999999999</v>
      </c>
      <c r="AA120" s="127">
        <f t="shared" si="45"/>
        <v>51.519999999999996</v>
      </c>
      <c r="AB120" s="127">
        <f t="shared" si="46"/>
        <v>8.5007999999999999</v>
      </c>
      <c r="AC120" s="127">
        <f t="shared" si="47"/>
        <v>2.5759999999999983</v>
      </c>
      <c r="AD120" s="127">
        <f t="shared" si="48"/>
        <v>62.596799999999988</v>
      </c>
      <c r="AF120" s="127" t="str">
        <f>IFERROR(W120*'FlightConfig '!$K$3,"")</f>
        <v/>
      </c>
      <c r="AG120" s="127">
        <f>IFERROR(X120*'FlightConfig '!$K$23,"")</f>
        <v>14064.959999999997</v>
      </c>
      <c r="AH120" s="127">
        <f>IFERROR(Y120*'FlightConfig '!$K$23,"")</f>
        <v>11720.8</v>
      </c>
      <c r="AI120" s="127">
        <f>IFERROR(Z120*'FlightConfig '!$K$23,"")</f>
        <v>4688.32</v>
      </c>
      <c r="AJ120" s="127">
        <f>IFERROR(AA120*'FlightConfig '!$K$23,"")</f>
        <v>18753.28</v>
      </c>
      <c r="AK120" s="127">
        <f>IFERROR(AB120*'FlightConfig '!$K$23,"")</f>
        <v>3094.2912000000001</v>
      </c>
    </row>
    <row r="121" spans="1:37" ht="18.75" customHeight="1">
      <c r="A121" t="s">
        <v>158</v>
      </c>
      <c r="B121" s="171">
        <v>1</v>
      </c>
      <c r="C121" s="176" t="str">
        <f>CONCATENATE(A121&amp;B121&amp;F121)</f>
        <v>ECONOMY CLASS1110</v>
      </c>
      <c r="D121" s="311"/>
      <c r="E121" s="304">
        <v>1153</v>
      </c>
      <c r="F121" s="310">
        <v>110</v>
      </c>
      <c r="G121" t="str">
        <f>VLOOKUP(E121,'FG MASTER'!$A:$AB,2,0)</f>
        <v>YC C1 DINNER TILLAMOOK CHEESE</v>
      </c>
      <c r="H121" s="285">
        <v>1</v>
      </c>
      <c r="I121" s="173">
        <v>0.3</v>
      </c>
      <c r="J121" s="291">
        <f>IFERROR(IF(I121="std",H121,HLOOKUP(A121,'FlightConfig '!$B$34:$G$35,2,0)*I121),"")</f>
        <v>55.199999999999996</v>
      </c>
      <c r="K121" s="244">
        <f>VLOOKUP(Food!E121,'FG MASTER'!$A$1:$AC$536,16,0)</f>
        <v>0.5</v>
      </c>
      <c r="L121" s="245">
        <f>VLOOKUP(Food!E121,'FG MASTER'!$A$10:$AC$536,17,0)</f>
        <v>0.25</v>
      </c>
      <c r="M121" s="132">
        <f t="shared" si="61"/>
        <v>0.1</v>
      </c>
      <c r="N121" s="132">
        <f>IFERROR((K121)+M121,"")</f>
        <v>0.6</v>
      </c>
      <c r="O121" s="132">
        <f t="shared" si="36"/>
        <v>0.10999999999999999</v>
      </c>
      <c r="P121" s="132">
        <f t="shared" si="37"/>
        <v>1.999999999999999E-2</v>
      </c>
      <c r="Q121" s="132">
        <f t="shared" si="63"/>
        <v>0.73</v>
      </c>
      <c r="R121" s="402">
        <f t="shared" si="39"/>
        <v>0.61</v>
      </c>
      <c r="S121" s="402">
        <f t="shared" si="40"/>
        <v>0.12</v>
      </c>
      <c r="T121" s="402">
        <f t="shared" si="41"/>
        <v>0.73</v>
      </c>
      <c r="U121" s="127"/>
      <c r="V121" s="127"/>
      <c r="W121" t="str">
        <f>IFERROR(#REF!*J121,"")</f>
        <v/>
      </c>
      <c r="X121">
        <f t="shared" si="42"/>
        <v>27.599999999999998</v>
      </c>
      <c r="Y121">
        <f t="shared" si="43"/>
        <v>13.799999999999999</v>
      </c>
      <c r="Z121" s="127">
        <f t="shared" si="44"/>
        <v>5.52</v>
      </c>
      <c r="AA121" s="127">
        <f t="shared" si="45"/>
        <v>33.119999999999997</v>
      </c>
      <c r="AB121" s="127">
        <f t="shared" si="46"/>
        <v>6.0719999999999992</v>
      </c>
      <c r="AC121" s="127">
        <f t="shared" si="47"/>
        <v>1.1039999999999994</v>
      </c>
      <c r="AD121" s="127">
        <f t="shared" si="48"/>
        <v>40.295999999999999</v>
      </c>
      <c r="AF121" s="127" t="str">
        <f>IFERROR(W121*'FlightConfig '!$K$3,"")</f>
        <v/>
      </c>
      <c r="AG121" s="127">
        <f>IFERROR(X121*'FlightConfig '!$K$23,"")</f>
        <v>10046.4</v>
      </c>
      <c r="AH121" s="127">
        <f>IFERROR(Y121*'FlightConfig '!$K$23,"")</f>
        <v>5023.2</v>
      </c>
      <c r="AI121" s="127">
        <f>IFERROR(Z121*'FlightConfig '!$K$23,"")</f>
        <v>2009.2799999999997</v>
      </c>
      <c r="AJ121" s="127">
        <f>IFERROR(AA121*'FlightConfig '!$K$23,"")</f>
        <v>12055.679999999998</v>
      </c>
      <c r="AK121" s="127">
        <f>IFERROR(AB121*'FlightConfig '!$K$23,"")</f>
        <v>2210.2079999999996</v>
      </c>
    </row>
    <row r="122" spans="1:37" ht="18.75" customHeight="1">
      <c r="A122" t="s">
        <v>158</v>
      </c>
      <c r="B122" s="171">
        <v>1</v>
      </c>
      <c r="C122" s="176" t="str">
        <f>CONCATENATE(A122&amp;B122&amp;F122)</f>
        <v>ECONOMY CLASS1110</v>
      </c>
      <c r="D122" s="311"/>
      <c r="E122" s="304">
        <v>1154</v>
      </c>
      <c r="F122" s="310">
        <v>110</v>
      </c>
      <c r="G122" t="str">
        <f>VLOOKUP(E122,'FG MASTER'!$A:$AB,2,0)</f>
        <v xml:space="preserve">YC C1 DINNER SALAD DRESSING </v>
      </c>
      <c r="H122" s="285">
        <v>1</v>
      </c>
      <c r="I122" s="173">
        <v>1</v>
      </c>
      <c r="J122" s="291">
        <f>IFERROR(IF(I122="std",H122,HLOOKUP(A122,'FlightConfig '!$B$34:$G$35,2,0)*I122),"")</f>
        <v>184</v>
      </c>
      <c r="K122" s="244">
        <f>VLOOKUP(Food!E122,'FG MASTER'!$A$1:$AC$536,16,0)</f>
        <v>0.4</v>
      </c>
      <c r="L122" s="245">
        <f>VLOOKUP(Food!E122,'FG MASTER'!$A$10:$AC$536,17,0)</f>
        <v>0.25</v>
      </c>
      <c r="M122" s="132">
        <f t="shared" si="61"/>
        <v>0.1</v>
      </c>
      <c r="N122" s="132">
        <f>IFERROR((K122)+M122,"")</f>
        <v>0.5</v>
      </c>
      <c r="O122" s="132">
        <f t="shared" si="36"/>
        <v>8.7999999999999967E-2</v>
      </c>
      <c r="P122" s="132">
        <f t="shared" si="37"/>
        <v>1.999999999999999E-2</v>
      </c>
      <c r="Q122" s="132">
        <f t="shared" si="63"/>
        <v>0.60799999999999998</v>
      </c>
      <c r="R122" s="402">
        <f t="shared" si="39"/>
        <v>0.48799999999999999</v>
      </c>
      <c r="S122" s="402">
        <f t="shared" si="40"/>
        <v>0.12</v>
      </c>
      <c r="T122" s="402">
        <f t="shared" si="41"/>
        <v>0.60799999999999998</v>
      </c>
      <c r="U122" s="127"/>
      <c r="V122" s="127"/>
      <c r="W122" t="str">
        <f>IFERROR(#REF!*J122,"")</f>
        <v/>
      </c>
      <c r="X122">
        <f t="shared" si="42"/>
        <v>73.600000000000009</v>
      </c>
      <c r="Y122">
        <f t="shared" si="43"/>
        <v>46</v>
      </c>
      <c r="Z122" s="127">
        <f t="shared" si="44"/>
        <v>18.400000000000002</v>
      </c>
      <c r="AA122" s="127">
        <f t="shared" si="45"/>
        <v>92</v>
      </c>
      <c r="AB122" s="127">
        <f t="shared" si="46"/>
        <v>16.191999999999993</v>
      </c>
      <c r="AC122" s="127">
        <f t="shared" si="47"/>
        <v>3.6799999999999979</v>
      </c>
      <c r="AD122" s="127">
        <f t="shared" si="48"/>
        <v>111.872</v>
      </c>
      <c r="AF122" s="127" t="str">
        <f>IFERROR(W122*'FlightConfig '!$K$3,"")</f>
        <v/>
      </c>
      <c r="AG122" s="127">
        <f>IFERROR(X122*'FlightConfig '!$K$23,"")</f>
        <v>26790.400000000001</v>
      </c>
      <c r="AH122" s="127">
        <f>IFERROR(Y122*'FlightConfig '!$K$23,"")</f>
        <v>16744</v>
      </c>
      <c r="AI122" s="127">
        <f>IFERROR(Z122*'FlightConfig '!$K$23,"")</f>
        <v>6697.6</v>
      </c>
      <c r="AJ122" s="127">
        <f>IFERROR(AA122*'FlightConfig '!$K$23,"")</f>
        <v>33488</v>
      </c>
      <c r="AK122" s="127">
        <f>IFERROR(AB122*'FlightConfig '!$K$23,"")</f>
        <v>5893.8879999999972</v>
      </c>
    </row>
    <row r="123" spans="1:37" ht="18.75" customHeight="1">
      <c r="A123" t="s">
        <v>158</v>
      </c>
      <c r="B123" s="171">
        <v>1</v>
      </c>
      <c r="C123" s="176" t="str">
        <f t="shared" ref="C123:C139" si="64">CONCATENATE(A123&amp;B123&amp;F123)</f>
        <v>ECONOMY CLASS1110</v>
      </c>
      <c r="D123" s="311"/>
      <c r="E123" s="304">
        <v>1130</v>
      </c>
      <c r="F123" s="310">
        <v>110</v>
      </c>
      <c r="G123" t="str">
        <f>VLOOKUP(E123,'FG MASTER'!$A:$AB,2,0)</f>
        <v xml:space="preserve">YC C1 DINNER STARTER MIX GREENS, CUCUMBER AND GRAPE TOMATO </v>
      </c>
      <c r="H123" s="285">
        <v>1</v>
      </c>
      <c r="I123" s="173">
        <v>1</v>
      </c>
      <c r="J123" s="291">
        <f>IFERROR(IF(I123="std",H123,HLOOKUP(A123,'FlightConfig '!$B$34:$G$35,2,0)*I123),"")</f>
        <v>184</v>
      </c>
      <c r="K123" s="244">
        <f>VLOOKUP(Food!E123,'FG MASTER'!$A$1:$AC$536,16,0)</f>
        <v>0.45</v>
      </c>
      <c r="L123" s="245">
        <f>VLOOKUP(Food!E123,'FG MASTER'!$A$10:$AC$536,17,0)</f>
        <v>1.25</v>
      </c>
      <c r="M123" s="132">
        <f t="shared" si="61"/>
        <v>0.5</v>
      </c>
      <c r="N123" s="132">
        <f t="shared" ref="N123:N135" si="65">IFERROR((K123)+M123,"")</f>
        <v>0.95</v>
      </c>
      <c r="O123" s="132">
        <f t="shared" si="36"/>
        <v>9.9000000000000032E-2</v>
      </c>
      <c r="P123" s="132">
        <f t="shared" si="37"/>
        <v>9.9999999999999978E-2</v>
      </c>
      <c r="Q123" s="132">
        <f t="shared" si="63"/>
        <v>1.149</v>
      </c>
      <c r="R123" s="402">
        <f t="shared" si="39"/>
        <v>0.54900000000000004</v>
      </c>
      <c r="S123" s="402">
        <f t="shared" si="40"/>
        <v>0.6</v>
      </c>
      <c r="T123" s="402">
        <f t="shared" si="41"/>
        <v>1.149</v>
      </c>
      <c r="U123" s="127"/>
      <c r="V123" s="127"/>
      <c r="W123" t="str">
        <f>IFERROR(#REF!*J123,"")</f>
        <v/>
      </c>
      <c r="X123">
        <f t="shared" si="42"/>
        <v>82.8</v>
      </c>
      <c r="Y123">
        <f t="shared" si="43"/>
        <v>230</v>
      </c>
      <c r="Z123" s="127">
        <f t="shared" si="44"/>
        <v>92</v>
      </c>
      <c r="AA123" s="127">
        <f t="shared" si="45"/>
        <v>174.79999999999998</v>
      </c>
      <c r="AB123" s="127">
        <f t="shared" si="46"/>
        <v>18.216000000000005</v>
      </c>
      <c r="AC123" s="127">
        <f t="shared" si="47"/>
        <v>18.399999999999995</v>
      </c>
      <c r="AD123" s="127">
        <f t="shared" si="48"/>
        <v>211.416</v>
      </c>
      <c r="AF123" s="127" t="str">
        <f>IFERROR(W123*'FlightConfig '!$K$3,"")</f>
        <v/>
      </c>
      <c r="AG123" s="127">
        <f>IFERROR(X123*'FlightConfig '!$K$23,"")</f>
        <v>30139.200000000001</v>
      </c>
      <c r="AH123" s="127">
        <f>IFERROR(Y123*'FlightConfig '!$K$23,"")</f>
        <v>83720</v>
      </c>
      <c r="AI123" s="127">
        <f>IFERROR(Z123*'FlightConfig '!$K$23,"")</f>
        <v>33488</v>
      </c>
      <c r="AJ123" s="127">
        <f>IFERROR(AA123*'FlightConfig '!$K$23,"")</f>
        <v>63627.199999999997</v>
      </c>
      <c r="AK123" s="127">
        <f>IFERROR(AB123*'FlightConfig '!$K$23,"")</f>
        <v>6630.6240000000016</v>
      </c>
    </row>
    <row r="124" spans="1:37" ht="18.75" customHeight="1">
      <c r="A124" t="s">
        <v>158</v>
      </c>
      <c r="B124" s="171">
        <v>1</v>
      </c>
      <c r="C124" s="176" t="str">
        <f t="shared" si="64"/>
        <v>ECONOMY CLASS1110</v>
      </c>
      <c r="D124" s="311"/>
      <c r="E124" s="304">
        <v>1131</v>
      </c>
      <c r="F124" s="310">
        <v>110</v>
      </c>
      <c r="G124" t="str">
        <f>VLOOKUP(E124,'FG MASTER'!$A:$AB,2,0)</f>
        <v>YC C1 DINNER ENTRÉE 1 THAI CHICKEN MEATBALL, GREEN CURRY</v>
      </c>
      <c r="H124" s="285">
        <v>1</v>
      </c>
      <c r="I124" s="173">
        <v>0.6</v>
      </c>
      <c r="J124" s="291">
        <f>IFERROR(IF(I124="std",H124,HLOOKUP(A124,'FlightConfig '!$B$34:$G$35,2,0)*I124),"")</f>
        <v>110.39999999999999</v>
      </c>
      <c r="K124" s="244">
        <f>VLOOKUP(Food!E124,'FG MASTER'!$A$1:$AC$536,16,0)</f>
        <v>2.15</v>
      </c>
      <c r="L124" s="245">
        <f>VLOOKUP(Food!E124,'FG MASTER'!$A$10:$AC$536,17,0)</f>
        <v>4</v>
      </c>
      <c r="M124" s="132">
        <f t="shared" si="61"/>
        <v>1.6</v>
      </c>
      <c r="N124" s="132">
        <f t="shared" si="65"/>
        <v>3.75</v>
      </c>
      <c r="O124" s="132">
        <f t="shared" si="36"/>
        <v>0.47299999999999986</v>
      </c>
      <c r="P124" s="132">
        <f t="shared" si="37"/>
        <v>0.31999999999999984</v>
      </c>
      <c r="Q124" s="132">
        <f t="shared" si="63"/>
        <v>4.5429999999999993</v>
      </c>
      <c r="R124" s="402">
        <f t="shared" si="39"/>
        <v>2.6229999999999998</v>
      </c>
      <c r="S124" s="402">
        <f t="shared" si="40"/>
        <v>1.92</v>
      </c>
      <c r="T124" s="402">
        <f t="shared" si="41"/>
        <v>4.5429999999999993</v>
      </c>
      <c r="U124" s="127"/>
      <c r="V124" s="127"/>
      <c r="W124" t="str">
        <f>IFERROR(#REF!*J124,"")</f>
        <v/>
      </c>
      <c r="X124">
        <f t="shared" si="42"/>
        <v>237.35999999999999</v>
      </c>
      <c r="Y124">
        <f t="shared" si="43"/>
        <v>441.59999999999997</v>
      </c>
      <c r="Z124" s="127">
        <f t="shared" si="44"/>
        <v>176.64</v>
      </c>
      <c r="AA124" s="127">
        <f t="shared" si="45"/>
        <v>413.99999999999994</v>
      </c>
      <c r="AB124" s="127">
        <f t="shared" si="46"/>
        <v>52.219199999999979</v>
      </c>
      <c r="AC124" s="127">
        <f t="shared" si="47"/>
        <v>35.327999999999982</v>
      </c>
      <c r="AD124" s="127">
        <f t="shared" si="48"/>
        <v>501.54719999999986</v>
      </c>
      <c r="AF124" s="127" t="str">
        <f>IFERROR(W124*'FlightConfig '!$K$3,"")</f>
        <v/>
      </c>
      <c r="AG124" s="127">
        <f>IFERROR(X124*'FlightConfig '!$K$23,"")</f>
        <v>86399.039999999994</v>
      </c>
      <c r="AH124" s="127">
        <f>IFERROR(Y124*'FlightConfig '!$K$23,"")</f>
        <v>160742.39999999999</v>
      </c>
      <c r="AI124" s="127">
        <f>IFERROR(Z124*'FlightConfig '!$K$23,"")</f>
        <v>64296.959999999992</v>
      </c>
      <c r="AJ124" s="127">
        <f>IFERROR(AA124*'FlightConfig '!$K$23,"")</f>
        <v>150695.99999999997</v>
      </c>
      <c r="AK124" s="127">
        <f>IFERROR(AB124*'FlightConfig '!$K$23,"")</f>
        <v>19007.788799999991</v>
      </c>
    </row>
    <row r="125" spans="1:37" ht="18.75" customHeight="1">
      <c r="A125" t="s">
        <v>158</v>
      </c>
      <c r="B125" s="171">
        <v>1</v>
      </c>
      <c r="C125" s="176" t="str">
        <f t="shared" si="64"/>
        <v>ECONOMY CLASS1110</v>
      </c>
      <c r="D125" s="311"/>
      <c r="E125" s="304">
        <v>1132</v>
      </c>
      <c r="F125" s="310">
        <v>110</v>
      </c>
      <c r="G125" t="str">
        <f>VLOOKUP(E125,'FG MASTER'!$A:$AB,2,0)</f>
        <v>YC C1 DINNER ENTRÉE 2 ORRECHIETTE, MARINARA SAUCE, HERB WHIPPED RICOTTA, VEGETABLE BOLOGNESE SAUCE</v>
      </c>
      <c r="H125" s="285">
        <v>1</v>
      </c>
      <c r="I125" s="173">
        <v>0.4</v>
      </c>
      <c r="J125" s="291">
        <f>IFERROR(IF(I125="std",H125,HLOOKUP(A125,'FlightConfig '!$B$34:$G$35,2,0)*I125),"")</f>
        <v>73.600000000000009</v>
      </c>
      <c r="K125" s="244">
        <f>VLOOKUP(Food!E125,'FG MASTER'!$A$1:$AC$536,16,0)</f>
        <v>1.91</v>
      </c>
      <c r="L125" s="245">
        <f>VLOOKUP(Food!E125,'FG MASTER'!$A$10:$AC$536,17,0)</f>
        <v>3.5</v>
      </c>
      <c r="M125" s="132">
        <f t="shared" si="61"/>
        <v>1.4000000000000001</v>
      </c>
      <c r="N125" s="132">
        <f t="shared" si="65"/>
        <v>3.31</v>
      </c>
      <c r="O125" s="132">
        <f t="shared" si="36"/>
        <v>0.42020000000000013</v>
      </c>
      <c r="P125" s="132">
        <f t="shared" si="37"/>
        <v>0.28000000000000003</v>
      </c>
      <c r="Q125" s="132">
        <f t="shared" si="63"/>
        <v>4.0102000000000002</v>
      </c>
      <c r="R125" s="402">
        <f t="shared" si="39"/>
        <v>2.3302</v>
      </c>
      <c r="S125" s="402">
        <f t="shared" si="40"/>
        <v>1.6800000000000002</v>
      </c>
      <c r="T125" s="402">
        <f t="shared" si="41"/>
        <v>4.0102000000000002</v>
      </c>
      <c r="U125" s="127"/>
      <c r="V125" s="127"/>
      <c r="W125" t="str">
        <f>IFERROR(#REF!*J125,"")</f>
        <v/>
      </c>
      <c r="X125">
        <f t="shared" si="42"/>
        <v>140.57600000000002</v>
      </c>
      <c r="Y125">
        <f t="shared" si="43"/>
        <v>257.60000000000002</v>
      </c>
      <c r="Z125" s="127">
        <f t="shared" si="44"/>
        <v>103.04000000000002</v>
      </c>
      <c r="AA125" s="127">
        <f t="shared" si="45"/>
        <v>243.61600000000004</v>
      </c>
      <c r="AB125" s="127">
        <f t="shared" si="46"/>
        <v>30.926720000000014</v>
      </c>
      <c r="AC125" s="127">
        <f t="shared" si="47"/>
        <v>20.608000000000004</v>
      </c>
      <c r="AD125" s="127">
        <f t="shared" si="48"/>
        <v>295.15072000000004</v>
      </c>
      <c r="AF125" s="127" t="str">
        <f>IFERROR(W125*'FlightConfig '!$K$3,"")</f>
        <v/>
      </c>
      <c r="AG125" s="127">
        <f>IFERROR(X125*'FlightConfig '!$K$23,"")</f>
        <v>51169.664000000004</v>
      </c>
      <c r="AH125" s="127">
        <f>IFERROR(Y125*'FlightConfig '!$K$23,"")</f>
        <v>93766.400000000009</v>
      </c>
      <c r="AI125" s="127">
        <f>IFERROR(Z125*'FlightConfig '!$K$23,"")</f>
        <v>37506.560000000005</v>
      </c>
      <c r="AJ125" s="127">
        <f>IFERROR(AA125*'FlightConfig '!$K$23,"")</f>
        <v>88676.224000000017</v>
      </c>
      <c r="AK125" s="127">
        <f>IFERROR(AB125*'FlightConfig '!$K$23,"")</f>
        <v>11257.326080000004</v>
      </c>
    </row>
    <row r="126" spans="1:37" ht="18.75" customHeight="1">
      <c r="A126" t="s">
        <v>158</v>
      </c>
      <c r="B126" s="171">
        <v>1</v>
      </c>
      <c r="C126" s="176" t="str">
        <f t="shared" si="64"/>
        <v>ECONOMY CLASS1110</v>
      </c>
      <c r="D126" s="311"/>
      <c r="E126" s="304">
        <v>1133</v>
      </c>
      <c r="F126" s="310">
        <v>110</v>
      </c>
      <c r="G126" t="str">
        <f>VLOOKUP(E126,'FG MASTER'!$A:$AB,2,0)</f>
        <v>YC C1 DINNER DESSERT BANANA PUDDING, NILLA WAFTER, NILLA WAFER CRUMBLE</v>
      </c>
      <c r="H126" s="285">
        <v>1</v>
      </c>
      <c r="I126" s="173">
        <v>1</v>
      </c>
      <c r="J126" s="291">
        <f>IFERROR(IF(I126="std",H126,HLOOKUP(A126,'FlightConfig '!$B$34:$G$35,2,0)*I126),"")</f>
        <v>184</v>
      </c>
      <c r="K126" s="244">
        <f>VLOOKUP(Food!E126,'FG MASTER'!$A$1:$AC$536,16,0)</f>
        <v>0.74</v>
      </c>
      <c r="L126" s="245">
        <f>VLOOKUP(Food!E126,'FG MASTER'!$A$10:$AC$536,17,0)</f>
        <v>1.25</v>
      </c>
      <c r="M126" s="132">
        <f t="shared" si="61"/>
        <v>0.5</v>
      </c>
      <c r="N126" s="132">
        <f t="shared" si="65"/>
        <v>1.24</v>
      </c>
      <c r="O126" s="132">
        <f t="shared" si="36"/>
        <v>0.16279999999999994</v>
      </c>
      <c r="P126" s="132">
        <f t="shared" si="37"/>
        <v>9.9999999999999978E-2</v>
      </c>
      <c r="Q126" s="132">
        <f t="shared" si="63"/>
        <v>1.5028000000000001</v>
      </c>
      <c r="R126" s="402">
        <f t="shared" si="39"/>
        <v>0.90279999999999994</v>
      </c>
      <c r="S126" s="402">
        <f t="shared" si="40"/>
        <v>0.6</v>
      </c>
      <c r="T126" s="402">
        <f t="shared" si="41"/>
        <v>1.5027999999999999</v>
      </c>
      <c r="U126" s="127"/>
      <c r="V126" s="127"/>
      <c r="W126" t="str">
        <f>IFERROR(#REF!*J126,"")</f>
        <v/>
      </c>
      <c r="X126">
        <f t="shared" si="42"/>
        <v>136.16</v>
      </c>
      <c r="Y126">
        <f t="shared" si="43"/>
        <v>230</v>
      </c>
      <c r="Z126" s="127">
        <f t="shared" si="44"/>
        <v>92</v>
      </c>
      <c r="AA126" s="127">
        <f t="shared" si="45"/>
        <v>228.16</v>
      </c>
      <c r="AB126" s="127">
        <f t="shared" si="46"/>
        <v>29.955199999999991</v>
      </c>
      <c r="AC126" s="127">
        <f t="shared" si="47"/>
        <v>18.399999999999995</v>
      </c>
      <c r="AD126" s="127">
        <f t="shared" si="48"/>
        <v>276.51520000000005</v>
      </c>
      <c r="AF126" s="127" t="str">
        <f>IFERROR(W126*'FlightConfig '!$K$3,"")</f>
        <v/>
      </c>
      <c r="AG126" s="127">
        <f>IFERROR(X126*'FlightConfig '!$K$23,"")</f>
        <v>49562.239999999998</v>
      </c>
      <c r="AH126" s="127">
        <f>IFERROR(Y126*'FlightConfig '!$K$23,"")</f>
        <v>83720</v>
      </c>
      <c r="AI126" s="127">
        <f>IFERROR(Z126*'FlightConfig '!$K$23,"")</f>
        <v>33488</v>
      </c>
      <c r="AJ126" s="127">
        <f>IFERROR(AA126*'FlightConfig '!$K$23,"")</f>
        <v>83050.240000000005</v>
      </c>
      <c r="AK126" s="127">
        <f>IFERROR(AB126*'FlightConfig '!$K$23,"")</f>
        <v>10903.692799999997</v>
      </c>
    </row>
    <row r="127" spans="1:37" ht="18.75" customHeight="1">
      <c r="A127" t="s">
        <v>158</v>
      </c>
      <c r="B127" s="171">
        <v>1</v>
      </c>
      <c r="C127" s="176" t="str">
        <f t="shared" si="64"/>
        <v>ECONOMY CLASS1110</v>
      </c>
      <c r="D127" s="311"/>
      <c r="E127" s="304">
        <v>1134</v>
      </c>
      <c r="F127" s="310">
        <v>110</v>
      </c>
      <c r="G127" t="str">
        <f>VLOOKUP(E127,'FG MASTER'!$A:$AB,2,0)</f>
        <v>YC C1 BREAKFAST TSU</v>
      </c>
      <c r="H127" s="285">
        <v>1</v>
      </c>
      <c r="I127" s="173">
        <v>1</v>
      </c>
      <c r="J127" s="291">
        <f>IFERROR(IF(I127="std",H127,HLOOKUP(A127,'FlightConfig '!$B$34:$G$35,2,0)*I127),"")</f>
        <v>184</v>
      </c>
      <c r="K127" s="244">
        <f>VLOOKUP(Food!E127,'FG MASTER'!$A$1:$AC$536,16,0)</f>
        <v>0</v>
      </c>
      <c r="L127" s="245">
        <f>VLOOKUP(Food!E127,'FG MASTER'!$A$10:$AC$536,17,0)</f>
        <v>0.5</v>
      </c>
      <c r="M127" s="132">
        <f t="shared" si="61"/>
        <v>0.2</v>
      </c>
      <c r="N127" s="132">
        <f t="shared" si="65"/>
        <v>0.2</v>
      </c>
      <c r="O127" s="132">
        <f t="shared" si="36"/>
        <v>0</v>
      </c>
      <c r="P127" s="132">
        <f t="shared" si="37"/>
        <v>3.999999999999998E-2</v>
      </c>
      <c r="Q127" s="132">
        <f t="shared" si="63"/>
        <v>0.24</v>
      </c>
      <c r="R127" s="402">
        <f t="shared" si="39"/>
        <v>0</v>
      </c>
      <c r="S127" s="402">
        <f t="shared" si="40"/>
        <v>0.24</v>
      </c>
      <c r="T127" s="402">
        <f t="shared" si="41"/>
        <v>0.24</v>
      </c>
      <c r="U127" s="127"/>
      <c r="V127" s="127"/>
      <c r="W127" t="str">
        <f>IFERROR(#REF!*J127,"")</f>
        <v/>
      </c>
      <c r="X127">
        <f t="shared" si="42"/>
        <v>0</v>
      </c>
      <c r="Y127">
        <f t="shared" si="43"/>
        <v>92</v>
      </c>
      <c r="Z127" s="127">
        <f t="shared" si="44"/>
        <v>36.800000000000004</v>
      </c>
      <c r="AA127" s="127">
        <f t="shared" si="45"/>
        <v>36.800000000000004</v>
      </c>
      <c r="AB127" s="127">
        <f t="shared" si="46"/>
        <v>0</v>
      </c>
      <c r="AC127" s="127">
        <f t="shared" si="47"/>
        <v>7.3599999999999959</v>
      </c>
      <c r="AD127" s="127">
        <f t="shared" si="48"/>
        <v>44.16</v>
      </c>
      <c r="AF127" s="127" t="str">
        <f>IFERROR(W127*'FlightConfig '!$K$3,"")</f>
        <v/>
      </c>
      <c r="AG127" s="127">
        <f>IFERROR(X127*'FlightConfig '!$K$23,"")</f>
        <v>0</v>
      </c>
      <c r="AH127" s="127">
        <f>IFERROR(Y127*'FlightConfig '!$K$23,"")</f>
        <v>33488</v>
      </c>
      <c r="AI127" s="127">
        <f>IFERROR(Z127*'FlightConfig '!$K$23,"")</f>
        <v>13395.2</v>
      </c>
      <c r="AJ127" s="127">
        <f>IFERROR(AA127*'FlightConfig '!$K$23,"")</f>
        <v>13395.2</v>
      </c>
      <c r="AK127" s="127">
        <f>IFERROR(AB127*'FlightConfig '!$K$23,"")</f>
        <v>0</v>
      </c>
    </row>
    <row r="128" spans="1:37" ht="18.75" customHeight="1">
      <c r="A128" t="s">
        <v>189</v>
      </c>
      <c r="B128" s="171">
        <v>1</v>
      </c>
      <c r="C128" s="176" t="str">
        <f t="shared" si="64"/>
        <v>CABIN CREW CLASS1110</v>
      </c>
      <c r="D128" s="311"/>
      <c r="E128" s="304">
        <v>1135</v>
      </c>
      <c r="F128" s="310">
        <v>110</v>
      </c>
      <c r="G128" t="str">
        <f>VLOOKUP(E128,'FG MASTER'!$A:$AB,2,0)</f>
        <v>YC C1 BREAKFAST SANDWICH BANANA MUFFIN</v>
      </c>
      <c r="H128" s="285">
        <v>1</v>
      </c>
      <c r="I128" s="173">
        <v>1</v>
      </c>
      <c r="J128" s="291">
        <f>IFERROR(IF(I128="std",H128,HLOOKUP(A128,'FlightConfig '!$B$34:$G$35,2,0)*I128),"")</f>
        <v>6</v>
      </c>
      <c r="K128" s="244">
        <f>VLOOKUP(Food!E128,'FG MASTER'!$A$1:$AC$536,16,0)</f>
        <v>0.32</v>
      </c>
      <c r="L128" s="245">
        <f>VLOOKUP(Food!E128,'FG MASTER'!$A$10:$AC$536,17,0)</f>
        <v>0.5</v>
      </c>
      <c r="M128" s="132">
        <f t="shared" si="61"/>
        <v>0.2</v>
      </c>
      <c r="N128" s="132">
        <f t="shared" si="65"/>
        <v>0.52</v>
      </c>
      <c r="O128" s="132">
        <f t="shared" si="36"/>
        <v>7.0400000000000018E-2</v>
      </c>
      <c r="P128" s="132">
        <f t="shared" si="37"/>
        <v>3.999999999999998E-2</v>
      </c>
      <c r="Q128" s="132">
        <f t="shared" si="63"/>
        <v>0.63040000000000007</v>
      </c>
      <c r="R128" s="402">
        <f t="shared" si="39"/>
        <v>0.39040000000000002</v>
      </c>
      <c r="S128" s="402">
        <f t="shared" si="40"/>
        <v>0.24</v>
      </c>
      <c r="T128" s="402">
        <f t="shared" si="41"/>
        <v>0.63040000000000007</v>
      </c>
      <c r="U128" s="127"/>
      <c r="V128" s="127"/>
      <c r="W128" t="str">
        <f>IFERROR(#REF!*J128,"")</f>
        <v/>
      </c>
      <c r="X128">
        <f t="shared" si="42"/>
        <v>1.92</v>
      </c>
      <c r="Y128">
        <f t="shared" si="43"/>
        <v>3</v>
      </c>
      <c r="Z128" s="127">
        <f t="shared" si="44"/>
        <v>1.2000000000000002</v>
      </c>
      <c r="AA128" s="127">
        <f t="shared" si="45"/>
        <v>3.12</v>
      </c>
      <c r="AB128" s="127">
        <f t="shared" si="46"/>
        <v>0.42240000000000011</v>
      </c>
      <c r="AC128" s="127">
        <f t="shared" si="47"/>
        <v>0.23999999999999988</v>
      </c>
      <c r="AD128" s="127">
        <f t="shared" si="48"/>
        <v>3.7824000000000004</v>
      </c>
      <c r="AF128" s="127" t="str">
        <f>IFERROR(W128*'FlightConfig '!$K$3,"")</f>
        <v/>
      </c>
      <c r="AG128" s="127">
        <f>IFERROR(X128*'FlightConfig '!$K$23,"")</f>
        <v>698.88</v>
      </c>
      <c r="AH128" s="127">
        <f>IFERROR(Y128*'FlightConfig '!$K$23,"")</f>
        <v>1092</v>
      </c>
      <c r="AI128" s="127">
        <f>IFERROR(Z128*'FlightConfig '!$K$23,"")</f>
        <v>436.80000000000007</v>
      </c>
      <c r="AJ128" s="127">
        <f>IFERROR(AA128*'FlightConfig '!$K$23,"")</f>
        <v>1135.68</v>
      </c>
      <c r="AK128" s="127">
        <f>IFERROR(AB128*'FlightConfig '!$K$23,"")</f>
        <v>153.75360000000003</v>
      </c>
    </row>
    <row r="129" spans="1:37" ht="18.75" customHeight="1">
      <c r="A129" t="s">
        <v>189</v>
      </c>
      <c r="B129" s="171">
        <v>1</v>
      </c>
      <c r="C129" s="176" t="str">
        <f t="shared" si="64"/>
        <v>CABIN CREW CLASS1110</v>
      </c>
      <c r="D129" s="311"/>
      <c r="E129" s="304">
        <v>1136</v>
      </c>
      <c r="F129" s="310">
        <v>110</v>
      </c>
      <c r="G129" t="str">
        <f>VLOOKUP(E129,'FG MASTER'!$A:$AB,2,0)</f>
        <v>YC C1 BREAKFAST BOX SIDES CHOBANI YOGURT, MIX GRUIT CUP</v>
      </c>
      <c r="H129" s="285">
        <v>1</v>
      </c>
      <c r="I129" s="173">
        <v>1</v>
      </c>
      <c r="J129" s="291">
        <f>IFERROR(IF(I129="std",H129,HLOOKUP(A129,'FlightConfig '!$B$34:$G$35,2,0)*I129),"")</f>
        <v>6</v>
      </c>
      <c r="K129" s="244">
        <f>VLOOKUP(Food!E129,'FG MASTER'!$A$1:$AC$536,16,0)</f>
        <v>0.92</v>
      </c>
      <c r="L129" s="245">
        <f>VLOOKUP(Food!E129,'FG MASTER'!$A$10:$AC$536,17,0)</f>
        <v>1</v>
      </c>
      <c r="M129" s="132">
        <f t="shared" si="61"/>
        <v>0.4</v>
      </c>
      <c r="N129" s="132">
        <f t="shared" si="65"/>
        <v>1.32</v>
      </c>
      <c r="O129" s="132">
        <f t="shared" si="36"/>
        <v>0.20240000000000002</v>
      </c>
      <c r="P129" s="132">
        <f t="shared" si="37"/>
        <v>7.999999999999996E-2</v>
      </c>
      <c r="Q129" s="132">
        <f t="shared" si="63"/>
        <v>1.6024000000000003</v>
      </c>
      <c r="R129" s="402">
        <f t="shared" si="39"/>
        <v>1.1224000000000001</v>
      </c>
      <c r="S129" s="402">
        <f t="shared" si="40"/>
        <v>0.48</v>
      </c>
      <c r="T129" s="402">
        <f t="shared" si="41"/>
        <v>1.6024</v>
      </c>
      <c r="U129" s="127"/>
      <c r="V129" s="127"/>
      <c r="W129" t="str">
        <f>IFERROR(#REF!*J129,"")</f>
        <v/>
      </c>
      <c r="X129">
        <f t="shared" si="42"/>
        <v>5.5200000000000005</v>
      </c>
      <c r="Y129">
        <f t="shared" si="43"/>
        <v>6</v>
      </c>
      <c r="Z129" s="127">
        <f t="shared" si="44"/>
        <v>2.4000000000000004</v>
      </c>
      <c r="AA129" s="127">
        <f t="shared" si="45"/>
        <v>7.92</v>
      </c>
      <c r="AB129" s="127">
        <f t="shared" si="46"/>
        <v>1.2144000000000001</v>
      </c>
      <c r="AC129" s="127">
        <f t="shared" si="47"/>
        <v>0.47999999999999976</v>
      </c>
      <c r="AD129" s="127">
        <f t="shared" si="48"/>
        <v>9.6144000000000016</v>
      </c>
      <c r="AF129" s="127" t="str">
        <f>IFERROR(W129*'FlightConfig '!$K$3,"")</f>
        <v/>
      </c>
      <c r="AG129" s="127">
        <f>IFERROR(X129*'FlightConfig '!$K$23,"")</f>
        <v>2009.2800000000002</v>
      </c>
      <c r="AH129" s="127">
        <f>IFERROR(Y129*'FlightConfig '!$K$23,"")</f>
        <v>2184</v>
      </c>
      <c r="AI129" s="127">
        <f>IFERROR(Z129*'FlightConfig '!$K$23,"")</f>
        <v>873.60000000000014</v>
      </c>
      <c r="AJ129" s="127">
        <f>IFERROR(AA129*'FlightConfig '!$K$23,"")</f>
        <v>2882.88</v>
      </c>
      <c r="AK129" s="127">
        <f>IFERROR(AB129*'FlightConfig '!$K$23,"")</f>
        <v>442.04160000000007</v>
      </c>
    </row>
    <row r="130" spans="1:37" ht="18.75" customHeight="1">
      <c r="A130" t="s">
        <v>189</v>
      </c>
      <c r="B130" s="171">
        <v>1</v>
      </c>
      <c r="C130" s="176" t="str">
        <f t="shared" si="64"/>
        <v>CABIN CREW CLASS1110</v>
      </c>
      <c r="D130" s="311"/>
      <c r="E130" s="305">
        <v>1137</v>
      </c>
      <c r="F130" s="310">
        <v>110</v>
      </c>
      <c r="G130" t="str">
        <f>VLOOKUP(E130,'FG MASTER'!$A:$AB,2,0)</f>
        <v>CREW C1 DINNER CHEESE &amp; CRACKER, CELERY STICK, CARROT, HUMMUS</v>
      </c>
      <c r="H130" s="285">
        <v>1</v>
      </c>
      <c r="I130" s="173">
        <v>1</v>
      </c>
      <c r="J130" s="291">
        <f>IFERROR(IF(I130="std",H130,HLOOKUP(A130,'FlightConfig '!$B$34:$G$35,2,0)*I130),"")</f>
        <v>6</v>
      </c>
      <c r="K130" s="244">
        <f>VLOOKUP(Food!E130,'FG MASTER'!$A$1:$AC$536,16,0)</f>
        <v>1.23</v>
      </c>
      <c r="L130" s="245">
        <f>VLOOKUP(Food!E130,'FG MASTER'!$A$10:$AC$536,17,0)</f>
        <v>1.5</v>
      </c>
      <c r="M130" s="132">
        <f>IFERROR(L130*$M$2,"")</f>
        <v>0.60000000000000009</v>
      </c>
      <c r="N130" s="132">
        <f t="shared" si="65"/>
        <v>1.83</v>
      </c>
      <c r="O130" s="132">
        <f t="shared" si="36"/>
        <v>0.27059999999999995</v>
      </c>
      <c r="P130" s="132">
        <f t="shared" si="37"/>
        <v>0.12</v>
      </c>
      <c r="Q130" s="132">
        <f t="shared" si="63"/>
        <v>2.2206000000000001</v>
      </c>
      <c r="R130" s="402">
        <f t="shared" si="39"/>
        <v>1.5005999999999999</v>
      </c>
      <c r="S130" s="402">
        <f t="shared" si="40"/>
        <v>0.72000000000000008</v>
      </c>
      <c r="T130" s="402">
        <f t="shared" si="41"/>
        <v>2.2206000000000001</v>
      </c>
      <c r="U130" s="127"/>
      <c r="V130" s="127"/>
      <c r="W130" t="str">
        <f>IFERROR(#REF!*J130,"")</f>
        <v/>
      </c>
      <c r="X130">
        <f t="shared" si="42"/>
        <v>7.38</v>
      </c>
      <c r="Y130">
        <f t="shared" si="43"/>
        <v>9</v>
      </c>
      <c r="Z130" s="127">
        <f t="shared" si="44"/>
        <v>3.6000000000000005</v>
      </c>
      <c r="AA130" s="127">
        <f t="shared" si="45"/>
        <v>10.98</v>
      </c>
      <c r="AB130" s="127">
        <f t="shared" si="46"/>
        <v>1.6235999999999997</v>
      </c>
      <c r="AC130" s="127">
        <f t="shared" si="47"/>
        <v>0.72</v>
      </c>
      <c r="AD130" s="127">
        <f t="shared" si="48"/>
        <v>13.323600000000001</v>
      </c>
      <c r="AF130" s="127" t="str">
        <f>IFERROR(W130*'FlightConfig '!$K$3,"")</f>
        <v/>
      </c>
      <c r="AG130" s="127">
        <f>IFERROR(X130*'FlightConfig '!$K$23,"")</f>
        <v>2686.32</v>
      </c>
      <c r="AH130" s="127">
        <f>IFERROR(Y130*'FlightConfig '!$K$23,"")</f>
        <v>3276</v>
      </c>
      <c r="AI130" s="127">
        <f>IFERROR(Z130*'FlightConfig '!$K$23,"")</f>
        <v>1310.4000000000001</v>
      </c>
      <c r="AJ130" s="127">
        <f>IFERROR(AA130*'FlightConfig '!$K$23,"")</f>
        <v>3996.7200000000003</v>
      </c>
      <c r="AK130" s="127">
        <f>IFERROR(AB130*'FlightConfig '!$K$23,"")</f>
        <v>590.99039999999991</v>
      </c>
    </row>
    <row r="131" spans="1:37" ht="18.75" customHeight="1">
      <c r="A131" t="s">
        <v>189</v>
      </c>
      <c r="B131" s="171">
        <v>1</v>
      </c>
      <c r="C131" s="176" t="str">
        <f t="shared" si="64"/>
        <v>CABIN CREW CLASS1110</v>
      </c>
      <c r="D131" s="293"/>
      <c r="E131" s="305">
        <v>1138</v>
      </c>
      <c r="F131" s="310">
        <v>110</v>
      </c>
      <c r="G131" t="str">
        <f>VLOOKUP(E131,'FG MASTER'!$A:$AB,2,0)</f>
        <v>CREW C1 DINNER HARD BOILED EGG WITH TURKEY CUBES AND CHEDDAR</v>
      </c>
      <c r="H131" s="285">
        <v>1</v>
      </c>
      <c r="I131" s="173">
        <v>1</v>
      </c>
      <c r="J131" s="291">
        <f>IFERROR(IF(I131="std",H131,HLOOKUP(A131,'FlightConfig '!$B$34:$G$35,2,0)*I131),"")</f>
        <v>6</v>
      </c>
      <c r="K131" s="244">
        <f>VLOOKUP(Food!E131,'FG MASTER'!$A$1:$AC$536,16,0)</f>
        <v>2.08</v>
      </c>
      <c r="L131" s="245">
        <f>VLOOKUP(Food!E131,'FG MASTER'!$A$10:$AC$536,17,0)</f>
        <v>1</v>
      </c>
      <c r="M131" s="132">
        <f t="shared" ref="M131:M144" si="66">IFERROR(L131*$M$2,"")</f>
        <v>0.4</v>
      </c>
      <c r="N131" s="132">
        <f t="shared" si="65"/>
        <v>2.48</v>
      </c>
      <c r="O131" s="132">
        <f t="shared" si="36"/>
        <v>0.45759999999999978</v>
      </c>
      <c r="P131" s="132">
        <f t="shared" si="37"/>
        <v>7.999999999999996E-2</v>
      </c>
      <c r="Q131" s="132">
        <f t="shared" si="63"/>
        <v>3.0175999999999998</v>
      </c>
      <c r="R131" s="402">
        <f t="shared" si="39"/>
        <v>2.5375999999999999</v>
      </c>
      <c r="S131" s="402">
        <f t="shared" si="40"/>
        <v>0.48</v>
      </c>
      <c r="T131" s="402">
        <f t="shared" si="41"/>
        <v>3.0175999999999998</v>
      </c>
      <c r="U131" s="127"/>
      <c r="V131" s="127"/>
      <c r="W131" t="str">
        <f>IFERROR(#REF!*J131,"")</f>
        <v/>
      </c>
      <c r="X131">
        <f t="shared" si="42"/>
        <v>12.48</v>
      </c>
      <c r="Y131">
        <f t="shared" si="43"/>
        <v>6</v>
      </c>
      <c r="Z131" s="127">
        <f t="shared" si="44"/>
        <v>2.4000000000000004</v>
      </c>
      <c r="AA131" s="127">
        <f t="shared" si="45"/>
        <v>14.879999999999999</v>
      </c>
      <c r="AB131" s="127">
        <f t="shared" si="46"/>
        <v>2.7455999999999987</v>
      </c>
      <c r="AC131" s="127">
        <f t="shared" si="47"/>
        <v>0.47999999999999976</v>
      </c>
      <c r="AD131" s="127">
        <f t="shared" si="48"/>
        <v>18.105599999999999</v>
      </c>
      <c r="AF131" s="127" t="str">
        <f>IFERROR(W131*'FlightConfig '!$K$3,"")</f>
        <v/>
      </c>
      <c r="AG131" s="127">
        <f>IFERROR(X131*'FlightConfig '!$K$23,"")</f>
        <v>4542.72</v>
      </c>
      <c r="AH131" s="127">
        <f>IFERROR(Y131*'FlightConfig '!$K$23,"")</f>
        <v>2184</v>
      </c>
      <c r="AI131" s="127">
        <f>IFERROR(Z131*'FlightConfig '!$K$23,"")</f>
        <v>873.60000000000014</v>
      </c>
      <c r="AJ131" s="127">
        <f>IFERROR(AA131*'FlightConfig '!$K$23,"")</f>
        <v>5416.32</v>
      </c>
      <c r="AK131" s="127">
        <f>IFERROR(AB131*'FlightConfig '!$K$23,"")</f>
        <v>999.39839999999958</v>
      </c>
    </row>
    <row r="132" spans="1:37" ht="18.75" customHeight="1">
      <c r="A132" t="s">
        <v>189</v>
      </c>
      <c r="B132" s="171">
        <v>1</v>
      </c>
      <c r="C132" s="176" t="str">
        <f t="shared" si="64"/>
        <v>CABIN CREW CLASS1110</v>
      </c>
      <c r="D132" s="293"/>
      <c r="E132" s="303">
        <v>1139</v>
      </c>
      <c r="F132" s="310">
        <v>110</v>
      </c>
      <c r="G132" t="str">
        <f>VLOOKUP(E132,'FG MASTER'!$A:$AB,2,0)</f>
        <v xml:space="preserve">CREW C1 DINNER WHOLE FRUIT APPLE AND ORANGE </v>
      </c>
      <c r="H132" s="285">
        <v>1</v>
      </c>
      <c r="I132" s="173">
        <v>1</v>
      </c>
      <c r="J132" s="291">
        <f>IFERROR(IF(I132="std",H132,HLOOKUP(A132,'FlightConfig '!$B$34:$G$35,2,0)*I132),"")</f>
        <v>6</v>
      </c>
      <c r="K132" s="244">
        <f>VLOOKUP(Food!E132,'FG MASTER'!$A$1:$AC$536,16,0)</f>
        <v>1.323</v>
      </c>
      <c r="L132" s="245">
        <f>VLOOKUP(Food!E132,'FG MASTER'!$A$10:$AC$536,17,0)</f>
        <v>1</v>
      </c>
      <c r="M132" s="132">
        <f t="shared" si="66"/>
        <v>0.4</v>
      </c>
      <c r="N132" s="132">
        <f t="shared" si="65"/>
        <v>1.7229999999999999</v>
      </c>
      <c r="O132" s="132">
        <f t="shared" si="36"/>
        <v>0.29105999999999987</v>
      </c>
      <c r="P132" s="132">
        <f t="shared" si="37"/>
        <v>7.999999999999996E-2</v>
      </c>
      <c r="Q132" s="132">
        <f t="shared" si="63"/>
        <v>2.0940599999999998</v>
      </c>
      <c r="R132" s="402">
        <f t="shared" si="39"/>
        <v>1.6140599999999998</v>
      </c>
      <c r="S132" s="402">
        <f t="shared" si="40"/>
        <v>0.48</v>
      </c>
      <c r="T132" s="402">
        <f t="shared" si="41"/>
        <v>2.0940599999999998</v>
      </c>
      <c r="U132" s="127"/>
      <c r="V132" s="127"/>
      <c r="W132" t="str">
        <f>IFERROR(#REF!*J132,"")</f>
        <v/>
      </c>
      <c r="X132">
        <f t="shared" si="42"/>
        <v>7.9379999999999997</v>
      </c>
      <c r="Y132">
        <f t="shared" si="43"/>
        <v>6</v>
      </c>
      <c r="Z132" s="127">
        <f t="shared" si="44"/>
        <v>2.4000000000000004</v>
      </c>
      <c r="AA132" s="127">
        <f t="shared" si="45"/>
        <v>10.337999999999999</v>
      </c>
      <c r="AB132" s="127">
        <f t="shared" si="46"/>
        <v>1.7463599999999992</v>
      </c>
      <c r="AC132" s="127">
        <f t="shared" si="47"/>
        <v>0.47999999999999976</v>
      </c>
      <c r="AD132" s="127">
        <f t="shared" si="48"/>
        <v>12.564359999999999</v>
      </c>
      <c r="AF132" s="127" t="str">
        <f>IFERROR(W132*'FlightConfig '!$K$3,"")</f>
        <v/>
      </c>
      <c r="AG132" s="127">
        <f>IFERROR(X132*'FlightConfig '!$K$23,"")</f>
        <v>2889.4319999999998</v>
      </c>
      <c r="AH132" s="127">
        <f>IFERROR(Y132*'FlightConfig '!$K$23,"")</f>
        <v>2184</v>
      </c>
      <c r="AI132" s="127">
        <f>IFERROR(Z132*'FlightConfig '!$K$23,"")</f>
        <v>873.60000000000014</v>
      </c>
      <c r="AJ132" s="127">
        <f>IFERROR(AA132*'FlightConfig '!$K$23,"")</f>
        <v>3763.0319999999997</v>
      </c>
      <c r="AK132" s="127">
        <f>IFERROR(AB132*'FlightConfig '!$K$23,"")</f>
        <v>635.67503999999974</v>
      </c>
    </row>
    <row r="133" spans="1:37" ht="18.75" customHeight="1">
      <c r="A133" t="s">
        <v>189</v>
      </c>
      <c r="B133" s="171">
        <v>1</v>
      </c>
      <c r="C133" s="176" t="str">
        <f t="shared" si="64"/>
        <v>CABIN CREW CLASS1110</v>
      </c>
      <c r="D133" s="293"/>
      <c r="E133" s="304">
        <v>1140</v>
      </c>
      <c r="F133" s="310">
        <v>110</v>
      </c>
      <c r="G133" t="str">
        <f>VLOOKUP(E133,'FG MASTER'!$A:$AB,2,0)</f>
        <v>CREW C1 DINNER ENTRÉE 1 VEGAN TOFU THAI GREEN CURRY WITH WHITE RICE, STIR FRIED VEGETABLES</v>
      </c>
      <c r="H133" s="285">
        <v>1</v>
      </c>
      <c r="I133" s="173">
        <v>1</v>
      </c>
      <c r="J133" s="291">
        <f>IFERROR(IF(I133="std",H133,HLOOKUP(A133,'FlightConfig '!$B$34:$G$35,2,0)*I133),"")</f>
        <v>6</v>
      </c>
      <c r="K133" s="244">
        <f>VLOOKUP(Food!E133,'FG MASTER'!$A$1:$AC$536,16,0)</f>
        <v>2.16</v>
      </c>
      <c r="L133" s="245">
        <f>VLOOKUP(Food!E133,'FG MASTER'!$A$10:$AC$536,17,0)</f>
        <v>3.75</v>
      </c>
      <c r="M133" s="132">
        <f t="shared" si="66"/>
        <v>1.5</v>
      </c>
      <c r="N133" s="132">
        <f t="shared" si="65"/>
        <v>3.66</v>
      </c>
      <c r="O133" s="132">
        <f t="shared" si="36"/>
        <v>0.47520000000000007</v>
      </c>
      <c r="P133" s="132">
        <f t="shared" si="37"/>
        <v>0.29999999999999982</v>
      </c>
      <c r="Q133" s="132">
        <f t="shared" si="63"/>
        <v>4.4352</v>
      </c>
      <c r="R133" s="402">
        <f t="shared" si="39"/>
        <v>2.6352000000000002</v>
      </c>
      <c r="S133" s="402">
        <f t="shared" si="40"/>
        <v>1.7999999999999998</v>
      </c>
      <c r="T133" s="402">
        <f t="shared" si="41"/>
        <v>4.4352</v>
      </c>
      <c r="U133" s="127"/>
      <c r="V133" s="127"/>
      <c r="W133" t="str">
        <f>IFERROR(#REF!*J133,"")</f>
        <v/>
      </c>
      <c r="X133">
        <f t="shared" si="42"/>
        <v>12.96</v>
      </c>
      <c r="Y133">
        <f t="shared" si="43"/>
        <v>22.5</v>
      </c>
      <c r="Z133" s="127">
        <f t="shared" si="44"/>
        <v>9</v>
      </c>
      <c r="AA133" s="127">
        <f t="shared" si="45"/>
        <v>21.96</v>
      </c>
      <c r="AB133" s="127">
        <f t="shared" si="46"/>
        <v>2.8512000000000004</v>
      </c>
      <c r="AC133" s="127">
        <f t="shared" si="47"/>
        <v>1.7999999999999989</v>
      </c>
      <c r="AD133" s="127">
        <f t="shared" si="48"/>
        <v>26.6112</v>
      </c>
      <c r="AF133" s="127" t="str">
        <f>IFERROR(W133*'FlightConfig '!$K$3,"")</f>
        <v/>
      </c>
      <c r="AG133" s="127">
        <f>IFERROR(X133*'FlightConfig '!$K$23,"")</f>
        <v>4717.4400000000005</v>
      </c>
      <c r="AH133" s="127">
        <f>IFERROR(Y133*'FlightConfig '!$K$23,"")</f>
        <v>8190</v>
      </c>
      <c r="AI133" s="127">
        <f>IFERROR(Z133*'FlightConfig '!$K$23,"")</f>
        <v>3276</v>
      </c>
      <c r="AJ133" s="127">
        <f>IFERROR(AA133*'FlightConfig '!$K$23,"")</f>
        <v>7993.4400000000005</v>
      </c>
      <c r="AK133" s="127">
        <f>IFERROR(AB133*'FlightConfig '!$K$23,"")</f>
        <v>1037.8368</v>
      </c>
    </row>
    <row r="134" spans="1:37" ht="18.75" customHeight="1">
      <c r="A134" t="s">
        <v>189</v>
      </c>
      <c r="B134" s="171">
        <v>1</v>
      </c>
      <c r="C134" s="176" t="str">
        <f t="shared" si="64"/>
        <v>CABIN CREW CLASS1110</v>
      </c>
      <c r="D134" s="293"/>
      <c r="E134" s="304">
        <v>1141</v>
      </c>
      <c r="F134" s="310">
        <v>110</v>
      </c>
      <c r="G134" t="str">
        <f>VLOOKUP(E134,'FG MASTER'!$A:$AB,2,0)</f>
        <v xml:space="preserve">CREW C1 DINNER ENTRÉE 2 CRUSTED SALMON, MISO GLAZE, SHITAKE STICKY RICE, ROOT VEG WIT PERILLA </v>
      </c>
      <c r="H134" s="285">
        <v>1</v>
      </c>
      <c r="I134" s="173">
        <v>1</v>
      </c>
      <c r="J134" s="291">
        <f>IFERROR(IF(I134="std",H134,HLOOKUP(A134,'FlightConfig '!$B$34:$G$35,2,0)*I134),"")</f>
        <v>6</v>
      </c>
      <c r="K134" s="244">
        <f>VLOOKUP(Food!E134,'FG MASTER'!$A$1:$AC$536,16,0)</f>
        <v>6.93</v>
      </c>
      <c r="L134" s="245">
        <f>VLOOKUP(Food!E134,'FG MASTER'!$A$10:$AC$536,17,0)</f>
        <v>6.25</v>
      </c>
      <c r="M134" s="132">
        <f t="shared" si="66"/>
        <v>2.5</v>
      </c>
      <c r="N134" s="132">
        <f t="shared" si="65"/>
        <v>9.43</v>
      </c>
      <c r="O134" s="132">
        <f t="shared" ref="O134:O144" si="67">IFERROR($K134*(1+$O$2)-$K134,0)</f>
        <v>1.5245999999999995</v>
      </c>
      <c r="P134" s="132">
        <f t="shared" ref="P134:P144" si="68">IFERROR($M134*(1+$P$2)-$M134,0)</f>
        <v>0.5</v>
      </c>
      <c r="Q134" s="132">
        <f t="shared" si="63"/>
        <v>11.454599999999999</v>
      </c>
      <c r="R134" s="402">
        <f t="shared" ref="R134:R144" si="69">K134*(1+$O$2)</f>
        <v>8.4545999999999992</v>
      </c>
      <c r="S134" s="402">
        <f t="shared" ref="S134:S144" si="70">M134*(1+$P$2)</f>
        <v>3</v>
      </c>
      <c r="T134" s="402">
        <f t="shared" ref="T134:T144" si="71">R134+S134</f>
        <v>11.454599999999999</v>
      </c>
      <c r="U134" s="127"/>
      <c r="V134" s="127"/>
      <c r="W134" t="str">
        <f>IFERROR(#REF!*J134,"")</f>
        <v/>
      </c>
      <c r="X134">
        <f t="shared" ref="X134:X144" si="72">IFERROR(K134*J134,"")</f>
        <v>41.58</v>
      </c>
      <c r="Y134">
        <f t="shared" ref="Y134:Y144" si="73">IFERROR(+L134*J134,"")</f>
        <v>37.5</v>
      </c>
      <c r="Z134" s="127">
        <f t="shared" ref="Z134:Z144" si="74">IFERROR(+M134*J134,"")</f>
        <v>15</v>
      </c>
      <c r="AA134" s="127">
        <f t="shared" ref="AA134:AA144" si="75">IFERROR(+N134*J134,"")</f>
        <v>56.58</v>
      </c>
      <c r="AB134" s="127">
        <f t="shared" ref="AB134:AB144" si="76">IFERROR(O134*$J134,"")</f>
        <v>9.1475999999999971</v>
      </c>
      <c r="AC134" s="127">
        <f t="shared" ref="AC134:AC198" si="77">IFERROR(P134*$J134,"")</f>
        <v>3</v>
      </c>
      <c r="AD134" s="127">
        <f t="shared" ref="AD134:AD198" si="78">IFERROR(+Q134*J134,"")</f>
        <v>68.727599999999995</v>
      </c>
      <c r="AF134" s="127" t="str">
        <f>IFERROR(W134*'FlightConfig '!$K$3,"")</f>
        <v/>
      </c>
      <c r="AG134" s="127">
        <f>IFERROR(X134*'FlightConfig '!$K$23,"")</f>
        <v>15135.119999999999</v>
      </c>
      <c r="AH134" s="127">
        <f>IFERROR(Y134*'FlightConfig '!$K$23,"")</f>
        <v>13650</v>
      </c>
      <c r="AI134" s="127">
        <f>IFERROR(Z134*'FlightConfig '!$K$23,"")</f>
        <v>5460</v>
      </c>
      <c r="AJ134" s="127">
        <f>IFERROR(AA134*'FlightConfig '!$K$23,"")</f>
        <v>20595.12</v>
      </c>
      <c r="AK134" s="127">
        <f>IFERROR(AB134*'FlightConfig '!$K$23,"")</f>
        <v>3329.7263999999991</v>
      </c>
    </row>
    <row r="135" spans="1:37" ht="18.75" customHeight="1">
      <c r="A135" t="s">
        <v>189</v>
      </c>
      <c r="B135" s="171">
        <v>1</v>
      </c>
      <c r="C135" s="176" t="str">
        <f t="shared" si="64"/>
        <v>CABIN CREW CLASS1110</v>
      </c>
      <c r="D135" s="293"/>
      <c r="E135" s="304">
        <v>1142</v>
      </c>
      <c r="F135" s="310">
        <v>110</v>
      </c>
      <c r="G135" t="str">
        <f>VLOOKUP(E135,'FG MASTER'!$A:$AB,2,0)</f>
        <v>CREW C1 DINNER ENTRÉE 3 LEMON CONFIT CHICKEN BREAST, GRAPE DEMI GLACE, WITH MASHED POTATO AND GREEN BEANS</v>
      </c>
      <c r="H135" s="285">
        <v>1</v>
      </c>
      <c r="I135" s="173">
        <v>1</v>
      </c>
      <c r="J135" s="291">
        <f>IFERROR(IF(I135="std",H135,HLOOKUP(A135,'FlightConfig '!$B$34:$G$35,2,0)*I135),"")</f>
        <v>6</v>
      </c>
      <c r="K135" s="244">
        <f>VLOOKUP(Food!E135,'FG MASTER'!$A$1:$AC$536,16,0)</f>
        <v>5.72</v>
      </c>
      <c r="L135" s="245">
        <f>VLOOKUP(Food!E135,'FG MASTER'!$A$10:$AC$536,17,0)</f>
        <v>5</v>
      </c>
      <c r="M135" s="132">
        <f t="shared" si="66"/>
        <v>2</v>
      </c>
      <c r="N135" s="132">
        <f t="shared" si="65"/>
        <v>7.72</v>
      </c>
      <c r="O135" s="132">
        <f t="shared" si="67"/>
        <v>1.2584</v>
      </c>
      <c r="P135" s="132">
        <f t="shared" si="68"/>
        <v>0.39999999999999991</v>
      </c>
      <c r="Q135" s="132">
        <f t="shared" si="63"/>
        <v>9.378400000000001</v>
      </c>
      <c r="R135" s="402">
        <f t="shared" si="69"/>
        <v>6.9783999999999997</v>
      </c>
      <c r="S135" s="402">
        <f t="shared" si="70"/>
        <v>2.4</v>
      </c>
      <c r="T135" s="402">
        <f t="shared" si="71"/>
        <v>9.3783999999999992</v>
      </c>
      <c r="U135" s="127"/>
      <c r="V135" s="127"/>
      <c r="W135" t="str">
        <f>IFERROR(#REF!*J135,"")</f>
        <v/>
      </c>
      <c r="X135">
        <f t="shared" si="72"/>
        <v>34.32</v>
      </c>
      <c r="Y135">
        <f t="shared" si="73"/>
        <v>30</v>
      </c>
      <c r="Z135" s="127">
        <f t="shared" si="74"/>
        <v>12</v>
      </c>
      <c r="AA135" s="127">
        <f t="shared" si="75"/>
        <v>46.32</v>
      </c>
      <c r="AB135" s="127">
        <f t="shared" si="76"/>
        <v>7.5503999999999998</v>
      </c>
      <c r="AC135" s="127">
        <f t="shared" si="77"/>
        <v>2.3999999999999995</v>
      </c>
      <c r="AD135" s="127">
        <f t="shared" si="78"/>
        <v>56.270400000000009</v>
      </c>
      <c r="AF135" s="127" t="str">
        <f>IFERROR(W135*'FlightConfig '!$K$3,"")</f>
        <v/>
      </c>
      <c r="AG135" s="127">
        <f>IFERROR(X135*'FlightConfig '!$K$23,"")</f>
        <v>12492.48</v>
      </c>
      <c r="AH135" s="127">
        <f>IFERROR(Y135*'FlightConfig '!$K$23,"")</f>
        <v>10920</v>
      </c>
      <c r="AI135" s="127">
        <f>IFERROR(Z135*'FlightConfig '!$K$23,"")</f>
        <v>4368</v>
      </c>
      <c r="AJ135" s="127">
        <f>IFERROR(AA135*'FlightConfig '!$K$23,"")</f>
        <v>16860.48</v>
      </c>
      <c r="AK135" s="127">
        <f>IFERROR(AB135*'FlightConfig '!$K$23,"")</f>
        <v>2748.3456000000001</v>
      </c>
    </row>
    <row r="136" spans="1:37" ht="18.75" customHeight="1">
      <c r="A136" t="s">
        <v>189</v>
      </c>
      <c r="B136" s="171">
        <v>1</v>
      </c>
      <c r="C136" s="176" t="str">
        <f t="shared" si="64"/>
        <v>CABIN CREW CLASS1110</v>
      </c>
      <c r="D136" s="293"/>
      <c r="E136" s="304">
        <v>1143</v>
      </c>
      <c r="F136" s="310">
        <v>110</v>
      </c>
      <c r="G136" t="str">
        <f>VLOOKUP(E136,'FG MASTER'!$A:$AB,2,0)</f>
        <v xml:space="preserve">CREW C1 DINNER ENTRÉE 4 CAVATAPI WITH RED WINE TOMATO RAGU SAUCE, AND IMPOSSIBLE MEATBALL </v>
      </c>
      <c r="H136" s="285">
        <v>1</v>
      </c>
      <c r="I136" s="173">
        <v>1</v>
      </c>
      <c r="J136" s="291">
        <f>IFERROR(IF(I136="std",H136,HLOOKUP(A136,'FlightConfig '!$B$34:$G$35,2,0)*I136),"")</f>
        <v>6</v>
      </c>
      <c r="K136" s="244">
        <f>VLOOKUP(Food!E136,'FG MASTER'!$A$1:$AC$536,16,0)</f>
        <v>6.09</v>
      </c>
      <c r="L136" s="245">
        <f>VLOOKUP(Food!E136,'FG MASTER'!$A$10:$AC$536,17,0)</f>
        <v>4</v>
      </c>
      <c r="M136" s="132">
        <f t="shared" si="66"/>
        <v>1.6</v>
      </c>
      <c r="N136" s="132">
        <f>IFERROR((K136)+M136,"")</f>
        <v>7.6899999999999995</v>
      </c>
      <c r="O136" s="132">
        <f t="shared" si="67"/>
        <v>1.3397999999999994</v>
      </c>
      <c r="P136" s="132">
        <f t="shared" si="68"/>
        <v>0.31999999999999984</v>
      </c>
      <c r="Q136" s="132">
        <f t="shared" si="63"/>
        <v>9.3497999999999983</v>
      </c>
      <c r="R136" s="402">
        <f t="shared" si="69"/>
        <v>7.4297999999999993</v>
      </c>
      <c r="S136" s="402">
        <f t="shared" si="70"/>
        <v>1.92</v>
      </c>
      <c r="T136" s="402">
        <f t="shared" si="71"/>
        <v>9.3497999999999983</v>
      </c>
      <c r="U136" s="127"/>
      <c r="V136" s="127"/>
      <c r="W136" t="str">
        <f>IFERROR(#REF!*J136,"")</f>
        <v/>
      </c>
      <c r="X136">
        <f t="shared" si="72"/>
        <v>36.54</v>
      </c>
      <c r="Y136">
        <f t="shared" si="73"/>
        <v>24</v>
      </c>
      <c r="Z136" s="127">
        <f t="shared" si="74"/>
        <v>9.6000000000000014</v>
      </c>
      <c r="AA136" s="127">
        <f t="shared" si="75"/>
        <v>46.14</v>
      </c>
      <c r="AB136" s="127">
        <f t="shared" si="76"/>
        <v>8.0387999999999966</v>
      </c>
      <c r="AC136" s="127">
        <f t="shared" si="77"/>
        <v>1.919999999999999</v>
      </c>
      <c r="AD136" s="127">
        <f t="shared" si="78"/>
        <v>56.09879999999999</v>
      </c>
      <c r="AF136" s="127" t="str">
        <f>IFERROR(W136*'FlightConfig '!$K$3,"")</f>
        <v/>
      </c>
      <c r="AG136" s="127">
        <f>IFERROR(X136*'FlightConfig '!$K$23,"")</f>
        <v>13300.56</v>
      </c>
      <c r="AH136" s="127">
        <f>IFERROR(Y136*'FlightConfig '!$K$23,"")</f>
        <v>8736</v>
      </c>
      <c r="AI136" s="127">
        <f>IFERROR(Z136*'FlightConfig '!$K$23,"")</f>
        <v>3494.4000000000005</v>
      </c>
      <c r="AJ136" s="127">
        <f>IFERROR(AA136*'FlightConfig '!$K$23,"")</f>
        <v>16794.96</v>
      </c>
      <c r="AK136" s="127">
        <f>IFERROR(AB136*'FlightConfig '!$K$23,"")</f>
        <v>2926.1231999999986</v>
      </c>
    </row>
    <row r="137" spans="1:37" ht="18.75" customHeight="1">
      <c r="A137" t="s">
        <v>189</v>
      </c>
      <c r="B137" s="171">
        <v>1</v>
      </c>
      <c r="C137" s="176" t="str">
        <f t="shared" si="64"/>
        <v>CABIN CREW CLASS1110</v>
      </c>
      <c r="D137" s="293"/>
      <c r="E137" s="304">
        <v>1144</v>
      </c>
      <c r="F137" s="310">
        <v>110</v>
      </c>
      <c r="G137" t="str">
        <f>VLOOKUP(E137,'FG MASTER'!$A:$AB,2,0)</f>
        <v xml:space="preserve">CREW C1 DINNER ENTRÉE 5 POTATO GNOCCHI WITH SAGE BROW BUTTER SAUCE AND MARINATED KALE </v>
      </c>
      <c r="H137" s="285">
        <v>1</v>
      </c>
      <c r="I137" s="173">
        <v>1</v>
      </c>
      <c r="J137" s="291">
        <f>IFERROR(IF(I137="std",H137,HLOOKUP(A137,'FlightConfig '!$B$34:$G$35,2,0)*I137),"")</f>
        <v>6</v>
      </c>
      <c r="K137" s="244">
        <f>VLOOKUP(Food!E137,'FG MASTER'!$A$1:$AC$536,16,0)</f>
        <v>2.0099999999999998</v>
      </c>
      <c r="L137" s="245">
        <f>VLOOKUP(Food!E137,'FG MASTER'!$A$10:$AC$536,17,0)</f>
        <v>3.75</v>
      </c>
      <c r="M137" s="132">
        <f t="shared" si="66"/>
        <v>1.5</v>
      </c>
      <c r="N137" s="132">
        <f t="shared" ref="N137:N144" si="79">IFERROR((K137)+M137,"")</f>
        <v>3.51</v>
      </c>
      <c r="O137" s="132">
        <f t="shared" si="67"/>
        <v>0.4421999999999997</v>
      </c>
      <c r="P137" s="132">
        <f t="shared" si="68"/>
        <v>0.29999999999999982</v>
      </c>
      <c r="Q137" s="132">
        <f t="shared" si="63"/>
        <v>4.2521999999999993</v>
      </c>
      <c r="R137" s="402">
        <f t="shared" si="69"/>
        <v>2.4521999999999995</v>
      </c>
      <c r="S137" s="402">
        <f t="shared" si="70"/>
        <v>1.7999999999999998</v>
      </c>
      <c r="T137" s="402">
        <f t="shared" si="71"/>
        <v>4.2521999999999993</v>
      </c>
      <c r="U137" s="127"/>
      <c r="V137" s="127"/>
      <c r="W137" t="str">
        <f>IFERROR(#REF!*J137,"")</f>
        <v/>
      </c>
      <c r="X137">
        <f t="shared" si="72"/>
        <v>12.059999999999999</v>
      </c>
      <c r="Y137">
        <f t="shared" si="73"/>
        <v>22.5</v>
      </c>
      <c r="Z137" s="127">
        <f t="shared" si="74"/>
        <v>9</v>
      </c>
      <c r="AA137" s="127">
        <f t="shared" si="75"/>
        <v>21.06</v>
      </c>
      <c r="AB137" s="127">
        <f t="shared" si="76"/>
        <v>2.6531999999999982</v>
      </c>
      <c r="AC137" s="127">
        <f t="shared" si="77"/>
        <v>1.7999999999999989</v>
      </c>
      <c r="AD137" s="127">
        <f t="shared" si="78"/>
        <v>25.513199999999998</v>
      </c>
      <c r="AF137" s="127" t="str">
        <f>IFERROR(W137*'FlightConfig '!$K$3,"")</f>
        <v/>
      </c>
      <c r="AG137" s="127">
        <f>IFERROR(X137*'FlightConfig '!$K$23,"")</f>
        <v>4389.8399999999992</v>
      </c>
      <c r="AH137" s="127">
        <f>IFERROR(Y137*'FlightConfig '!$K$23,"")</f>
        <v>8190</v>
      </c>
      <c r="AI137" s="127">
        <f>IFERROR(Z137*'FlightConfig '!$K$23,"")</f>
        <v>3276</v>
      </c>
      <c r="AJ137" s="127">
        <f>IFERROR(AA137*'FlightConfig '!$K$23,"")</f>
        <v>7665.8399999999992</v>
      </c>
      <c r="AK137" s="127">
        <f>IFERROR(AB137*'FlightConfig '!$K$23,"")</f>
        <v>965.76479999999935</v>
      </c>
    </row>
    <row r="138" spans="1:37" ht="18.75" customHeight="1">
      <c r="A138" t="s">
        <v>189</v>
      </c>
      <c r="B138" s="171">
        <v>1</v>
      </c>
      <c r="C138" s="176" t="str">
        <f t="shared" si="64"/>
        <v>CABIN CREW CLASS1110</v>
      </c>
      <c r="D138" s="293"/>
      <c r="E138" s="304">
        <v>1145</v>
      </c>
      <c r="F138" s="310">
        <v>110</v>
      </c>
      <c r="G138" t="str">
        <f>VLOOKUP(E138,'FG MASTER'!$A:$AB,2,0)</f>
        <v>CREW C1 SANDWICH 1 HUMMUS, SPROUT TORTILLA WRAP</v>
      </c>
      <c r="H138" s="285">
        <v>1</v>
      </c>
      <c r="I138" s="173">
        <v>1</v>
      </c>
      <c r="J138" s="291">
        <f>IFERROR(IF(I138="std",H138,HLOOKUP(A138,'FlightConfig '!$B$34:$G$35,2,0)*I138),"")</f>
        <v>6</v>
      </c>
      <c r="K138" s="244">
        <f>VLOOKUP(Food!E138,'FG MASTER'!$A$1:$AC$536,16,0)</f>
        <v>1.96</v>
      </c>
      <c r="L138" s="245">
        <f>VLOOKUP(Food!E138,'FG MASTER'!$A$10:$AC$536,17,0)</f>
        <v>1.5</v>
      </c>
      <c r="M138" s="132">
        <f t="shared" si="66"/>
        <v>0.60000000000000009</v>
      </c>
      <c r="N138" s="132">
        <f t="shared" si="79"/>
        <v>2.56</v>
      </c>
      <c r="O138" s="132">
        <f t="shared" si="67"/>
        <v>0.43120000000000003</v>
      </c>
      <c r="P138" s="132">
        <f t="shared" si="68"/>
        <v>0.12</v>
      </c>
      <c r="Q138" s="132">
        <f t="shared" si="63"/>
        <v>3.1112000000000002</v>
      </c>
      <c r="R138" s="402">
        <f t="shared" si="69"/>
        <v>2.3912</v>
      </c>
      <c r="S138" s="402">
        <f t="shared" si="70"/>
        <v>0.72000000000000008</v>
      </c>
      <c r="T138" s="402">
        <f t="shared" si="71"/>
        <v>3.1112000000000002</v>
      </c>
      <c r="U138" s="127"/>
      <c r="V138" s="127"/>
      <c r="W138" t="str">
        <f>IFERROR(#REF!*J138,"")</f>
        <v/>
      </c>
      <c r="X138">
        <f t="shared" si="72"/>
        <v>11.76</v>
      </c>
      <c r="Y138">
        <f t="shared" si="73"/>
        <v>9</v>
      </c>
      <c r="Z138" s="127">
        <f t="shared" si="74"/>
        <v>3.6000000000000005</v>
      </c>
      <c r="AA138" s="127">
        <f t="shared" si="75"/>
        <v>15.36</v>
      </c>
      <c r="AB138" s="127">
        <f t="shared" si="76"/>
        <v>2.5872000000000002</v>
      </c>
      <c r="AC138" s="127">
        <f t="shared" si="77"/>
        <v>0.72</v>
      </c>
      <c r="AD138" s="127">
        <f t="shared" si="78"/>
        <v>18.667200000000001</v>
      </c>
      <c r="AF138" s="127" t="str">
        <f>IFERROR(W138*'FlightConfig '!$K$3,"")</f>
        <v/>
      </c>
      <c r="AG138" s="127">
        <f>IFERROR(X138*'FlightConfig '!$K$23,"")</f>
        <v>4280.6400000000003</v>
      </c>
      <c r="AH138" s="127">
        <f>IFERROR(Y138*'FlightConfig '!$K$23,"")</f>
        <v>3276</v>
      </c>
      <c r="AI138" s="127">
        <f>IFERROR(Z138*'FlightConfig '!$K$23,"")</f>
        <v>1310.4000000000001</v>
      </c>
      <c r="AJ138" s="127">
        <f>IFERROR(AA138*'FlightConfig '!$K$23,"")</f>
        <v>5591.04</v>
      </c>
      <c r="AK138" s="127">
        <f>IFERROR(AB138*'FlightConfig '!$K$23,"")</f>
        <v>941.74080000000004</v>
      </c>
    </row>
    <row r="139" spans="1:37" ht="18.75" customHeight="1">
      <c r="A139" t="s">
        <v>189</v>
      </c>
      <c r="B139" s="171">
        <v>1</v>
      </c>
      <c r="C139" s="176" t="str">
        <f t="shared" si="64"/>
        <v>CABIN CREW CLASS1110</v>
      </c>
      <c r="D139" s="293"/>
      <c r="E139" s="304">
        <v>1146</v>
      </c>
      <c r="F139" s="310">
        <v>110</v>
      </c>
      <c r="G139" t="str">
        <f>VLOOKUP(E139,'FG MASTER'!$A:$AB,2,0)</f>
        <v xml:space="preserve">CREW C1 SANDWICH 2 HAM AND PROVOLINE ON WHITE </v>
      </c>
      <c r="H139" s="285">
        <v>1</v>
      </c>
      <c r="I139" s="173">
        <v>1</v>
      </c>
      <c r="J139" s="291">
        <f>IFERROR(IF(I139="std",H139,HLOOKUP(A139,'FlightConfig '!$B$34:$G$35,2,0)*I139),"")</f>
        <v>6</v>
      </c>
      <c r="K139" s="244">
        <f>VLOOKUP(Food!E139,'FG MASTER'!$A$1:$AC$536,16,0)</f>
        <v>1.68</v>
      </c>
      <c r="L139" s="245">
        <f>VLOOKUP(Food!E139,'FG MASTER'!$A$10:$AC$536,17,0)</f>
        <v>1.5</v>
      </c>
      <c r="M139" s="132">
        <f t="shared" si="66"/>
        <v>0.60000000000000009</v>
      </c>
      <c r="N139" s="132">
        <f t="shared" si="79"/>
        <v>2.2800000000000002</v>
      </c>
      <c r="O139" s="132">
        <f t="shared" si="67"/>
        <v>0.36959999999999993</v>
      </c>
      <c r="P139" s="132">
        <f t="shared" si="68"/>
        <v>0.12</v>
      </c>
      <c r="Q139" s="132">
        <f t="shared" si="63"/>
        <v>2.7696000000000005</v>
      </c>
      <c r="R139" s="402">
        <f t="shared" si="69"/>
        <v>2.0495999999999999</v>
      </c>
      <c r="S139" s="402">
        <f t="shared" si="70"/>
        <v>0.72000000000000008</v>
      </c>
      <c r="T139" s="402">
        <f t="shared" si="71"/>
        <v>2.7696000000000001</v>
      </c>
      <c r="U139" s="127"/>
      <c r="V139" s="127"/>
      <c r="W139" t="str">
        <f>IFERROR(#REF!*J139,"")</f>
        <v/>
      </c>
      <c r="X139">
        <f t="shared" si="72"/>
        <v>10.08</v>
      </c>
      <c r="Y139">
        <f t="shared" si="73"/>
        <v>9</v>
      </c>
      <c r="Z139" s="127">
        <f t="shared" si="74"/>
        <v>3.6000000000000005</v>
      </c>
      <c r="AA139" s="127">
        <f t="shared" si="75"/>
        <v>13.680000000000001</v>
      </c>
      <c r="AB139" s="127">
        <f t="shared" si="76"/>
        <v>2.2175999999999996</v>
      </c>
      <c r="AC139" s="127">
        <f t="shared" si="77"/>
        <v>0.72</v>
      </c>
      <c r="AD139" s="127">
        <f t="shared" si="78"/>
        <v>16.617600000000003</v>
      </c>
      <c r="AF139" s="127" t="str">
        <f>IFERROR(W139*'FlightConfig '!$K$3,"")</f>
        <v/>
      </c>
      <c r="AG139" s="127">
        <f>IFERROR(X139*'FlightConfig '!$K$23,"")</f>
        <v>3669.12</v>
      </c>
      <c r="AH139" s="127">
        <f>IFERROR(Y139*'FlightConfig '!$K$23,"")</f>
        <v>3276</v>
      </c>
      <c r="AI139" s="127">
        <f>IFERROR(Z139*'FlightConfig '!$K$23,"")</f>
        <v>1310.4000000000001</v>
      </c>
      <c r="AJ139" s="127">
        <f>IFERROR(AA139*'FlightConfig '!$K$23,"")</f>
        <v>4979.5200000000004</v>
      </c>
      <c r="AK139" s="127">
        <f>IFERROR(AB139*'FlightConfig '!$K$23,"")</f>
        <v>807.2063999999998</v>
      </c>
    </row>
    <row r="140" spans="1:37" ht="18.75" customHeight="1">
      <c r="A140" t="s">
        <v>189</v>
      </c>
      <c r="B140" s="171">
        <v>1</v>
      </c>
      <c r="C140" s="176" t="str">
        <f>CONCATENATE(A140&amp;B140&amp;F140)</f>
        <v>CABIN CREW CLASS1110</v>
      </c>
      <c r="D140" s="293"/>
      <c r="E140" s="304">
        <v>1147</v>
      </c>
      <c r="F140" s="310">
        <v>110</v>
      </c>
      <c r="G140" t="str">
        <f>VLOOKUP(E140,'FG MASTER'!$A:$AB,2,0)</f>
        <v>CREW C1 SANDWICH 3 ROAST BEEF AND CHEDDAR ON HOAGIE</v>
      </c>
      <c r="H140" s="285">
        <v>1</v>
      </c>
      <c r="I140" s="173">
        <v>1</v>
      </c>
      <c r="J140" s="291">
        <f>IFERROR(IF(I140="std",H140,HLOOKUP(A140,'FlightConfig '!$B$34:$G$35,2,0)*I140),"")</f>
        <v>6</v>
      </c>
      <c r="K140" s="244">
        <f>VLOOKUP(Food!E140,'FG MASTER'!$A$1:$AC$536,16,0)</f>
        <v>2.2999999999999998</v>
      </c>
      <c r="L140" s="245">
        <f>VLOOKUP(Food!E140,'FG MASTER'!$A$10:$AC$536,17,0)</f>
        <v>1.5</v>
      </c>
      <c r="M140" s="132">
        <f t="shared" si="66"/>
        <v>0.60000000000000009</v>
      </c>
      <c r="N140" s="132">
        <f t="shared" si="79"/>
        <v>2.9</v>
      </c>
      <c r="O140" s="132">
        <f t="shared" si="67"/>
        <v>0.50599999999999978</v>
      </c>
      <c r="P140" s="132">
        <f t="shared" si="68"/>
        <v>0.12</v>
      </c>
      <c r="Q140" s="132">
        <f t="shared" si="63"/>
        <v>3.5259999999999998</v>
      </c>
      <c r="R140" s="402">
        <f t="shared" si="69"/>
        <v>2.8059999999999996</v>
      </c>
      <c r="S140" s="402">
        <f t="shared" si="70"/>
        <v>0.72000000000000008</v>
      </c>
      <c r="T140" s="402">
        <f t="shared" si="71"/>
        <v>3.5259999999999998</v>
      </c>
      <c r="U140" s="127"/>
      <c r="V140" s="127"/>
      <c r="W140" t="str">
        <f>IFERROR(#REF!*J140,"")</f>
        <v/>
      </c>
      <c r="X140">
        <f t="shared" si="72"/>
        <v>13.799999999999999</v>
      </c>
      <c r="Y140">
        <f t="shared" si="73"/>
        <v>9</v>
      </c>
      <c r="Z140" s="127">
        <f t="shared" si="74"/>
        <v>3.6000000000000005</v>
      </c>
      <c r="AA140" s="127">
        <f t="shared" si="75"/>
        <v>17.399999999999999</v>
      </c>
      <c r="AB140" s="127">
        <f t="shared" si="76"/>
        <v>3.0359999999999987</v>
      </c>
      <c r="AC140" s="127">
        <f t="shared" si="77"/>
        <v>0.72</v>
      </c>
      <c r="AD140" s="127">
        <f t="shared" si="78"/>
        <v>21.155999999999999</v>
      </c>
      <c r="AF140" s="127" t="str">
        <f>IFERROR(W140*'FlightConfig '!$K$3,"")</f>
        <v/>
      </c>
      <c r="AG140" s="127">
        <f>IFERROR(X140*'FlightConfig '!$K$23,"")</f>
        <v>5023.2</v>
      </c>
      <c r="AH140" s="127">
        <f>IFERROR(Y140*'FlightConfig '!$K$23,"")</f>
        <v>3276</v>
      </c>
      <c r="AI140" s="127">
        <f>IFERROR(Z140*'FlightConfig '!$K$23,"")</f>
        <v>1310.4000000000001</v>
      </c>
      <c r="AJ140" s="127">
        <f>IFERROR(AA140*'FlightConfig '!$K$23,"")</f>
        <v>6333.5999999999995</v>
      </c>
      <c r="AK140" s="127">
        <f>IFERROR(AB140*'FlightConfig '!$K$23,"")</f>
        <v>1105.1039999999996</v>
      </c>
    </row>
    <row r="141" spans="1:37" ht="18.75" customHeight="1">
      <c r="A141" t="s">
        <v>189</v>
      </c>
      <c r="B141" s="171">
        <v>1</v>
      </c>
      <c r="C141" s="176" t="str">
        <f t="shared" ref="C141:C144" si="80">CONCATENATE(A141&amp;B141&amp;F141)</f>
        <v>CABIN CREW CLASS1110</v>
      </c>
      <c r="D141" s="293"/>
      <c r="E141" s="304">
        <v>1148</v>
      </c>
      <c r="F141" s="310">
        <v>110</v>
      </c>
      <c r="G141" t="str">
        <f>VLOOKUP(E141,'FG MASTER'!$A:$AB,2,0)</f>
        <v>CREW C1 SANDWICH 4 CAPRESES SANDWICH ON CIABATA</v>
      </c>
      <c r="H141" s="285">
        <v>1</v>
      </c>
      <c r="I141" s="173">
        <v>1</v>
      </c>
      <c r="J141" s="291">
        <f>IFERROR(IF(I141="std",H141,HLOOKUP(A141,'FlightConfig '!$B$34:$G$35,2,0)*I141),"")</f>
        <v>6</v>
      </c>
      <c r="K141" s="244">
        <f>VLOOKUP(Food!E141,'FG MASTER'!$A$1:$AC$536,16,0)</f>
        <v>1.63</v>
      </c>
      <c r="L141" s="245">
        <f>VLOOKUP(Food!E141,'FG MASTER'!$A$10:$AC$536,17,0)</f>
        <v>1.5</v>
      </c>
      <c r="M141" s="132">
        <f t="shared" si="66"/>
        <v>0.60000000000000009</v>
      </c>
      <c r="N141" s="132">
        <f t="shared" si="79"/>
        <v>2.23</v>
      </c>
      <c r="O141" s="132">
        <f t="shared" si="67"/>
        <v>0.35860000000000003</v>
      </c>
      <c r="P141" s="132">
        <f t="shared" si="68"/>
        <v>0.12</v>
      </c>
      <c r="Q141" s="132">
        <f t="shared" si="63"/>
        <v>2.7086000000000001</v>
      </c>
      <c r="R141" s="402">
        <f t="shared" si="69"/>
        <v>1.9885999999999999</v>
      </c>
      <c r="S141" s="402">
        <f t="shared" si="70"/>
        <v>0.72000000000000008</v>
      </c>
      <c r="T141" s="402">
        <f t="shared" si="71"/>
        <v>2.7086000000000001</v>
      </c>
      <c r="U141" s="127"/>
      <c r="V141" s="127"/>
      <c r="W141" t="str">
        <f>IFERROR(#REF!*J141,"")</f>
        <v/>
      </c>
      <c r="X141">
        <f t="shared" si="72"/>
        <v>9.7799999999999994</v>
      </c>
      <c r="Y141">
        <f t="shared" si="73"/>
        <v>9</v>
      </c>
      <c r="Z141" s="127">
        <f t="shared" si="74"/>
        <v>3.6000000000000005</v>
      </c>
      <c r="AA141" s="127">
        <f t="shared" si="75"/>
        <v>13.379999999999999</v>
      </c>
      <c r="AB141" s="127">
        <f t="shared" si="76"/>
        <v>2.1516000000000002</v>
      </c>
      <c r="AC141" s="127">
        <f t="shared" si="77"/>
        <v>0.72</v>
      </c>
      <c r="AD141" s="127">
        <f t="shared" si="78"/>
        <v>16.2516</v>
      </c>
      <c r="AF141" s="127" t="str">
        <f>IFERROR(W141*'FlightConfig '!$K$3,"")</f>
        <v/>
      </c>
      <c r="AG141" s="127">
        <f>IFERROR(X141*'FlightConfig '!$K$23,"")</f>
        <v>3559.9199999999996</v>
      </c>
      <c r="AH141" s="127">
        <f>IFERROR(Y141*'FlightConfig '!$K$23,"")</f>
        <v>3276</v>
      </c>
      <c r="AI141" s="127">
        <f>IFERROR(Z141*'FlightConfig '!$K$23,"")</f>
        <v>1310.4000000000001</v>
      </c>
      <c r="AJ141" s="127">
        <f>IFERROR(AA141*'FlightConfig '!$K$23,"")</f>
        <v>4870.32</v>
      </c>
      <c r="AK141" s="127">
        <f>IFERROR(AB141*'FlightConfig '!$K$23,"")</f>
        <v>783.18240000000003</v>
      </c>
    </row>
    <row r="142" spans="1:37" ht="18.75" customHeight="1">
      <c r="A142" t="s">
        <v>189</v>
      </c>
      <c r="B142" s="171">
        <v>1</v>
      </c>
      <c r="C142" s="176" t="str">
        <f t="shared" si="80"/>
        <v>CABIN CREW CLASS1110</v>
      </c>
      <c r="D142" s="293"/>
      <c r="E142" s="304">
        <v>1149</v>
      </c>
      <c r="F142" s="310">
        <v>110</v>
      </c>
      <c r="G142" t="str">
        <f>VLOOKUP(E142,'FG MASTER'!$A:$AB,2,0)</f>
        <v>CREW C1 SANDWICH 5 TUNA SALAD ON WHEAT</v>
      </c>
      <c r="H142" s="285">
        <v>1</v>
      </c>
      <c r="I142" s="173">
        <v>1</v>
      </c>
      <c r="J142" s="291">
        <f>IFERROR(IF(I142="std",H142,HLOOKUP(A142,'FlightConfig '!$B$34:$G$35,2,0)*I142),"")</f>
        <v>6</v>
      </c>
      <c r="K142" s="244">
        <f>VLOOKUP(Food!E142,'FG MASTER'!$A$1:$AC$536,16,0)</f>
        <v>1.99</v>
      </c>
      <c r="L142" s="245">
        <f>VLOOKUP(Food!E142,'FG MASTER'!$A$10:$AC$536,17,0)</f>
        <v>1.5</v>
      </c>
      <c r="M142" s="132">
        <f t="shared" si="66"/>
        <v>0.60000000000000009</v>
      </c>
      <c r="N142" s="132">
        <f t="shared" si="79"/>
        <v>2.59</v>
      </c>
      <c r="O142" s="132">
        <f t="shared" si="67"/>
        <v>0.43779999999999997</v>
      </c>
      <c r="P142" s="132">
        <f t="shared" si="68"/>
        <v>0.12</v>
      </c>
      <c r="Q142" s="132">
        <f t="shared" si="63"/>
        <v>3.1478000000000002</v>
      </c>
      <c r="R142" s="402">
        <f t="shared" si="69"/>
        <v>2.4278</v>
      </c>
      <c r="S142" s="402">
        <f t="shared" si="70"/>
        <v>0.72000000000000008</v>
      </c>
      <c r="T142" s="402">
        <f t="shared" si="71"/>
        <v>3.1478000000000002</v>
      </c>
      <c r="U142" s="127"/>
      <c r="V142" s="127"/>
      <c r="W142" t="str">
        <f>IFERROR(#REF!*J142,"")</f>
        <v/>
      </c>
      <c r="X142">
        <f t="shared" si="72"/>
        <v>11.94</v>
      </c>
      <c r="Y142">
        <f t="shared" si="73"/>
        <v>9</v>
      </c>
      <c r="Z142" s="127">
        <f t="shared" si="74"/>
        <v>3.6000000000000005</v>
      </c>
      <c r="AA142" s="127">
        <f t="shared" si="75"/>
        <v>15.54</v>
      </c>
      <c r="AB142" s="127">
        <f t="shared" si="76"/>
        <v>2.6267999999999998</v>
      </c>
      <c r="AC142" s="127">
        <f t="shared" si="77"/>
        <v>0.72</v>
      </c>
      <c r="AD142" s="127">
        <f t="shared" si="78"/>
        <v>18.886800000000001</v>
      </c>
      <c r="AF142" s="127" t="str">
        <f>IFERROR(W142*'FlightConfig '!$K$3,"")</f>
        <v/>
      </c>
      <c r="AG142" s="127">
        <f>IFERROR(X142*'FlightConfig '!$K$23,"")</f>
        <v>4346.16</v>
      </c>
      <c r="AH142" s="127">
        <f>IFERROR(Y142*'FlightConfig '!$K$23,"")</f>
        <v>3276</v>
      </c>
      <c r="AI142" s="127">
        <f>IFERROR(Z142*'FlightConfig '!$K$23,"")</f>
        <v>1310.4000000000001</v>
      </c>
      <c r="AJ142" s="127">
        <f>IFERROR(AA142*'FlightConfig '!$K$23,"")</f>
        <v>5656.5599999999995</v>
      </c>
      <c r="AK142" s="127">
        <f>IFERROR(AB142*'FlightConfig '!$K$23,"")</f>
        <v>956.15519999999992</v>
      </c>
    </row>
    <row r="143" spans="1:37" ht="18.75" customHeight="1">
      <c r="A143" t="s">
        <v>189</v>
      </c>
      <c r="B143" s="171">
        <v>1</v>
      </c>
      <c r="C143" s="176" t="str">
        <f t="shared" si="80"/>
        <v>CABIN CREW CLASS1110</v>
      </c>
      <c r="D143" s="293"/>
      <c r="E143" s="304">
        <v>1150</v>
      </c>
      <c r="F143" s="310">
        <v>110</v>
      </c>
      <c r="G143" t="str">
        <f>VLOOKUP(E143,'FG MASTER'!$A:$AB,2,0)</f>
        <v>CREW C1 BREAKFAST HOT SANDWICH 1 CROISSANT AND AGED CHEDDAR</v>
      </c>
      <c r="H143" s="285">
        <v>1</v>
      </c>
      <c r="I143" s="173">
        <v>1</v>
      </c>
      <c r="J143" s="291">
        <f>IFERROR(IF(I143="std",H143,HLOOKUP(A143,'FlightConfig '!$B$34:$G$35,2,0)*I143),"")</f>
        <v>6</v>
      </c>
      <c r="K143" s="244">
        <f>VLOOKUP(Food!E143,'FG MASTER'!$A$1:$AC$536,16,0)</f>
        <v>1.45</v>
      </c>
      <c r="L143" s="245">
        <f>VLOOKUP(Food!E143,'FG MASTER'!$A$10:$AC$536,17,0)</f>
        <v>2</v>
      </c>
      <c r="M143" s="132">
        <f t="shared" si="66"/>
        <v>0.8</v>
      </c>
      <c r="N143" s="132">
        <f t="shared" si="79"/>
        <v>2.25</v>
      </c>
      <c r="O143" s="132">
        <f t="shared" si="67"/>
        <v>0.31899999999999995</v>
      </c>
      <c r="P143" s="132">
        <f t="shared" si="68"/>
        <v>0.15999999999999992</v>
      </c>
      <c r="Q143" s="132">
        <f t="shared" si="63"/>
        <v>2.7290000000000001</v>
      </c>
      <c r="R143" s="402">
        <f t="shared" si="69"/>
        <v>1.7689999999999999</v>
      </c>
      <c r="S143" s="402">
        <f t="shared" si="70"/>
        <v>0.96</v>
      </c>
      <c r="T143" s="402">
        <f t="shared" si="71"/>
        <v>2.7290000000000001</v>
      </c>
      <c r="U143" s="127"/>
      <c r="V143" s="127"/>
      <c r="W143" t="str">
        <f>IFERROR(#REF!*J143,"")</f>
        <v/>
      </c>
      <c r="X143">
        <f t="shared" si="72"/>
        <v>8.6999999999999993</v>
      </c>
      <c r="Y143">
        <f t="shared" si="73"/>
        <v>12</v>
      </c>
      <c r="Z143" s="127">
        <f t="shared" si="74"/>
        <v>4.8000000000000007</v>
      </c>
      <c r="AA143" s="127">
        <f t="shared" si="75"/>
        <v>13.5</v>
      </c>
      <c r="AB143" s="127">
        <f t="shared" si="76"/>
        <v>1.9139999999999997</v>
      </c>
      <c r="AC143" s="127">
        <f t="shared" si="77"/>
        <v>0.95999999999999952</v>
      </c>
      <c r="AD143" s="127">
        <f t="shared" si="78"/>
        <v>16.374000000000002</v>
      </c>
      <c r="AF143" s="127" t="str">
        <f>IFERROR(W143*'FlightConfig '!$K$3,"")</f>
        <v/>
      </c>
      <c r="AG143" s="127">
        <f>IFERROR(X143*'FlightConfig '!$K$23,"")</f>
        <v>3166.7999999999997</v>
      </c>
      <c r="AH143" s="127">
        <f>IFERROR(Y143*'FlightConfig '!$K$23,"")</f>
        <v>4368</v>
      </c>
      <c r="AI143" s="127">
        <f>IFERROR(Z143*'FlightConfig '!$K$23,"")</f>
        <v>1747.2000000000003</v>
      </c>
      <c r="AJ143" s="127">
        <f>IFERROR(AA143*'FlightConfig '!$K$23,"")</f>
        <v>4914</v>
      </c>
      <c r="AK143" s="127">
        <f>IFERROR(AB143*'FlightConfig '!$K$23,"")</f>
        <v>696.69599999999991</v>
      </c>
    </row>
    <row r="144" spans="1:37" ht="18.75" customHeight="1">
      <c r="A144" t="s">
        <v>189</v>
      </c>
      <c r="B144" s="171">
        <v>1</v>
      </c>
      <c r="C144" s="176" t="str">
        <f t="shared" si="80"/>
        <v>CABIN CREW CLASS1110</v>
      </c>
      <c r="D144" s="293"/>
      <c r="E144" s="304">
        <v>1151</v>
      </c>
      <c r="F144" s="310">
        <v>110</v>
      </c>
      <c r="G144" t="str">
        <f>VLOOKUP(E144,'FG MASTER'!$A:$AB,2,0)</f>
        <v>CREW C1 BREAKFAST HOT SANDWICH 2 CHICKEN SAUSAGE BISCUIT</v>
      </c>
      <c r="H144" s="285">
        <v>1</v>
      </c>
      <c r="I144" s="173">
        <v>1</v>
      </c>
      <c r="J144" s="291">
        <f>IFERROR(IF(I144="std",H144,HLOOKUP(A144,'FlightConfig '!$B$34:$G$35,2,0)*I144),"")</f>
        <v>6</v>
      </c>
      <c r="K144" s="244">
        <f>VLOOKUP(Food!E144,'FG MASTER'!$A$1:$AC$536,16,0)</f>
        <v>1.45</v>
      </c>
      <c r="L144" s="245">
        <f>VLOOKUP(Food!E144,'FG MASTER'!$A$10:$AC$536,17,0)</f>
        <v>2</v>
      </c>
      <c r="M144" s="132">
        <f t="shared" si="66"/>
        <v>0.8</v>
      </c>
      <c r="N144" s="132">
        <f t="shared" si="79"/>
        <v>2.25</v>
      </c>
      <c r="O144" s="132">
        <f t="shared" si="67"/>
        <v>0.31899999999999995</v>
      </c>
      <c r="P144" s="132">
        <f t="shared" si="68"/>
        <v>0.15999999999999992</v>
      </c>
      <c r="Q144" s="132">
        <f t="shared" si="63"/>
        <v>2.7290000000000001</v>
      </c>
      <c r="R144" s="402">
        <f t="shared" si="69"/>
        <v>1.7689999999999999</v>
      </c>
      <c r="S144" s="402">
        <f t="shared" si="70"/>
        <v>0.96</v>
      </c>
      <c r="T144" s="402">
        <f t="shared" si="71"/>
        <v>2.7290000000000001</v>
      </c>
      <c r="U144" s="127"/>
      <c r="V144" s="127"/>
      <c r="W144" t="str">
        <f>IFERROR(#REF!*J144,"")</f>
        <v/>
      </c>
      <c r="X144">
        <f t="shared" si="72"/>
        <v>8.6999999999999993</v>
      </c>
      <c r="Y144">
        <f t="shared" si="73"/>
        <v>12</v>
      </c>
      <c r="Z144" s="127">
        <f t="shared" si="74"/>
        <v>4.8000000000000007</v>
      </c>
      <c r="AA144" s="127">
        <f t="shared" si="75"/>
        <v>13.5</v>
      </c>
      <c r="AB144" s="127">
        <f t="shared" si="76"/>
        <v>1.9139999999999997</v>
      </c>
      <c r="AC144" s="127">
        <f t="shared" si="77"/>
        <v>0.95999999999999952</v>
      </c>
      <c r="AD144" s="127">
        <f t="shared" si="78"/>
        <v>16.374000000000002</v>
      </c>
      <c r="AF144" s="127" t="str">
        <f>IFERROR(W144*'FlightConfig '!$K$3,"")</f>
        <v/>
      </c>
      <c r="AG144" s="127">
        <f>IFERROR(X144*'FlightConfig '!$K$23,"")</f>
        <v>3166.7999999999997</v>
      </c>
      <c r="AH144" s="127">
        <f>IFERROR(Y144*'FlightConfig '!$K$23,"")</f>
        <v>4368</v>
      </c>
      <c r="AI144" s="127">
        <f>IFERROR(Z144*'FlightConfig '!$K$23,"")</f>
        <v>1747.2000000000003</v>
      </c>
      <c r="AJ144" s="127">
        <f>IFERROR(AA144*'FlightConfig '!$K$23,"")</f>
        <v>4914</v>
      </c>
      <c r="AK144" s="127">
        <f>IFERROR(AB144*'FlightConfig '!$K$23,"")</f>
        <v>696.69599999999991</v>
      </c>
    </row>
    <row r="145" spans="1:37" ht="17.25" customHeight="1">
      <c r="B145" s="171"/>
      <c r="C145" s="176"/>
      <c r="D145" s="315"/>
      <c r="E145" s="304">
        <v>1152</v>
      </c>
      <c r="F145" s="310"/>
      <c r="G145" t="str">
        <f>VLOOKUP(E145,'FG MASTER'!$A:$AB,2,0)</f>
        <v xml:space="preserve">CREW C1 BREAKFAST HOT SANDWICH 3 BACON ROLL </v>
      </c>
      <c r="H145" s="285"/>
      <c r="I145" s="173"/>
      <c r="J145" s="291"/>
      <c r="K145" s="244"/>
      <c r="L145" s="245"/>
      <c r="M145" s="132"/>
      <c r="N145" s="132"/>
      <c r="O145" s="132"/>
      <c r="P145" s="132"/>
      <c r="Q145" s="132"/>
      <c r="R145" s="402"/>
      <c r="S145" s="402"/>
      <c r="T145" s="402"/>
      <c r="U145" s="127"/>
      <c r="V145" s="127"/>
      <c r="W145" s="127"/>
      <c r="Y145" s="206">
        <f>SUM(Y75:Y144)</f>
        <v>3287.3250000000003</v>
      </c>
      <c r="Z145" s="268">
        <f>Y145/60</f>
        <v>54.788750000000007</v>
      </c>
      <c r="AA145" s="268">
        <f>Z145/8</f>
        <v>6.8485937500000009</v>
      </c>
      <c r="AB145" s="127"/>
      <c r="AC145" s="127"/>
      <c r="AD145" s="127"/>
      <c r="AG145" s="127"/>
      <c r="AH145" s="127"/>
      <c r="AI145" s="127"/>
      <c r="AJ145" s="127"/>
      <c r="AK145" s="127"/>
    </row>
    <row r="146" spans="1:37">
      <c r="A146" t="s">
        <v>156</v>
      </c>
      <c r="B146" s="171">
        <v>1</v>
      </c>
      <c r="C146" s="176" t="str">
        <f>CONCATENATE(A146&amp;B146&amp;F146)</f>
        <v>BUSINESS CLASS1104</v>
      </c>
      <c r="D146" s="172"/>
      <c r="E146" s="413">
        <v>1156</v>
      </c>
      <c r="F146" s="310">
        <v>104</v>
      </c>
      <c r="G146" t="str">
        <f>VLOOKUP(E146,'FG MASTER'!$A:$AB,2,0)</f>
        <v>BC C1 DINNER PLAIN WHIPPED BUTTER WITH FLAKE SALT</v>
      </c>
      <c r="H146" s="285">
        <v>1</v>
      </c>
      <c r="I146" s="173">
        <v>1</v>
      </c>
      <c r="J146" s="291">
        <f>IFERROR(IF(I146="std",H146,HLOOKUP(A146,'FlightConfig '!$B$28:$G$29,2,0)*I146),"")</f>
        <v>34</v>
      </c>
      <c r="K146" s="244">
        <f>VLOOKUP(Food!E146,'FG MASTER'!$A$1:$AC$536,16,0)</f>
        <v>0.2</v>
      </c>
      <c r="L146" s="245">
        <f>VLOOKUP(Food!E146,'FG MASTER'!$A$10:$AC$536,17,0)</f>
        <v>0.5</v>
      </c>
      <c r="M146" s="132">
        <f t="shared" ref="M146:M170" si="81">IFERROR(L146*$M$2,"")</f>
        <v>0.2</v>
      </c>
      <c r="N146" s="132">
        <f t="shared" ref="N146:N171" si="82">IFERROR((K146)+M146,"")</f>
        <v>0.4</v>
      </c>
      <c r="O146" s="132">
        <f>IFERROR($K146*(1+$O$2)-$K146,0)</f>
        <v>4.3999999999999984E-2</v>
      </c>
      <c r="P146" s="132">
        <f>IFERROR($M146*(1+$P$2)-$M146,0)</f>
        <v>3.999999999999998E-2</v>
      </c>
      <c r="Q146" s="132">
        <f>SUM(N146:P146)</f>
        <v>0.48399999999999999</v>
      </c>
      <c r="R146" s="402">
        <f>K146*(1+$O$2)</f>
        <v>0.24399999999999999</v>
      </c>
      <c r="S146" s="402">
        <f>M146*(1+$P$2)</f>
        <v>0.24</v>
      </c>
      <c r="T146" s="402">
        <f>R146+S146</f>
        <v>0.48399999999999999</v>
      </c>
      <c r="U146" s="127"/>
      <c r="V146" s="127"/>
      <c r="W146" t="str">
        <f>IFERROR(#REF!*J146,"")</f>
        <v/>
      </c>
      <c r="X146">
        <f>IFERROR(K146*J146,"")</f>
        <v>6.8000000000000007</v>
      </c>
      <c r="Y146">
        <f>IFERROR(+L146*J146,"")</f>
        <v>17</v>
      </c>
      <c r="Z146" s="127">
        <f>IFERROR(+M146*J146,"")</f>
        <v>6.8000000000000007</v>
      </c>
      <c r="AA146" s="127">
        <f>IFERROR(+N146*J146,"")</f>
        <v>13.600000000000001</v>
      </c>
      <c r="AB146" s="127">
        <f>IFERROR(O146*$J146,"")</f>
        <v>1.4959999999999996</v>
      </c>
      <c r="AC146" s="127">
        <f t="shared" si="77"/>
        <v>1.3599999999999994</v>
      </c>
      <c r="AD146" s="127">
        <f t="shared" si="78"/>
        <v>16.456</v>
      </c>
      <c r="AF146" s="127" t="str">
        <f>IFERROR(W146*'FlightConfig '!$K$3,"")</f>
        <v/>
      </c>
      <c r="AG146" s="127">
        <f>IFERROR(X146*'FlightConfig '!$K$17,"")</f>
        <v>2475.2000000000003</v>
      </c>
      <c r="AH146" s="127">
        <f>IFERROR(Y146*'FlightConfig '!$K$17,"")</f>
        <v>6188</v>
      </c>
      <c r="AI146" s="127">
        <f>IFERROR(Z146*'FlightConfig '!$K$17,"")</f>
        <v>2475.2000000000003</v>
      </c>
      <c r="AJ146" s="127">
        <f>IFERROR(AA146*'FlightConfig '!$K$17,"")</f>
        <v>4950.4000000000005</v>
      </c>
      <c r="AK146" s="127">
        <f>IFERROR(AB146*'FlightConfig '!$K$17,"")</f>
        <v>544.54399999999987</v>
      </c>
    </row>
    <row r="147" spans="1:37">
      <c r="A147" t="s">
        <v>156</v>
      </c>
      <c r="B147" s="171">
        <v>1</v>
      </c>
      <c r="C147" s="176" t="str">
        <f t="shared" ref="C147:C169" si="83">CONCATENATE(A147&amp;B147&amp;F147)</f>
        <v>BUSINESS CLASS1104</v>
      </c>
      <c r="D147" s="172"/>
      <c r="E147" s="304">
        <v>1002</v>
      </c>
      <c r="F147" s="310">
        <v>104</v>
      </c>
      <c r="G147" t="str">
        <f>VLOOKUP(E147,'FG MASTER'!$A:$AB,2,0)</f>
        <v xml:space="preserve">BC C1 DINNER SWEETWATER BEET AND CHEESE ROLL </v>
      </c>
      <c r="H147" s="285">
        <v>1</v>
      </c>
      <c r="I147" s="173">
        <v>0.4</v>
      </c>
      <c r="J147" s="291">
        <f>IFERROR(IF(I147="std",H147,HLOOKUP(A147,'FlightConfig '!$B$28:$G$29,2,0)*I147),"")</f>
        <v>13.600000000000001</v>
      </c>
      <c r="K147" s="244">
        <f>VLOOKUP(Food!E147,'FG MASTER'!$A$1:$AC$536,16,0)</f>
        <v>0.3</v>
      </c>
      <c r="L147" s="245">
        <f>VLOOKUP(Food!E147,'FG MASTER'!$A$10:$AC$536,17,0)</f>
        <v>0.25</v>
      </c>
      <c r="M147" s="132">
        <f t="shared" si="81"/>
        <v>0.1</v>
      </c>
      <c r="N147" s="132">
        <f t="shared" si="82"/>
        <v>0.4</v>
      </c>
      <c r="O147" s="132">
        <f t="shared" ref="O147:O210" si="84">IFERROR($K147*(1+$O$2)-$K147,0)</f>
        <v>6.6000000000000003E-2</v>
      </c>
      <c r="P147" s="132">
        <f t="shared" ref="P147:P210" si="85">IFERROR($M147*(1+$P$2)-$M147,0)</f>
        <v>1.999999999999999E-2</v>
      </c>
      <c r="Q147" s="132">
        <f t="shared" ref="Q147:Q151" si="86">SUM(N147:P147)</f>
        <v>0.48599999999999999</v>
      </c>
      <c r="R147" s="402">
        <f t="shared" ref="R147:R210" si="87">K147*(1+$O$2)</f>
        <v>0.36599999999999999</v>
      </c>
      <c r="S147" s="402">
        <f t="shared" ref="S147:S210" si="88">M147*(1+$P$2)</f>
        <v>0.12</v>
      </c>
      <c r="T147" s="402">
        <f t="shared" ref="T147:T210" si="89">R147+S147</f>
        <v>0.48599999999999999</v>
      </c>
      <c r="U147" s="127"/>
      <c r="V147" s="127"/>
      <c r="W147" t="str">
        <f>IFERROR(#REF!*J147,"")</f>
        <v/>
      </c>
      <c r="X147">
        <f t="shared" ref="X147:X210" si="90">IFERROR(K147*J147,"")</f>
        <v>4.08</v>
      </c>
      <c r="Y147">
        <f t="shared" ref="Y147:Y210" si="91">IFERROR(+L147*J147,"")</f>
        <v>3.4000000000000004</v>
      </c>
      <c r="Z147" s="127">
        <f t="shared" ref="Z147:Z210" si="92">IFERROR(+M147*J147,"")</f>
        <v>1.3600000000000003</v>
      </c>
      <c r="AA147" s="127">
        <f t="shared" ref="AA147:AA210" si="93">IFERROR(+N147*J147,"")</f>
        <v>5.4400000000000013</v>
      </c>
      <c r="AB147" s="127">
        <f t="shared" ref="AB147:AB210" si="94">IFERROR(O147*$J147,"")</f>
        <v>0.89760000000000018</v>
      </c>
      <c r="AC147" s="127">
        <f t="shared" si="77"/>
        <v>0.27199999999999991</v>
      </c>
      <c r="AD147" s="127">
        <f t="shared" si="78"/>
        <v>6.6096000000000004</v>
      </c>
      <c r="AF147" s="127" t="str">
        <f>IFERROR(W147*'FlightConfig '!$K$3,"")</f>
        <v/>
      </c>
      <c r="AG147" s="127">
        <f>IFERROR(X147*'FlightConfig '!$K$17,"")</f>
        <v>1485.1200000000001</v>
      </c>
      <c r="AH147" s="127">
        <f>IFERROR(Y147*'FlightConfig '!$K$17,"")</f>
        <v>1237.6000000000001</v>
      </c>
      <c r="AI147" s="127">
        <f>IFERROR(Z147*'FlightConfig '!$K$17,"")</f>
        <v>495.04000000000013</v>
      </c>
      <c r="AJ147" s="127">
        <f>IFERROR(AA147*'FlightConfig '!$K$17,"")</f>
        <v>1980.1600000000005</v>
      </c>
      <c r="AK147" s="127">
        <f>IFERROR(AB147*'FlightConfig '!$K$17,"")</f>
        <v>326.72640000000007</v>
      </c>
    </row>
    <row r="148" spans="1:37">
      <c r="A148" t="s">
        <v>156</v>
      </c>
      <c r="B148" s="171">
        <v>1</v>
      </c>
      <c r="C148" s="176" t="str">
        <f t="shared" si="83"/>
        <v>BUSINESS CLASS1104</v>
      </c>
      <c r="D148" s="172"/>
      <c r="E148" s="304">
        <v>1003</v>
      </c>
      <c r="F148" s="310">
        <v>104</v>
      </c>
      <c r="G148" t="str">
        <f>VLOOKUP(E148,'FG MASTER'!$A:$AB,2,0)</f>
        <v xml:space="preserve">BC C1 DINNER HERB FOCACCIA ROLL </v>
      </c>
      <c r="H148" s="285">
        <v>1</v>
      </c>
      <c r="I148" s="173">
        <v>0.4</v>
      </c>
      <c r="J148" s="291">
        <f>IFERROR(IF(I148="std",H148,HLOOKUP(A148,'FlightConfig '!$B$28:$G$29,2,0)*I148),"")</f>
        <v>13.600000000000001</v>
      </c>
      <c r="K148" s="244">
        <f>VLOOKUP(Food!E148,'FG MASTER'!$A$1:$AC$536,16,0)</f>
        <v>0.14000000000000001</v>
      </c>
      <c r="L148" s="245">
        <f>VLOOKUP(Food!E148,'FG MASTER'!$A$10:$AC$536,17,0)</f>
        <v>0.25</v>
      </c>
      <c r="M148" s="132">
        <f t="shared" si="81"/>
        <v>0.1</v>
      </c>
      <c r="N148" s="132">
        <f t="shared" si="82"/>
        <v>0.24000000000000002</v>
      </c>
      <c r="O148" s="132">
        <f t="shared" si="84"/>
        <v>3.0799999999999994E-2</v>
      </c>
      <c r="P148" s="132">
        <f t="shared" si="85"/>
        <v>1.999999999999999E-2</v>
      </c>
      <c r="Q148" s="132">
        <f t="shared" si="86"/>
        <v>0.29080000000000006</v>
      </c>
      <c r="R148" s="402">
        <f t="shared" si="87"/>
        <v>0.17080000000000001</v>
      </c>
      <c r="S148" s="402">
        <f t="shared" si="88"/>
        <v>0.12</v>
      </c>
      <c r="T148" s="402">
        <f t="shared" si="89"/>
        <v>0.2908</v>
      </c>
      <c r="U148" s="127"/>
      <c r="V148" s="127"/>
      <c r="W148" t="str">
        <f>IFERROR(#REF!*J148,"")</f>
        <v/>
      </c>
      <c r="X148">
        <f t="shared" si="90"/>
        <v>1.9040000000000004</v>
      </c>
      <c r="Y148">
        <f t="shared" si="91"/>
        <v>3.4000000000000004</v>
      </c>
      <c r="Z148" s="127">
        <f t="shared" si="92"/>
        <v>1.3600000000000003</v>
      </c>
      <c r="AA148" s="127">
        <f t="shared" si="93"/>
        <v>3.2640000000000007</v>
      </c>
      <c r="AB148" s="127">
        <f t="shared" si="94"/>
        <v>0.41887999999999997</v>
      </c>
      <c r="AC148" s="127">
        <f t="shared" si="77"/>
        <v>0.27199999999999991</v>
      </c>
      <c r="AD148" s="127">
        <f t="shared" si="78"/>
        <v>3.9548800000000011</v>
      </c>
      <c r="AF148" s="127" t="str">
        <f>IFERROR(W148*'FlightConfig '!$K$3,"")</f>
        <v/>
      </c>
      <c r="AG148" s="127">
        <f>IFERROR(X148*'FlightConfig '!$K$17,"")</f>
        <v>693.05600000000015</v>
      </c>
      <c r="AH148" s="127">
        <f>IFERROR(Y148*'FlightConfig '!$K$17,"")</f>
        <v>1237.6000000000001</v>
      </c>
      <c r="AI148" s="127">
        <f>IFERROR(Z148*'FlightConfig '!$K$17,"")</f>
        <v>495.04000000000013</v>
      </c>
      <c r="AJ148" s="127">
        <f>IFERROR(AA148*'FlightConfig '!$K$17,"")</f>
        <v>1188.0960000000002</v>
      </c>
      <c r="AK148" s="127">
        <f>IFERROR(AB148*'FlightConfig '!$K$17,"")</f>
        <v>152.47232</v>
      </c>
    </row>
    <row r="149" spans="1:37">
      <c r="A149" t="s">
        <v>156</v>
      </c>
      <c r="B149" s="171">
        <v>1</v>
      </c>
      <c r="C149" s="176" t="str">
        <f t="shared" si="83"/>
        <v>BUSINESS CLASS1104</v>
      </c>
      <c r="D149" s="172"/>
      <c r="E149" s="304">
        <v>1004</v>
      </c>
      <c r="F149" s="310">
        <v>104</v>
      </c>
      <c r="G149" t="str">
        <f>VLOOKUP(E149,'FG MASTER'!$A:$AB,2,0)</f>
        <v xml:space="preserve">BC C1 DINNER HHAWAIIAN ROLL </v>
      </c>
      <c r="H149" s="285">
        <v>1</v>
      </c>
      <c r="I149" s="173">
        <v>0.4</v>
      </c>
      <c r="J149" s="291">
        <f>IFERROR(IF(I149="std",H149,HLOOKUP(A149,'FlightConfig '!$B$28:$G$29,2,0)*I149),"")</f>
        <v>13.600000000000001</v>
      </c>
      <c r="K149" s="244">
        <f>VLOOKUP(Food!E149,'FG MASTER'!$A$1:$AC$536,16,0)</f>
        <v>0.25</v>
      </c>
      <c r="L149" s="245">
        <f>VLOOKUP(Food!E149,'FG MASTER'!$A$10:$AC$536,17,0)</f>
        <v>0.25</v>
      </c>
      <c r="M149" s="132">
        <f t="shared" si="81"/>
        <v>0.1</v>
      </c>
      <c r="N149" s="132">
        <f t="shared" si="82"/>
        <v>0.35</v>
      </c>
      <c r="O149" s="132">
        <f t="shared" si="84"/>
        <v>5.4999999999999993E-2</v>
      </c>
      <c r="P149" s="132">
        <f t="shared" si="85"/>
        <v>1.999999999999999E-2</v>
      </c>
      <c r="Q149" s="132">
        <f t="shared" si="86"/>
        <v>0.42499999999999993</v>
      </c>
      <c r="R149" s="402">
        <f t="shared" si="87"/>
        <v>0.30499999999999999</v>
      </c>
      <c r="S149" s="402">
        <f t="shared" si="88"/>
        <v>0.12</v>
      </c>
      <c r="T149" s="402">
        <f t="shared" si="89"/>
        <v>0.42499999999999999</v>
      </c>
      <c r="U149" s="127"/>
      <c r="V149" s="127"/>
      <c r="W149" t="str">
        <f>IFERROR(#REF!*J149,"")</f>
        <v/>
      </c>
      <c r="X149">
        <f t="shared" si="90"/>
        <v>3.4000000000000004</v>
      </c>
      <c r="Y149">
        <f t="shared" si="91"/>
        <v>3.4000000000000004</v>
      </c>
      <c r="Z149" s="127">
        <f t="shared" si="92"/>
        <v>1.3600000000000003</v>
      </c>
      <c r="AA149" s="127">
        <f t="shared" si="93"/>
        <v>4.76</v>
      </c>
      <c r="AB149" s="127">
        <f t="shared" si="94"/>
        <v>0.748</v>
      </c>
      <c r="AC149" s="127">
        <f t="shared" si="77"/>
        <v>0.27199999999999991</v>
      </c>
      <c r="AD149" s="127">
        <f t="shared" si="78"/>
        <v>5.7799999999999994</v>
      </c>
      <c r="AF149" s="127" t="str">
        <f>IFERROR(W149*'FlightConfig '!$K$3,"")</f>
        <v/>
      </c>
      <c r="AG149" s="127">
        <f>IFERROR(X149*'FlightConfig '!$K$17,"")</f>
        <v>1237.6000000000001</v>
      </c>
      <c r="AH149" s="127">
        <f>IFERROR(Y149*'FlightConfig '!$K$17,"")</f>
        <v>1237.6000000000001</v>
      </c>
      <c r="AI149" s="127">
        <f>IFERROR(Z149*'FlightConfig '!$K$17,"")</f>
        <v>495.04000000000013</v>
      </c>
      <c r="AJ149" s="127">
        <f>IFERROR(AA149*'FlightConfig '!$K$17,"")</f>
        <v>1732.6399999999999</v>
      </c>
      <c r="AK149" s="127">
        <f>IFERROR(AB149*'FlightConfig '!$K$17,"")</f>
        <v>272.27199999999999</v>
      </c>
    </row>
    <row r="150" spans="1:37" ht="18" customHeight="1">
      <c r="A150" t="s">
        <v>156</v>
      </c>
      <c r="B150" s="171">
        <v>1</v>
      </c>
      <c r="C150" s="176" t="str">
        <f t="shared" si="83"/>
        <v>BUSINESS CLASS1104</v>
      </c>
      <c r="D150" s="172"/>
      <c r="E150" s="304">
        <v>1090</v>
      </c>
      <c r="F150" s="310">
        <v>104</v>
      </c>
      <c r="G150" t="str">
        <f>VLOOKUP(E150,'FG MASTER'!$A:$AB,2,0)</f>
        <v>BC C1 DINNER HOT STARTER 1 GRILLED PRAWN, MANGO CURRY AIOLI, SWEET PEPPER CILANTRO SLAW</v>
      </c>
      <c r="H150" s="285">
        <v>1</v>
      </c>
      <c r="I150" s="173">
        <v>0.55000000000000004</v>
      </c>
      <c r="J150" s="291">
        <f>IFERROR(IF(I150="std",H150,HLOOKUP(A150,'FlightConfig '!$B$28:$G$29,2,0)*I150),"")</f>
        <v>18.700000000000003</v>
      </c>
      <c r="K150" s="244">
        <f>VLOOKUP(Food!E150,'FG MASTER'!$A$1:$AC$536,16,0)</f>
        <v>1.86</v>
      </c>
      <c r="L150" s="245">
        <f>VLOOKUP(Food!E150,'FG MASTER'!$A$10:$AC$536,17,0)</f>
        <v>4</v>
      </c>
      <c r="M150" s="132">
        <f t="shared" si="81"/>
        <v>1.6</v>
      </c>
      <c r="N150" s="132">
        <f t="shared" si="82"/>
        <v>3.46</v>
      </c>
      <c r="O150" s="132">
        <f t="shared" si="84"/>
        <v>0.40920000000000001</v>
      </c>
      <c r="P150" s="132">
        <f t="shared" si="85"/>
        <v>0.31999999999999984</v>
      </c>
      <c r="Q150" s="132">
        <f t="shared" si="86"/>
        <v>4.1891999999999996</v>
      </c>
      <c r="R150" s="402">
        <f t="shared" si="87"/>
        <v>2.2692000000000001</v>
      </c>
      <c r="S150" s="402">
        <f t="shared" si="88"/>
        <v>1.92</v>
      </c>
      <c r="T150" s="402">
        <f t="shared" si="89"/>
        <v>4.1891999999999996</v>
      </c>
      <c r="U150" s="127"/>
      <c r="V150" s="127"/>
      <c r="W150" t="str">
        <f>IFERROR(#REF!*J150,"")</f>
        <v/>
      </c>
      <c r="X150">
        <f t="shared" si="90"/>
        <v>34.782000000000004</v>
      </c>
      <c r="Y150">
        <f t="shared" si="91"/>
        <v>74.800000000000011</v>
      </c>
      <c r="Z150" s="127">
        <f t="shared" si="92"/>
        <v>29.920000000000005</v>
      </c>
      <c r="AA150" s="127">
        <f t="shared" si="93"/>
        <v>64.702000000000012</v>
      </c>
      <c r="AB150" s="127">
        <f t="shared" si="94"/>
        <v>7.6520400000000013</v>
      </c>
      <c r="AC150" s="127">
        <f t="shared" si="77"/>
        <v>5.9839999999999982</v>
      </c>
      <c r="AD150" s="127">
        <f t="shared" si="78"/>
        <v>78.338040000000007</v>
      </c>
      <c r="AF150" s="127" t="str">
        <f>IFERROR(W150*'FlightConfig '!$K$3,"")</f>
        <v/>
      </c>
      <c r="AG150" s="127">
        <f>IFERROR(X150*'FlightConfig '!$K$17,"")</f>
        <v>12660.648000000001</v>
      </c>
      <c r="AH150" s="127">
        <f>IFERROR(Y150*'FlightConfig '!$K$17,"")</f>
        <v>27227.200000000004</v>
      </c>
      <c r="AI150" s="127">
        <f>IFERROR(Z150*'FlightConfig '!$K$17,"")</f>
        <v>10890.880000000001</v>
      </c>
      <c r="AJ150" s="127">
        <f>IFERROR(AA150*'FlightConfig '!$K$17,"")</f>
        <v>23551.528000000006</v>
      </c>
      <c r="AK150" s="127">
        <f>IFERROR(AB150*'FlightConfig '!$K$17,"")</f>
        <v>2785.3425600000005</v>
      </c>
    </row>
    <row r="151" spans="1:37" ht="18" customHeight="1">
      <c r="A151" t="s">
        <v>156</v>
      </c>
      <c r="B151" s="171">
        <v>1</v>
      </c>
      <c r="C151" s="176" t="str">
        <f t="shared" si="83"/>
        <v>BUSINESS CLASS1104</v>
      </c>
      <c r="D151" s="172"/>
      <c r="E151" s="304">
        <v>1091</v>
      </c>
      <c r="F151" s="310">
        <v>104</v>
      </c>
      <c r="G151" t="str">
        <f>VLOOKUP(E151,'FG MASTER'!$A:$AB,2,0)</f>
        <v>BC C1 DINNER COLD STARTER 2 BURRATA CCHEESE, MARINATED HEIRLOOM TOMATOES, ARUGULA, BALSAMIC PEARLS</v>
      </c>
      <c r="H151" s="285">
        <v>1</v>
      </c>
      <c r="I151" s="173">
        <v>0.55000000000000004</v>
      </c>
      <c r="J151" s="291">
        <f>IFERROR(IF(I151="std",H151,HLOOKUP(A151,'FlightConfig '!$B$28:$G$29,2,0)*I151),"")</f>
        <v>18.700000000000003</v>
      </c>
      <c r="K151" s="244">
        <f>VLOOKUP(Food!E151,'FG MASTER'!$A$1:$AC$536,16,0)</f>
        <v>3.57</v>
      </c>
      <c r="L151" s="245">
        <f>VLOOKUP(Food!E151,'FG MASTER'!$A$10:$AC$536,17,0)</f>
        <v>2.5</v>
      </c>
      <c r="M151" s="132">
        <f t="shared" si="81"/>
        <v>1</v>
      </c>
      <c r="N151" s="132">
        <f t="shared" si="82"/>
        <v>4.57</v>
      </c>
      <c r="O151" s="132">
        <f t="shared" si="84"/>
        <v>0.78539999999999965</v>
      </c>
      <c r="P151" s="132">
        <f t="shared" si="85"/>
        <v>0.19999999999999996</v>
      </c>
      <c r="Q151" s="132">
        <f t="shared" si="86"/>
        <v>5.5553999999999997</v>
      </c>
      <c r="R151" s="402">
        <f t="shared" si="87"/>
        <v>4.3553999999999995</v>
      </c>
      <c r="S151" s="402">
        <f t="shared" si="88"/>
        <v>1.2</v>
      </c>
      <c r="T151" s="402">
        <f t="shared" si="89"/>
        <v>5.5553999999999997</v>
      </c>
      <c r="U151" s="127"/>
      <c r="V151" s="127"/>
      <c r="W151" t="str">
        <f>IFERROR(#REF!*J151,"")</f>
        <v/>
      </c>
      <c r="X151">
        <f t="shared" si="90"/>
        <v>66.759</v>
      </c>
      <c r="Y151">
        <f t="shared" si="91"/>
        <v>46.750000000000007</v>
      </c>
      <c r="Z151" s="127">
        <f t="shared" si="92"/>
        <v>18.700000000000003</v>
      </c>
      <c r="AA151" s="127">
        <f t="shared" si="93"/>
        <v>85.459000000000017</v>
      </c>
      <c r="AB151" s="127">
        <f t="shared" si="94"/>
        <v>14.686979999999997</v>
      </c>
      <c r="AC151" s="127">
        <f t="shared" si="77"/>
        <v>3.7399999999999998</v>
      </c>
      <c r="AD151" s="127">
        <f t="shared" si="78"/>
        <v>103.88598</v>
      </c>
      <c r="AF151" s="127" t="str">
        <f>IFERROR(W151*'FlightConfig '!$K$3,"")</f>
        <v/>
      </c>
      <c r="AG151" s="127">
        <f>IFERROR(X151*'FlightConfig '!$K$17,"")</f>
        <v>24300.276000000002</v>
      </c>
      <c r="AH151" s="127">
        <f>IFERROR(Y151*'FlightConfig '!$K$17,"")</f>
        <v>17017.000000000004</v>
      </c>
      <c r="AI151" s="127">
        <f>IFERROR(Z151*'FlightConfig '!$K$17,"")</f>
        <v>6806.8000000000011</v>
      </c>
      <c r="AJ151" s="127">
        <f>IFERROR(AA151*'FlightConfig '!$K$17,"")</f>
        <v>31107.076000000005</v>
      </c>
      <c r="AK151" s="127">
        <f>IFERROR(AB151*'FlightConfig '!$K$17,"")</f>
        <v>5346.0607199999986</v>
      </c>
    </row>
    <row r="152" spans="1:37" ht="18" customHeight="1">
      <c r="A152" t="s">
        <v>156</v>
      </c>
      <c r="B152" s="171">
        <v>1</v>
      </c>
      <c r="C152" s="176" t="str">
        <f t="shared" si="83"/>
        <v>BUSINESS CLASS1104</v>
      </c>
      <c r="D152" s="172"/>
      <c r="E152" s="304">
        <v>1088</v>
      </c>
      <c r="F152" s="310">
        <v>104</v>
      </c>
      <c r="G152" t="str">
        <f>VLOOKUP(E152,'FG MASTER'!$A:$AB,2,0)</f>
        <v>BC C1 DINNER COLD STARTER 1 PROSCUITTO WRAPPED GRILLED PEACHES, FRISSEE, LIME MINT WATERMELON CHUNK, FETA CUBES, MINT LIME VINAIGRETTE GEL</v>
      </c>
      <c r="H152" s="285">
        <v>1</v>
      </c>
      <c r="I152" s="173">
        <v>0</v>
      </c>
      <c r="J152" s="291">
        <f>IFERROR(IF(I152="std",H152,HLOOKUP(A152,'FlightConfig '!$B$28:$G$29,2,0)*I152),"")</f>
        <v>0</v>
      </c>
      <c r="K152" s="244">
        <f>VLOOKUP(Food!E152,'FG MASTER'!$A$1:$AC$536,16,0)</f>
        <v>2.91</v>
      </c>
      <c r="L152" s="245">
        <f>VLOOKUP(Food!E152,'FG MASTER'!$A$10:$AC$536,17,0)</f>
        <v>3.75</v>
      </c>
      <c r="M152" s="132">
        <f t="shared" si="81"/>
        <v>1.5</v>
      </c>
      <c r="N152" s="132">
        <f t="shared" si="82"/>
        <v>4.41</v>
      </c>
      <c r="O152" s="132">
        <f t="shared" si="84"/>
        <v>0.6402000000000001</v>
      </c>
      <c r="P152" s="132">
        <f t="shared" si="85"/>
        <v>0.29999999999999982</v>
      </c>
      <c r="Q152" s="404">
        <v>5.08</v>
      </c>
      <c r="R152" s="402">
        <f t="shared" si="87"/>
        <v>3.5502000000000002</v>
      </c>
      <c r="S152" s="402">
        <f t="shared" si="88"/>
        <v>1.7999999999999998</v>
      </c>
      <c r="T152" s="404">
        <v>5.08</v>
      </c>
      <c r="U152" s="127"/>
      <c r="V152" s="127"/>
      <c r="W152" t="str">
        <f>IFERROR(#REF!*J152,"")</f>
        <v/>
      </c>
      <c r="X152">
        <f t="shared" si="90"/>
        <v>0</v>
      </c>
      <c r="Y152">
        <f t="shared" si="91"/>
        <v>0</v>
      </c>
      <c r="Z152" s="127">
        <f t="shared" si="92"/>
        <v>0</v>
      </c>
      <c r="AA152" s="127">
        <f t="shared" si="93"/>
        <v>0</v>
      </c>
      <c r="AB152" s="127">
        <f t="shared" si="94"/>
        <v>0</v>
      </c>
      <c r="AC152" s="127">
        <f t="shared" si="77"/>
        <v>0</v>
      </c>
      <c r="AD152" s="127">
        <f t="shared" si="78"/>
        <v>0</v>
      </c>
      <c r="AF152" s="127" t="str">
        <f>IFERROR(W152*'FlightConfig '!$K$3,"")</f>
        <v/>
      </c>
      <c r="AG152" s="127">
        <f>IFERROR(X152*'FlightConfig '!$K$17,"")</f>
        <v>0</v>
      </c>
      <c r="AH152" s="127">
        <f>IFERROR(Y152*'FlightConfig '!$K$17,"")</f>
        <v>0</v>
      </c>
      <c r="AI152" s="127">
        <f>IFERROR(Z152*'FlightConfig '!$K$17,"")</f>
        <v>0</v>
      </c>
      <c r="AJ152" s="127">
        <f>IFERROR(AA152*'FlightConfig '!$K$17,"")</f>
        <v>0</v>
      </c>
      <c r="AK152" s="127">
        <f>IFERROR(AB152*'FlightConfig '!$K$17,"")</f>
        <v>0</v>
      </c>
    </row>
    <row r="153" spans="1:37" ht="18" customHeight="1">
      <c r="A153" t="s">
        <v>156</v>
      </c>
      <c r="B153" s="171">
        <v>1</v>
      </c>
      <c r="C153" s="176" t="str">
        <f t="shared" si="83"/>
        <v>BUSINESS CLASS1104</v>
      </c>
      <c r="D153" s="172"/>
      <c r="E153" s="304">
        <v>1089</v>
      </c>
      <c r="F153" s="310">
        <v>104</v>
      </c>
      <c r="G153" t="str">
        <f>VLOOKUP(E153,'FG MASTER'!$A:$AB,2,0)</f>
        <v xml:space="preserve">BC C1 DINNER HOT STARTER 2 PIMENTO CHEESE, GREEN TOMATO FRITTER, DOU SOUTH RED PEPPER JELLY </v>
      </c>
      <c r="H153" s="285">
        <v>1</v>
      </c>
      <c r="I153" s="173">
        <v>0</v>
      </c>
      <c r="J153" s="291">
        <f>IFERROR(IF(I153="std",H153,HLOOKUP(A153,'FlightConfig '!$B$28:$G$29,2,0)*I153),"")</f>
        <v>0</v>
      </c>
      <c r="K153" s="244">
        <f>VLOOKUP(Food!E153,'FG MASTER'!$A$1:$AC$536,16,0)</f>
        <v>1.24</v>
      </c>
      <c r="L153" s="245">
        <f>VLOOKUP(Food!E153,'FG MASTER'!$A$10:$AC$536,17,0)</f>
        <v>3.25</v>
      </c>
      <c r="M153" s="132">
        <f t="shared" si="81"/>
        <v>1.3</v>
      </c>
      <c r="N153" s="132">
        <f t="shared" si="82"/>
        <v>2.54</v>
      </c>
      <c r="O153" s="132">
        <f t="shared" si="84"/>
        <v>0.27279999999999993</v>
      </c>
      <c r="P153" s="132">
        <f t="shared" si="85"/>
        <v>0.26</v>
      </c>
      <c r="Q153" s="404">
        <v>2.93</v>
      </c>
      <c r="R153" s="402">
        <f t="shared" si="87"/>
        <v>1.5127999999999999</v>
      </c>
      <c r="S153" s="402">
        <f t="shared" si="88"/>
        <v>1.56</v>
      </c>
      <c r="T153" s="404">
        <v>2.93</v>
      </c>
      <c r="U153" s="127"/>
      <c r="V153" s="127"/>
      <c r="W153" t="str">
        <f>IFERROR(#REF!*J153,"")</f>
        <v/>
      </c>
      <c r="X153">
        <f t="shared" si="90"/>
        <v>0</v>
      </c>
      <c r="Y153">
        <f t="shared" si="91"/>
        <v>0</v>
      </c>
      <c r="Z153" s="127">
        <f t="shared" si="92"/>
        <v>0</v>
      </c>
      <c r="AA153" s="127">
        <f t="shared" si="93"/>
        <v>0</v>
      </c>
      <c r="AB153" s="127">
        <f t="shared" si="94"/>
        <v>0</v>
      </c>
      <c r="AC153" s="127">
        <f t="shared" si="77"/>
        <v>0</v>
      </c>
      <c r="AD153" s="127">
        <f t="shared" si="78"/>
        <v>0</v>
      </c>
      <c r="AF153" s="127" t="str">
        <f>IFERROR(W153*'FlightConfig '!$K$3,"")</f>
        <v/>
      </c>
      <c r="AG153" s="127">
        <f>IFERROR(X153*'FlightConfig '!$K$17,"")</f>
        <v>0</v>
      </c>
      <c r="AH153" s="127">
        <f>IFERROR(Y153*'FlightConfig '!$K$17,"")</f>
        <v>0</v>
      </c>
      <c r="AI153" s="127">
        <f>IFERROR(Z153*'FlightConfig '!$K$17,"")</f>
        <v>0</v>
      </c>
      <c r="AJ153" s="127">
        <f>IFERROR(AA153*'FlightConfig '!$K$17,"")</f>
        <v>0</v>
      </c>
      <c r="AK153" s="127">
        <f>IFERROR(AB153*'FlightConfig '!$K$17,"")</f>
        <v>0</v>
      </c>
    </row>
    <row r="154" spans="1:37" ht="18" customHeight="1">
      <c r="A154" t="s">
        <v>156</v>
      </c>
      <c r="B154" s="171">
        <v>1</v>
      </c>
      <c r="C154" s="176" t="str">
        <f t="shared" ref="C154" si="95">CONCATENATE(A154&amp;B154&amp;F154)</f>
        <v>BUSINESS CLASS1104</v>
      </c>
      <c r="D154" s="172"/>
      <c r="E154" s="304">
        <v>1092</v>
      </c>
      <c r="F154" s="310">
        <v>104</v>
      </c>
      <c r="G154" t="str">
        <f>VLOOKUP(E154,'FG MASTER'!$A:$AB,2,0)</f>
        <v>BC C1 DINNER GARNISH ARUGULA</v>
      </c>
      <c r="H154" s="285">
        <v>1</v>
      </c>
      <c r="I154" s="173" t="s">
        <v>356</v>
      </c>
      <c r="J154" s="291">
        <f>IFERROR(IF(I154="std",H154,HLOOKUP(A154,'FlightConfig '!$B$28:$G$29,2,0)*I154),"")</f>
        <v>1</v>
      </c>
      <c r="K154" s="244">
        <f>VLOOKUP(Food!E154,'FG MASTER'!$A$1:$AC$536,16,0)</f>
        <v>3</v>
      </c>
      <c r="L154" s="245">
        <f>VLOOKUP(Food!E154,'FG MASTER'!$A$10:$AC$536,17,0)</f>
        <v>1</v>
      </c>
      <c r="M154" s="132">
        <f t="shared" ref="M154" si="96">IFERROR(L154*$M$2,"")</f>
        <v>0.4</v>
      </c>
      <c r="N154" s="132">
        <f t="shared" ref="N154" si="97">IFERROR((K154)+M154,"")</f>
        <v>3.4</v>
      </c>
      <c r="O154" s="132">
        <f t="shared" si="84"/>
        <v>0.66000000000000014</v>
      </c>
      <c r="P154" s="132">
        <f t="shared" si="85"/>
        <v>7.999999999999996E-2</v>
      </c>
      <c r="Q154" s="132">
        <f t="shared" ref="Q154" si="98">SUM(N154:P154)</f>
        <v>4.1400000000000006</v>
      </c>
      <c r="R154" s="402">
        <f t="shared" ref="R154" si="99">K154*(1+$O$2)</f>
        <v>3.66</v>
      </c>
      <c r="S154" s="402">
        <f t="shared" ref="S154" si="100">M154*(1+$P$2)</f>
        <v>0.48</v>
      </c>
      <c r="T154" s="402">
        <f t="shared" ref="T154" si="101">R154+S154</f>
        <v>4.1400000000000006</v>
      </c>
      <c r="U154" s="127"/>
      <c r="V154" s="127"/>
      <c r="W154" t="str">
        <f>IFERROR(#REF!*J154,"")</f>
        <v/>
      </c>
      <c r="X154">
        <f t="shared" ref="X154" si="102">IFERROR(K154*J154,"")</f>
        <v>3</v>
      </c>
      <c r="Y154">
        <f t="shared" ref="Y154" si="103">IFERROR(+L154*J154,"")</f>
        <v>1</v>
      </c>
      <c r="Z154" s="127">
        <f t="shared" ref="Z154" si="104">IFERROR(+M154*J154,"")</f>
        <v>0.4</v>
      </c>
      <c r="AA154" s="127">
        <f t="shared" ref="AA154" si="105">IFERROR(+N154*J154,"")</f>
        <v>3.4</v>
      </c>
      <c r="AB154" s="127">
        <f t="shared" ref="AB154" si="106">IFERROR(O154*$J154,"")</f>
        <v>0.66000000000000014</v>
      </c>
      <c r="AC154" s="127">
        <f t="shared" ref="AC154" si="107">IFERROR(P154*$J154,"")</f>
        <v>7.999999999999996E-2</v>
      </c>
      <c r="AD154" s="127">
        <f t="shared" ref="AD154" si="108">IFERROR(+Q154*J154,"")</f>
        <v>4.1400000000000006</v>
      </c>
      <c r="AF154" s="127" t="str">
        <f>IFERROR(W154*'FlightConfig '!$K$3,"")</f>
        <v/>
      </c>
      <c r="AG154" s="127">
        <f>IFERROR(X154*'FlightConfig '!$K$17,"")</f>
        <v>1092</v>
      </c>
      <c r="AH154" s="127">
        <f>IFERROR(Y154*'FlightConfig '!$K$17,"")</f>
        <v>364</v>
      </c>
      <c r="AI154" s="127">
        <f>IFERROR(Z154*'FlightConfig '!$K$17,"")</f>
        <v>145.6</v>
      </c>
      <c r="AJ154" s="127">
        <f>IFERROR(AA154*'FlightConfig '!$K$17,"")</f>
        <v>1237.5999999999999</v>
      </c>
      <c r="AK154" s="127">
        <f>IFERROR(AB154*'FlightConfig '!$K$17,"")</f>
        <v>240.24000000000007</v>
      </c>
    </row>
    <row r="155" spans="1:37" ht="18" customHeight="1">
      <c r="A155" t="s">
        <v>156</v>
      </c>
      <c r="B155" s="171">
        <v>1</v>
      </c>
      <c r="C155" s="176" t="str">
        <f t="shared" si="83"/>
        <v>BUSINESS CLASS1104</v>
      </c>
      <c r="D155" s="172"/>
      <c r="E155" s="304">
        <v>1093</v>
      </c>
      <c r="F155" s="310">
        <v>104</v>
      </c>
      <c r="G155" t="str">
        <f>VLOOKUP(E155,'FG MASTER'!$A:$AB,2,0)</f>
        <v>BC C1 DINNER ENTRÉE 1 LEMON CHICKEN BREAST, WILD MUSHROOM CONSERVA, LEMON CHICKEN JUS, ROASTED FINGERLING POTATOES, HARICOT VERT</v>
      </c>
      <c r="H155" s="285">
        <v>1</v>
      </c>
      <c r="I155" s="173">
        <v>0.6</v>
      </c>
      <c r="J155" s="291">
        <f>IFERROR(IF(I155="std",H155,HLOOKUP(A155,'FlightConfig '!$B$28:$G$29,2,0)*I155),"")</f>
        <v>20.399999999999999</v>
      </c>
      <c r="K155" s="244">
        <f>VLOOKUP(Food!E155,'FG MASTER'!$A$1:$AC$536,16,0)</f>
        <v>5.72</v>
      </c>
      <c r="L155" s="245">
        <f>VLOOKUP(Food!E155,'FG MASTER'!$A$10:$AC$536,17,0)</f>
        <v>5.75</v>
      </c>
      <c r="M155" s="132">
        <f t="shared" si="81"/>
        <v>2.3000000000000003</v>
      </c>
      <c r="N155" s="132">
        <f t="shared" si="82"/>
        <v>8.02</v>
      </c>
      <c r="O155" s="132">
        <f t="shared" si="84"/>
        <v>1.2584</v>
      </c>
      <c r="P155" s="132">
        <f t="shared" si="85"/>
        <v>0.45999999999999996</v>
      </c>
      <c r="Q155" s="404">
        <v>9.23</v>
      </c>
      <c r="R155" s="402">
        <f t="shared" si="87"/>
        <v>6.9783999999999997</v>
      </c>
      <c r="S155" s="402">
        <f t="shared" si="88"/>
        <v>2.7600000000000002</v>
      </c>
      <c r="T155" s="404">
        <v>9.23</v>
      </c>
      <c r="U155" s="127"/>
      <c r="V155" s="127"/>
      <c r="W155" t="str">
        <f>IFERROR(#REF!*J155,"")</f>
        <v/>
      </c>
      <c r="X155">
        <f t="shared" si="90"/>
        <v>116.68799999999999</v>
      </c>
      <c r="Y155">
        <f t="shared" si="91"/>
        <v>117.3</v>
      </c>
      <c r="Z155" s="127">
        <f t="shared" si="92"/>
        <v>46.92</v>
      </c>
      <c r="AA155" s="127">
        <f t="shared" si="93"/>
        <v>163.60799999999998</v>
      </c>
      <c r="AB155" s="127">
        <f t="shared" si="94"/>
        <v>25.671359999999996</v>
      </c>
      <c r="AC155" s="127">
        <f t="shared" si="77"/>
        <v>9.3839999999999986</v>
      </c>
      <c r="AD155" s="127">
        <f t="shared" si="78"/>
        <v>188.292</v>
      </c>
      <c r="AF155" s="127" t="str">
        <f>IFERROR(W155*'FlightConfig '!$K$3,"")</f>
        <v/>
      </c>
      <c r="AG155" s="127">
        <f>IFERROR(X155*'FlightConfig '!$K$17,"")</f>
        <v>42474.431999999993</v>
      </c>
      <c r="AH155" s="127">
        <f>IFERROR(Y155*'FlightConfig '!$K$17,"")</f>
        <v>42697.2</v>
      </c>
      <c r="AI155" s="127">
        <f>IFERROR(Z155*'FlightConfig '!$K$17,"")</f>
        <v>17078.88</v>
      </c>
      <c r="AJ155" s="127">
        <f>IFERROR(AA155*'FlightConfig '!$K$17,"")</f>
        <v>59553.311999999991</v>
      </c>
      <c r="AK155" s="127">
        <f>IFERROR(AB155*'FlightConfig '!$K$17,"")</f>
        <v>9344.375039999999</v>
      </c>
    </row>
    <row r="156" spans="1:37" ht="18" customHeight="1">
      <c r="A156" t="s">
        <v>156</v>
      </c>
      <c r="B156" s="171">
        <v>1</v>
      </c>
      <c r="C156" s="176" t="str">
        <f t="shared" si="83"/>
        <v>BUSINESS CLASS1104</v>
      </c>
      <c r="D156" s="172"/>
      <c r="E156" s="304">
        <v>1094</v>
      </c>
      <c r="F156" s="310">
        <v>104</v>
      </c>
      <c r="G156" t="str">
        <f>VLOOKUP(E156,'FG MASTER'!$A:$AB,2,0)</f>
        <v>BC C1 DINNER ENTRÉE 2 HALIBUT, TOMATO CITRUS NAGE, FENNEL CAPER OLIVE RELISH, SAFFRON COUSCOUS, BLISTERED TOMATO</v>
      </c>
      <c r="H156" s="285">
        <v>1</v>
      </c>
      <c r="I156" s="173">
        <v>0.3</v>
      </c>
      <c r="J156" s="291">
        <f>IFERROR(IF(I156="std",H156,HLOOKUP(A156,'FlightConfig '!$B$28:$G$29,2,0)*I156),"")</f>
        <v>10.199999999999999</v>
      </c>
      <c r="K156" s="244">
        <f>VLOOKUP(Food!E156,'FG MASTER'!$A$1:$AC$536,16,0)</f>
        <v>10.86</v>
      </c>
      <c r="L156" s="245">
        <f>VLOOKUP(Food!E156,'FG MASTER'!$A$10:$AC$536,17,0)</f>
        <v>7</v>
      </c>
      <c r="M156" s="132">
        <f t="shared" si="81"/>
        <v>2.8000000000000003</v>
      </c>
      <c r="N156" s="132">
        <f t="shared" si="82"/>
        <v>13.66</v>
      </c>
      <c r="O156" s="132">
        <f t="shared" si="84"/>
        <v>2.3891999999999989</v>
      </c>
      <c r="P156" s="132">
        <f t="shared" si="85"/>
        <v>0.56000000000000005</v>
      </c>
      <c r="Q156" s="132">
        <f>SUM(N156:P156)</f>
        <v>16.609199999999998</v>
      </c>
      <c r="R156" s="402">
        <f t="shared" si="87"/>
        <v>13.249199999999998</v>
      </c>
      <c r="S156" s="402">
        <f t="shared" si="88"/>
        <v>3.3600000000000003</v>
      </c>
      <c r="T156" s="402">
        <f t="shared" si="89"/>
        <v>16.609199999999998</v>
      </c>
      <c r="U156" s="127"/>
      <c r="V156" s="127"/>
      <c r="W156" t="str">
        <f>IFERROR(#REF!*J156,"")</f>
        <v/>
      </c>
      <c r="X156">
        <f t="shared" si="90"/>
        <v>110.77199999999999</v>
      </c>
      <c r="Y156">
        <f t="shared" si="91"/>
        <v>71.399999999999991</v>
      </c>
      <c r="Z156" s="127">
        <f t="shared" si="92"/>
        <v>28.560000000000002</v>
      </c>
      <c r="AA156" s="127">
        <f t="shared" si="93"/>
        <v>139.33199999999999</v>
      </c>
      <c r="AB156" s="127">
        <f t="shared" si="94"/>
        <v>24.369839999999986</v>
      </c>
      <c r="AC156" s="127">
        <f t="shared" si="77"/>
        <v>5.7119999999999997</v>
      </c>
      <c r="AD156" s="127">
        <f t="shared" si="78"/>
        <v>169.41383999999996</v>
      </c>
      <c r="AF156" s="127" t="str">
        <f>IFERROR(W156*'FlightConfig '!$K$3,"")</f>
        <v/>
      </c>
      <c r="AG156" s="127">
        <f>IFERROR(X156*'FlightConfig '!$K$17,"")</f>
        <v>40321.007999999994</v>
      </c>
      <c r="AH156" s="127">
        <f>IFERROR(Y156*'FlightConfig '!$K$17,"")</f>
        <v>25989.599999999999</v>
      </c>
      <c r="AI156" s="127">
        <f>IFERROR(Z156*'FlightConfig '!$K$17,"")</f>
        <v>10395.84</v>
      </c>
      <c r="AJ156" s="127">
        <f>IFERROR(AA156*'FlightConfig '!$K$17,"")</f>
        <v>50716.847999999998</v>
      </c>
      <c r="AK156" s="127">
        <f>IFERROR(AB156*'FlightConfig '!$K$17,"")</f>
        <v>8870.6217599999945</v>
      </c>
    </row>
    <row r="157" spans="1:37" ht="18" customHeight="1">
      <c r="A157" t="s">
        <v>156</v>
      </c>
      <c r="B157" s="171">
        <v>1</v>
      </c>
      <c r="C157" s="176" t="str">
        <f t="shared" ref="C157" si="109">CONCATENATE(A157&amp;B157&amp;F157)</f>
        <v>BUSINESS CLASS1104</v>
      </c>
      <c r="D157" s="172"/>
      <c r="E157" s="305">
        <v>1095</v>
      </c>
      <c r="F157" s="310">
        <v>104</v>
      </c>
      <c r="G157" t="str">
        <f>VLOOKUP(E157,'FG MASTER'!$A:$AB,2,0)</f>
        <v>BC C1 DINNER ENTRÉE 3 TRUFFLE PARM RISSOTTO, GRILLED BABY ZUCCHINI, MUSHROOM VONSERVA, ASPARAGUS, BABY ARTICHOKE</v>
      </c>
      <c r="H157" s="285">
        <v>1</v>
      </c>
      <c r="I157" s="173">
        <v>0.3</v>
      </c>
      <c r="J157" s="291">
        <f>IFERROR(IF(I157="std",H157,HLOOKUP(A157,'FlightConfig '!$B$28:$G$29,2,0)*I157),"")</f>
        <v>10.199999999999999</v>
      </c>
      <c r="K157" s="244">
        <f>VLOOKUP(Food!E157,'FG MASTER'!$A$1:$AC$536,16,0)</f>
        <v>4.47</v>
      </c>
      <c r="L157" s="245">
        <f>VLOOKUP(Food!E157,'FG MASTER'!$A$10:$AC$536,17,0)</f>
        <v>3.75</v>
      </c>
      <c r="M157" s="132">
        <f t="shared" ref="M157" si="110">IFERROR(L157*$M$2,"")</f>
        <v>1.5</v>
      </c>
      <c r="N157" s="132">
        <f t="shared" ref="N157" si="111">IFERROR((K157)+M157,"")</f>
        <v>5.97</v>
      </c>
      <c r="O157" s="132">
        <f t="shared" si="84"/>
        <v>0.98339999999999961</v>
      </c>
      <c r="P157" s="132">
        <f t="shared" si="85"/>
        <v>0.29999999999999982</v>
      </c>
      <c r="Q157" s="132">
        <f t="shared" ref="Q157" si="112">SUM(N157:P157)</f>
        <v>7.2533999999999992</v>
      </c>
      <c r="R157" s="402">
        <f t="shared" ref="R157" si="113">K157*(1+$O$2)</f>
        <v>5.4533999999999994</v>
      </c>
      <c r="S157" s="402">
        <f t="shared" ref="S157" si="114">M157*(1+$P$2)</f>
        <v>1.7999999999999998</v>
      </c>
      <c r="T157" s="402">
        <f t="shared" ref="T157" si="115">R157+S157</f>
        <v>7.2533999999999992</v>
      </c>
      <c r="U157" s="127"/>
      <c r="V157" s="127"/>
      <c r="W157" t="str">
        <f>IFERROR(#REF!*J157,"")</f>
        <v/>
      </c>
      <c r="X157">
        <f t="shared" ref="X157" si="116">IFERROR(K157*J157,"")</f>
        <v>45.593999999999994</v>
      </c>
      <c r="Y157">
        <f t="shared" ref="Y157" si="117">IFERROR(+L157*J157,"")</f>
        <v>38.25</v>
      </c>
      <c r="Z157" s="127">
        <f t="shared" ref="Z157" si="118">IFERROR(+M157*J157,"")</f>
        <v>15.299999999999999</v>
      </c>
      <c r="AA157" s="127">
        <f t="shared" ref="AA157" si="119">IFERROR(+N157*J157,"")</f>
        <v>60.893999999999991</v>
      </c>
      <c r="AB157" s="127">
        <f t="shared" ref="AB157" si="120">IFERROR(O157*$J157,"")</f>
        <v>10.030679999999995</v>
      </c>
      <c r="AC157" s="127">
        <f t="shared" ref="AC157" si="121">IFERROR(P157*$J157,"")</f>
        <v>3.0599999999999978</v>
      </c>
      <c r="AD157" s="127">
        <f t="shared" ref="AD157" si="122">IFERROR(+Q157*J157,"")</f>
        <v>73.984679999999983</v>
      </c>
      <c r="AF157" s="127" t="str">
        <f>IFERROR(W157*'FlightConfig '!$K$3,"")</f>
        <v/>
      </c>
      <c r="AG157" s="127">
        <f>IFERROR(X157*'FlightConfig '!$K$17,"")</f>
        <v>16596.215999999997</v>
      </c>
      <c r="AH157" s="127">
        <f>IFERROR(Y157*'FlightConfig '!$K$17,"")</f>
        <v>13923</v>
      </c>
      <c r="AI157" s="127">
        <f>IFERROR(Z157*'FlightConfig '!$K$17,"")</f>
        <v>5569.2</v>
      </c>
      <c r="AJ157" s="127">
        <f>IFERROR(AA157*'FlightConfig '!$K$17,"")</f>
        <v>22165.415999999997</v>
      </c>
      <c r="AK157" s="127">
        <f>IFERROR(AB157*'FlightConfig '!$K$17,"")</f>
        <v>3651.1675199999981</v>
      </c>
    </row>
    <row r="158" spans="1:37" ht="18" customHeight="1">
      <c r="A158" t="s">
        <v>156</v>
      </c>
      <c r="B158" s="171">
        <v>1</v>
      </c>
      <c r="C158" s="176" t="str">
        <f t="shared" si="83"/>
        <v>BUSINESS CLASS1104</v>
      </c>
      <c r="D158" s="172"/>
      <c r="E158" s="305">
        <v>1096</v>
      </c>
      <c r="F158" s="310">
        <v>104</v>
      </c>
      <c r="G158" t="str">
        <f>VLOOKUP(E158,'FG MASTER'!$A:$AB,2,0)</f>
        <v>BC C1 DINNER ENTRÉE 4 CHALLAH GRILLED TOAST, TRUFFLE CHEESE FILLING, PROVOLONE CHEESE SLICE, SMOKED TOMATO BISQUE</v>
      </c>
      <c r="H158" s="285">
        <v>1</v>
      </c>
      <c r="I158" s="173">
        <v>0.2</v>
      </c>
      <c r="J158" s="291">
        <f>IFERROR(IF(I158="std",H158,HLOOKUP(A158,'FlightConfig '!$B$28:$G$29,2,0)*I158),"")</f>
        <v>6.8000000000000007</v>
      </c>
      <c r="K158" s="244">
        <f>VLOOKUP(Food!E158,'FG MASTER'!$A$1:$AC$536,16,0)</f>
        <v>1.43</v>
      </c>
      <c r="L158" s="245">
        <f>VLOOKUP(Food!E158,'FG MASTER'!$A$10:$AC$536,17,0)</f>
        <v>4</v>
      </c>
      <c r="M158" s="132">
        <f t="shared" si="81"/>
        <v>1.6</v>
      </c>
      <c r="N158" s="132">
        <f t="shared" si="82"/>
        <v>3.0300000000000002</v>
      </c>
      <c r="O158" s="132">
        <f t="shared" si="84"/>
        <v>0.31459999999999999</v>
      </c>
      <c r="P158" s="132">
        <f t="shared" si="85"/>
        <v>0.31999999999999984</v>
      </c>
      <c r="Q158" s="132">
        <f t="shared" ref="Q158:Q161" si="123">SUM(N158:P158)</f>
        <v>3.6646000000000001</v>
      </c>
      <c r="R158" s="402">
        <f t="shared" si="87"/>
        <v>1.7445999999999999</v>
      </c>
      <c r="S158" s="402">
        <f t="shared" si="88"/>
        <v>1.92</v>
      </c>
      <c r="T158" s="402">
        <f t="shared" si="89"/>
        <v>3.6646000000000001</v>
      </c>
      <c r="U158" s="127"/>
      <c r="V158" s="127"/>
      <c r="W158" t="str">
        <f>IFERROR(#REF!*J158,"")</f>
        <v/>
      </c>
      <c r="X158">
        <f t="shared" si="90"/>
        <v>9.7240000000000002</v>
      </c>
      <c r="Y158">
        <f t="shared" si="91"/>
        <v>27.200000000000003</v>
      </c>
      <c r="Z158" s="127">
        <f t="shared" si="92"/>
        <v>10.880000000000003</v>
      </c>
      <c r="AA158" s="127">
        <f t="shared" si="93"/>
        <v>20.604000000000003</v>
      </c>
      <c r="AB158" s="127">
        <f t="shared" si="94"/>
        <v>2.1392800000000003</v>
      </c>
      <c r="AC158" s="127">
        <f t="shared" si="77"/>
        <v>2.1759999999999993</v>
      </c>
      <c r="AD158" s="127">
        <f t="shared" si="78"/>
        <v>24.919280000000004</v>
      </c>
      <c r="AF158" s="127" t="str">
        <f>IFERROR(W158*'FlightConfig '!$K$3,"")</f>
        <v/>
      </c>
      <c r="AG158" s="127">
        <f>IFERROR(X158*'FlightConfig '!$K$17,"")</f>
        <v>3539.5360000000001</v>
      </c>
      <c r="AH158" s="127">
        <f>IFERROR(Y158*'FlightConfig '!$K$17,"")</f>
        <v>9900.8000000000011</v>
      </c>
      <c r="AI158" s="127">
        <f>IFERROR(Z158*'FlightConfig '!$K$17,"")</f>
        <v>3960.3200000000011</v>
      </c>
      <c r="AJ158" s="127">
        <f>IFERROR(AA158*'FlightConfig '!$K$17,"")</f>
        <v>7499.8560000000007</v>
      </c>
      <c r="AK158" s="127">
        <f>IFERROR(AB158*'FlightConfig '!$K$17,"")</f>
        <v>778.69792000000007</v>
      </c>
    </row>
    <row r="159" spans="1:37" ht="18" customHeight="1">
      <c r="A159" t="s">
        <v>156</v>
      </c>
      <c r="B159" s="171">
        <v>1</v>
      </c>
      <c r="C159" s="176" t="str">
        <f>CONCATENATE(A159&amp;B159&amp;F159)</f>
        <v>BUSINESS CLASS1104</v>
      </c>
      <c r="D159" s="172"/>
      <c r="E159" s="303">
        <v>1097</v>
      </c>
      <c r="F159" s="310">
        <v>104</v>
      </c>
      <c r="G159" t="str">
        <f>VLOOKUP(E159,'FG MASTER'!$A:$AB,2,0)</f>
        <v xml:space="preserve">BC C1 DINNER ENTRÉE GARNISH BASIL OIL </v>
      </c>
      <c r="H159" s="285">
        <v>1</v>
      </c>
      <c r="I159" s="173" t="s">
        <v>356</v>
      </c>
      <c r="J159" s="291">
        <f>IFERROR(IF(I159="std",H159,HLOOKUP(A159,'FlightConfig '!$B$28:$G$29,2,0)*I159),"")</f>
        <v>1</v>
      </c>
      <c r="K159" s="244">
        <f>VLOOKUP(Food!E159,'FG MASTER'!$A$1:$AC$536,16,0)</f>
        <v>4.4400000000000004</v>
      </c>
      <c r="L159" s="245">
        <f>VLOOKUP(Food!E159,'FG MASTER'!$A$10:$AC$536,17,0)</f>
        <v>2</v>
      </c>
      <c r="M159" s="132">
        <f>IFERROR(L159*$M$2,"")</f>
        <v>0.8</v>
      </c>
      <c r="N159" s="132">
        <f>IFERROR((K159)+M159,"")</f>
        <v>5.24</v>
      </c>
      <c r="O159" s="132">
        <f>IFERROR($K159*(1+$O$2)-$K159,0)</f>
        <v>0.97679999999999989</v>
      </c>
      <c r="P159" s="132">
        <f>IFERROR($M159*(1+$P$2)-$M159,0)</f>
        <v>0.15999999999999992</v>
      </c>
      <c r="Q159" s="132">
        <f>SUM(N159:P159)</f>
        <v>6.3768000000000002</v>
      </c>
      <c r="R159" s="402">
        <f>K159*(1+$O$2)</f>
        <v>5.4168000000000003</v>
      </c>
      <c r="S159" s="402">
        <f>M159*(1+$P$2)</f>
        <v>0.96</v>
      </c>
      <c r="T159" s="402">
        <f>R159+S159</f>
        <v>6.3768000000000002</v>
      </c>
      <c r="U159" s="127"/>
      <c r="V159" s="127"/>
      <c r="W159" t="str">
        <f>IFERROR(#REF!*J159,"")</f>
        <v/>
      </c>
      <c r="X159">
        <f>IFERROR(K159*J159,"")</f>
        <v>4.4400000000000004</v>
      </c>
      <c r="Y159">
        <f>IFERROR(+L159*J159,"")</f>
        <v>2</v>
      </c>
      <c r="Z159" s="127">
        <f>IFERROR(+M159*J159,"")</f>
        <v>0.8</v>
      </c>
      <c r="AA159" s="127">
        <f>IFERROR(+N159*J159,"")</f>
        <v>5.24</v>
      </c>
      <c r="AB159" s="127">
        <f>IFERROR(O159*$J159,"")</f>
        <v>0.97679999999999989</v>
      </c>
      <c r="AC159" s="127">
        <f>IFERROR(P159*$J159,"")</f>
        <v>0.15999999999999992</v>
      </c>
      <c r="AD159" s="127">
        <f>IFERROR(+Q159*J159,"")</f>
        <v>6.3768000000000002</v>
      </c>
      <c r="AF159" s="127" t="str">
        <f>IFERROR(W159*'FlightConfig '!$K$3,"")</f>
        <v/>
      </c>
      <c r="AG159" s="127">
        <f>IFERROR(X159*'FlightConfig '!$K$17,"")</f>
        <v>1616.16</v>
      </c>
      <c r="AH159" s="127">
        <f>IFERROR(Y159*'FlightConfig '!$K$17,"")</f>
        <v>728</v>
      </c>
      <c r="AI159" s="127">
        <f>IFERROR(Z159*'FlightConfig '!$K$17,"")</f>
        <v>291.2</v>
      </c>
      <c r="AJ159" s="127">
        <f>IFERROR(AA159*'FlightConfig '!$K$17,"")</f>
        <v>1907.3600000000001</v>
      </c>
      <c r="AK159" s="127">
        <f>IFERROR(AB159*'FlightConfig '!$K$17,"")</f>
        <v>355.55519999999996</v>
      </c>
    </row>
    <row r="160" spans="1:37" ht="18" customHeight="1">
      <c r="A160" t="s">
        <v>156</v>
      </c>
      <c r="B160" s="171">
        <v>1</v>
      </c>
      <c r="C160" s="176" t="str">
        <f t="shared" si="83"/>
        <v>BUSINESS CLASS1104</v>
      </c>
      <c r="D160" s="172"/>
      <c r="E160" s="305">
        <v>1098</v>
      </c>
      <c r="F160" s="310">
        <v>104</v>
      </c>
      <c r="G160" t="str">
        <f>VLOOKUP(E160,'FG MASTER'!$A:$AB,2,0)</f>
        <v xml:space="preserve">BC C1 DINNER DESSERT 1 CHOCOLATE CAKE, COCOA BUTTER CREAM STRAWBERRY COULIS, CHOCOLATE PEARLS, CHANTILLY CREAM </v>
      </c>
      <c r="H160" s="285">
        <v>1</v>
      </c>
      <c r="I160" s="173">
        <v>0.4</v>
      </c>
      <c r="J160" s="291">
        <f>IFERROR(IF(I160="std",H160,HLOOKUP(A160,'FlightConfig '!$B$28:$G$29,2,0)*I160),"")</f>
        <v>13.600000000000001</v>
      </c>
      <c r="K160" s="244">
        <f>VLOOKUP(Food!E160,'FG MASTER'!$A$1:$AC$536,16,0)</f>
        <v>2.0299999999999998</v>
      </c>
      <c r="L160" s="245">
        <f>VLOOKUP(Food!E160,'FG MASTER'!$A$10:$AC$536,17,0)</f>
        <v>2.75</v>
      </c>
      <c r="M160" s="132">
        <f t="shared" si="81"/>
        <v>1.1000000000000001</v>
      </c>
      <c r="N160" s="132">
        <f t="shared" si="82"/>
        <v>3.13</v>
      </c>
      <c r="O160" s="132">
        <f t="shared" si="84"/>
        <v>0.44660000000000011</v>
      </c>
      <c r="P160" s="132">
        <f t="shared" si="85"/>
        <v>0.21999999999999997</v>
      </c>
      <c r="Q160" s="132">
        <f t="shared" si="123"/>
        <v>3.7965999999999998</v>
      </c>
      <c r="R160" s="402">
        <f t="shared" si="87"/>
        <v>2.4765999999999999</v>
      </c>
      <c r="S160" s="402">
        <f t="shared" si="88"/>
        <v>1.32</v>
      </c>
      <c r="T160" s="402">
        <f t="shared" si="89"/>
        <v>3.7965999999999998</v>
      </c>
      <c r="U160" s="127"/>
      <c r="V160" s="127"/>
      <c r="W160" t="str">
        <f>IFERROR(#REF!*J160,"")</f>
        <v/>
      </c>
      <c r="X160">
        <f t="shared" si="90"/>
        <v>27.608000000000001</v>
      </c>
      <c r="Y160">
        <f t="shared" si="91"/>
        <v>37.400000000000006</v>
      </c>
      <c r="Z160" s="127">
        <f t="shared" si="92"/>
        <v>14.960000000000003</v>
      </c>
      <c r="AA160" s="127">
        <f t="shared" si="93"/>
        <v>42.568000000000005</v>
      </c>
      <c r="AB160" s="127">
        <f t="shared" si="94"/>
        <v>6.0737600000000018</v>
      </c>
      <c r="AC160" s="127">
        <f t="shared" si="77"/>
        <v>2.992</v>
      </c>
      <c r="AD160" s="127">
        <f t="shared" si="78"/>
        <v>51.633760000000002</v>
      </c>
      <c r="AF160" s="127" t="str">
        <f>IFERROR(W160*'FlightConfig '!$K$3,"")</f>
        <v/>
      </c>
      <c r="AG160" s="127">
        <f>IFERROR(X160*'FlightConfig '!$K$17,"")</f>
        <v>10049.312</v>
      </c>
      <c r="AH160" s="127">
        <f>IFERROR(Y160*'FlightConfig '!$K$17,"")</f>
        <v>13613.600000000002</v>
      </c>
      <c r="AI160" s="127">
        <f>IFERROR(Z160*'FlightConfig '!$K$17,"")</f>
        <v>5445.4400000000005</v>
      </c>
      <c r="AJ160" s="127">
        <f>IFERROR(AA160*'FlightConfig '!$K$17,"")</f>
        <v>15494.752000000002</v>
      </c>
      <c r="AK160" s="127">
        <f>IFERROR(AB160*'FlightConfig '!$K$17,"")</f>
        <v>2210.8486400000006</v>
      </c>
    </row>
    <row r="161" spans="1:37" ht="18" customHeight="1">
      <c r="A161" t="s">
        <v>156</v>
      </c>
      <c r="B161" s="171">
        <v>1</v>
      </c>
      <c r="C161" s="176" t="str">
        <f t="shared" si="83"/>
        <v>BUSINESS CLASS1104</v>
      </c>
      <c r="D161" s="172"/>
      <c r="E161" s="303">
        <v>1099</v>
      </c>
      <c r="F161" s="310">
        <v>104</v>
      </c>
      <c r="G161" t="str">
        <f>VLOOKUP(E161,'FG MASTER'!$A:$AB,2,0)</f>
        <v xml:space="preserve">BC C1 DINNER DESSERT 2 STICKY TOFFEE PUDDINGM TOFFEE SAUCE, CHANTILLY CREAM </v>
      </c>
      <c r="H161" s="285">
        <v>1</v>
      </c>
      <c r="I161" s="173">
        <v>0.5</v>
      </c>
      <c r="J161" s="291">
        <f>IFERROR(IF(I161="std",H161,HLOOKUP(A161,'FlightConfig '!$B$28:$G$29,2,0)*I161),"")</f>
        <v>17</v>
      </c>
      <c r="K161" s="244">
        <f>VLOOKUP(Food!E161,'FG MASTER'!$A$1:$AC$536,16,0)</f>
        <v>1.02</v>
      </c>
      <c r="L161" s="245">
        <f>VLOOKUP(Food!E161,'FG MASTER'!$A$10:$AC$536,17,0)</f>
        <v>1.5</v>
      </c>
      <c r="M161" s="132">
        <f t="shared" si="81"/>
        <v>0.60000000000000009</v>
      </c>
      <c r="N161" s="132">
        <f t="shared" si="82"/>
        <v>1.62</v>
      </c>
      <c r="O161" s="132">
        <f t="shared" si="84"/>
        <v>0.22439999999999993</v>
      </c>
      <c r="P161" s="132">
        <f t="shared" si="85"/>
        <v>0.12</v>
      </c>
      <c r="Q161" s="132">
        <f t="shared" si="123"/>
        <v>1.9643999999999999</v>
      </c>
      <c r="R161" s="402">
        <f t="shared" si="87"/>
        <v>1.2444</v>
      </c>
      <c r="S161" s="402">
        <f t="shared" si="88"/>
        <v>0.72000000000000008</v>
      </c>
      <c r="T161" s="402">
        <f t="shared" si="89"/>
        <v>1.9643999999999999</v>
      </c>
      <c r="U161" s="127"/>
      <c r="V161" s="127"/>
      <c r="W161" t="str">
        <f>IFERROR(#REF!*J161,"")</f>
        <v/>
      </c>
      <c r="X161">
        <f t="shared" si="90"/>
        <v>17.34</v>
      </c>
      <c r="Y161">
        <f t="shared" si="91"/>
        <v>25.5</v>
      </c>
      <c r="Z161" s="127">
        <f t="shared" si="92"/>
        <v>10.200000000000001</v>
      </c>
      <c r="AA161" s="127">
        <f t="shared" si="93"/>
        <v>27.540000000000003</v>
      </c>
      <c r="AB161" s="127">
        <f t="shared" si="94"/>
        <v>3.8147999999999991</v>
      </c>
      <c r="AC161" s="127">
        <f t="shared" si="77"/>
        <v>2.04</v>
      </c>
      <c r="AD161" s="127">
        <f t="shared" si="78"/>
        <v>33.394799999999996</v>
      </c>
      <c r="AF161" s="127" t="str">
        <f>IFERROR(W161*'FlightConfig '!$K$3,"")</f>
        <v/>
      </c>
      <c r="AG161" s="127">
        <f>IFERROR(X161*'FlightConfig '!$K$17,"")</f>
        <v>6311.76</v>
      </c>
      <c r="AH161" s="127">
        <f>IFERROR(Y161*'FlightConfig '!$K$17,"")</f>
        <v>9282</v>
      </c>
      <c r="AI161" s="127">
        <f>IFERROR(Z161*'FlightConfig '!$K$17,"")</f>
        <v>3712.8</v>
      </c>
      <c r="AJ161" s="127">
        <f>IFERROR(AA161*'FlightConfig '!$K$17,"")</f>
        <v>10024.560000000001</v>
      </c>
      <c r="AK161" s="127">
        <f>IFERROR(AB161*'FlightConfig '!$K$17,"")</f>
        <v>1388.5871999999997</v>
      </c>
    </row>
    <row r="162" spans="1:37" ht="18" customHeight="1">
      <c r="A162" t="s">
        <v>156</v>
      </c>
      <c r="B162" s="171">
        <v>1</v>
      </c>
      <c r="C162" s="176" t="str">
        <f t="shared" si="83"/>
        <v>BUSINESS CLASS1104</v>
      </c>
      <c r="D162" s="172"/>
      <c r="E162" s="303">
        <v>1100</v>
      </c>
      <c r="F162" s="310">
        <v>104</v>
      </c>
      <c r="G162" t="str">
        <f>VLOOKUP(E162,'FG MASTER'!$A:$AB,2,0)</f>
        <v>BC C1 DINNER DESSERT 1 BANANA PUDDING CHEESECAKE, BISCOFF CRUMBLES, BLUEBERRIES, CARAMEL SAUCE, CHANTILLY CREAM</v>
      </c>
      <c r="H162" s="285">
        <v>1</v>
      </c>
      <c r="I162" s="173">
        <v>0</v>
      </c>
      <c r="J162" s="291">
        <f>IFERROR(IF(I162="std",H162,HLOOKUP(A162,'FlightConfig '!$B$28:$G$29,2,0)*I162),"")</f>
        <v>0</v>
      </c>
      <c r="K162" s="244">
        <f>VLOOKUP(Food!E162,'FG MASTER'!$A$1:$AC$536,16,0)</f>
        <v>1.52</v>
      </c>
      <c r="L162" s="245">
        <f>VLOOKUP(Food!E162,'FG MASTER'!$A$10:$AC$536,17,0)</f>
        <v>2</v>
      </c>
      <c r="M162" s="132">
        <f t="shared" si="81"/>
        <v>0.8</v>
      </c>
      <c r="N162" s="132">
        <f t="shared" si="82"/>
        <v>2.3200000000000003</v>
      </c>
      <c r="O162" s="132">
        <f t="shared" si="84"/>
        <v>0.33440000000000003</v>
      </c>
      <c r="P162" s="132">
        <f t="shared" si="85"/>
        <v>0.15999999999999992</v>
      </c>
      <c r="Q162" s="132">
        <f>SUM(N162:P162)</f>
        <v>2.8144</v>
      </c>
      <c r="R162" s="402">
        <f t="shared" si="87"/>
        <v>1.8544</v>
      </c>
      <c r="S162" s="402">
        <f t="shared" si="88"/>
        <v>0.96</v>
      </c>
      <c r="T162" s="402">
        <f t="shared" si="89"/>
        <v>2.8144</v>
      </c>
      <c r="U162" s="127"/>
      <c r="W162" t="str">
        <f>IFERROR(#REF!*J162,"")</f>
        <v/>
      </c>
      <c r="X162">
        <f t="shared" si="90"/>
        <v>0</v>
      </c>
      <c r="Y162">
        <f t="shared" si="91"/>
        <v>0</v>
      </c>
      <c r="Z162" s="127">
        <f t="shared" si="92"/>
        <v>0</v>
      </c>
      <c r="AA162" s="127">
        <f t="shared" si="93"/>
        <v>0</v>
      </c>
      <c r="AB162" s="127">
        <f t="shared" si="94"/>
        <v>0</v>
      </c>
      <c r="AC162" s="127">
        <f t="shared" si="77"/>
        <v>0</v>
      </c>
      <c r="AD162" s="127">
        <f t="shared" si="78"/>
        <v>0</v>
      </c>
      <c r="AF162" s="127" t="str">
        <f>IFERROR(W162*'FlightConfig '!$K$3,"")</f>
        <v/>
      </c>
      <c r="AG162" s="127">
        <f>IFERROR(X162*'FlightConfig '!$K$17,"")</f>
        <v>0</v>
      </c>
      <c r="AH162" s="127">
        <f>IFERROR(Y162*'FlightConfig '!$K$17,"")</f>
        <v>0</v>
      </c>
      <c r="AI162" s="127">
        <f>IFERROR(Z162*'FlightConfig '!$K$17,"")</f>
        <v>0</v>
      </c>
      <c r="AJ162" s="127">
        <f>IFERROR(AA162*'FlightConfig '!$K$17,"")</f>
        <v>0</v>
      </c>
      <c r="AK162" s="127">
        <f>IFERROR(AB162*'FlightConfig '!$K$17,"")</f>
        <v>0</v>
      </c>
    </row>
    <row r="163" spans="1:37" ht="18" customHeight="1">
      <c r="A163" t="s">
        <v>156</v>
      </c>
      <c r="B163" s="171">
        <v>1</v>
      </c>
      <c r="C163" s="176" t="str">
        <f t="shared" si="83"/>
        <v>BUSINESS CLASS1104</v>
      </c>
      <c r="D163" s="172"/>
      <c r="E163" s="303">
        <v>1101</v>
      </c>
      <c r="F163" s="310">
        <v>104</v>
      </c>
      <c r="G163" t="str">
        <f>VLOOKUP(E163,'FG MASTER'!$A:$AB,2,0)</f>
        <v>BC C1 DINNER DESSERT 2 BLACKBERRY PEACH COBBLER TART, BRULEE SLICED PEACHES, CRÈME FRAICHE</v>
      </c>
      <c r="H163" s="285">
        <v>1</v>
      </c>
      <c r="I163" s="173">
        <v>0</v>
      </c>
      <c r="J163" s="291">
        <f>IFERROR(IF(I163="std",H163,HLOOKUP(A163,'FlightConfig '!$B$28:$G$29,2,0)*I163),"")</f>
        <v>0</v>
      </c>
      <c r="K163" s="244">
        <f>VLOOKUP(Food!E163,'FG MASTER'!$A$1:$AC$536,16,0)</f>
        <v>1.31</v>
      </c>
      <c r="L163" s="245">
        <f>VLOOKUP(Food!E163,'FG MASTER'!$A$10:$AC$536,17,0)</f>
        <v>2.25</v>
      </c>
      <c r="M163" s="132">
        <f t="shared" si="81"/>
        <v>0.9</v>
      </c>
      <c r="N163" s="132">
        <f t="shared" si="82"/>
        <v>2.21</v>
      </c>
      <c r="O163" s="132">
        <f t="shared" si="84"/>
        <v>0.28820000000000001</v>
      </c>
      <c r="P163" s="132">
        <f t="shared" si="85"/>
        <v>0.18000000000000005</v>
      </c>
      <c r="Q163" s="404">
        <v>2.5499999999999998</v>
      </c>
      <c r="R163" s="402">
        <f t="shared" si="87"/>
        <v>1.5982000000000001</v>
      </c>
      <c r="S163" s="402">
        <f t="shared" si="88"/>
        <v>1.08</v>
      </c>
      <c r="T163" s="404">
        <v>2.5499999999999998</v>
      </c>
      <c r="U163" s="127"/>
      <c r="V163" s="127"/>
      <c r="W163" t="str">
        <f>IFERROR(#REF!*J163,"")</f>
        <v/>
      </c>
      <c r="X163">
        <f t="shared" si="90"/>
        <v>0</v>
      </c>
      <c r="Y163">
        <f t="shared" si="91"/>
        <v>0</v>
      </c>
      <c r="Z163" s="127">
        <f t="shared" si="92"/>
        <v>0</v>
      </c>
      <c r="AA163" s="127">
        <f t="shared" si="93"/>
        <v>0</v>
      </c>
      <c r="AB163" s="127">
        <f t="shared" si="94"/>
        <v>0</v>
      </c>
      <c r="AC163" s="127">
        <f t="shared" si="77"/>
        <v>0</v>
      </c>
      <c r="AD163" s="127">
        <f t="shared" si="78"/>
        <v>0</v>
      </c>
      <c r="AF163" s="127" t="str">
        <f>IFERROR(W163*'FlightConfig '!$K$3,"")</f>
        <v/>
      </c>
      <c r="AG163" s="127">
        <f>IFERROR(X163*'FlightConfig '!$K$17,"")</f>
        <v>0</v>
      </c>
      <c r="AH163" s="127">
        <f>IFERROR(Y163*'FlightConfig '!$K$17,"")</f>
        <v>0</v>
      </c>
      <c r="AI163" s="127">
        <f>IFERROR(Z163*'FlightConfig '!$K$17,"")</f>
        <v>0</v>
      </c>
      <c r="AJ163" s="127">
        <f>IFERROR(AA163*'FlightConfig '!$K$17,"")</f>
        <v>0</v>
      </c>
      <c r="AK163" s="127">
        <f>IFERROR(AB163*'FlightConfig '!$K$17,"")</f>
        <v>0</v>
      </c>
    </row>
    <row r="164" spans="1:37" ht="18" customHeight="1">
      <c r="A164" t="s">
        <v>156</v>
      </c>
      <c r="B164" s="171">
        <v>1</v>
      </c>
      <c r="C164" s="176" t="str">
        <f t="shared" si="83"/>
        <v>BUSINESS CLASS1104</v>
      </c>
      <c r="D164" s="172"/>
      <c r="E164" s="303">
        <v>1102</v>
      </c>
      <c r="F164" s="310">
        <v>104</v>
      </c>
      <c r="G164" t="str">
        <f>VLOOKUP(E164,'FG MASTER'!$A:$AB,2,0)</f>
        <v>BC C1 DINNER CHEESE PLATE HUMBOLT GOF, LAMB CHOPPER, CHEDDAR, SOULSHINE CUCUMBERS, MUSCADINE JELLY, GRAPE, CRACKER</v>
      </c>
      <c r="H164" s="285">
        <v>1</v>
      </c>
      <c r="I164" s="173">
        <v>0.6</v>
      </c>
      <c r="J164" s="291">
        <f>IFERROR(IF(I164="std",H164,HLOOKUP(A164,'FlightConfig '!$B$28:$G$29,2,0)*I164),"")</f>
        <v>20.399999999999999</v>
      </c>
      <c r="K164" s="244">
        <f>VLOOKUP(Food!E164,'FG MASTER'!$A$1:$AC$536,16,0)</f>
        <v>4.42</v>
      </c>
      <c r="L164" s="245">
        <f>VLOOKUP(Food!E164,'FG MASTER'!$A$10:$AC$536,17,0)</f>
        <v>2.5</v>
      </c>
      <c r="M164" s="132">
        <f t="shared" ref="M164" si="124">IFERROR(L164*$M$2,"")</f>
        <v>1</v>
      </c>
      <c r="N164" s="132">
        <f t="shared" ref="N164" si="125">IFERROR((K164)+M164,"")</f>
        <v>5.42</v>
      </c>
      <c r="O164" s="132">
        <f t="shared" si="84"/>
        <v>0.97239999999999949</v>
      </c>
      <c r="P164" s="132">
        <f t="shared" si="85"/>
        <v>0.19999999999999996</v>
      </c>
      <c r="Q164" s="132">
        <f t="shared" ref="Q164" si="126">SUM(N164:P164)</f>
        <v>6.5923999999999996</v>
      </c>
      <c r="R164" s="402">
        <f t="shared" ref="R164" si="127">K164*(1+$O$2)</f>
        <v>5.3923999999999994</v>
      </c>
      <c r="S164" s="402">
        <f t="shared" ref="S164" si="128">M164*(1+$P$2)</f>
        <v>1.2</v>
      </c>
      <c r="T164" s="402">
        <f t="shared" ref="T164" si="129">R164+S164</f>
        <v>6.5923999999999996</v>
      </c>
      <c r="U164" s="127"/>
      <c r="V164" s="127"/>
      <c r="W164" t="str">
        <f>IFERROR(#REF!*J164,"")</f>
        <v/>
      </c>
      <c r="X164">
        <f t="shared" si="90"/>
        <v>90.167999999999992</v>
      </c>
      <c r="Y164">
        <f t="shared" si="91"/>
        <v>51</v>
      </c>
      <c r="Z164" s="127">
        <f t="shared" si="92"/>
        <v>20.399999999999999</v>
      </c>
      <c r="AA164" s="127">
        <f t="shared" si="93"/>
        <v>110.568</v>
      </c>
      <c r="AB164" s="127">
        <f t="shared" si="94"/>
        <v>19.836959999999987</v>
      </c>
      <c r="AC164" s="127">
        <f t="shared" si="77"/>
        <v>4.0799999999999992</v>
      </c>
      <c r="AD164" s="127">
        <f t="shared" si="78"/>
        <v>134.48495999999997</v>
      </c>
      <c r="AF164" s="127" t="str">
        <f>IFERROR(W164*'FlightConfig '!$K$3,"")</f>
        <v/>
      </c>
      <c r="AG164" s="127">
        <f>IFERROR(X164*'FlightConfig '!$K$17,"")</f>
        <v>32821.151999999995</v>
      </c>
      <c r="AH164" s="127">
        <f>IFERROR(Y164*'FlightConfig '!$K$17,"")</f>
        <v>18564</v>
      </c>
      <c r="AI164" s="127">
        <f>IFERROR(Z164*'FlightConfig '!$K$17,"")</f>
        <v>7425.5999999999995</v>
      </c>
      <c r="AJ164" s="127">
        <f>IFERROR(AA164*'FlightConfig '!$K$17,"")</f>
        <v>40246.752</v>
      </c>
      <c r="AK164" s="127">
        <f>IFERROR(AB164*'FlightConfig '!$K$17,"")</f>
        <v>7220.6534399999955</v>
      </c>
    </row>
    <row r="165" spans="1:37" ht="18" customHeight="1">
      <c r="A165" t="s">
        <v>156</v>
      </c>
      <c r="B165" s="171">
        <v>1</v>
      </c>
      <c r="C165" s="176" t="str">
        <f t="shared" si="83"/>
        <v>BUSINESS CLASS1104</v>
      </c>
      <c r="D165" s="172"/>
      <c r="E165" s="303">
        <v>1103</v>
      </c>
      <c r="F165" s="310">
        <v>104</v>
      </c>
      <c r="G165" t="str">
        <f>VLOOKUP(E165,'FG MASTER'!$A:$AB,2,0)</f>
        <v xml:space="preserve">BC C1 BREAKFAST ENTRÉE 1 CURED SALMON, EVERTHING CREAM CHEESE, HALF EGG, PICKLED ONION </v>
      </c>
      <c r="H165" s="285">
        <v>1</v>
      </c>
      <c r="I165" s="173">
        <v>0.3</v>
      </c>
      <c r="J165" s="291">
        <v>3.35</v>
      </c>
      <c r="K165" s="244">
        <f>VLOOKUP(Food!E165,'FG MASTER'!$A$1:$AC$536,16,0)</f>
        <v>3.47</v>
      </c>
      <c r="L165" s="245">
        <f>VLOOKUP(Food!E165,'FG MASTER'!$A$10:$AC$536,17,0)</f>
        <v>4.5</v>
      </c>
      <c r="M165" s="132">
        <f t="shared" si="81"/>
        <v>1.8</v>
      </c>
      <c r="N165" s="132">
        <f t="shared" si="82"/>
        <v>5.2700000000000005</v>
      </c>
      <c r="O165" s="132">
        <f t="shared" si="84"/>
        <v>0.7634000000000003</v>
      </c>
      <c r="P165" s="132">
        <f t="shared" si="85"/>
        <v>0.3600000000000001</v>
      </c>
      <c r="Q165" s="132">
        <f t="shared" ref="Q165:Q168" si="130">SUM(N165:P165)</f>
        <v>6.3934000000000006</v>
      </c>
      <c r="R165" s="402">
        <f t="shared" si="87"/>
        <v>4.2334000000000005</v>
      </c>
      <c r="S165" s="402">
        <f t="shared" si="88"/>
        <v>2.16</v>
      </c>
      <c r="T165" s="402">
        <f t="shared" si="89"/>
        <v>6.3934000000000006</v>
      </c>
      <c r="U165" s="127"/>
      <c r="V165" s="127"/>
      <c r="W165" t="str">
        <f>IFERROR(#REF!*J165,"")</f>
        <v/>
      </c>
      <c r="X165">
        <f t="shared" si="90"/>
        <v>11.624500000000001</v>
      </c>
      <c r="Y165">
        <f t="shared" si="91"/>
        <v>15.075000000000001</v>
      </c>
      <c r="Z165" s="127">
        <f t="shared" si="92"/>
        <v>6.03</v>
      </c>
      <c r="AA165" s="127">
        <f t="shared" si="93"/>
        <v>17.654500000000002</v>
      </c>
      <c r="AB165" s="127">
        <f t="shared" si="94"/>
        <v>2.5573900000000012</v>
      </c>
      <c r="AC165" s="127">
        <f t="shared" si="77"/>
        <v>1.2060000000000004</v>
      </c>
      <c r="AD165" s="127">
        <f t="shared" si="78"/>
        <v>21.417890000000003</v>
      </c>
      <c r="AF165" s="127" t="str">
        <f>IFERROR(W165*'FlightConfig '!$K$3,"")</f>
        <v/>
      </c>
      <c r="AG165" s="127">
        <f>IFERROR(X165*'FlightConfig '!$K$17,"")</f>
        <v>4231.3180000000002</v>
      </c>
      <c r="AH165" s="127">
        <f>IFERROR(Y165*'FlightConfig '!$K$17,"")</f>
        <v>5487.3</v>
      </c>
      <c r="AI165" s="127">
        <f>IFERROR(Z165*'FlightConfig '!$K$17,"")</f>
        <v>2194.92</v>
      </c>
      <c r="AJ165" s="127">
        <f>IFERROR(AA165*'FlightConfig '!$K$17,"")</f>
        <v>6426.2380000000012</v>
      </c>
      <c r="AK165" s="127">
        <f>IFERROR(AB165*'FlightConfig '!$K$17,"")</f>
        <v>930.88996000000043</v>
      </c>
    </row>
    <row r="166" spans="1:37" ht="18" customHeight="1">
      <c r="A166" t="s">
        <v>156</v>
      </c>
      <c r="B166" s="171">
        <v>1</v>
      </c>
      <c r="C166" s="176" t="str">
        <f t="shared" ref="C166" si="131">CONCATENATE(A166&amp;B166&amp;F166)</f>
        <v>BUSINESS CLASS1104</v>
      </c>
      <c r="D166" s="172"/>
      <c r="E166" s="303">
        <v>1104</v>
      </c>
      <c r="F166" s="310">
        <v>104</v>
      </c>
      <c r="G166" t="str">
        <f>VLOOKUP(E166,'FG MASTER'!$A:$AB,2,0)</f>
        <v xml:space="preserve">BC C1 BREAKFAST ENTRÉE 2 SCRAMBLED EGG, BAKED BEAN, BACON, PORK SAUSAGE, HALF ROASTED TOMATO, </v>
      </c>
      <c r="H166" s="285">
        <v>1</v>
      </c>
      <c r="I166" s="173">
        <v>0.4</v>
      </c>
      <c r="J166" s="291">
        <f>IFERROR(IF(I166="std",H166,HLOOKUP(A166,'FlightConfig '!$B$28:$G$29,2,0)*I166),"")</f>
        <v>13.600000000000001</v>
      </c>
      <c r="K166" s="244">
        <f>VLOOKUP(Food!E166,'FG MASTER'!$A$1:$AC$536,16,0)</f>
        <v>4.04</v>
      </c>
      <c r="L166" s="245">
        <f>VLOOKUP(Food!E166,'FG MASTER'!$A$10:$AC$536,17,0)</f>
        <v>4.5</v>
      </c>
      <c r="M166" s="132">
        <f t="shared" ref="M166" si="132">IFERROR(L166*$M$2,"")</f>
        <v>1.8</v>
      </c>
      <c r="N166" s="132">
        <f t="shared" ref="N166" si="133">IFERROR((K166)+M166,"")</f>
        <v>5.84</v>
      </c>
      <c r="O166" s="132">
        <f t="shared" si="84"/>
        <v>0.88879999999999981</v>
      </c>
      <c r="P166" s="132">
        <f t="shared" si="85"/>
        <v>0.3600000000000001</v>
      </c>
      <c r="Q166" s="132">
        <f t="shared" ref="Q166" si="134">SUM(N166:P166)</f>
        <v>7.0888</v>
      </c>
      <c r="R166" s="402">
        <f t="shared" ref="R166" si="135">K166*(1+$O$2)</f>
        <v>4.9287999999999998</v>
      </c>
      <c r="S166" s="402">
        <f t="shared" ref="S166" si="136">M166*(1+$P$2)</f>
        <v>2.16</v>
      </c>
      <c r="T166" s="402">
        <f t="shared" ref="T166" si="137">R166+S166</f>
        <v>7.0888</v>
      </c>
      <c r="U166" s="127"/>
      <c r="V166" s="127"/>
      <c r="W166" t="str">
        <f>IFERROR(#REF!*J166,"")</f>
        <v/>
      </c>
      <c r="X166">
        <f t="shared" ref="X166" si="138">IFERROR(K166*J166,"")</f>
        <v>54.94400000000001</v>
      </c>
      <c r="Y166">
        <f t="shared" ref="Y166" si="139">IFERROR(+L166*J166,"")</f>
        <v>61.2</v>
      </c>
      <c r="Z166" s="127">
        <f t="shared" ref="Z166" si="140">IFERROR(+M166*J166,"")</f>
        <v>24.480000000000004</v>
      </c>
      <c r="AA166" s="127">
        <f t="shared" ref="AA166" si="141">IFERROR(+N166*J166,"")</f>
        <v>79.424000000000007</v>
      </c>
      <c r="AB166" s="127">
        <f t="shared" ref="AB166" si="142">IFERROR(O166*$J166,"")</f>
        <v>12.087679999999999</v>
      </c>
      <c r="AC166" s="127">
        <f t="shared" ref="AC166" si="143">IFERROR(P166*$J166,"")</f>
        <v>4.8960000000000017</v>
      </c>
      <c r="AD166" s="127">
        <f t="shared" ref="AD166" si="144">IFERROR(+Q166*J166,"")</f>
        <v>96.407680000000013</v>
      </c>
      <c r="AF166" s="127" t="str">
        <f>IFERROR(W166*'FlightConfig '!$K$3,"")</f>
        <v/>
      </c>
      <c r="AG166" s="127">
        <f>IFERROR(X166*'FlightConfig '!$K$17,"")</f>
        <v>19999.616000000002</v>
      </c>
      <c r="AH166" s="127">
        <f>IFERROR(Y166*'FlightConfig '!$K$17,"")</f>
        <v>22276.799999999999</v>
      </c>
      <c r="AI166" s="127">
        <f>IFERROR(Z166*'FlightConfig '!$K$17,"")</f>
        <v>8910.7200000000012</v>
      </c>
      <c r="AJ166" s="127">
        <f>IFERROR(AA166*'FlightConfig '!$K$17,"")</f>
        <v>28910.336000000003</v>
      </c>
      <c r="AK166" s="127">
        <f>IFERROR(AB166*'FlightConfig '!$K$17,"")</f>
        <v>4399.9155199999996</v>
      </c>
    </row>
    <row r="167" spans="1:37" ht="18" customHeight="1">
      <c r="A167" t="s">
        <v>156</v>
      </c>
      <c r="B167" s="171">
        <v>1</v>
      </c>
      <c r="C167" s="176" t="str">
        <f t="shared" si="83"/>
        <v>BUSINESS CLASS1104</v>
      </c>
      <c r="D167" s="172"/>
      <c r="E167" s="303">
        <v>1105</v>
      </c>
      <c r="F167" s="310">
        <v>104</v>
      </c>
      <c r="G167" t="str">
        <f>VLOOKUP(E167,'FG MASTER'!$A:$AB,2,0)</f>
        <v>BC C1 BREAKFAST ENTRÉE 3 BANANA BREAD FRENCH TOAST, HALF TOAST POINTS, BLUBERRY COULIS, BRULEE PEACHES</v>
      </c>
      <c r="H167" s="285">
        <v>1</v>
      </c>
      <c r="I167" s="173">
        <v>0.27</v>
      </c>
      <c r="J167" s="291">
        <f>IFERROR(IF(I167="std",H167,HLOOKUP(A167,'FlightConfig '!$B$28:$G$29,2,0)*I167),"")</f>
        <v>9.18</v>
      </c>
      <c r="K167" s="244">
        <f>VLOOKUP(Food!E167,'FG MASTER'!$A$1:$AC$536,16,0)</f>
        <v>1.8908519783774043</v>
      </c>
      <c r="L167" s="245">
        <f>VLOOKUP(Food!E167,'FG MASTER'!$A$10:$AC$536,17,0)</f>
        <v>3.25</v>
      </c>
      <c r="M167" s="132">
        <f t="shared" si="81"/>
        <v>1.3</v>
      </c>
      <c r="N167" s="132">
        <f t="shared" si="82"/>
        <v>3.1908519783774043</v>
      </c>
      <c r="O167" s="132">
        <f t="shared" si="84"/>
        <v>0.41598743524302884</v>
      </c>
      <c r="P167" s="132">
        <f t="shared" si="85"/>
        <v>0.26</v>
      </c>
      <c r="Q167" s="132">
        <f t="shared" si="130"/>
        <v>3.8668394136204327</v>
      </c>
      <c r="R167" s="402">
        <f t="shared" si="87"/>
        <v>2.3068394136204331</v>
      </c>
      <c r="S167" s="402">
        <f t="shared" si="88"/>
        <v>1.56</v>
      </c>
      <c r="T167" s="402">
        <f t="shared" si="89"/>
        <v>3.8668394136204332</v>
      </c>
      <c r="U167" s="127"/>
      <c r="V167" s="127"/>
      <c r="W167" t="str">
        <f>IFERROR(#REF!*J167,"")</f>
        <v/>
      </c>
      <c r="X167">
        <f t="shared" si="90"/>
        <v>17.358021161504571</v>
      </c>
      <c r="Y167">
        <f t="shared" si="91"/>
        <v>29.835000000000001</v>
      </c>
      <c r="Z167" s="127">
        <f t="shared" si="92"/>
        <v>11.933999999999999</v>
      </c>
      <c r="AA167" s="127">
        <f t="shared" si="93"/>
        <v>29.292021161504572</v>
      </c>
      <c r="AB167" s="127">
        <f t="shared" si="94"/>
        <v>3.8187646555310044</v>
      </c>
      <c r="AC167" s="127">
        <f t="shared" si="77"/>
        <v>2.3868</v>
      </c>
      <c r="AD167" s="127">
        <f t="shared" si="78"/>
        <v>35.497585817035571</v>
      </c>
      <c r="AF167" s="127" t="str">
        <f>IFERROR(W167*'FlightConfig '!$K$3,"")</f>
        <v/>
      </c>
      <c r="AG167" s="127">
        <f>IFERROR(X167*'FlightConfig '!$K$17,"")</f>
        <v>6318.319702787664</v>
      </c>
      <c r="AH167" s="127">
        <f>IFERROR(Y167*'FlightConfig '!$K$17,"")</f>
        <v>10859.94</v>
      </c>
      <c r="AI167" s="127">
        <f>IFERROR(Z167*'FlightConfig '!$K$17,"")</f>
        <v>4343.9759999999997</v>
      </c>
      <c r="AJ167" s="127">
        <f>IFERROR(AA167*'FlightConfig '!$K$17,"")</f>
        <v>10662.295702787664</v>
      </c>
      <c r="AK167" s="127">
        <f>IFERROR(AB167*'FlightConfig '!$K$17,"")</f>
        <v>1390.0303346132855</v>
      </c>
    </row>
    <row r="168" spans="1:37" ht="18" customHeight="1">
      <c r="A168" t="s">
        <v>156</v>
      </c>
      <c r="B168" s="171">
        <v>1</v>
      </c>
      <c r="C168" s="176" t="str">
        <f t="shared" si="83"/>
        <v>BUSINESS CLASS1104</v>
      </c>
      <c r="D168" s="172"/>
      <c r="E168" s="303">
        <v>1106</v>
      </c>
      <c r="F168" s="310">
        <v>104</v>
      </c>
      <c r="G168" t="str">
        <f>VLOOKUP(E168,'FG MASTER'!$A:$AB,2,0)</f>
        <v>BC C1 BREAKFAST ENTRÉE 4 ENGLEMANS ROLL, SPOTTED TROTTER - BACON, HP SAUCE</v>
      </c>
      <c r="H168" s="285">
        <v>1</v>
      </c>
      <c r="I168" s="173">
        <v>0.27</v>
      </c>
      <c r="J168" s="291">
        <f>IFERROR(IF(I168="std",H168,HLOOKUP(A168,'FlightConfig '!$B$28:$G$29,2,0)*I168),"")</f>
        <v>9.18</v>
      </c>
      <c r="K168" s="244">
        <f>VLOOKUP(Food!E168,'FG MASTER'!$A$1:$AC$536,16,0)</f>
        <v>1.97</v>
      </c>
      <c r="L168" s="245">
        <f>VLOOKUP(Food!E168,'FG MASTER'!$A$10:$AC$536,17,0)</f>
        <v>2.5</v>
      </c>
      <c r="M168" s="132">
        <f t="shared" si="81"/>
        <v>1</v>
      </c>
      <c r="N168" s="132">
        <f t="shared" si="82"/>
        <v>2.9699999999999998</v>
      </c>
      <c r="O168" s="132">
        <f t="shared" si="84"/>
        <v>0.43340000000000001</v>
      </c>
      <c r="P168" s="132">
        <f t="shared" si="85"/>
        <v>0.19999999999999996</v>
      </c>
      <c r="Q168" s="132">
        <f t="shared" si="130"/>
        <v>3.6033999999999997</v>
      </c>
      <c r="R168" s="402">
        <f t="shared" si="87"/>
        <v>2.4034</v>
      </c>
      <c r="S168" s="402">
        <f t="shared" si="88"/>
        <v>1.2</v>
      </c>
      <c r="T168" s="402">
        <f t="shared" si="89"/>
        <v>3.6033999999999997</v>
      </c>
      <c r="U168" s="127"/>
      <c r="V168" s="127"/>
      <c r="W168" t="str">
        <f>IFERROR(#REF!*J168,"")</f>
        <v/>
      </c>
      <c r="X168">
        <f t="shared" si="90"/>
        <v>18.084599999999998</v>
      </c>
      <c r="Y168">
        <f t="shared" si="91"/>
        <v>22.95</v>
      </c>
      <c r="Z168" s="127">
        <f t="shared" si="92"/>
        <v>9.18</v>
      </c>
      <c r="AA168" s="127">
        <f t="shared" si="93"/>
        <v>27.264599999999998</v>
      </c>
      <c r="AB168" s="127">
        <f t="shared" si="94"/>
        <v>3.978612</v>
      </c>
      <c r="AC168" s="127">
        <f t="shared" si="77"/>
        <v>1.8359999999999996</v>
      </c>
      <c r="AD168" s="127">
        <f t="shared" si="78"/>
        <v>33.079211999999998</v>
      </c>
      <c r="AF168" s="127" t="str">
        <f>IFERROR(W168*'FlightConfig '!$K$3,"")</f>
        <v/>
      </c>
      <c r="AG168" s="127">
        <f>IFERROR(X168*'FlightConfig '!$K$17,"")</f>
        <v>6582.7943999999998</v>
      </c>
      <c r="AH168" s="127">
        <f>IFERROR(Y168*'FlightConfig '!$K$17,"")</f>
        <v>8353.7999999999993</v>
      </c>
      <c r="AI168" s="127">
        <f>IFERROR(Z168*'FlightConfig '!$K$17,"")</f>
        <v>3341.52</v>
      </c>
      <c r="AJ168" s="127">
        <f>IFERROR(AA168*'FlightConfig '!$K$17,"")</f>
        <v>9924.3143999999993</v>
      </c>
      <c r="AK168" s="127">
        <f>IFERROR(AB168*'FlightConfig '!$K$17,"")</f>
        <v>1448.214768</v>
      </c>
    </row>
    <row r="169" spans="1:37" ht="18" customHeight="1">
      <c r="A169" t="s">
        <v>156</v>
      </c>
      <c r="B169" s="171">
        <v>1</v>
      </c>
      <c r="C169" s="176" t="str">
        <f t="shared" si="83"/>
        <v>BUSINESS CLASS1104</v>
      </c>
      <c r="D169" s="172"/>
      <c r="E169" s="303">
        <v>1107</v>
      </c>
      <c r="F169" s="310">
        <v>104</v>
      </c>
      <c r="G169" t="str">
        <f>VLOOKUP(E169,'FG MASTER'!$A:$AB,2,0)</f>
        <v>BC C1 BREAKFAST SIDE 1 FRUIT PLATE KIWI, PINEAPPLE, ORANGE, BLUEBERRIES, STRAWBERRIES 140G</v>
      </c>
      <c r="H169" s="285">
        <v>1</v>
      </c>
      <c r="I169" s="173">
        <v>0.5</v>
      </c>
      <c r="J169" s="291">
        <f>IFERROR(IF(I169="std",H169,HLOOKUP(A169,'FlightConfig '!$B$28:$G$29,2,0)*I169),"")</f>
        <v>17</v>
      </c>
      <c r="K169" s="244">
        <f>VLOOKUP(Food!E169,'FG MASTER'!$A$1:$AC$536,16,0)</f>
        <v>1.29</v>
      </c>
      <c r="L169" s="245">
        <f>VLOOKUP(Food!E169,'FG MASTER'!$A$10:$AC$536,17,0)</f>
        <v>2.5</v>
      </c>
      <c r="M169" s="132">
        <f t="shared" si="81"/>
        <v>1</v>
      </c>
      <c r="N169" s="132">
        <f t="shared" si="82"/>
        <v>2.29</v>
      </c>
      <c r="O169" s="132">
        <f t="shared" si="84"/>
        <v>0.28380000000000005</v>
      </c>
      <c r="P169" s="132">
        <f t="shared" si="85"/>
        <v>0.19999999999999996</v>
      </c>
      <c r="Q169" s="132">
        <f>SUM(N169:P169)</f>
        <v>2.7738000000000005</v>
      </c>
      <c r="R169" s="402">
        <f t="shared" si="87"/>
        <v>1.5738000000000001</v>
      </c>
      <c r="S169" s="402">
        <f t="shared" si="88"/>
        <v>1.2</v>
      </c>
      <c r="T169" s="402">
        <f t="shared" si="89"/>
        <v>2.7738</v>
      </c>
      <c r="U169" s="127"/>
      <c r="V169" s="127"/>
      <c r="W169" t="str">
        <f>IFERROR(#REF!*J169,"")</f>
        <v/>
      </c>
      <c r="X169">
        <f t="shared" si="90"/>
        <v>21.93</v>
      </c>
      <c r="Y169">
        <f t="shared" si="91"/>
        <v>42.5</v>
      </c>
      <c r="Z169" s="127">
        <f t="shared" si="92"/>
        <v>17</v>
      </c>
      <c r="AA169" s="127">
        <f t="shared" si="93"/>
        <v>38.93</v>
      </c>
      <c r="AB169" s="127">
        <f t="shared" si="94"/>
        <v>4.8246000000000011</v>
      </c>
      <c r="AC169" s="127">
        <f t="shared" si="77"/>
        <v>3.3999999999999995</v>
      </c>
      <c r="AD169" s="127">
        <f t="shared" si="78"/>
        <v>47.154600000000009</v>
      </c>
      <c r="AF169" s="127" t="str">
        <f>IFERROR(W169*'FlightConfig '!$K$3,"")</f>
        <v/>
      </c>
      <c r="AG169" s="127">
        <f>IFERROR(X169*'FlightConfig '!$K$17,"")</f>
        <v>7982.5199999999995</v>
      </c>
      <c r="AH169" s="127">
        <f>IFERROR(Y169*'FlightConfig '!$K$17,"")</f>
        <v>15470</v>
      </c>
      <c r="AI169" s="127">
        <f>IFERROR(Z169*'FlightConfig '!$K$17,"")</f>
        <v>6188</v>
      </c>
      <c r="AJ169" s="127">
        <f>IFERROR(AA169*'FlightConfig '!$K$17,"")</f>
        <v>14170.52</v>
      </c>
      <c r="AK169" s="127">
        <f>IFERROR(AB169*'FlightConfig '!$K$17,"")</f>
        <v>1756.1544000000004</v>
      </c>
    </row>
    <row r="170" spans="1:37" ht="18" customHeight="1">
      <c r="A170" t="s">
        <v>156</v>
      </c>
      <c r="B170" s="171">
        <v>1</v>
      </c>
      <c r="C170" s="176" t="str">
        <f t="shared" ref="C170:C171" si="145">CONCATENATE(A170&amp;B170&amp;F170)</f>
        <v>BUSINESS CLASS1104</v>
      </c>
      <c r="D170" s="172"/>
      <c r="E170" s="303">
        <v>1108</v>
      </c>
      <c r="F170" s="310">
        <v>104</v>
      </c>
      <c r="G170" t="str">
        <f>VLOOKUP(E170,'FG MASTER'!$A:$AB,2,0)</f>
        <v>BC C1 BREAKFAST SIDE 2 PEACH AND PECAN SCONE</v>
      </c>
      <c r="H170" s="285">
        <v>1</v>
      </c>
      <c r="I170" s="173">
        <v>0.5</v>
      </c>
      <c r="J170" s="291">
        <f>IFERROR(IF(I170="std",H170,HLOOKUP(A170,'FlightConfig '!$B$28:$G$29,2,0)*I170),"")</f>
        <v>17</v>
      </c>
      <c r="K170" s="244">
        <f>VLOOKUP(Food!E170,'FG MASTER'!$A$1:$AC$536,16,0)</f>
        <v>0.55000000000000004</v>
      </c>
      <c r="L170" s="245">
        <f>VLOOKUP(Food!E170,'FG MASTER'!$A$10:$AC$536,17,0)</f>
        <v>2</v>
      </c>
      <c r="M170" s="132">
        <f t="shared" si="81"/>
        <v>0.8</v>
      </c>
      <c r="N170" s="132">
        <f t="shared" si="82"/>
        <v>1.35</v>
      </c>
      <c r="O170" s="132">
        <f t="shared" si="84"/>
        <v>0.121</v>
      </c>
      <c r="P170" s="132">
        <f t="shared" si="85"/>
        <v>0.15999999999999992</v>
      </c>
      <c r="Q170" s="132">
        <f t="shared" ref="Q170" si="146">SUM(N170:P170)</f>
        <v>1.631</v>
      </c>
      <c r="R170" s="402">
        <f t="shared" si="87"/>
        <v>0.67100000000000004</v>
      </c>
      <c r="S170" s="402">
        <f t="shared" si="88"/>
        <v>0.96</v>
      </c>
      <c r="T170" s="402">
        <f t="shared" si="89"/>
        <v>1.631</v>
      </c>
      <c r="U170" s="127"/>
      <c r="V170" s="127"/>
      <c r="W170" t="str">
        <f>IFERROR(#REF!*J170,"")</f>
        <v/>
      </c>
      <c r="X170">
        <f t="shared" si="90"/>
        <v>9.3500000000000014</v>
      </c>
      <c r="Y170">
        <f t="shared" si="91"/>
        <v>34</v>
      </c>
      <c r="Z170" s="127">
        <f t="shared" si="92"/>
        <v>13.600000000000001</v>
      </c>
      <c r="AA170" s="127">
        <f t="shared" si="93"/>
        <v>22.950000000000003</v>
      </c>
      <c r="AB170" s="127">
        <f t="shared" si="94"/>
        <v>2.0569999999999999</v>
      </c>
      <c r="AC170" s="127">
        <f t="shared" si="77"/>
        <v>2.7199999999999989</v>
      </c>
      <c r="AD170" s="127">
        <f t="shared" si="78"/>
        <v>27.727</v>
      </c>
      <c r="AF170" s="127" t="str">
        <f>IFERROR(W170*'FlightConfig '!$K$3,"")</f>
        <v/>
      </c>
      <c r="AG170" s="127">
        <f>IFERROR(X170*'FlightConfig '!$K$17,"")</f>
        <v>3403.4000000000005</v>
      </c>
      <c r="AH170" s="127">
        <f>IFERROR(Y170*'FlightConfig '!$K$17,"")</f>
        <v>12376</v>
      </c>
      <c r="AI170" s="127">
        <f>IFERROR(Z170*'FlightConfig '!$K$17,"")</f>
        <v>4950.4000000000005</v>
      </c>
      <c r="AJ170" s="127">
        <f>IFERROR(AA170*'FlightConfig '!$K$17,"")</f>
        <v>8353.8000000000011</v>
      </c>
      <c r="AK170" s="127">
        <f>IFERROR(AB170*'FlightConfig '!$K$17,"")</f>
        <v>748.74799999999993</v>
      </c>
    </row>
    <row r="171" spans="1:37" ht="18" customHeight="1">
      <c r="A171" t="s">
        <v>156</v>
      </c>
      <c r="B171" s="171">
        <v>1</v>
      </c>
      <c r="C171" s="176" t="str">
        <f t="shared" si="145"/>
        <v>BUSINESS CLASS1104</v>
      </c>
      <c r="D171" s="172"/>
      <c r="E171" s="304">
        <v>1109</v>
      </c>
      <c r="F171" s="310">
        <v>104</v>
      </c>
      <c r="G171" t="str">
        <f>VLOOKUP(E171,'FG MASTER'!$A:$AB,2,0)</f>
        <v xml:space="preserve">BC C1 BREAKFAST SIDE 3 COCONUT YOGURT </v>
      </c>
      <c r="H171" s="285">
        <v>1</v>
      </c>
      <c r="I171" s="173" t="s">
        <v>356</v>
      </c>
      <c r="J171" s="291">
        <f>IFERROR(IF(I171="std",H171,HLOOKUP(A171,'FlightConfig '!$B$28:$G$29,2,0)*I171),"")</f>
        <v>1</v>
      </c>
      <c r="K171" s="244">
        <f>VLOOKUP(Food!E171,'FG MASTER'!$A$1:$AC$536,16,0)</f>
        <v>8.33</v>
      </c>
      <c r="L171" s="245">
        <f>VLOOKUP(Food!E171,'FG MASTER'!$A$10:$AC$536,17,0)</f>
        <v>0.5</v>
      </c>
      <c r="M171" s="132">
        <f>IFERROR(L171*$M$2,"")</f>
        <v>0.2</v>
      </c>
      <c r="N171" s="132">
        <f t="shared" si="82"/>
        <v>8.5299999999999994</v>
      </c>
      <c r="O171" s="132">
        <f t="shared" si="84"/>
        <v>1.8325999999999993</v>
      </c>
      <c r="P171" s="132">
        <f t="shared" si="85"/>
        <v>3.999999999999998E-2</v>
      </c>
      <c r="Q171" s="132">
        <f t="shared" ref="Q171" si="147">SUM(N171:P171)</f>
        <v>10.402599999999998</v>
      </c>
      <c r="R171" s="402">
        <f t="shared" ref="R171" si="148">K171*(1+$O$2)</f>
        <v>10.162599999999999</v>
      </c>
      <c r="S171" s="402">
        <f>M171*(1+$P$2)</f>
        <v>0.24</v>
      </c>
      <c r="T171" s="402">
        <f t="shared" ref="T171" si="149">R171+S171</f>
        <v>10.4026</v>
      </c>
      <c r="U171" s="127"/>
      <c r="V171" s="127"/>
      <c r="W171" t="str">
        <f>IFERROR(#REF!*J171,"")</f>
        <v/>
      </c>
      <c r="X171">
        <f t="shared" ref="X171" si="150">IFERROR(K171*J171,"")</f>
        <v>8.33</v>
      </c>
      <c r="Y171">
        <f t="shared" ref="Y171" si="151">IFERROR(+L171*J171,"")</f>
        <v>0.5</v>
      </c>
      <c r="Z171" s="127">
        <f t="shared" ref="Z171" si="152">IFERROR(+M171*J171,"")</f>
        <v>0.2</v>
      </c>
      <c r="AA171" s="127">
        <f t="shared" ref="AA171" si="153">IFERROR(+N171*J171,"")</f>
        <v>8.5299999999999994</v>
      </c>
      <c r="AB171" s="127">
        <f t="shared" ref="AB171" si="154">IFERROR(O171*$J171,"")</f>
        <v>1.8325999999999993</v>
      </c>
      <c r="AC171" s="127">
        <f t="shared" ref="AC171" si="155">IFERROR(P171*$J171,"")</f>
        <v>3.999999999999998E-2</v>
      </c>
      <c r="AD171" s="127">
        <f t="shared" ref="AD171" si="156">IFERROR(+Q171*J171,"")</f>
        <v>10.402599999999998</v>
      </c>
      <c r="AF171" s="127" t="str">
        <f>IFERROR(W171*'FlightConfig '!$K$3,"")</f>
        <v/>
      </c>
      <c r="AG171" s="127">
        <f>IFERROR(X171*'FlightConfig '!$K$17,"")</f>
        <v>3032.12</v>
      </c>
      <c r="AH171" s="127">
        <f>IFERROR(Y171*'FlightConfig '!$K$17,"")</f>
        <v>182</v>
      </c>
      <c r="AI171" s="127">
        <f>IFERROR(Z171*'FlightConfig '!$K$17,"")</f>
        <v>72.8</v>
      </c>
      <c r="AJ171" s="127">
        <f>IFERROR(AA171*'FlightConfig '!$K$17,"")</f>
        <v>3104.9199999999996</v>
      </c>
      <c r="AK171" s="127">
        <f>IFERROR(AB171*'FlightConfig '!$K$17,"")</f>
        <v>667.0663999999997</v>
      </c>
    </row>
    <row r="172" spans="1:37" ht="18" customHeight="1">
      <c r="A172" t="s">
        <v>156</v>
      </c>
      <c r="B172" s="171">
        <v>1</v>
      </c>
      <c r="C172" s="176" t="str">
        <f t="shared" ref="C172:C189" si="157">CONCATENATE(A172&amp;B172&amp;F172)</f>
        <v>BUSINESS CLASS1104</v>
      </c>
      <c r="D172" s="172"/>
      <c r="E172" s="304">
        <v>1110</v>
      </c>
      <c r="F172" s="310">
        <v>104</v>
      </c>
      <c r="G172" t="str">
        <f>VLOOKUP(E172,'FG MASTER'!$A:$AB,2,0)</f>
        <v>BC C1 BREAKFAST SIDE 4 SUPER SEED GRANOLA</v>
      </c>
      <c r="H172" s="285">
        <v>1</v>
      </c>
      <c r="I172" s="173" t="s">
        <v>356</v>
      </c>
      <c r="J172" s="291">
        <f>IFERROR(IF(I172="std",H172,HLOOKUP(A172,'FlightConfig '!$B$28:$G$29,2,0)*I172),"")</f>
        <v>1</v>
      </c>
      <c r="K172" s="244">
        <f>VLOOKUP(Food!E172,'FG MASTER'!$A$1:$AC$536,16,0)</f>
        <v>3.39</v>
      </c>
      <c r="L172" s="245">
        <f>VLOOKUP(Food!E172,'FG MASTER'!$A$10:$AC$536,17,0)</f>
        <v>1</v>
      </c>
      <c r="M172" s="132">
        <f t="shared" ref="M172:M186" si="158">IFERROR(L172*$M$2,"")</f>
        <v>0.4</v>
      </c>
      <c r="N172" s="132">
        <f t="shared" ref="N172:N189" si="159">IFERROR((K172)+M172,"")</f>
        <v>3.79</v>
      </c>
      <c r="O172" s="132">
        <f t="shared" si="84"/>
        <v>0.74579999999999957</v>
      </c>
      <c r="P172" s="132">
        <f t="shared" si="85"/>
        <v>7.999999999999996E-2</v>
      </c>
      <c r="Q172" s="132">
        <f t="shared" ref="Q172" si="160">SUM(N172:P172)</f>
        <v>4.6158000000000001</v>
      </c>
      <c r="R172" s="402">
        <f t="shared" si="87"/>
        <v>4.1357999999999997</v>
      </c>
      <c r="S172" s="402">
        <f t="shared" si="88"/>
        <v>0.48</v>
      </c>
      <c r="T172" s="402">
        <f t="shared" si="89"/>
        <v>4.6158000000000001</v>
      </c>
      <c r="U172" s="127">
        <v>7.88</v>
      </c>
      <c r="V172" s="127"/>
      <c r="W172" t="str">
        <f>IFERROR(#REF!*J172,"")</f>
        <v/>
      </c>
      <c r="X172">
        <f t="shared" si="90"/>
        <v>3.39</v>
      </c>
      <c r="Y172">
        <f t="shared" si="91"/>
        <v>1</v>
      </c>
      <c r="Z172" s="127">
        <f t="shared" si="92"/>
        <v>0.4</v>
      </c>
      <c r="AA172" s="127">
        <f t="shared" si="93"/>
        <v>3.79</v>
      </c>
      <c r="AB172" s="127">
        <f t="shared" si="94"/>
        <v>0.74579999999999957</v>
      </c>
      <c r="AC172" s="127">
        <f t="shared" si="77"/>
        <v>7.999999999999996E-2</v>
      </c>
      <c r="AD172" s="127">
        <f t="shared" si="78"/>
        <v>4.6158000000000001</v>
      </c>
      <c r="AF172" s="127" t="str">
        <f>IFERROR(W172*'FlightConfig '!$K$3,"")</f>
        <v/>
      </c>
      <c r="AG172" s="127">
        <f>IFERROR(X172*'FlightConfig '!$K$17,"")</f>
        <v>1233.96</v>
      </c>
      <c r="AH172" s="127">
        <f>IFERROR(Y172*'FlightConfig '!$K$17,"")</f>
        <v>364</v>
      </c>
      <c r="AI172" s="127">
        <f>IFERROR(Z172*'FlightConfig '!$K$17,"")</f>
        <v>145.6</v>
      </c>
      <c r="AJ172" s="127">
        <f>IFERROR(AA172*'FlightConfig '!$K$17,"")</f>
        <v>1379.56</v>
      </c>
      <c r="AK172" s="127">
        <f>IFERROR(AB172*'FlightConfig '!$K$17,"")</f>
        <v>271.47119999999984</v>
      </c>
    </row>
    <row r="173" spans="1:37" ht="18" customHeight="1">
      <c r="A173" t="s">
        <v>157</v>
      </c>
      <c r="B173" s="171">
        <v>1</v>
      </c>
      <c r="C173" s="176" t="str">
        <f t="shared" si="157"/>
        <v>PREMIUM ECONOMY CLASS1104</v>
      </c>
      <c r="D173" s="311"/>
      <c r="E173" s="304">
        <v>1111</v>
      </c>
      <c r="F173" s="310">
        <v>104</v>
      </c>
      <c r="G173" t="str">
        <f>VLOOKUP(E173,'FG MASTER'!$A:$AB,2,0)</f>
        <v>PY C1 DINNER TSU</v>
      </c>
      <c r="H173" s="285">
        <v>1</v>
      </c>
      <c r="I173" s="173">
        <v>1</v>
      </c>
      <c r="J173" s="291">
        <f>IFERROR(IF(I173="std",H173,HLOOKUP(A173,'FlightConfig '!$B$28:$G$29,2,0)*I173),"")</f>
        <v>48</v>
      </c>
      <c r="K173" s="244">
        <f>VLOOKUP(Food!E173,'FG MASTER'!$A$1:$AC$536,16,0)</f>
        <v>0</v>
      </c>
      <c r="L173" s="245">
        <f>VLOOKUP(Food!E173,'FG MASTER'!$A$10:$AC$536,17,0)</f>
        <v>1.5</v>
      </c>
      <c r="M173" s="132">
        <f t="shared" si="158"/>
        <v>0.60000000000000009</v>
      </c>
      <c r="N173" s="132">
        <f t="shared" si="159"/>
        <v>0.60000000000000009</v>
      </c>
      <c r="O173" s="132">
        <f t="shared" si="84"/>
        <v>0</v>
      </c>
      <c r="P173" s="132">
        <f t="shared" si="85"/>
        <v>0.12</v>
      </c>
      <c r="Q173" s="132">
        <f t="shared" ref="Q173:Q190" si="161">SUM(N173:P173)</f>
        <v>0.72000000000000008</v>
      </c>
      <c r="R173" s="402">
        <f t="shared" si="87"/>
        <v>0</v>
      </c>
      <c r="S173" s="402">
        <f t="shared" si="88"/>
        <v>0.72000000000000008</v>
      </c>
      <c r="T173" s="402">
        <f>R173+S173</f>
        <v>0.72000000000000008</v>
      </c>
      <c r="U173" s="127">
        <f>Q173+Q174+Q175+Q176+Q180+Q181</f>
        <v>7.6954051250000006</v>
      </c>
      <c r="V173" s="127">
        <f>R173+R174+R175+R176+R180+R181</f>
        <v>4.7914051250000007</v>
      </c>
      <c r="W173" s="127">
        <f>S173+S174+S175+S176+S180+S181</f>
        <v>2.9039999999999999</v>
      </c>
      <c r="X173">
        <f t="shared" si="90"/>
        <v>0</v>
      </c>
      <c r="Y173">
        <f t="shared" si="91"/>
        <v>72</v>
      </c>
      <c r="Z173" s="127">
        <f t="shared" si="92"/>
        <v>28.800000000000004</v>
      </c>
      <c r="AA173" s="127">
        <f t="shared" si="93"/>
        <v>28.800000000000004</v>
      </c>
      <c r="AB173" s="127">
        <f t="shared" si="94"/>
        <v>0</v>
      </c>
      <c r="AC173" s="127">
        <f t="shared" si="77"/>
        <v>5.76</v>
      </c>
      <c r="AD173" s="127">
        <f t="shared" si="78"/>
        <v>34.56</v>
      </c>
      <c r="AF173" s="127">
        <f>IFERROR(W173*'FlightConfig '!$K$3,"")</f>
        <v>0</v>
      </c>
      <c r="AG173" s="127">
        <f>IFERROR(X173*'FlightConfig '!$K$17,"")</f>
        <v>0</v>
      </c>
      <c r="AH173" s="127">
        <f>IFERROR(Y173*'FlightConfig '!$K$17,"")</f>
        <v>26208</v>
      </c>
      <c r="AI173" s="127">
        <f>IFERROR(Z173*'FlightConfig '!$K$17,"")</f>
        <v>10483.200000000001</v>
      </c>
      <c r="AJ173" s="127">
        <f>IFERROR(AA173*'FlightConfig '!$K$17,"")</f>
        <v>10483.200000000001</v>
      </c>
      <c r="AK173" s="127">
        <f>IFERROR(AB173*'FlightConfig '!$K$17,"")</f>
        <v>0</v>
      </c>
    </row>
    <row r="174" spans="1:37" ht="18" customHeight="1">
      <c r="A174" t="s">
        <v>157</v>
      </c>
      <c r="B174" s="171">
        <v>1</v>
      </c>
      <c r="C174" s="176" t="str">
        <f t="shared" si="157"/>
        <v>PREMIUM ECONOMY CLASS1104</v>
      </c>
      <c r="D174" s="311"/>
      <c r="E174" s="304">
        <v>1112</v>
      </c>
      <c r="F174" s="310">
        <v>104</v>
      </c>
      <c r="G174" t="str">
        <f>VLOOKUP(E174,'FG MASTER'!$A:$AB,2,0)</f>
        <v>PY C1 DINNER BREAD HOUSEMADE SWEETWATER BEER AND CHEESE ROLL</v>
      </c>
      <c r="H174" s="285">
        <v>1</v>
      </c>
      <c r="I174" s="173">
        <v>1</v>
      </c>
      <c r="J174" s="291">
        <f>IFERROR(IF(I174="std",H174,HLOOKUP(A174,'FlightConfig '!$B$28:$G$29,2,0)*I174),"")</f>
        <v>48</v>
      </c>
      <c r="K174" s="244">
        <f>VLOOKUP(Food!E174,'FG MASTER'!$A$1:$AC$536,16,0)</f>
        <v>0.29738124999999999</v>
      </c>
      <c r="L174" s="245">
        <f>VLOOKUP(Food!E174,'FG MASTER'!$A$10:$AC$536,17,0)</f>
        <v>0.25</v>
      </c>
      <c r="M174" s="132">
        <f t="shared" si="158"/>
        <v>0.1</v>
      </c>
      <c r="N174" s="132">
        <f t="shared" si="159"/>
        <v>0.39738125000000002</v>
      </c>
      <c r="O174" s="132">
        <f t="shared" si="84"/>
        <v>6.5423874999999965E-2</v>
      </c>
      <c r="P174" s="132">
        <f t="shared" si="85"/>
        <v>1.999999999999999E-2</v>
      </c>
      <c r="Q174" s="132">
        <f t="shared" si="161"/>
        <v>0.48280512499999995</v>
      </c>
      <c r="R174" s="402">
        <f t="shared" si="87"/>
        <v>0.36280512499999995</v>
      </c>
      <c r="S174" s="402">
        <f t="shared" si="88"/>
        <v>0.12</v>
      </c>
      <c r="T174" s="402">
        <f t="shared" si="89"/>
        <v>0.48280512499999995</v>
      </c>
      <c r="U174" s="127"/>
      <c r="V174" s="127"/>
      <c r="W174" t="str">
        <f>IFERROR(#REF!*J174,"")</f>
        <v/>
      </c>
      <c r="X174">
        <f t="shared" si="90"/>
        <v>14.2743</v>
      </c>
      <c r="Y174">
        <f t="shared" si="91"/>
        <v>12</v>
      </c>
      <c r="Z174" s="127">
        <f t="shared" si="92"/>
        <v>4.8000000000000007</v>
      </c>
      <c r="AA174" s="127">
        <f t="shared" si="93"/>
        <v>19.074300000000001</v>
      </c>
      <c r="AB174" s="127">
        <f t="shared" si="94"/>
        <v>3.1403459999999983</v>
      </c>
      <c r="AC174" s="127">
        <f t="shared" si="77"/>
        <v>0.95999999999999952</v>
      </c>
      <c r="AD174" s="127">
        <f t="shared" si="78"/>
        <v>23.174645999999996</v>
      </c>
      <c r="AF174" s="127" t="str">
        <f>IFERROR(W174*'FlightConfig '!$K$3,"")</f>
        <v/>
      </c>
      <c r="AG174" s="127">
        <f>IFERROR(X174*'FlightConfig '!$K$17,"")</f>
        <v>5195.8451999999997</v>
      </c>
      <c r="AH174" s="127">
        <f>IFERROR(Y174*'FlightConfig '!$K$17,"")</f>
        <v>4368</v>
      </c>
      <c r="AI174" s="127">
        <f>IFERROR(Z174*'FlightConfig '!$K$17,"")</f>
        <v>1747.2000000000003</v>
      </c>
      <c r="AJ174" s="127">
        <f>IFERROR(AA174*'FlightConfig '!$K$17,"")</f>
        <v>6943.0452000000005</v>
      </c>
      <c r="AK174" s="127">
        <f>IFERROR(AB174*'FlightConfig '!$K$17,"")</f>
        <v>1143.0859439999995</v>
      </c>
    </row>
    <row r="175" spans="1:37" ht="18" customHeight="1">
      <c r="A175" t="s">
        <v>157</v>
      </c>
      <c r="B175" s="171">
        <v>1</v>
      </c>
      <c r="C175" s="176" t="str">
        <f t="shared" si="157"/>
        <v>PREMIUM ECONOMY CLASS1104</v>
      </c>
      <c r="D175" s="311"/>
      <c r="E175" s="304">
        <v>1113</v>
      </c>
      <c r="F175" s="310">
        <v>104</v>
      </c>
      <c r="G175" t="str">
        <f>VLOOKUP(E175,'FG MASTER'!$A:$AB,2,0)</f>
        <v>PY C1 DINNER BUTTER</v>
      </c>
      <c r="H175" s="285">
        <v>1</v>
      </c>
      <c r="I175" s="173">
        <v>1</v>
      </c>
      <c r="J175" s="291">
        <f>IFERROR(IF(I175="std",H175,HLOOKUP(A175,'FlightConfig '!$B$28:$G$29,2,0)*I175),"")</f>
        <v>48</v>
      </c>
      <c r="K175" s="244">
        <f>VLOOKUP(Food!E175,'FG MASTER'!$A$1:$AC$536,16,0)</f>
        <v>0.3</v>
      </c>
      <c r="L175" s="245">
        <f>VLOOKUP(Food!E175,'FG MASTER'!$A$10:$AC$536,17,0)</f>
        <v>0.25</v>
      </c>
      <c r="M175" s="132">
        <f t="shared" si="158"/>
        <v>0.1</v>
      </c>
      <c r="N175" s="132">
        <f t="shared" si="159"/>
        <v>0.4</v>
      </c>
      <c r="O175" s="132">
        <f t="shared" si="84"/>
        <v>6.6000000000000003E-2</v>
      </c>
      <c r="P175" s="132">
        <f>IFERROR($M175*(1+$P$2)-$M175,0)</f>
        <v>1.999999999999999E-2</v>
      </c>
      <c r="Q175" s="132">
        <f t="shared" si="161"/>
        <v>0.48599999999999999</v>
      </c>
      <c r="R175" s="402">
        <f t="shared" si="87"/>
        <v>0.36599999999999999</v>
      </c>
      <c r="S175" s="402">
        <f t="shared" si="88"/>
        <v>0.12</v>
      </c>
      <c r="T175" s="402">
        <f t="shared" si="89"/>
        <v>0.48599999999999999</v>
      </c>
      <c r="U175" s="127"/>
      <c r="V175" s="127"/>
      <c r="W175" t="str">
        <f>IFERROR(#REF!*J175,"")</f>
        <v/>
      </c>
      <c r="X175">
        <f t="shared" si="90"/>
        <v>14.399999999999999</v>
      </c>
      <c r="Y175">
        <f t="shared" si="91"/>
        <v>12</v>
      </c>
      <c r="Z175" s="127">
        <f t="shared" si="92"/>
        <v>4.8000000000000007</v>
      </c>
      <c r="AA175" s="127">
        <f t="shared" si="93"/>
        <v>19.200000000000003</v>
      </c>
      <c r="AB175" s="127">
        <f t="shared" si="94"/>
        <v>3.1680000000000001</v>
      </c>
      <c r="AC175" s="127">
        <f t="shared" si="77"/>
        <v>0.95999999999999952</v>
      </c>
      <c r="AD175" s="127">
        <f t="shared" si="78"/>
        <v>23.327999999999999</v>
      </c>
      <c r="AF175" s="127" t="str">
        <f>IFERROR(W175*'FlightConfig '!$K$3,"")</f>
        <v/>
      </c>
      <c r="AG175" s="127">
        <f>IFERROR(X175*'FlightConfig '!$K$17,"")</f>
        <v>5241.5999999999995</v>
      </c>
      <c r="AH175" s="127">
        <f>IFERROR(Y175*'FlightConfig '!$K$17,"")</f>
        <v>4368</v>
      </c>
      <c r="AI175" s="127">
        <f>IFERROR(Z175*'FlightConfig '!$K$17,"")</f>
        <v>1747.2000000000003</v>
      </c>
      <c r="AJ175" s="127">
        <f>IFERROR(AA175*'FlightConfig '!$K$17,"")</f>
        <v>6988.8000000000011</v>
      </c>
      <c r="AK175" s="127">
        <f>IFERROR(AB175*'FlightConfig '!$K$17,"")</f>
        <v>1153.152</v>
      </c>
    </row>
    <row r="176" spans="1:37" ht="18" customHeight="1">
      <c r="A176" t="s">
        <v>157</v>
      </c>
      <c r="B176" s="171">
        <v>1</v>
      </c>
      <c r="C176" s="176" t="str">
        <f t="shared" si="157"/>
        <v>PREMIUM ECONOMY CLASS1104</v>
      </c>
      <c r="D176" s="311"/>
      <c r="E176" s="304">
        <v>1114</v>
      </c>
      <c r="F176" s="310">
        <v>104</v>
      </c>
      <c r="G176" t="str">
        <f>VLOOKUP(E176,'FG MASTER'!$A:$AB,2,0)</f>
        <v xml:space="preserve">PY C1 DINNER STARTER MESCLUN MIX, CUCUMBER, GRAPE TOMATO, RADISH, BALSAMIC DRESSING </v>
      </c>
      <c r="H176" s="285">
        <v>1</v>
      </c>
      <c r="I176" s="173">
        <v>1</v>
      </c>
      <c r="J176" s="291">
        <f>IFERROR(IF(I176="std",H176,HLOOKUP(A176,'FlightConfig '!$B$28:$G$29,2,0)*I176),"")</f>
        <v>48</v>
      </c>
      <c r="K176" s="244">
        <f>VLOOKUP(Food!E176,'FG MASTER'!$A$1:$AC$536,16,0)</f>
        <v>1.24</v>
      </c>
      <c r="L176" s="245">
        <f>VLOOKUP(Food!E176,'FG MASTER'!$A$10:$AC$536,17,0)</f>
        <v>1.3</v>
      </c>
      <c r="M176" s="132">
        <f t="shared" si="158"/>
        <v>0.52</v>
      </c>
      <c r="N176" s="132">
        <f t="shared" si="159"/>
        <v>1.76</v>
      </c>
      <c r="O176" s="132">
        <f t="shared" si="84"/>
        <v>0.27279999999999993</v>
      </c>
      <c r="P176" s="132">
        <f t="shared" si="85"/>
        <v>0.10399999999999998</v>
      </c>
      <c r="Q176" s="132">
        <f t="shared" si="161"/>
        <v>2.1368</v>
      </c>
      <c r="R176" s="402">
        <f t="shared" si="87"/>
        <v>1.5127999999999999</v>
      </c>
      <c r="S176" s="402">
        <f t="shared" si="88"/>
        <v>0.624</v>
      </c>
      <c r="T176" s="402">
        <f t="shared" si="89"/>
        <v>2.1368</v>
      </c>
      <c r="U176" s="127"/>
      <c r="V176" s="127"/>
      <c r="W176" t="str">
        <f>IFERROR(#REF!*J176,"")</f>
        <v/>
      </c>
      <c r="X176">
        <f t="shared" si="90"/>
        <v>59.519999999999996</v>
      </c>
      <c r="Y176">
        <f t="shared" si="91"/>
        <v>62.400000000000006</v>
      </c>
      <c r="Z176" s="127">
        <f t="shared" si="92"/>
        <v>24.96</v>
      </c>
      <c r="AA176" s="127">
        <f t="shared" si="93"/>
        <v>84.48</v>
      </c>
      <c r="AB176" s="127">
        <f t="shared" si="94"/>
        <v>13.094399999999997</v>
      </c>
      <c r="AC176" s="127">
        <f t="shared" si="77"/>
        <v>4.9919999999999991</v>
      </c>
      <c r="AD176" s="127">
        <f t="shared" si="78"/>
        <v>102.5664</v>
      </c>
      <c r="AF176" s="127" t="str">
        <f>IFERROR(W176*'FlightConfig '!$K$3,"")</f>
        <v/>
      </c>
      <c r="AG176" s="127">
        <f>IFERROR(X176*'FlightConfig '!$K$17,"")</f>
        <v>21665.279999999999</v>
      </c>
      <c r="AH176" s="127">
        <f>IFERROR(Y176*'FlightConfig '!$K$17,"")</f>
        <v>22713.600000000002</v>
      </c>
      <c r="AI176" s="127">
        <f>IFERROR(Z176*'FlightConfig '!$K$17,"")</f>
        <v>9085.44</v>
      </c>
      <c r="AJ176" s="127">
        <f>IFERROR(AA176*'FlightConfig '!$K$17,"")</f>
        <v>30750.720000000001</v>
      </c>
      <c r="AK176" s="127">
        <f>IFERROR(AB176*'FlightConfig '!$K$17,"")</f>
        <v>4766.3615999999984</v>
      </c>
    </row>
    <row r="177" spans="1:37" ht="18" customHeight="1">
      <c r="A177" t="s">
        <v>157</v>
      </c>
      <c r="B177" s="171">
        <v>1</v>
      </c>
      <c r="C177" s="176" t="str">
        <f t="shared" si="157"/>
        <v>PREMIUM ECONOMY CLASS1104</v>
      </c>
      <c r="D177" s="311"/>
      <c r="E177" s="304">
        <v>1155</v>
      </c>
      <c r="F177" s="310">
        <v>104</v>
      </c>
      <c r="G177" t="str">
        <f>VLOOKUP(E177,'FG MASTER'!$A:$AB,2,0)</f>
        <v xml:space="preserve">PY C1 DINNER ENTRÉE 1 SHRIMP SCAMPI, POTATO AND RED ONION HASH, KALE, AND RED PEPPER CREAM SAUCE </v>
      </c>
      <c r="H177" s="285">
        <v>1</v>
      </c>
      <c r="I177" s="173">
        <v>0.4</v>
      </c>
      <c r="J177" s="291">
        <f>IFERROR(IF(I177="std",H177,HLOOKUP(A177,'FlightConfig '!$B$28:$G$29,2,0)*I177),"")</f>
        <v>19.200000000000003</v>
      </c>
      <c r="K177" s="244">
        <f>VLOOKUP(Food!E177,'FG MASTER'!$A$1:$AC$536,16,0)</f>
        <v>4.82</v>
      </c>
      <c r="L177" s="245">
        <f>VLOOKUP(Food!E177,'FG MASTER'!$A$10:$AC$536,17,0)</f>
        <v>4</v>
      </c>
      <c r="M177" s="132">
        <f t="shared" si="158"/>
        <v>1.6</v>
      </c>
      <c r="N177" s="132">
        <f t="shared" si="159"/>
        <v>6.42</v>
      </c>
      <c r="O177" s="132">
        <f t="shared" si="84"/>
        <v>1.0603999999999996</v>
      </c>
      <c r="P177" s="132">
        <f t="shared" si="85"/>
        <v>0.31999999999999984</v>
      </c>
      <c r="Q177" s="132">
        <f t="shared" si="161"/>
        <v>7.8003999999999998</v>
      </c>
      <c r="R177" s="402">
        <f t="shared" si="87"/>
        <v>5.8803999999999998</v>
      </c>
      <c r="S177" s="402">
        <f t="shared" si="88"/>
        <v>1.92</v>
      </c>
      <c r="T177" s="402">
        <f t="shared" si="89"/>
        <v>7.8003999999999998</v>
      </c>
      <c r="U177" s="127"/>
      <c r="V177" s="127"/>
      <c r="W177" t="str">
        <f>IFERROR(#REF!*J177,"")</f>
        <v/>
      </c>
      <c r="X177">
        <f t="shared" si="90"/>
        <v>92.544000000000025</v>
      </c>
      <c r="Y177">
        <f t="shared" si="91"/>
        <v>76.800000000000011</v>
      </c>
      <c r="Z177" s="127">
        <f t="shared" si="92"/>
        <v>30.720000000000006</v>
      </c>
      <c r="AA177" s="127">
        <f t="shared" si="93"/>
        <v>123.26400000000001</v>
      </c>
      <c r="AB177" s="127">
        <f t="shared" si="94"/>
        <v>20.359679999999994</v>
      </c>
      <c r="AC177" s="127">
        <f t="shared" si="77"/>
        <v>6.1439999999999975</v>
      </c>
      <c r="AD177" s="127">
        <f t="shared" si="78"/>
        <v>149.76768000000001</v>
      </c>
      <c r="AF177" s="127" t="str">
        <f>IFERROR(W177*'FlightConfig '!$K$3,"")</f>
        <v/>
      </c>
      <c r="AG177" s="127">
        <f>IFERROR(X177*'FlightConfig '!$K$17,"")</f>
        <v>33686.016000000011</v>
      </c>
      <c r="AH177" s="127">
        <f>IFERROR(Y177*'FlightConfig '!$K$17,"")</f>
        <v>27955.200000000004</v>
      </c>
      <c r="AI177" s="127">
        <f>IFERROR(Z177*'FlightConfig '!$K$17,"")</f>
        <v>11182.080000000002</v>
      </c>
      <c r="AJ177" s="127">
        <f>IFERROR(AA177*'FlightConfig '!$K$17,"")</f>
        <v>44868.096000000005</v>
      </c>
      <c r="AK177" s="127">
        <f>IFERROR(AB177*'FlightConfig '!$K$17,"")</f>
        <v>7410.9235199999976</v>
      </c>
    </row>
    <row r="178" spans="1:37" ht="18" customHeight="1">
      <c r="A178" t="s">
        <v>157</v>
      </c>
      <c r="B178" s="171">
        <v>1</v>
      </c>
      <c r="C178" s="176" t="str">
        <f t="shared" si="157"/>
        <v>PREMIUM ECONOMY CLASS1104</v>
      </c>
      <c r="D178" s="311"/>
      <c r="E178" s="304">
        <v>1116</v>
      </c>
      <c r="F178" s="310">
        <v>104</v>
      </c>
      <c r="G178" t="str">
        <f>VLOOKUP(E178,'FG MASTER'!$A:$AB,2,0)</f>
        <v>PY C1 DINNER ENTRÉE 2 CHICKEN KEBAB, HONEY HARISSA GLAZE, RED PEPPER, LEMON HERB RICE, FETA CHEESE</v>
      </c>
      <c r="H178" s="285">
        <v>1</v>
      </c>
      <c r="I178" s="173">
        <v>0.4</v>
      </c>
      <c r="J178" s="291">
        <f>IFERROR(IF(I178="std",H178,HLOOKUP(A178,'FlightConfig '!$B$28:$G$29,2,0)*I178),"")</f>
        <v>19.200000000000003</v>
      </c>
      <c r="K178" s="244">
        <f>VLOOKUP(Food!E178,'FG MASTER'!$A$1:$AC$536,16,0)</f>
        <v>1.96</v>
      </c>
      <c r="L178" s="245">
        <f>VLOOKUP(Food!E178,'FG MASTER'!$A$10:$AC$536,17,0)</f>
        <v>4.5</v>
      </c>
      <c r="M178" s="132">
        <f t="shared" si="158"/>
        <v>1.8</v>
      </c>
      <c r="N178" s="132">
        <f t="shared" si="159"/>
        <v>3.76</v>
      </c>
      <c r="O178" s="132">
        <f t="shared" si="84"/>
        <v>0.43120000000000003</v>
      </c>
      <c r="P178" s="132">
        <f t="shared" si="85"/>
        <v>0.3600000000000001</v>
      </c>
      <c r="Q178" s="132">
        <f t="shared" si="161"/>
        <v>4.5512000000000006</v>
      </c>
      <c r="R178" s="402">
        <f t="shared" si="87"/>
        <v>2.3912</v>
      </c>
      <c r="S178" s="402">
        <f t="shared" si="88"/>
        <v>2.16</v>
      </c>
      <c r="T178" s="402">
        <f t="shared" si="89"/>
        <v>4.5511999999999997</v>
      </c>
      <c r="U178" s="127"/>
      <c r="V178" s="127"/>
      <c r="W178" t="str">
        <f>IFERROR(#REF!*J178,"")</f>
        <v/>
      </c>
      <c r="X178">
        <f t="shared" si="90"/>
        <v>37.632000000000005</v>
      </c>
      <c r="Y178">
        <f t="shared" si="91"/>
        <v>86.4</v>
      </c>
      <c r="Z178" s="127">
        <f t="shared" si="92"/>
        <v>34.560000000000009</v>
      </c>
      <c r="AA178" s="127">
        <f t="shared" si="93"/>
        <v>72.192000000000007</v>
      </c>
      <c r="AB178" s="127">
        <f t="shared" si="94"/>
        <v>8.279040000000002</v>
      </c>
      <c r="AC178" s="127">
        <f t="shared" si="77"/>
        <v>6.9120000000000026</v>
      </c>
      <c r="AD178" s="127">
        <f t="shared" si="78"/>
        <v>87.383040000000022</v>
      </c>
      <c r="AF178" s="127" t="str">
        <f>IFERROR(W178*'FlightConfig '!$K$3,"")</f>
        <v/>
      </c>
      <c r="AG178" s="127">
        <f>IFERROR(X178*'FlightConfig '!$K$17,"")</f>
        <v>13698.048000000003</v>
      </c>
      <c r="AH178" s="127">
        <f>IFERROR(Y178*'FlightConfig '!$K$17,"")</f>
        <v>31449.600000000002</v>
      </c>
      <c r="AI178" s="127">
        <f>IFERROR(Z178*'FlightConfig '!$K$17,"")</f>
        <v>12579.840000000004</v>
      </c>
      <c r="AJ178" s="127">
        <f>IFERROR(AA178*'FlightConfig '!$K$17,"")</f>
        <v>26277.888000000003</v>
      </c>
      <c r="AK178" s="127">
        <f>IFERROR(AB178*'FlightConfig '!$K$17,"")</f>
        <v>3013.5705600000006</v>
      </c>
    </row>
    <row r="179" spans="1:37" ht="18" customHeight="1">
      <c r="A179" t="s">
        <v>157</v>
      </c>
      <c r="B179" s="171">
        <v>1</v>
      </c>
      <c r="C179" s="176" t="str">
        <f t="shared" si="157"/>
        <v>PREMIUM ECONOMY CLASS1104</v>
      </c>
      <c r="D179" s="311"/>
      <c r="E179" s="304">
        <v>1117</v>
      </c>
      <c r="F179" s="310">
        <v>104</v>
      </c>
      <c r="G179" t="str">
        <f>VLOOKUP(E179,'FG MASTER'!$A:$AB,2,0)</f>
        <v xml:space="preserve">PY C1 DINNER ENTRÉE 3 SMOKED MOZZARELLA RAVIOLI, MARINARA SAUCE, PESTO MARINATED BOCCONCINI MOZZARELLA, SHREDDED PARMESAN, SPINACH </v>
      </c>
      <c r="H179" s="285">
        <v>1</v>
      </c>
      <c r="I179" s="173">
        <v>0.35</v>
      </c>
      <c r="J179" s="291">
        <f>IFERROR(IF(I179="std",H179,HLOOKUP(A179,'FlightConfig '!$B$28:$G$29,2,0)*I179),"")</f>
        <v>16.799999999999997</v>
      </c>
      <c r="K179" s="244">
        <f>VLOOKUP(Food!E179,'FG MASTER'!$A$1:$AC$536,16,0)</f>
        <v>2.64</v>
      </c>
      <c r="L179" s="245">
        <f>VLOOKUP(Food!E179,'FG MASTER'!$A$10:$AC$536,17,0)</f>
        <v>3.25</v>
      </c>
      <c r="M179" s="132">
        <f t="shared" si="158"/>
        <v>1.3</v>
      </c>
      <c r="N179" s="132">
        <f t="shared" si="159"/>
        <v>3.9400000000000004</v>
      </c>
      <c r="O179" s="132">
        <f t="shared" si="84"/>
        <v>0.58079999999999998</v>
      </c>
      <c r="P179" s="132">
        <f t="shared" si="85"/>
        <v>0.26</v>
      </c>
      <c r="Q179" s="132">
        <f t="shared" si="161"/>
        <v>4.7808000000000002</v>
      </c>
      <c r="R179" s="402">
        <f t="shared" si="87"/>
        <v>3.2208000000000001</v>
      </c>
      <c r="S179" s="402">
        <f t="shared" si="88"/>
        <v>1.56</v>
      </c>
      <c r="T179" s="402">
        <f t="shared" si="89"/>
        <v>4.7808000000000002</v>
      </c>
      <c r="U179" s="127">
        <v>4.54</v>
      </c>
      <c r="V179" s="127"/>
      <c r="W179" t="str">
        <f>IFERROR(#REF!*J179,"")</f>
        <v/>
      </c>
      <c r="X179">
        <f t="shared" si="90"/>
        <v>44.351999999999997</v>
      </c>
      <c r="Y179">
        <f t="shared" si="91"/>
        <v>54.599999999999994</v>
      </c>
      <c r="Z179" s="127">
        <f t="shared" si="92"/>
        <v>21.839999999999996</v>
      </c>
      <c r="AA179" s="127">
        <f t="shared" si="93"/>
        <v>66.191999999999993</v>
      </c>
      <c r="AB179" s="127">
        <f t="shared" si="94"/>
        <v>9.7574399999999972</v>
      </c>
      <c r="AC179" s="127">
        <f t="shared" si="77"/>
        <v>4.3679999999999994</v>
      </c>
      <c r="AD179" s="127">
        <f t="shared" si="78"/>
        <v>80.317439999999991</v>
      </c>
      <c r="AF179" s="127" t="str">
        <f>IFERROR(W179*'FlightConfig '!$K$3,"")</f>
        <v/>
      </c>
      <c r="AG179" s="127">
        <f>IFERROR(X179*'FlightConfig '!$K$17,"")</f>
        <v>16144.127999999999</v>
      </c>
      <c r="AH179" s="127">
        <f>IFERROR(Y179*'FlightConfig '!$K$17,"")</f>
        <v>19874.399999999998</v>
      </c>
      <c r="AI179" s="127">
        <f>IFERROR(Z179*'FlightConfig '!$K$17,"")</f>
        <v>7949.7599999999984</v>
      </c>
      <c r="AJ179" s="127">
        <f>IFERROR(AA179*'FlightConfig '!$K$17,"")</f>
        <v>24093.887999999999</v>
      </c>
      <c r="AK179" s="127">
        <f>IFERROR(AB179*'FlightConfig '!$K$17,"")</f>
        <v>3551.7081599999988</v>
      </c>
    </row>
    <row r="180" spans="1:37" ht="18" customHeight="1">
      <c r="A180" t="s">
        <v>157</v>
      </c>
      <c r="B180" s="171">
        <v>1</v>
      </c>
      <c r="C180" s="176" t="str">
        <f t="shared" ref="C180" si="162">CONCATENATE(A180&amp;B180&amp;F180)</f>
        <v>PREMIUM ECONOMY CLASS1104</v>
      </c>
      <c r="D180" s="311"/>
      <c r="E180" s="304">
        <v>1118</v>
      </c>
      <c r="F180" s="310">
        <v>104</v>
      </c>
      <c r="G180" t="str">
        <f>VLOOKUP(E180,'FG MASTER'!$A:$AB,2,0)</f>
        <v xml:space="preserve">PY C1 DINENR DESSERT PEACH COBBLEER TART, CRÈME FRAICHE </v>
      </c>
      <c r="H180" s="285">
        <v>1</v>
      </c>
      <c r="I180" s="173">
        <v>1</v>
      </c>
      <c r="J180" s="291">
        <f>IFERROR(IF(I180="std",H180,HLOOKUP(A180,'FlightConfig '!$B$28:$G$29,2,0)*I180),"")</f>
        <v>48</v>
      </c>
      <c r="K180" s="244">
        <f>VLOOKUP(Food!E180,'FG MASTER'!$A$1:$AC$536,16,0)</f>
        <v>0.89</v>
      </c>
      <c r="L180" s="245">
        <f>VLOOKUP(Food!E180,'FG MASTER'!$A$10:$AC$536,17,0)</f>
        <v>1</v>
      </c>
      <c r="M180" s="132">
        <f t="shared" ref="M180" si="163">IFERROR(L180*$M$2,"")</f>
        <v>0.4</v>
      </c>
      <c r="N180" s="132">
        <f t="shared" ref="N180" si="164">IFERROR((K180)+M180,"")</f>
        <v>1.29</v>
      </c>
      <c r="O180" s="132">
        <f t="shared" si="84"/>
        <v>0.19580000000000009</v>
      </c>
      <c r="P180" s="132">
        <f t="shared" si="85"/>
        <v>7.999999999999996E-2</v>
      </c>
      <c r="Q180" s="132">
        <f t="shared" ref="Q180" si="165">SUM(N180:P180)</f>
        <v>1.5658000000000003</v>
      </c>
      <c r="R180" s="402">
        <f t="shared" ref="R180" si="166">K180*(1+$O$2)</f>
        <v>1.0858000000000001</v>
      </c>
      <c r="S180" s="402">
        <f t="shared" ref="S180" si="167">M180*(1+$P$2)</f>
        <v>0.48</v>
      </c>
      <c r="T180" s="402">
        <f t="shared" ref="T180" si="168">R180+S180</f>
        <v>1.5658000000000001</v>
      </c>
      <c r="U180" s="127"/>
      <c r="V180" s="127"/>
      <c r="W180" t="str">
        <f>IFERROR(#REF!*J180,"")</f>
        <v/>
      </c>
      <c r="X180">
        <f t="shared" ref="X180" si="169">IFERROR(K180*J180,"")</f>
        <v>42.72</v>
      </c>
      <c r="Y180">
        <f t="shared" ref="Y180" si="170">IFERROR(+L180*J180,"")</f>
        <v>48</v>
      </c>
      <c r="Z180" s="127">
        <f t="shared" ref="Z180" si="171">IFERROR(+M180*J180,"")</f>
        <v>19.200000000000003</v>
      </c>
      <c r="AA180" s="127">
        <f t="shared" ref="AA180" si="172">IFERROR(+N180*J180,"")</f>
        <v>61.92</v>
      </c>
      <c r="AB180" s="127">
        <f t="shared" ref="AB180" si="173">IFERROR(O180*$J180,"")</f>
        <v>9.3984000000000041</v>
      </c>
      <c r="AC180" s="127">
        <f t="shared" ref="AC180" si="174">IFERROR(P180*$J180,"")</f>
        <v>3.8399999999999981</v>
      </c>
      <c r="AD180" s="127">
        <f t="shared" ref="AD180" si="175">IFERROR(+Q180*J180,"")</f>
        <v>75.158400000000015</v>
      </c>
      <c r="AF180" s="127" t="str">
        <f>IFERROR(W180*'FlightConfig '!$K$3,"")</f>
        <v/>
      </c>
      <c r="AG180" s="127">
        <f>IFERROR(X180*'FlightConfig '!$K$17,"")</f>
        <v>15550.08</v>
      </c>
      <c r="AH180" s="127">
        <f>IFERROR(Y180*'FlightConfig '!$K$17,"")</f>
        <v>17472</v>
      </c>
      <c r="AI180" s="127">
        <f>IFERROR(Z180*'FlightConfig '!$K$17,"")</f>
        <v>6988.8000000000011</v>
      </c>
      <c r="AJ180" s="127">
        <f>IFERROR(AA180*'FlightConfig '!$K$17,"")</f>
        <v>22538.880000000001</v>
      </c>
      <c r="AK180" s="127">
        <f>IFERROR(AB180*'FlightConfig '!$K$17,"")</f>
        <v>3421.0176000000015</v>
      </c>
    </row>
    <row r="181" spans="1:37" ht="18" customHeight="1">
      <c r="A181" t="s">
        <v>157</v>
      </c>
      <c r="B181" s="171">
        <v>1</v>
      </c>
      <c r="C181" s="176" t="str">
        <f t="shared" si="157"/>
        <v>PREMIUM ECONOMY CLASS1104</v>
      </c>
      <c r="D181" s="311"/>
      <c r="E181" s="304">
        <v>1119</v>
      </c>
      <c r="F181" s="310">
        <v>104</v>
      </c>
      <c r="G181" t="str">
        <f>VLOOKUP(E181,'FG MASTER'!$A:$AB,2,0)</f>
        <v>PY C1 DINENR CHEESE PLATE - CHEDDAR, MUENSTER CHEESE, DRIED APROCIT, JAM, CRACKER</v>
      </c>
      <c r="H181" s="285">
        <v>1</v>
      </c>
      <c r="I181" s="173">
        <v>1</v>
      </c>
      <c r="J181" s="291">
        <f>IFERROR(IF(I181="std",H181,HLOOKUP(A181,'FlightConfig '!$B$28:$G$29,2,0)*I181),"")</f>
        <v>48</v>
      </c>
      <c r="K181" s="244">
        <f>VLOOKUP(Food!E181,'FG MASTER'!$A$1:$AC$536,16,0)</f>
        <v>1.2</v>
      </c>
      <c r="L181" s="245">
        <f>VLOOKUP(Food!E181,'FG MASTER'!$A$10:$AC$536,17,0)</f>
        <v>1.75</v>
      </c>
      <c r="M181" s="132">
        <f t="shared" si="158"/>
        <v>0.70000000000000007</v>
      </c>
      <c r="N181" s="132">
        <f t="shared" si="159"/>
        <v>1.9</v>
      </c>
      <c r="O181" s="132">
        <f t="shared" si="84"/>
        <v>0.26400000000000001</v>
      </c>
      <c r="P181" s="132">
        <f t="shared" si="85"/>
        <v>0.14000000000000001</v>
      </c>
      <c r="Q181" s="132">
        <f t="shared" si="161"/>
        <v>2.3039999999999998</v>
      </c>
      <c r="R181" s="402">
        <f t="shared" si="87"/>
        <v>1.464</v>
      </c>
      <c r="S181" s="402">
        <f t="shared" si="88"/>
        <v>0.84000000000000008</v>
      </c>
      <c r="T181" s="402">
        <f t="shared" si="89"/>
        <v>2.3040000000000003</v>
      </c>
      <c r="U181" s="127"/>
      <c r="V181" s="127"/>
      <c r="W181" t="str">
        <f>IFERROR(#REF!*J181,"")</f>
        <v/>
      </c>
      <c r="X181">
        <f t="shared" si="90"/>
        <v>57.599999999999994</v>
      </c>
      <c r="Y181">
        <f t="shared" si="91"/>
        <v>84</v>
      </c>
      <c r="Z181" s="127">
        <f t="shared" si="92"/>
        <v>33.6</v>
      </c>
      <c r="AA181" s="127">
        <f t="shared" si="93"/>
        <v>91.199999999999989</v>
      </c>
      <c r="AB181" s="127">
        <f t="shared" si="94"/>
        <v>12.672000000000001</v>
      </c>
      <c r="AC181" s="127">
        <f t="shared" si="77"/>
        <v>6.7200000000000006</v>
      </c>
      <c r="AD181" s="127">
        <f t="shared" si="78"/>
        <v>110.59199999999998</v>
      </c>
      <c r="AF181" s="127" t="str">
        <f>IFERROR(W181*'FlightConfig '!$K$3,"")</f>
        <v/>
      </c>
      <c r="AG181" s="127">
        <f>IFERROR(X181*'FlightConfig '!$K$17,"")</f>
        <v>20966.399999999998</v>
      </c>
      <c r="AH181" s="127">
        <f>IFERROR(Y181*'FlightConfig '!$K$17,"")</f>
        <v>30576</v>
      </c>
      <c r="AI181" s="127">
        <f>IFERROR(Z181*'FlightConfig '!$K$17,"")</f>
        <v>12230.4</v>
      </c>
      <c r="AJ181" s="127">
        <f>IFERROR(AA181*'FlightConfig '!$K$17,"")</f>
        <v>33196.799999999996</v>
      </c>
      <c r="AK181" s="127">
        <f>IFERROR(AB181*'FlightConfig '!$K$17,"")</f>
        <v>4612.6080000000002</v>
      </c>
    </row>
    <row r="182" spans="1:37" ht="18" customHeight="1">
      <c r="A182" t="s">
        <v>157</v>
      </c>
      <c r="B182" s="171">
        <v>1</v>
      </c>
      <c r="C182" s="176" t="str">
        <f t="shared" si="157"/>
        <v>PREMIUM ECONOMY CLASS1104</v>
      </c>
      <c r="D182" s="311"/>
      <c r="E182" s="304">
        <v>1120</v>
      </c>
      <c r="F182" s="310">
        <v>104</v>
      </c>
      <c r="G182" t="str">
        <f>VLOOKUP(E182,'FG MASTER'!$A:$AB,2,0)</f>
        <v>PY C1 BREAKFAST TSU</v>
      </c>
      <c r="H182" s="285">
        <v>1</v>
      </c>
      <c r="I182" s="173">
        <v>1</v>
      </c>
      <c r="J182" s="291">
        <f>IFERROR(IF(I182="std",H182,HLOOKUP(A182,'FlightConfig '!$B$28:$G$29,2,0)*I182),"")</f>
        <v>48</v>
      </c>
      <c r="K182" s="244">
        <f>VLOOKUP(Food!E182,'FG MASTER'!$A$1:$AC$536,16,0)</f>
        <v>0</v>
      </c>
      <c r="L182" s="245">
        <f>VLOOKUP(Food!E182,'FG MASTER'!$A$10:$AC$536,17,0)</f>
        <v>1.25</v>
      </c>
      <c r="M182" s="132">
        <f t="shared" si="158"/>
        <v>0.5</v>
      </c>
      <c r="N182" s="132">
        <f t="shared" si="159"/>
        <v>0.5</v>
      </c>
      <c r="O182" s="132">
        <f t="shared" si="84"/>
        <v>0</v>
      </c>
      <c r="P182" s="132">
        <f t="shared" si="85"/>
        <v>9.9999999999999978E-2</v>
      </c>
      <c r="Q182" s="132">
        <f t="shared" si="161"/>
        <v>0.6</v>
      </c>
      <c r="R182" s="402">
        <f t="shared" si="87"/>
        <v>0</v>
      </c>
      <c r="S182" s="402">
        <f t="shared" si="88"/>
        <v>0.6</v>
      </c>
      <c r="T182" s="402">
        <f t="shared" si="89"/>
        <v>0.6</v>
      </c>
      <c r="U182" s="127">
        <f>Q182+Q186+Q187+Q188</f>
        <v>5.1402000000000001</v>
      </c>
      <c r="V182" s="127">
        <f t="shared" ref="V182:W182" si="176">R182+R186+R187+R188</f>
        <v>2.4522000000000004</v>
      </c>
      <c r="W182" s="127">
        <f t="shared" si="176"/>
        <v>2.6879999999999997</v>
      </c>
      <c r="X182">
        <f t="shared" si="90"/>
        <v>0</v>
      </c>
      <c r="Y182">
        <f t="shared" si="91"/>
        <v>60</v>
      </c>
      <c r="Z182" s="127">
        <f t="shared" si="92"/>
        <v>24</v>
      </c>
      <c r="AA182" s="127">
        <f t="shared" si="93"/>
        <v>24</v>
      </c>
      <c r="AB182" s="127">
        <f t="shared" si="94"/>
        <v>0</v>
      </c>
      <c r="AC182" s="127">
        <f t="shared" si="77"/>
        <v>4.7999999999999989</v>
      </c>
      <c r="AD182" s="127">
        <f t="shared" si="78"/>
        <v>28.799999999999997</v>
      </c>
      <c r="AF182" s="127">
        <f>IFERROR(W182*'FlightConfig '!$K$3,"")</f>
        <v>0</v>
      </c>
      <c r="AG182" s="127">
        <f>IFERROR(X182*'FlightConfig '!$K$17,"")</f>
        <v>0</v>
      </c>
      <c r="AH182" s="127">
        <f>IFERROR(Y182*'FlightConfig '!$K$17,"")</f>
        <v>21840</v>
      </c>
      <c r="AI182" s="127">
        <f>IFERROR(Z182*'FlightConfig '!$K$17,"")</f>
        <v>8736</v>
      </c>
      <c r="AJ182" s="127">
        <f>IFERROR(AA182*'FlightConfig '!$K$17,"")</f>
        <v>8736</v>
      </c>
      <c r="AK182" s="127">
        <f>IFERROR(AB182*'FlightConfig '!$K$17,"")</f>
        <v>0</v>
      </c>
    </row>
    <row r="183" spans="1:37" ht="18" customHeight="1">
      <c r="A183" t="s">
        <v>157</v>
      </c>
      <c r="B183" s="171">
        <v>1</v>
      </c>
      <c r="C183" s="176" t="str">
        <f t="shared" si="157"/>
        <v>PREMIUM ECONOMY CLASS1104</v>
      </c>
      <c r="D183" s="311"/>
      <c r="E183" s="304">
        <v>1121</v>
      </c>
      <c r="F183" s="310">
        <v>104</v>
      </c>
      <c r="G183" t="str">
        <f>VLOOKUP(E183,'FG MASTER'!$A:$AB,2,0)</f>
        <v xml:space="preserve">PY C1 BREAKFAST ENTRÉE 1 SCRAMBLED EGGS, BAKED BEANS, PORK SAUSAGE, MUSHROOMS AND GRAPE TOMATO </v>
      </c>
      <c r="H183" s="285">
        <v>1</v>
      </c>
      <c r="I183" s="173">
        <v>0.4</v>
      </c>
      <c r="J183" s="291">
        <f>IFERROR(IF(I183="std",H183,HLOOKUP(A183,'FlightConfig '!$B$28:$G$29,2,0)*I183),"")</f>
        <v>19.200000000000003</v>
      </c>
      <c r="K183" s="244">
        <f>VLOOKUP(Food!E183,'FG MASTER'!$A$1:$AC$536,16,0)</f>
        <v>1.68</v>
      </c>
      <c r="L183" s="245">
        <f>VLOOKUP(Food!E183,'FG MASTER'!$A$10:$AC$536,17,0)</f>
        <v>3.5</v>
      </c>
      <c r="M183" s="132">
        <f t="shared" si="158"/>
        <v>1.4000000000000001</v>
      </c>
      <c r="N183" s="132">
        <f t="shared" si="159"/>
        <v>3.08</v>
      </c>
      <c r="O183" s="132">
        <f t="shared" si="84"/>
        <v>0.36959999999999993</v>
      </c>
      <c r="P183" s="132">
        <f t="shared" si="85"/>
        <v>0.28000000000000003</v>
      </c>
      <c r="Q183" s="132">
        <f t="shared" si="161"/>
        <v>3.7296000000000005</v>
      </c>
      <c r="R183" s="402">
        <f t="shared" si="87"/>
        <v>2.0495999999999999</v>
      </c>
      <c r="S183" s="402">
        <f t="shared" si="88"/>
        <v>1.6800000000000002</v>
      </c>
      <c r="T183" s="402">
        <f t="shared" si="89"/>
        <v>3.7296</v>
      </c>
      <c r="V183" s="127"/>
      <c r="W183" t="str">
        <f>IFERROR(#REF!*J183,"")</f>
        <v/>
      </c>
      <c r="X183">
        <f t="shared" si="90"/>
        <v>32.256</v>
      </c>
      <c r="Y183">
        <f t="shared" si="91"/>
        <v>67.200000000000017</v>
      </c>
      <c r="Z183" s="127">
        <f t="shared" si="92"/>
        <v>26.880000000000006</v>
      </c>
      <c r="AA183" s="127">
        <f t="shared" si="93"/>
        <v>59.13600000000001</v>
      </c>
      <c r="AB183" s="127">
        <f t="shared" si="94"/>
        <v>7.0963199999999995</v>
      </c>
      <c r="AC183" s="127">
        <f t="shared" si="77"/>
        <v>5.3760000000000012</v>
      </c>
      <c r="AD183" s="127">
        <f t="shared" si="78"/>
        <v>71.60832000000002</v>
      </c>
      <c r="AF183" s="127" t="str">
        <f>IFERROR(W183*'FlightConfig '!$K$3,"")</f>
        <v/>
      </c>
      <c r="AG183" s="127">
        <f>IFERROR(X183*'FlightConfig '!$K$17,"")</f>
        <v>11741.183999999999</v>
      </c>
      <c r="AH183" s="127">
        <f>IFERROR(Y183*'FlightConfig '!$K$17,"")</f>
        <v>24460.800000000007</v>
      </c>
      <c r="AI183" s="127">
        <f>IFERROR(Z183*'FlightConfig '!$K$17,"")</f>
        <v>9784.3200000000015</v>
      </c>
      <c r="AJ183" s="127">
        <f>IFERROR(AA183*'FlightConfig '!$K$17,"")</f>
        <v>21525.504000000004</v>
      </c>
      <c r="AK183" s="127">
        <f>IFERROR(AB183*'FlightConfig '!$K$17,"")</f>
        <v>2583.0604799999996</v>
      </c>
    </row>
    <row r="184" spans="1:37" ht="18" customHeight="1">
      <c r="A184" t="s">
        <v>157</v>
      </c>
      <c r="B184" s="171">
        <v>1</v>
      </c>
      <c r="C184" s="176" t="str">
        <f t="shared" si="157"/>
        <v>PREMIUM ECONOMY CLASS1104</v>
      </c>
      <c r="D184" s="311"/>
      <c r="E184" s="304">
        <v>1122</v>
      </c>
      <c r="F184" s="310">
        <v>104</v>
      </c>
      <c r="G184" t="str">
        <f>VLOOKUP(E184,'FG MASTER'!$A:$AB,2,0)</f>
        <v>PY C1 BREAKFAST ENTRÉE 2 FETA EGG BITES, POTATOES AND RED ONION HASH, SHAKSHUKA SAUCE, FETA CHEESE CRUMBLES</v>
      </c>
      <c r="H184" s="285">
        <v>1</v>
      </c>
      <c r="I184" s="173">
        <v>0.3</v>
      </c>
      <c r="J184" s="291">
        <f>IFERROR(IF(I184="std",H184,HLOOKUP(A184,'FlightConfig '!$B$28:$G$29,2,0)*I184),"")</f>
        <v>14.399999999999999</v>
      </c>
      <c r="K184" s="244">
        <f>VLOOKUP(Food!E184,'FG MASTER'!$A$1:$AC$536,16,0)</f>
        <v>1.64</v>
      </c>
      <c r="L184" s="245">
        <f>VLOOKUP(Food!E184,'FG MASTER'!$A$10:$AC$536,17,0)</f>
        <v>3.25</v>
      </c>
      <c r="M184" s="132">
        <f t="shared" si="158"/>
        <v>1.3</v>
      </c>
      <c r="N184" s="132">
        <f t="shared" si="159"/>
        <v>2.94</v>
      </c>
      <c r="O184" s="132">
        <f t="shared" si="84"/>
        <v>0.36080000000000001</v>
      </c>
      <c r="P184" s="132">
        <f t="shared" si="85"/>
        <v>0.26</v>
      </c>
      <c r="Q184" s="132">
        <f t="shared" si="161"/>
        <v>3.5607999999999995</v>
      </c>
      <c r="R184" s="402">
        <f t="shared" si="87"/>
        <v>2.0007999999999999</v>
      </c>
      <c r="S184" s="402">
        <f t="shared" si="88"/>
        <v>1.56</v>
      </c>
      <c r="T184" s="402">
        <f t="shared" si="89"/>
        <v>3.5608</v>
      </c>
      <c r="U184" s="127">
        <v>3.39</v>
      </c>
      <c r="V184" s="127"/>
      <c r="W184" t="str">
        <f>IFERROR(#REF!*J184,"")</f>
        <v/>
      </c>
      <c r="X184">
        <f t="shared" si="90"/>
        <v>23.615999999999996</v>
      </c>
      <c r="Y184">
        <f t="shared" si="91"/>
        <v>46.8</v>
      </c>
      <c r="Z184" s="127">
        <f t="shared" si="92"/>
        <v>18.72</v>
      </c>
      <c r="AA184" s="127">
        <f t="shared" si="93"/>
        <v>42.335999999999999</v>
      </c>
      <c r="AB184" s="127">
        <f t="shared" si="94"/>
        <v>5.1955199999999992</v>
      </c>
      <c r="AC184" s="127">
        <f t="shared" si="77"/>
        <v>3.7439999999999998</v>
      </c>
      <c r="AD184" s="127">
        <f t="shared" si="78"/>
        <v>51.275519999999986</v>
      </c>
      <c r="AF184" s="127" t="str">
        <f>IFERROR(W184*'FlightConfig '!$K$3,"")</f>
        <v/>
      </c>
      <c r="AG184" s="127">
        <f>IFERROR(X184*'FlightConfig '!$K$17,"")</f>
        <v>8596.2239999999983</v>
      </c>
      <c r="AH184" s="127">
        <f>IFERROR(Y184*'FlightConfig '!$K$17,"")</f>
        <v>17035.2</v>
      </c>
      <c r="AI184" s="127">
        <f>IFERROR(Z184*'FlightConfig '!$K$17,"")</f>
        <v>6814.08</v>
      </c>
      <c r="AJ184" s="127">
        <f>IFERROR(AA184*'FlightConfig '!$K$17,"")</f>
        <v>15410.304</v>
      </c>
      <c r="AK184" s="127">
        <f>IFERROR(AB184*'FlightConfig '!$K$17,"")</f>
        <v>1891.1692799999996</v>
      </c>
    </row>
    <row r="185" spans="1:37" ht="18" customHeight="1">
      <c r="A185" t="s">
        <v>157</v>
      </c>
      <c r="B185" s="171">
        <v>1</v>
      </c>
      <c r="C185" s="176" t="str">
        <f t="shared" si="157"/>
        <v>PREMIUM ECONOMY CLASS1104</v>
      </c>
      <c r="D185" s="311"/>
      <c r="E185" s="304">
        <v>1123</v>
      </c>
      <c r="F185" s="310">
        <v>104</v>
      </c>
      <c r="G185" t="str">
        <f>VLOOKUP(E185,'FG MASTER'!$A:$AB,2,0)</f>
        <v xml:space="preserve">PY C1 BREAKFAST ENTRÉE 3 CHALLAH FRENCH TOAST CASSEROLE WITH ORANGE WHIPPED RICOTTA, AND MORELLO CHERRY COMPOTE </v>
      </c>
      <c r="H185" s="285">
        <v>1</v>
      </c>
      <c r="I185" s="173">
        <v>0.2</v>
      </c>
      <c r="J185" s="291">
        <f>IFERROR(IF(I185="std",H185,HLOOKUP(A185,'FlightConfig '!$B$28:$G$29,2,0)*I185),"")</f>
        <v>9.6000000000000014</v>
      </c>
      <c r="K185" s="244">
        <f>VLOOKUP(Food!E185,'FG MASTER'!$A$1:$AC$536,16,0)</f>
        <v>1.17</v>
      </c>
      <c r="L185" s="245">
        <f>VLOOKUP(Food!E185,'FG MASTER'!$A$10:$AC$536,17,0)</f>
        <v>2.75</v>
      </c>
      <c r="M185" s="132">
        <f t="shared" si="158"/>
        <v>1.1000000000000001</v>
      </c>
      <c r="N185" s="132">
        <f t="shared" si="159"/>
        <v>2.27</v>
      </c>
      <c r="O185" s="132">
        <f t="shared" si="84"/>
        <v>0.25739999999999985</v>
      </c>
      <c r="P185" s="132">
        <f t="shared" si="85"/>
        <v>0.21999999999999997</v>
      </c>
      <c r="Q185" s="132">
        <v>2.62</v>
      </c>
      <c r="R185" s="402">
        <f>K185*(1+$O$2)</f>
        <v>1.4273999999999998</v>
      </c>
      <c r="S185" s="402">
        <f t="shared" si="88"/>
        <v>1.32</v>
      </c>
      <c r="T185" s="402">
        <v>2.62</v>
      </c>
      <c r="U185" s="127"/>
      <c r="V185" s="127"/>
      <c r="W185" t="str">
        <f>IFERROR(#REF!*J185,"")</f>
        <v/>
      </c>
      <c r="X185">
        <f t="shared" si="90"/>
        <v>11.232000000000001</v>
      </c>
      <c r="Y185">
        <f t="shared" si="91"/>
        <v>26.400000000000006</v>
      </c>
      <c r="Z185" s="127">
        <f t="shared" si="92"/>
        <v>10.560000000000002</v>
      </c>
      <c r="AA185" s="127">
        <f t="shared" si="93"/>
        <v>21.792000000000005</v>
      </c>
      <c r="AB185" s="127">
        <f t="shared" si="94"/>
        <v>2.471039999999999</v>
      </c>
      <c r="AC185" s="127">
        <f t="shared" si="77"/>
        <v>2.1120000000000001</v>
      </c>
      <c r="AD185" s="127">
        <f t="shared" si="78"/>
        <v>25.152000000000005</v>
      </c>
      <c r="AF185" s="127" t="str">
        <f>IFERROR(W185*'FlightConfig '!$K$3,"")</f>
        <v/>
      </c>
      <c r="AG185" s="127">
        <f>IFERROR(X185*'FlightConfig '!$K$17,"")</f>
        <v>4088.4480000000003</v>
      </c>
      <c r="AH185" s="127">
        <f>IFERROR(Y185*'FlightConfig '!$K$17,"")</f>
        <v>9609.6000000000022</v>
      </c>
      <c r="AI185" s="127">
        <f>IFERROR(Z185*'FlightConfig '!$K$17,"")</f>
        <v>3843.8400000000011</v>
      </c>
      <c r="AJ185" s="127">
        <f>IFERROR(AA185*'FlightConfig '!$K$17,"")</f>
        <v>7932.2880000000023</v>
      </c>
      <c r="AK185" s="127">
        <f>IFERROR(AB185*'FlightConfig '!$K$17,"")</f>
        <v>899.45855999999969</v>
      </c>
    </row>
    <row r="186" spans="1:37" ht="18" customHeight="1">
      <c r="A186" t="s">
        <v>157</v>
      </c>
      <c r="B186" s="171">
        <v>1</v>
      </c>
      <c r="C186" s="176" t="str">
        <f t="shared" si="157"/>
        <v>PREMIUM ECONOMY CLASS1104</v>
      </c>
      <c r="D186" s="311"/>
      <c r="E186" s="304">
        <v>1124</v>
      </c>
      <c r="F186" s="310">
        <v>104</v>
      </c>
      <c r="G186" t="str">
        <f>VLOOKUP(E186,'FG MASTER'!$A:$AB,2,0)</f>
        <v xml:space="preserve">PY C1 BREAKFAST SIDE 1 PEACH SLICE, STRAWBERRIES, BLUEBERRIES, AND MINT </v>
      </c>
      <c r="H186" s="285">
        <v>1</v>
      </c>
      <c r="I186" s="173">
        <v>1</v>
      </c>
      <c r="J186" s="291">
        <f>IFERROR(IF(I186="std",H186,HLOOKUP(A186,'FlightConfig '!$B$28:$G$29,2,0)*I186),"")</f>
        <v>48</v>
      </c>
      <c r="K186" s="244">
        <f>VLOOKUP(Food!E186,'FG MASTER'!$A$1:$AC$536,16,0)</f>
        <v>1</v>
      </c>
      <c r="L186" s="245">
        <f>VLOOKUP(Food!E186,'FG MASTER'!$A$10:$AC$536,17,0)</f>
        <v>1.35</v>
      </c>
      <c r="M186" s="132">
        <f t="shared" si="158"/>
        <v>0.54</v>
      </c>
      <c r="N186" s="132">
        <f t="shared" si="159"/>
        <v>1.54</v>
      </c>
      <c r="O186" s="132">
        <f t="shared" si="84"/>
        <v>0.21999999999999997</v>
      </c>
      <c r="P186" s="132">
        <f t="shared" si="85"/>
        <v>0.10799999999999998</v>
      </c>
      <c r="Q186" s="132">
        <f t="shared" si="161"/>
        <v>1.8679999999999999</v>
      </c>
      <c r="R186" s="402">
        <f t="shared" si="87"/>
        <v>1.22</v>
      </c>
      <c r="S186" s="402">
        <f t="shared" si="88"/>
        <v>0.64800000000000002</v>
      </c>
      <c r="T186" s="402">
        <f t="shared" si="89"/>
        <v>1.8679999999999999</v>
      </c>
      <c r="U186" s="127"/>
      <c r="V186" s="127"/>
      <c r="W186" t="str">
        <f>IFERROR(#REF!*J186,"")</f>
        <v/>
      </c>
      <c r="X186">
        <f t="shared" si="90"/>
        <v>48</v>
      </c>
      <c r="Y186">
        <f t="shared" si="91"/>
        <v>64.800000000000011</v>
      </c>
      <c r="Z186" s="127">
        <f t="shared" si="92"/>
        <v>25.92</v>
      </c>
      <c r="AA186" s="127">
        <f t="shared" si="93"/>
        <v>73.92</v>
      </c>
      <c r="AB186" s="127">
        <f t="shared" si="94"/>
        <v>10.559999999999999</v>
      </c>
      <c r="AC186" s="127">
        <f t="shared" si="77"/>
        <v>5.1839999999999993</v>
      </c>
      <c r="AD186" s="127">
        <f t="shared" si="78"/>
        <v>89.663999999999987</v>
      </c>
      <c r="AF186" s="127" t="str">
        <f>IFERROR(W186*'FlightConfig '!$K$3,"")</f>
        <v/>
      </c>
      <c r="AG186" s="127">
        <f>IFERROR(X186*'FlightConfig '!$K$17,"")</f>
        <v>17472</v>
      </c>
      <c r="AH186" s="127">
        <f>IFERROR(Y186*'FlightConfig '!$K$17,"")</f>
        <v>23587.200000000004</v>
      </c>
      <c r="AI186" s="127">
        <f>IFERROR(Z186*'FlightConfig '!$K$17,"")</f>
        <v>9434.880000000001</v>
      </c>
      <c r="AJ186" s="127">
        <f>IFERROR(AA186*'FlightConfig '!$K$17,"")</f>
        <v>26906.880000000001</v>
      </c>
      <c r="AK186" s="127">
        <f>IFERROR(AB186*'FlightConfig '!$K$17,"")</f>
        <v>3843.8399999999997</v>
      </c>
    </row>
    <row r="187" spans="1:37" ht="18" customHeight="1">
      <c r="A187" t="s">
        <v>157</v>
      </c>
      <c r="B187" s="171">
        <v>1</v>
      </c>
      <c r="C187" s="176" t="str">
        <f t="shared" ref="C187" si="177">CONCATENATE(A187&amp;B187&amp;F187)</f>
        <v>PREMIUM ECONOMY CLASS1104</v>
      </c>
      <c r="D187" s="311"/>
      <c r="E187" s="304">
        <v>1125</v>
      </c>
      <c r="F187" s="310">
        <v>104</v>
      </c>
      <c r="G187" t="str">
        <f>VLOOKUP(E187,'FG MASTER'!$A:$AB,2,0)</f>
        <v>PY C1 BREAKFAST SIDE 2 GREEK YOGURT 112G</v>
      </c>
      <c r="H187" s="285">
        <v>1</v>
      </c>
      <c r="I187" s="173">
        <v>1</v>
      </c>
      <c r="J187" s="291">
        <f>IFERROR(IF(I187="std",H187,HLOOKUP(A187,'FlightConfig '!$B$28:$G$29,2,0)*I187),"")</f>
        <v>48</v>
      </c>
      <c r="K187" s="244">
        <f>VLOOKUP(Food!E187,'FG MASTER'!$A$1:$AC$536,16,0)</f>
        <v>0.46</v>
      </c>
      <c r="L187" s="245">
        <f>VLOOKUP(Food!E187,'FG MASTER'!$A$10:$AC$536,17,0)</f>
        <v>0.5</v>
      </c>
      <c r="M187" s="132">
        <f>IFERROR(L187*$M$2,"")</f>
        <v>0.2</v>
      </c>
      <c r="N187" s="132">
        <f t="shared" ref="N187" si="178">IFERROR((K187)+M187,"")</f>
        <v>0.66</v>
      </c>
      <c r="O187" s="132">
        <f t="shared" si="84"/>
        <v>0.10120000000000001</v>
      </c>
      <c r="P187" s="132">
        <f t="shared" si="85"/>
        <v>3.999999999999998E-2</v>
      </c>
      <c r="Q187" s="132">
        <f t="shared" ref="Q187" si="179">SUM(N187:P187)</f>
        <v>0.80120000000000013</v>
      </c>
      <c r="R187" s="402">
        <f t="shared" ref="R187" si="180">K187*(1+$O$2)</f>
        <v>0.56120000000000003</v>
      </c>
      <c r="S187" s="402">
        <f t="shared" ref="S187" si="181">M187*(1+$P$2)</f>
        <v>0.24</v>
      </c>
      <c r="T187" s="402">
        <f t="shared" ref="T187" si="182">R187+S187</f>
        <v>0.80120000000000002</v>
      </c>
      <c r="U187" s="127"/>
      <c r="V187" s="127"/>
      <c r="W187" t="str">
        <f>IFERROR(#REF!*J187,"")</f>
        <v/>
      </c>
      <c r="X187">
        <f t="shared" ref="X187" si="183">IFERROR(K187*J187,"")</f>
        <v>22.080000000000002</v>
      </c>
      <c r="Y187">
        <f t="shared" ref="Y187" si="184">IFERROR(+L187*J187,"")</f>
        <v>24</v>
      </c>
      <c r="Z187" s="127">
        <f t="shared" ref="Z187" si="185">IFERROR(+M187*J187,"")</f>
        <v>9.6000000000000014</v>
      </c>
      <c r="AA187" s="127">
        <f t="shared" ref="AA187" si="186">IFERROR(+N187*J187,"")</f>
        <v>31.68</v>
      </c>
      <c r="AB187" s="127">
        <f t="shared" ref="AB187" si="187">IFERROR(O187*$J187,"")</f>
        <v>4.8576000000000006</v>
      </c>
      <c r="AC187" s="127">
        <f t="shared" ref="AC187" si="188">IFERROR(P187*$J187,"")</f>
        <v>1.919999999999999</v>
      </c>
      <c r="AD187" s="127">
        <f t="shared" ref="AD187" si="189">IFERROR(+Q187*J187,"")</f>
        <v>38.457600000000006</v>
      </c>
      <c r="AF187" s="127" t="str">
        <f>IFERROR(W187*'FlightConfig '!$K$3,"")</f>
        <v/>
      </c>
      <c r="AG187" s="127">
        <f>IFERROR(X187*'FlightConfig '!$K$17,"")</f>
        <v>8037.1200000000008</v>
      </c>
      <c r="AH187" s="127">
        <f>IFERROR(Y187*'FlightConfig '!$K$17,"")</f>
        <v>8736</v>
      </c>
      <c r="AI187" s="127">
        <f>IFERROR(Z187*'FlightConfig '!$K$17,"")</f>
        <v>3494.4000000000005</v>
      </c>
      <c r="AJ187" s="127">
        <f>IFERROR(AA187*'FlightConfig '!$K$17,"")</f>
        <v>11531.52</v>
      </c>
      <c r="AK187" s="127">
        <f>IFERROR(AB187*'FlightConfig '!$K$17,"")</f>
        <v>1768.1664000000003</v>
      </c>
    </row>
    <row r="188" spans="1:37" ht="18" customHeight="1">
      <c r="A188" t="s">
        <v>157</v>
      </c>
      <c r="B188" s="171">
        <v>1</v>
      </c>
      <c r="C188" s="176" t="str">
        <f t="shared" si="157"/>
        <v>PREMIUM ECONOMY CLASS1104</v>
      </c>
      <c r="D188" s="311"/>
      <c r="E188" s="304">
        <v>1126</v>
      </c>
      <c r="F188" s="310">
        <v>104</v>
      </c>
      <c r="G188" t="str">
        <f>VLOOKUP(E188,'FG MASTER'!$A:$AB,2,0)</f>
        <v>PY C1 BREAKFAST SIDE 3 PEACH AND PECAN SCONE</v>
      </c>
      <c r="H188" s="285">
        <v>1</v>
      </c>
      <c r="I188" s="173">
        <v>0</v>
      </c>
      <c r="J188" s="291">
        <f>IFERROR(IF(I188="std",H188,HLOOKUP(A188,'FlightConfig '!$B$28:$G$29,2,0)*I188),"")</f>
        <v>0</v>
      </c>
      <c r="K188" s="244">
        <f>VLOOKUP(Food!E188,'FG MASTER'!$A$1:$AC$536,16,0)</f>
        <v>0.55000000000000004</v>
      </c>
      <c r="L188" s="245">
        <f>VLOOKUP(Food!E188,'FG MASTER'!$A$10:$AC$536,17,0)</f>
        <v>2.5</v>
      </c>
      <c r="M188" s="132">
        <f>IFERROR(L188*$M$2,"")</f>
        <v>1</v>
      </c>
      <c r="N188" s="132">
        <f t="shared" si="159"/>
        <v>1.55</v>
      </c>
      <c r="O188" s="132">
        <f t="shared" si="84"/>
        <v>0.121</v>
      </c>
      <c r="P188" s="132">
        <f t="shared" si="85"/>
        <v>0.19999999999999996</v>
      </c>
      <c r="Q188" s="132">
        <f t="shared" si="161"/>
        <v>1.871</v>
      </c>
      <c r="R188" s="402">
        <f t="shared" si="87"/>
        <v>0.67100000000000004</v>
      </c>
      <c r="S188" s="402">
        <f t="shared" si="88"/>
        <v>1.2</v>
      </c>
      <c r="T188" s="402">
        <f t="shared" si="89"/>
        <v>1.871</v>
      </c>
      <c r="U188" s="127"/>
      <c r="V188" s="127"/>
      <c r="W188" t="str">
        <f>IFERROR(#REF!*J188,"")</f>
        <v/>
      </c>
      <c r="X188">
        <f t="shared" si="90"/>
        <v>0</v>
      </c>
      <c r="Y188">
        <f t="shared" si="91"/>
        <v>0</v>
      </c>
      <c r="Z188" s="127">
        <f t="shared" si="92"/>
        <v>0</v>
      </c>
      <c r="AA188" s="127">
        <f t="shared" si="93"/>
        <v>0</v>
      </c>
      <c r="AB188" s="127">
        <f t="shared" si="94"/>
        <v>0</v>
      </c>
      <c r="AC188" s="127">
        <f t="shared" si="77"/>
        <v>0</v>
      </c>
      <c r="AD188" s="127">
        <f t="shared" si="78"/>
        <v>0</v>
      </c>
      <c r="AF188" s="127" t="str">
        <f>IFERROR(W188*'FlightConfig '!$K$3,"")</f>
        <v/>
      </c>
      <c r="AG188" s="127">
        <f>IFERROR(X188*'FlightConfig '!$K$17,"")</f>
        <v>0</v>
      </c>
      <c r="AH188" s="127">
        <f>IFERROR(Y188*'FlightConfig '!$K$17,"")</f>
        <v>0</v>
      </c>
      <c r="AI188" s="127">
        <f>IFERROR(Z188*'FlightConfig '!$K$17,"")</f>
        <v>0</v>
      </c>
      <c r="AJ188" s="127">
        <f>IFERROR(AA188*'FlightConfig '!$K$17,"")</f>
        <v>0</v>
      </c>
      <c r="AK188" s="127">
        <f>IFERROR(AB188*'FlightConfig '!$K$17,"")</f>
        <v>0</v>
      </c>
    </row>
    <row r="189" spans="1:37" ht="18" customHeight="1">
      <c r="A189" t="s">
        <v>158</v>
      </c>
      <c r="B189" s="171">
        <v>1</v>
      </c>
      <c r="C189" s="176" t="str">
        <f t="shared" si="157"/>
        <v>ECONOMY CLASS1104</v>
      </c>
      <c r="D189" s="311"/>
      <c r="E189" s="304">
        <v>1127</v>
      </c>
      <c r="F189" s="310">
        <v>104</v>
      </c>
      <c r="G189" t="str">
        <f>VLOOKUP(E189,'FG MASTER'!$A:$AB,2,0)</f>
        <v>YC C1 DINNER TSU</v>
      </c>
      <c r="H189" s="285">
        <v>1</v>
      </c>
      <c r="I189" s="173">
        <v>1</v>
      </c>
      <c r="J189" s="291">
        <f>IFERROR(IF(I189="std",H189,HLOOKUP(A189,'FlightConfig '!$B$28:$G$29,2,0)*I189),"")</f>
        <v>198</v>
      </c>
      <c r="K189" s="244">
        <f>VLOOKUP(Food!E189,'FG MASTER'!$A$1:$AC$536,16,0)</f>
        <v>0</v>
      </c>
      <c r="L189" s="245">
        <f>VLOOKUP(Food!E189,'FG MASTER'!$A$10:$AC$536,17,0)</f>
        <v>0.5</v>
      </c>
      <c r="M189" s="132">
        <f t="shared" ref="M189:M200" si="190">IFERROR(L189*$M$2,"")</f>
        <v>0.2</v>
      </c>
      <c r="N189" s="132">
        <f t="shared" si="159"/>
        <v>0.2</v>
      </c>
      <c r="O189" s="132">
        <f t="shared" si="84"/>
        <v>0</v>
      </c>
      <c r="P189" s="132">
        <f t="shared" si="85"/>
        <v>3.999999999999998E-2</v>
      </c>
      <c r="Q189" s="132">
        <f t="shared" si="161"/>
        <v>0.24</v>
      </c>
      <c r="R189" s="402">
        <f t="shared" si="87"/>
        <v>0</v>
      </c>
      <c r="S189" s="402">
        <f t="shared" si="88"/>
        <v>0.24</v>
      </c>
      <c r="T189" s="402">
        <f t="shared" si="89"/>
        <v>0.24</v>
      </c>
      <c r="U189" s="127">
        <f>Q189+Q190+Q191+Q194+Q197+Q192+Q193</f>
        <v>5.2017999999999995</v>
      </c>
      <c r="V189" s="127">
        <f>R189+R190+R191+R194+R197+R192+R193</f>
        <v>3.2818000000000001</v>
      </c>
      <c r="W189" s="127">
        <f>S189+S190+S191+S194+S197+S192+S193</f>
        <v>1.9200000000000004</v>
      </c>
      <c r="X189">
        <f t="shared" si="90"/>
        <v>0</v>
      </c>
      <c r="Y189">
        <f t="shared" si="91"/>
        <v>99</v>
      </c>
      <c r="Z189" s="127">
        <f t="shared" si="92"/>
        <v>39.6</v>
      </c>
      <c r="AA189" s="127">
        <f t="shared" si="93"/>
        <v>39.6</v>
      </c>
      <c r="AB189" s="127">
        <f t="shared" si="94"/>
        <v>0</v>
      </c>
      <c r="AC189" s="127">
        <f t="shared" si="77"/>
        <v>7.9199999999999964</v>
      </c>
      <c r="AD189" s="127">
        <f t="shared" si="78"/>
        <v>47.519999999999996</v>
      </c>
      <c r="AF189" s="127">
        <f>IFERROR(W189*'FlightConfig '!$K$3,"")</f>
        <v>0</v>
      </c>
      <c r="AG189" s="127">
        <f>IFERROR(X189*'FlightConfig '!$K$17,"")</f>
        <v>0</v>
      </c>
      <c r="AH189" s="127">
        <f>IFERROR(Y189*'FlightConfig '!$K$17,"")</f>
        <v>36036</v>
      </c>
      <c r="AI189" s="127">
        <f>IFERROR(Z189*'FlightConfig '!$K$17,"")</f>
        <v>14414.4</v>
      </c>
      <c r="AJ189" s="127">
        <f>IFERROR(AA189*'FlightConfig '!$K$17,"")</f>
        <v>14414.4</v>
      </c>
      <c r="AK189" s="127">
        <f>IFERROR(AB189*'FlightConfig '!$K$17,"")</f>
        <v>0</v>
      </c>
    </row>
    <row r="190" spans="1:37" ht="18" customHeight="1">
      <c r="A190" t="s">
        <v>158</v>
      </c>
      <c r="B190" s="171">
        <v>1</v>
      </c>
      <c r="C190" s="176" t="str">
        <f>CONCATENATE(A190&amp;B190&amp;F190)</f>
        <v>ECONOMY CLASS1104</v>
      </c>
      <c r="D190" s="311"/>
      <c r="E190" s="304">
        <v>1128</v>
      </c>
      <c r="F190" s="310">
        <v>104</v>
      </c>
      <c r="G190" t="str">
        <f>VLOOKUP(E190,'FG MASTER'!$A:$AB,2,0)</f>
        <v xml:space="preserve">YC C1 DINNER BREAD SOURDOUGH ROLL </v>
      </c>
      <c r="H190" s="285">
        <v>1</v>
      </c>
      <c r="I190" s="173">
        <v>1</v>
      </c>
      <c r="J190" s="291">
        <f>IFERROR(IF(I190="std",H190,HLOOKUP(A190,'FlightConfig '!$B$28:$G$29,2,0)*I190),"")</f>
        <v>198</v>
      </c>
      <c r="K190" s="244">
        <f>VLOOKUP(Food!E190,'FG MASTER'!$A$1:$AC$536,16,0)</f>
        <v>0.3</v>
      </c>
      <c r="L190" s="245">
        <f>VLOOKUP(Food!E190,'FG MASTER'!$A$10:$AC$536,17,0)</f>
        <v>0.25</v>
      </c>
      <c r="M190" s="132">
        <f t="shared" si="190"/>
        <v>0.1</v>
      </c>
      <c r="N190" s="132">
        <f>IFERROR((K190)+M190,"")</f>
        <v>0.4</v>
      </c>
      <c r="O190" s="132">
        <f t="shared" si="84"/>
        <v>6.6000000000000003E-2</v>
      </c>
      <c r="P190" s="132">
        <f t="shared" si="85"/>
        <v>1.999999999999999E-2</v>
      </c>
      <c r="Q190" s="132">
        <f t="shared" si="161"/>
        <v>0.48599999999999999</v>
      </c>
      <c r="R190" s="402">
        <f t="shared" si="87"/>
        <v>0.36599999999999999</v>
      </c>
      <c r="S190" s="402">
        <f t="shared" si="88"/>
        <v>0.12</v>
      </c>
      <c r="T190" s="402">
        <f t="shared" si="89"/>
        <v>0.48599999999999999</v>
      </c>
      <c r="U190" s="127"/>
      <c r="V190" s="127"/>
      <c r="W190" t="str">
        <f>IFERROR(#REF!*J190,"")</f>
        <v/>
      </c>
      <c r="X190">
        <f t="shared" si="90"/>
        <v>59.4</v>
      </c>
      <c r="Y190">
        <f t="shared" si="91"/>
        <v>49.5</v>
      </c>
      <c r="Z190" s="127">
        <f t="shared" si="92"/>
        <v>19.8</v>
      </c>
      <c r="AA190" s="127">
        <f t="shared" si="93"/>
        <v>79.2</v>
      </c>
      <c r="AB190" s="127">
        <f t="shared" si="94"/>
        <v>13.068000000000001</v>
      </c>
      <c r="AC190" s="127">
        <f t="shared" si="77"/>
        <v>3.9599999999999982</v>
      </c>
      <c r="AD190" s="127">
        <f t="shared" si="78"/>
        <v>96.227999999999994</v>
      </c>
      <c r="AF190" s="127" t="str">
        <f>IFERROR(W190*'FlightConfig '!$K$3,"")</f>
        <v/>
      </c>
      <c r="AG190" s="127">
        <f>IFERROR(X190*'FlightConfig '!$K$17,"")</f>
        <v>21621.599999999999</v>
      </c>
      <c r="AH190" s="127">
        <f>IFERROR(Y190*'FlightConfig '!$K$17,"")</f>
        <v>18018</v>
      </c>
      <c r="AI190" s="127">
        <f>IFERROR(Z190*'FlightConfig '!$K$17,"")</f>
        <v>7207.2</v>
      </c>
      <c r="AJ190" s="127">
        <f>IFERROR(AA190*'FlightConfig '!$K$17,"")</f>
        <v>28828.799999999999</v>
      </c>
      <c r="AK190" s="127">
        <f>IFERROR(AB190*'FlightConfig '!$K$17,"")</f>
        <v>4756.7520000000004</v>
      </c>
    </row>
    <row r="191" spans="1:37" ht="18" customHeight="1">
      <c r="A191" t="s">
        <v>158</v>
      </c>
      <c r="B191" s="171">
        <v>1</v>
      </c>
      <c r="C191" s="176" t="str">
        <f>CONCATENATE(A191&amp;B191&amp;F191)</f>
        <v>ECONOMY CLASS1104</v>
      </c>
      <c r="D191" s="311"/>
      <c r="E191" s="304">
        <v>1129</v>
      </c>
      <c r="F191" s="310">
        <v>104</v>
      </c>
      <c r="G191" t="str">
        <f>VLOOKUP(E191,'FG MASTER'!$A:$AB,2,0)</f>
        <v>YC C1 DINNER BUTTER</v>
      </c>
      <c r="H191" s="285">
        <v>1</v>
      </c>
      <c r="I191" s="173">
        <v>1</v>
      </c>
      <c r="J191" s="291">
        <f>IFERROR(IF(I191="std",H191,HLOOKUP(A191,'FlightConfig '!$B$28:$G$29,2,0)*I191),"")</f>
        <v>198</v>
      </c>
      <c r="K191" s="244">
        <f>VLOOKUP(Food!E191,'FG MASTER'!$A$1:$AC$536,16,0)</f>
        <v>0.3</v>
      </c>
      <c r="L191" s="245">
        <f>VLOOKUP(Food!E191,'FG MASTER'!$A$10:$AC$536,17,0)</f>
        <v>0.25</v>
      </c>
      <c r="M191" s="132">
        <f t="shared" si="190"/>
        <v>0.1</v>
      </c>
      <c r="N191" s="132">
        <f>IFERROR((K191)+M191,"")</f>
        <v>0.4</v>
      </c>
      <c r="O191" s="132">
        <f t="shared" si="84"/>
        <v>6.6000000000000003E-2</v>
      </c>
      <c r="P191" s="132">
        <f t="shared" si="85"/>
        <v>1.999999999999999E-2</v>
      </c>
      <c r="Q191" s="132">
        <f t="shared" ref="Q191:Q210" si="191">SUM(N191:P191)</f>
        <v>0.48599999999999999</v>
      </c>
      <c r="R191" s="402">
        <f t="shared" si="87"/>
        <v>0.36599999999999999</v>
      </c>
      <c r="S191" s="402">
        <f t="shared" si="88"/>
        <v>0.12</v>
      </c>
      <c r="T191" s="402">
        <f t="shared" si="89"/>
        <v>0.48599999999999999</v>
      </c>
      <c r="U191" s="127"/>
      <c r="V191" s="127"/>
      <c r="W191" t="str">
        <f>IFERROR(#REF!*J191,"")</f>
        <v/>
      </c>
      <c r="X191">
        <f t="shared" si="90"/>
        <v>59.4</v>
      </c>
      <c r="Y191">
        <f t="shared" si="91"/>
        <v>49.5</v>
      </c>
      <c r="Z191" s="127">
        <f t="shared" si="92"/>
        <v>19.8</v>
      </c>
      <c r="AA191" s="127">
        <f t="shared" si="93"/>
        <v>79.2</v>
      </c>
      <c r="AB191" s="127">
        <f t="shared" si="94"/>
        <v>13.068000000000001</v>
      </c>
      <c r="AC191" s="127">
        <f t="shared" si="77"/>
        <v>3.9599999999999982</v>
      </c>
      <c r="AD191" s="127">
        <f t="shared" si="78"/>
        <v>96.227999999999994</v>
      </c>
      <c r="AF191" s="127" t="str">
        <f>IFERROR(W191*'FlightConfig '!$K$3,"")</f>
        <v/>
      </c>
      <c r="AG191" s="127">
        <f>IFERROR(X191*'FlightConfig '!$K$17,"")</f>
        <v>21621.599999999999</v>
      </c>
      <c r="AH191" s="127">
        <f>IFERROR(Y191*'FlightConfig '!$K$17,"")</f>
        <v>18018</v>
      </c>
      <c r="AI191" s="127">
        <f>IFERROR(Z191*'FlightConfig '!$K$17,"")</f>
        <v>7207.2</v>
      </c>
      <c r="AJ191" s="127">
        <f>IFERROR(AA191*'FlightConfig '!$K$17,"")</f>
        <v>28828.799999999999</v>
      </c>
      <c r="AK191" s="127">
        <f>IFERROR(AB191*'FlightConfig '!$K$17,"")</f>
        <v>4756.7520000000004</v>
      </c>
    </row>
    <row r="192" spans="1:37" ht="18" customHeight="1">
      <c r="A192" t="s">
        <v>158</v>
      </c>
      <c r="B192" s="171">
        <v>1</v>
      </c>
      <c r="C192" s="176" t="str">
        <f>CONCATENATE(A192&amp;B192&amp;F192)</f>
        <v>ECONOMY CLASS1104</v>
      </c>
      <c r="D192" s="311"/>
      <c r="E192" s="304">
        <v>1153</v>
      </c>
      <c r="F192" s="310">
        <v>104</v>
      </c>
      <c r="G192" t="str">
        <f>VLOOKUP(E192,'FG MASTER'!$A:$AB,2,0)</f>
        <v>YC C1 DINNER TILLAMOOK CHEESE</v>
      </c>
      <c r="H192" s="285">
        <v>1</v>
      </c>
      <c r="I192" s="173">
        <v>1</v>
      </c>
      <c r="J192" s="291">
        <f>IFERROR(IF(I192="std",H192,HLOOKUP(A192,'FlightConfig '!$B$28:$G$29,2,0)*I192),"")</f>
        <v>198</v>
      </c>
      <c r="K192" s="244">
        <f>VLOOKUP(Food!E192,'FG MASTER'!$A$1:$AC$536,16,0)</f>
        <v>0.5</v>
      </c>
      <c r="L192" s="245">
        <f>VLOOKUP(Food!E192,'FG MASTER'!$A$10:$AC$536,17,0)</f>
        <v>0.25</v>
      </c>
      <c r="M192" s="132">
        <f t="shared" ref="M192:M193" si="192">IFERROR(L192*$M$2,"")</f>
        <v>0.1</v>
      </c>
      <c r="N192" s="132">
        <f>IFERROR((K192)+M192,"")</f>
        <v>0.6</v>
      </c>
      <c r="O192" s="132">
        <f t="shared" si="84"/>
        <v>0.10999999999999999</v>
      </c>
      <c r="P192" s="132">
        <f t="shared" si="85"/>
        <v>1.999999999999999E-2</v>
      </c>
      <c r="Q192" s="132">
        <f t="shared" ref="Q192:Q193" si="193">SUM(N192:P192)</f>
        <v>0.73</v>
      </c>
      <c r="R192" s="402">
        <f t="shared" ref="R192:R193" si="194">K192*(1+$O$2)</f>
        <v>0.61</v>
      </c>
      <c r="S192" s="402">
        <f t="shared" ref="S192:S193" si="195">M192*(1+$P$2)</f>
        <v>0.12</v>
      </c>
      <c r="T192" s="402">
        <f t="shared" ref="T192:T193" si="196">R192+S192</f>
        <v>0.73</v>
      </c>
      <c r="U192" s="127"/>
      <c r="V192" s="127"/>
      <c r="W192" t="str">
        <f>IFERROR(#REF!*J192,"")</f>
        <v/>
      </c>
      <c r="X192">
        <f t="shared" ref="X192:X193" si="197">IFERROR(K192*J192,"")</f>
        <v>99</v>
      </c>
      <c r="Y192">
        <f t="shared" ref="Y192:Y193" si="198">IFERROR(+L192*J192,"")</f>
        <v>49.5</v>
      </c>
      <c r="Z192" s="127">
        <f t="shared" ref="Z192:Z193" si="199">IFERROR(+M192*J192,"")</f>
        <v>19.8</v>
      </c>
      <c r="AA192" s="127">
        <f t="shared" ref="AA192:AA193" si="200">IFERROR(+N192*J192,"")</f>
        <v>118.8</v>
      </c>
      <c r="AB192" s="127">
        <f t="shared" ref="AB192:AB193" si="201">IFERROR(O192*$J192,"")</f>
        <v>21.779999999999998</v>
      </c>
      <c r="AC192" s="127">
        <f t="shared" ref="AC192:AC193" si="202">IFERROR(P192*$J192,"")</f>
        <v>3.9599999999999982</v>
      </c>
      <c r="AD192" s="127">
        <f t="shared" ref="AD192:AD193" si="203">IFERROR(+Q192*J192,"")</f>
        <v>144.54</v>
      </c>
      <c r="AF192" s="127" t="str">
        <f>IFERROR(W192*'FlightConfig '!$K$3,"")</f>
        <v/>
      </c>
      <c r="AG192" s="127">
        <f>IFERROR(X192*'FlightConfig '!$K$17,"")</f>
        <v>36036</v>
      </c>
      <c r="AH192" s="127">
        <f>IFERROR(Y192*'FlightConfig '!$K$17,"")</f>
        <v>18018</v>
      </c>
      <c r="AI192" s="127">
        <f>IFERROR(Z192*'FlightConfig '!$K$17,"")</f>
        <v>7207.2</v>
      </c>
      <c r="AJ192" s="127">
        <f>IFERROR(AA192*'FlightConfig '!$K$17,"")</f>
        <v>43243.199999999997</v>
      </c>
      <c r="AK192" s="127">
        <f>IFERROR(AB192*'FlightConfig '!$K$17,"")</f>
        <v>7927.9199999999992</v>
      </c>
    </row>
    <row r="193" spans="1:37" ht="18" customHeight="1">
      <c r="A193" t="s">
        <v>158</v>
      </c>
      <c r="B193" s="171">
        <v>1</v>
      </c>
      <c r="C193" s="176" t="str">
        <f>CONCATENATE(A193&amp;B193&amp;F193)</f>
        <v>ECONOMY CLASS1104</v>
      </c>
      <c r="D193" s="311"/>
      <c r="E193" s="304">
        <v>1154</v>
      </c>
      <c r="F193" s="310">
        <v>104</v>
      </c>
      <c r="G193" t="str">
        <f>VLOOKUP(E193,'FG MASTER'!$A:$AB,2,0)</f>
        <v xml:space="preserve">YC C1 DINNER SALAD DRESSING </v>
      </c>
      <c r="H193" s="285">
        <v>1</v>
      </c>
      <c r="I193" s="173">
        <v>1</v>
      </c>
      <c r="J193" s="291">
        <f>IFERROR(IF(I193="std",H193,HLOOKUP(A193,'FlightConfig '!$B$28:$G$29,2,0)*I193),"")</f>
        <v>198</v>
      </c>
      <c r="K193" s="244">
        <f>VLOOKUP(Food!E193,'FG MASTER'!$A$1:$AC$536,16,0)</f>
        <v>0.4</v>
      </c>
      <c r="L193" s="245">
        <f>VLOOKUP(Food!E193,'FG MASTER'!$A$10:$AC$536,17,0)</f>
        <v>0.25</v>
      </c>
      <c r="M193" s="132">
        <f t="shared" si="192"/>
        <v>0.1</v>
      </c>
      <c r="N193" s="132">
        <f>IFERROR((K193)+M193,"")</f>
        <v>0.5</v>
      </c>
      <c r="O193" s="132">
        <f t="shared" si="84"/>
        <v>8.7999999999999967E-2</v>
      </c>
      <c r="P193" s="132">
        <f t="shared" si="85"/>
        <v>1.999999999999999E-2</v>
      </c>
      <c r="Q193" s="132">
        <f t="shared" si="193"/>
        <v>0.60799999999999998</v>
      </c>
      <c r="R193" s="402">
        <f t="shared" si="194"/>
        <v>0.48799999999999999</v>
      </c>
      <c r="S193" s="402">
        <f t="shared" si="195"/>
        <v>0.12</v>
      </c>
      <c r="T193" s="402">
        <f t="shared" si="196"/>
        <v>0.60799999999999998</v>
      </c>
      <c r="U193" s="127"/>
      <c r="V193" s="127"/>
      <c r="W193" t="str">
        <f>IFERROR(#REF!*J193,"")</f>
        <v/>
      </c>
      <c r="X193">
        <f t="shared" si="197"/>
        <v>79.2</v>
      </c>
      <c r="Y193">
        <f t="shared" si="198"/>
        <v>49.5</v>
      </c>
      <c r="Z193" s="127">
        <f t="shared" si="199"/>
        <v>19.8</v>
      </c>
      <c r="AA193" s="127">
        <f t="shared" si="200"/>
        <v>99</v>
      </c>
      <c r="AB193" s="127">
        <f t="shared" si="201"/>
        <v>17.423999999999992</v>
      </c>
      <c r="AC193" s="127">
        <f t="shared" si="202"/>
        <v>3.9599999999999982</v>
      </c>
      <c r="AD193" s="127">
        <f t="shared" si="203"/>
        <v>120.384</v>
      </c>
      <c r="AF193" s="127" t="str">
        <f>IFERROR(W193*'FlightConfig '!$K$3,"")</f>
        <v/>
      </c>
      <c r="AG193" s="127">
        <f>IFERROR(X193*'FlightConfig '!$K$17,"")</f>
        <v>28828.799999999999</v>
      </c>
      <c r="AH193" s="127">
        <f>IFERROR(Y193*'FlightConfig '!$K$17,"")</f>
        <v>18018</v>
      </c>
      <c r="AI193" s="127">
        <f>IFERROR(Z193*'FlightConfig '!$K$17,"")</f>
        <v>7207.2</v>
      </c>
      <c r="AJ193" s="127">
        <f>IFERROR(AA193*'FlightConfig '!$K$17,"")</f>
        <v>36036</v>
      </c>
      <c r="AK193" s="127">
        <f>IFERROR(AB193*'FlightConfig '!$K$17,"")</f>
        <v>6342.3359999999975</v>
      </c>
    </row>
    <row r="194" spans="1:37" ht="18" customHeight="1">
      <c r="A194" t="s">
        <v>158</v>
      </c>
      <c r="B194" s="171">
        <v>1</v>
      </c>
      <c r="C194" s="176" t="str">
        <f>CONCATENATE(A194&amp;B194&amp;F194)</f>
        <v>ECONOMY CLASS1104</v>
      </c>
      <c r="D194" s="311"/>
      <c r="E194" s="304">
        <v>1130</v>
      </c>
      <c r="F194" s="310">
        <v>104</v>
      </c>
      <c r="G194" t="str">
        <f>VLOOKUP(E194,'FG MASTER'!$A:$AB,2,0)</f>
        <v xml:space="preserve">YC C1 DINNER STARTER MIX GREENS, CUCUMBER AND GRAPE TOMATO </v>
      </c>
      <c r="H194" s="285">
        <v>1</v>
      </c>
      <c r="I194" s="173">
        <v>1</v>
      </c>
      <c r="J194" s="291">
        <f>IFERROR(IF(I194="std",H194,HLOOKUP(A194,'FlightConfig '!$B$28:$G$29,2,0)*I194),"")</f>
        <v>198</v>
      </c>
      <c r="K194" s="244">
        <f>VLOOKUP(Food!E194,'FG MASTER'!$A$1:$AC$536,16,0)</f>
        <v>0.45</v>
      </c>
      <c r="L194" s="245">
        <f>VLOOKUP(Food!E194,'FG MASTER'!$A$10:$AC$536,17,0)</f>
        <v>1.25</v>
      </c>
      <c r="M194" s="132">
        <f t="shared" si="190"/>
        <v>0.5</v>
      </c>
      <c r="N194" s="132">
        <f>IFERROR((K194)+M194,"")</f>
        <v>0.95</v>
      </c>
      <c r="O194" s="132">
        <f t="shared" si="84"/>
        <v>9.9000000000000032E-2</v>
      </c>
      <c r="P194" s="132">
        <f t="shared" si="85"/>
        <v>9.9999999999999978E-2</v>
      </c>
      <c r="Q194" s="132">
        <f t="shared" si="191"/>
        <v>1.149</v>
      </c>
      <c r="R194" s="402">
        <f t="shared" si="87"/>
        <v>0.54900000000000004</v>
      </c>
      <c r="S194" s="402">
        <f t="shared" si="88"/>
        <v>0.6</v>
      </c>
      <c r="T194" s="402">
        <f t="shared" si="89"/>
        <v>1.149</v>
      </c>
      <c r="U194" s="127"/>
      <c r="V194" s="127"/>
      <c r="W194" t="str">
        <f>IFERROR(#REF!*J194,"")</f>
        <v/>
      </c>
      <c r="X194">
        <f t="shared" si="90"/>
        <v>89.100000000000009</v>
      </c>
      <c r="Y194">
        <f t="shared" si="91"/>
        <v>247.5</v>
      </c>
      <c r="Z194" s="127">
        <f t="shared" si="92"/>
        <v>99</v>
      </c>
      <c r="AA194" s="127">
        <f t="shared" si="93"/>
        <v>188.1</v>
      </c>
      <c r="AB194" s="127">
        <f t="shared" si="94"/>
        <v>19.602000000000007</v>
      </c>
      <c r="AC194" s="127">
        <f t="shared" si="77"/>
        <v>19.799999999999997</v>
      </c>
      <c r="AD194" s="127">
        <f t="shared" si="78"/>
        <v>227.50200000000001</v>
      </c>
      <c r="AF194" s="127" t="str">
        <f>IFERROR(W194*'FlightConfig '!$K$3,"")</f>
        <v/>
      </c>
      <c r="AG194" s="127">
        <f>IFERROR(X194*'FlightConfig '!$K$17,"")</f>
        <v>32432.400000000001</v>
      </c>
      <c r="AH194" s="127">
        <f>IFERROR(Y194*'FlightConfig '!$K$17,"")</f>
        <v>90090</v>
      </c>
      <c r="AI194" s="127">
        <f>IFERROR(Z194*'FlightConfig '!$K$17,"")</f>
        <v>36036</v>
      </c>
      <c r="AJ194" s="127">
        <f>IFERROR(AA194*'FlightConfig '!$K$17,"")</f>
        <v>68468.399999999994</v>
      </c>
      <c r="AK194" s="127">
        <f>IFERROR(AB194*'FlightConfig '!$K$17,"")</f>
        <v>7135.1280000000024</v>
      </c>
    </row>
    <row r="195" spans="1:37" ht="18" customHeight="1">
      <c r="A195" t="s">
        <v>158</v>
      </c>
      <c r="B195" s="171">
        <v>1</v>
      </c>
      <c r="C195" s="176" t="str">
        <f t="shared" ref="C195:C210" si="204">CONCATENATE(A195&amp;B195&amp;F195)</f>
        <v>ECONOMY CLASS1104</v>
      </c>
      <c r="D195" s="311"/>
      <c r="E195" s="304">
        <v>1131</v>
      </c>
      <c r="F195" s="310">
        <v>104</v>
      </c>
      <c r="G195" t="str">
        <f>VLOOKUP(E195,'FG MASTER'!$A:$AB,2,0)</f>
        <v>YC C1 DINNER ENTRÉE 1 THAI CHICKEN MEATBALL, GREEN CURRY</v>
      </c>
      <c r="H195" s="285">
        <v>1</v>
      </c>
      <c r="I195" s="173">
        <v>0.6</v>
      </c>
      <c r="J195" s="291">
        <f>IFERROR(IF(I195="std",H195,HLOOKUP(A195,'FlightConfig '!$B$28:$G$29,2,0)*I195),"")</f>
        <v>118.8</v>
      </c>
      <c r="K195" s="244">
        <f>VLOOKUP(Food!E195,'FG MASTER'!$A$1:$AC$536,16,0)</f>
        <v>2.15</v>
      </c>
      <c r="L195" s="245">
        <f>VLOOKUP(Food!E195,'FG MASTER'!$A$10:$AC$536,17,0)</f>
        <v>4</v>
      </c>
      <c r="M195" s="132">
        <f t="shared" si="190"/>
        <v>1.6</v>
      </c>
      <c r="N195" s="132">
        <f t="shared" ref="N195:N206" si="205">IFERROR((K195)+M195,"")</f>
        <v>3.75</v>
      </c>
      <c r="O195" s="132">
        <f t="shared" si="84"/>
        <v>0.47299999999999986</v>
      </c>
      <c r="P195" s="132">
        <f t="shared" si="85"/>
        <v>0.31999999999999984</v>
      </c>
      <c r="Q195" s="132">
        <f t="shared" si="191"/>
        <v>4.5429999999999993</v>
      </c>
      <c r="R195" s="402">
        <f t="shared" si="87"/>
        <v>2.6229999999999998</v>
      </c>
      <c r="S195" s="402">
        <f t="shared" si="88"/>
        <v>1.92</v>
      </c>
      <c r="T195" s="402">
        <f t="shared" si="89"/>
        <v>4.5429999999999993</v>
      </c>
      <c r="U195" s="127"/>
      <c r="V195" s="127"/>
      <c r="W195" t="str">
        <f>IFERROR(#REF!*J195,"")</f>
        <v/>
      </c>
      <c r="X195">
        <f t="shared" si="90"/>
        <v>255.42</v>
      </c>
      <c r="Y195">
        <f t="shared" si="91"/>
        <v>475.2</v>
      </c>
      <c r="Z195" s="127">
        <f t="shared" si="92"/>
        <v>190.08</v>
      </c>
      <c r="AA195" s="127">
        <f t="shared" si="93"/>
        <v>445.5</v>
      </c>
      <c r="AB195" s="127">
        <f t="shared" si="94"/>
        <v>56.192399999999985</v>
      </c>
      <c r="AC195" s="127">
        <f t="shared" si="77"/>
        <v>38.015999999999977</v>
      </c>
      <c r="AD195" s="127">
        <f t="shared" si="78"/>
        <v>539.70839999999987</v>
      </c>
      <c r="AF195" s="127" t="str">
        <f>IFERROR(W195*'FlightConfig '!$K$3,"")</f>
        <v/>
      </c>
      <c r="AG195" s="127">
        <f>IFERROR(X195*'FlightConfig '!$K$17,"")</f>
        <v>92972.87999999999</v>
      </c>
      <c r="AH195" s="127">
        <f>IFERROR(Y195*'FlightConfig '!$K$17,"")</f>
        <v>172972.79999999999</v>
      </c>
      <c r="AI195" s="127">
        <f>IFERROR(Z195*'FlightConfig '!$K$17,"")</f>
        <v>69189.12000000001</v>
      </c>
      <c r="AJ195" s="127">
        <f>IFERROR(AA195*'FlightConfig '!$K$17,"")</f>
        <v>162162</v>
      </c>
      <c r="AK195" s="127">
        <f>IFERROR(AB195*'FlightConfig '!$K$17,"")</f>
        <v>20454.033599999995</v>
      </c>
    </row>
    <row r="196" spans="1:37" ht="18" customHeight="1">
      <c r="A196" t="s">
        <v>158</v>
      </c>
      <c r="B196" s="171">
        <v>1</v>
      </c>
      <c r="C196" s="176" t="str">
        <f t="shared" ref="C196" si="206">CONCATENATE(A196&amp;B196&amp;F196)</f>
        <v>ECONOMY CLASS1104</v>
      </c>
      <c r="D196" s="311"/>
      <c r="E196" s="304">
        <v>1132</v>
      </c>
      <c r="F196" s="310">
        <v>104</v>
      </c>
      <c r="G196" t="str">
        <f>VLOOKUP(E196,'FG MASTER'!$A:$AB,2,0)</f>
        <v>YC C1 DINNER ENTRÉE 2 ORRECHIETTE, MARINARA SAUCE, HERB WHIPPED RICOTTA, VEGETABLE BOLOGNESE SAUCE</v>
      </c>
      <c r="H196" s="285">
        <v>1</v>
      </c>
      <c r="I196" s="173">
        <v>0.4</v>
      </c>
      <c r="J196" s="291">
        <f>IFERROR(IF(I196="std",H196,HLOOKUP(A196,'FlightConfig '!$B$28:$G$29,2,0)*I196),"")</f>
        <v>79.2</v>
      </c>
      <c r="K196" s="244">
        <f>VLOOKUP(Food!E196,'FG MASTER'!$A$1:$AC$536,16,0)</f>
        <v>1.91</v>
      </c>
      <c r="L196" s="245">
        <f>VLOOKUP(Food!E196,'FG MASTER'!$A$10:$AC$536,17,0)</f>
        <v>3.5</v>
      </c>
      <c r="M196" s="132">
        <f t="shared" ref="M196" si="207">IFERROR(L196*$M$2,"")</f>
        <v>1.4000000000000001</v>
      </c>
      <c r="N196" s="132">
        <f t="shared" ref="N196" si="208">IFERROR((K196)+M196,"")</f>
        <v>3.31</v>
      </c>
      <c r="O196" s="132">
        <f t="shared" si="84"/>
        <v>0.42020000000000013</v>
      </c>
      <c r="P196" s="132">
        <f t="shared" si="85"/>
        <v>0.28000000000000003</v>
      </c>
      <c r="Q196" s="132">
        <f t="shared" ref="Q196" si="209">SUM(N196:P196)</f>
        <v>4.0102000000000002</v>
      </c>
      <c r="R196" s="402">
        <f t="shared" ref="R196" si="210">K196*(1+$O$2)</f>
        <v>2.3302</v>
      </c>
      <c r="S196" s="402">
        <f t="shared" ref="S196" si="211">M196*(1+$P$2)</f>
        <v>1.6800000000000002</v>
      </c>
      <c r="T196" s="402">
        <f t="shared" ref="T196" si="212">R196+S196</f>
        <v>4.0102000000000002</v>
      </c>
      <c r="U196" s="127"/>
      <c r="V196" s="127"/>
      <c r="W196" t="str">
        <f>IFERROR(#REF!*J196,"")</f>
        <v/>
      </c>
      <c r="X196">
        <f t="shared" ref="X196" si="213">IFERROR(K196*J196,"")</f>
        <v>151.27199999999999</v>
      </c>
      <c r="Y196">
        <f t="shared" ref="Y196" si="214">IFERROR(+L196*J196,"")</f>
        <v>277.2</v>
      </c>
      <c r="Z196" s="127">
        <f t="shared" ref="Z196" si="215">IFERROR(+M196*J196,"")</f>
        <v>110.88000000000001</v>
      </c>
      <c r="AA196" s="127">
        <f t="shared" ref="AA196" si="216">IFERROR(+N196*J196,"")</f>
        <v>262.15199999999999</v>
      </c>
      <c r="AB196" s="127">
        <f t="shared" ref="AB196" si="217">IFERROR(O196*$J196,"")</f>
        <v>33.279840000000014</v>
      </c>
      <c r="AC196" s="127">
        <f t="shared" ref="AC196" si="218">IFERROR(P196*$J196,"")</f>
        <v>22.176000000000002</v>
      </c>
      <c r="AD196" s="127">
        <f t="shared" ref="AD196" si="219">IFERROR(+Q196*J196,"")</f>
        <v>317.60784000000001</v>
      </c>
      <c r="AF196" s="127" t="str">
        <f>IFERROR(W196*'FlightConfig '!$K$3,"")</f>
        <v/>
      </c>
      <c r="AG196" s="127">
        <f>IFERROR(X196*'FlightConfig '!$K$17,"")</f>
        <v>55063.007999999994</v>
      </c>
      <c r="AH196" s="127">
        <f>IFERROR(Y196*'FlightConfig '!$K$17,"")</f>
        <v>100900.8</v>
      </c>
      <c r="AI196" s="127">
        <f>IFERROR(Z196*'FlightConfig '!$K$17,"")</f>
        <v>40360.320000000007</v>
      </c>
      <c r="AJ196" s="127">
        <f>IFERROR(AA196*'FlightConfig '!$K$17,"")</f>
        <v>95423.327999999994</v>
      </c>
      <c r="AK196" s="127">
        <f>IFERROR(AB196*'FlightConfig '!$K$17,"")</f>
        <v>12113.861760000005</v>
      </c>
    </row>
    <row r="197" spans="1:37" ht="18" customHeight="1">
      <c r="A197" t="s">
        <v>158</v>
      </c>
      <c r="B197" s="171">
        <v>1</v>
      </c>
      <c r="C197" s="176" t="str">
        <f t="shared" si="204"/>
        <v>ECONOMY CLASS1104</v>
      </c>
      <c r="D197" s="311"/>
      <c r="E197" s="304">
        <v>1133</v>
      </c>
      <c r="F197" s="310">
        <v>104</v>
      </c>
      <c r="G197" t="str">
        <f>VLOOKUP(E197,'FG MASTER'!$A:$AB,2,0)</f>
        <v>YC C1 DINNER DESSERT BANANA PUDDING, NILLA WAFTER, NILLA WAFER CRUMBLE</v>
      </c>
      <c r="H197" s="285">
        <v>1</v>
      </c>
      <c r="I197" s="173">
        <v>1</v>
      </c>
      <c r="J197" s="291">
        <f>IFERROR(IF(I197="std",H197,HLOOKUP(A197,'FlightConfig '!$B$28:$G$29,2,0)*I197),"")</f>
        <v>198</v>
      </c>
      <c r="K197" s="244">
        <f>VLOOKUP(Food!E197,'FG MASTER'!$A$1:$AC$536,16,0)</f>
        <v>0.74</v>
      </c>
      <c r="L197" s="245">
        <f>VLOOKUP(Food!E197,'FG MASTER'!$A$10:$AC$536,17,0)</f>
        <v>1.25</v>
      </c>
      <c r="M197" s="132">
        <f t="shared" si="190"/>
        <v>0.5</v>
      </c>
      <c r="N197" s="132">
        <f t="shared" si="205"/>
        <v>1.24</v>
      </c>
      <c r="O197" s="132">
        <f t="shared" si="84"/>
        <v>0.16279999999999994</v>
      </c>
      <c r="P197" s="132">
        <f t="shared" si="85"/>
        <v>9.9999999999999978E-2</v>
      </c>
      <c r="Q197" s="132">
        <f t="shared" si="191"/>
        <v>1.5028000000000001</v>
      </c>
      <c r="R197" s="402">
        <f t="shared" si="87"/>
        <v>0.90279999999999994</v>
      </c>
      <c r="S197" s="402">
        <f t="shared" si="88"/>
        <v>0.6</v>
      </c>
      <c r="T197" s="402">
        <f t="shared" si="89"/>
        <v>1.5027999999999999</v>
      </c>
      <c r="U197" s="127"/>
      <c r="V197" s="127"/>
      <c r="W197" t="str">
        <f>IFERROR(#REF!*J197,"")</f>
        <v/>
      </c>
      <c r="X197">
        <f t="shared" si="90"/>
        <v>146.52000000000001</v>
      </c>
      <c r="Y197">
        <f t="shared" si="91"/>
        <v>247.5</v>
      </c>
      <c r="Z197" s="127">
        <f t="shared" si="92"/>
        <v>99</v>
      </c>
      <c r="AA197" s="127">
        <f t="shared" si="93"/>
        <v>245.52</v>
      </c>
      <c r="AB197" s="127">
        <f t="shared" si="94"/>
        <v>32.234399999999987</v>
      </c>
      <c r="AC197" s="127">
        <f t="shared" si="77"/>
        <v>19.799999999999997</v>
      </c>
      <c r="AD197" s="127">
        <f t="shared" si="78"/>
        <v>297.55440000000004</v>
      </c>
      <c r="AF197" s="127" t="str">
        <f>IFERROR(W197*'FlightConfig '!$K$3,"")</f>
        <v/>
      </c>
      <c r="AG197" s="127">
        <f>IFERROR(X197*'FlightConfig '!$K$17,"")</f>
        <v>53333.280000000006</v>
      </c>
      <c r="AH197" s="127">
        <f>IFERROR(Y197*'FlightConfig '!$K$17,"")</f>
        <v>90090</v>
      </c>
      <c r="AI197" s="127">
        <f>IFERROR(Z197*'FlightConfig '!$K$17,"")</f>
        <v>36036</v>
      </c>
      <c r="AJ197" s="127">
        <f>IFERROR(AA197*'FlightConfig '!$K$17,"")</f>
        <v>89369.279999999999</v>
      </c>
      <c r="AK197" s="127">
        <f>IFERROR(AB197*'FlightConfig '!$K$17,"")</f>
        <v>11733.321599999996</v>
      </c>
    </row>
    <row r="198" spans="1:37" ht="18" customHeight="1">
      <c r="A198" t="s">
        <v>158</v>
      </c>
      <c r="B198" s="171">
        <v>1</v>
      </c>
      <c r="C198" s="176" t="str">
        <f t="shared" si="204"/>
        <v>ECONOMY CLASS1104</v>
      </c>
      <c r="D198" s="311"/>
      <c r="E198" s="304">
        <v>1134</v>
      </c>
      <c r="F198" s="310">
        <v>104</v>
      </c>
      <c r="G198" t="str">
        <f>VLOOKUP(E198,'FG MASTER'!$A:$AB,2,0)</f>
        <v>YC C1 BREAKFAST TSU</v>
      </c>
      <c r="H198" s="285">
        <v>1</v>
      </c>
      <c r="I198" s="173">
        <v>1</v>
      </c>
      <c r="J198" s="291">
        <f>IFERROR(IF(I198="std",H198,HLOOKUP(A198,'FlightConfig '!$B$28:$G$29,2,0)*I198),"")</f>
        <v>198</v>
      </c>
      <c r="K198" s="244">
        <f>VLOOKUP(Food!E198,'FG MASTER'!$A$1:$AC$536,16,0)</f>
        <v>0</v>
      </c>
      <c r="L198" s="245">
        <f>VLOOKUP(Food!E198,'FG MASTER'!$A$10:$AC$536,17,0)</f>
        <v>0.5</v>
      </c>
      <c r="M198" s="132">
        <f t="shared" si="190"/>
        <v>0.2</v>
      </c>
      <c r="N198" s="132">
        <f t="shared" si="205"/>
        <v>0.2</v>
      </c>
      <c r="O198" s="132">
        <f t="shared" si="84"/>
        <v>0</v>
      </c>
      <c r="P198" s="132">
        <f t="shared" si="85"/>
        <v>3.999999999999998E-2</v>
      </c>
      <c r="Q198" s="132">
        <f t="shared" si="191"/>
        <v>0.24</v>
      </c>
      <c r="R198" s="402">
        <f t="shared" si="87"/>
        <v>0</v>
      </c>
      <c r="S198" s="402">
        <f t="shared" si="88"/>
        <v>0.24</v>
      </c>
      <c r="T198" s="402">
        <f t="shared" si="89"/>
        <v>0.24</v>
      </c>
      <c r="U198" s="127">
        <f>Q198+Q200+Q199</f>
        <v>2.4728000000000003</v>
      </c>
      <c r="V198" s="127">
        <f>R198+R200+R199</f>
        <v>1.5128000000000001</v>
      </c>
      <c r="W198" s="127">
        <f>S198+S200+S199</f>
        <v>0.96</v>
      </c>
      <c r="X198">
        <f t="shared" si="90"/>
        <v>0</v>
      </c>
      <c r="Y198">
        <f t="shared" si="91"/>
        <v>99</v>
      </c>
      <c r="Z198" s="127">
        <f t="shared" si="92"/>
        <v>39.6</v>
      </c>
      <c r="AA198" s="127">
        <f t="shared" si="93"/>
        <v>39.6</v>
      </c>
      <c r="AB198" s="127">
        <f t="shared" si="94"/>
        <v>0</v>
      </c>
      <c r="AC198" s="127">
        <f t="shared" si="77"/>
        <v>7.9199999999999964</v>
      </c>
      <c r="AD198" s="127">
        <f t="shared" si="78"/>
        <v>47.519999999999996</v>
      </c>
      <c r="AF198" s="127">
        <f>IFERROR(W198*'FlightConfig '!$K$3,"")</f>
        <v>0</v>
      </c>
      <c r="AG198" s="127">
        <f>IFERROR(X198*'FlightConfig '!$K$17,"")</f>
        <v>0</v>
      </c>
      <c r="AH198" s="127">
        <f>IFERROR(Y198*'FlightConfig '!$K$17,"")</f>
        <v>36036</v>
      </c>
      <c r="AI198" s="127">
        <f>IFERROR(Z198*'FlightConfig '!$K$17,"")</f>
        <v>14414.4</v>
      </c>
      <c r="AJ198" s="127">
        <f>IFERROR(AA198*'FlightConfig '!$K$17,"")</f>
        <v>14414.4</v>
      </c>
      <c r="AK198" s="127">
        <f>IFERROR(AB198*'FlightConfig '!$K$17,"")</f>
        <v>0</v>
      </c>
    </row>
    <row r="199" spans="1:37" ht="18" customHeight="1">
      <c r="A199" t="s">
        <v>158</v>
      </c>
      <c r="B199" s="171">
        <v>1</v>
      </c>
      <c r="C199" s="176" t="str">
        <f t="shared" si="204"/>
        <v>ECONOMY CLASS1104</v>
      </c>
      <c r="D199" s="311"/>
      <c r="E199" s="304">
        <v>1135</v>
      </c>
      <c r="F199" s="310">
        <v>104</v>
      </c>
      <c r="G199" t="str">
        <f>VLOOKUP(E199,'FG MASTER'!$A:$AB,2,0)</f>
        <v>YC C1 BREAKFAST SANDWICH BANANA MUFFIN</v>
      </c>
      <c r="H199" s="285">
        <v>1</v>
      </c>
      <c r="I199" s="173">
        <v>1</v>
      </c>
      <c r="J199" s="291">
        <f>IFERROR(IF(I199="std",H199,HLOOKUP(A199,'FlightConfig '!$B$28:$G$29,2,0)*I199),"")</f>
        <v>198</v>
      </c>
      <c r="K199" s="244">
        <f>VLOOKUP(Food!E199,'FG MASTER'!$A$1:$AC$536,16,0)</f>
        <v>0.32</v>
      </c>
      <c r="L199" s="245">
        <f>VLOOKUP(Food!E199,'FG MASTER'!$A$10:$AC$536,17,0)</f>
        <v>0.5</v>
      </c>
      <c r="M199" s="132">
        <f t="shared" si="190"/>
        <v>0.2</v>
      </c>
      <c r="N199" s="132">
        <f t="shared" si="205"/>
        <v>0.52</v>
      </c>
      <c r="O199" s="132">
        <f t="shared" si="84"/>
        <v>7.0400000000000018E-2</v>
      </c>
      <c r="P199" s="132">
        <f t="shared" si="85"/>
        <v>3.999999999999998E-2</v>
      </c>
      <c r="Q199" s="132">
        <f t="shared" si="191"/>
        <v>0.63040000000000007</v>
      </c>
      <c r="R199" s="402">
        <f t="shared" si="87"/>
        <v>0.39040000000000002</v>
      </c>
      <c r="S199" s="402">
        <f t="shared" si="88"/>
        <v>0.24</v>
      </c>
      <c r="T199" s="402">
        <f t="shared" si="89"/>
        <v>0.63040000000000007</v>
      </c>
      <c r="U199" s="127"/>
      <c r="V199" s="127"/>
      <c r="W199" t="str">
        <f>IFERROR(#REF!*J199,"")</f>
        <v/>
      </c>
      <c r="X199">
        <f t="shared" si="90"/>
        <v>63.36</v>
      </c>
      <c r="Y199">
        <f t="shared" si="91"/>
        <v>99</v>
      </c>
      <c r="Z199" s="127">
        <f t="shared" si="92"/>
        <v>39.6</v>
      </c>
      <c r="AA199" s="127">
        <f t="shared" si="93"/>
        <v>102.96000000000001</v>
      </c>
      <c r="AB199" s="127">
        <f t="shared" si="94"/>
        <v>13.939200000000003</v>
      </c>
      <c r="AC199" s="127">
        <f t="shared" ref="AC199:AC215" si="220">IFERROR(P199*$J199,"")</f>
        <v>7.9199999999999964</v>
      </c>
      <c r="AD199" s="127">
        <f t="shared" ref="AD199:AD215" si="221">IFERROR(+Q199*J199,"")</f>
        <v>124.81920000000001</v>
      </c>
      <c r="AF199" s="127" t="str">
        <f>IFERROR(W199*'FlightConfig '!$K$3,"")</f>
        <v/>
      </c>
      <c r="AG199" s="127">
        <f>IFERROR(X199*'FlightConfig '!$K$17,"")</f>
        <v>23063.040000000001</v>
      </c>
      <c r="AH199" s="127">
        <f>IFERROR(Y199*'FlightConfig '!$K$17,"")</f>
        <v>36036</v>
      </c>
      <c r="AI199" s="127">
        <f>IFERROR(Z199*'FlightConfig '!$K$17,"")</f>
        <v>14414.4</v>
      </c>
      <c r="AJ199" s="127">
        <f>IFERROR(AA199*'FlightConfig '!$K$17,"")</f>
        <v>37477.440000000002</v>
      </c>
      <c r="AK199" s="127">
        <f>IFERROR(AB199*'FlightConfig '!$K$17,"")</f>
        <v>5073.8688000000011</v>
      </c>
    </row>
    <row r="200" spans="1:37" ht="18" customHeight="1">
      <c r="A200" t="s">
        <v>158</v>
      </c>
      <c r="B200" s="171">
        <v>1</v>
      </c>
      <c r="C200" s="176" t="str">
        <f t="shared" si="204"/>
        <v>ECONOMY CLASS1104</v>
      </c>
      <c r="D200" s="311"/>
      <c r="E200" s="304">
        <v>1136</v>
      </c>
      <c r="F200" s="310">
        <v>104</v>
      </c>
      <c r="G200" t="str">
        <f>VLOOKUP(E200,'FG MASTER'!$A:$AB,2,0)</f>
        <v>YC C1 BREAKFAST BOX SIDES CHOBANI YOGURT, MIX GRUIT CUP</v>
      </c>
      <c r="H200" s="285">
        <v>1</v>
      </c>
      <c r="I200" s="173">
        <v>1</v>
      </c>
      <c r="J200" s="291">
        <f>IFERROR(IF(I200="std",H200,HLOOKUP(A200,'FlightConfig '!$B$28:$G$29,2,0)*I200),"")</f>
        <v>198</v>
      </c>
      <c r="K200" s="244">
        <f>VLOOKUP(Food!E200,'FG MASTER'!$A$1:$AC$536,16,0)</f>
        <v>0.92</v>
      </c>
      <c r="L200" s="245">
        <f>VLOOKUP(Food!E200,'FG MASTER'!$A$10:$AC$536,17,0)</f>
        <v>1</v>
      </c>
      <c r="M200" s="132">
        <f t="shared" si="190"/>
        <v>0.4</v>
      </c>
      <c r="N200" s="132">
        <f t="shared" si="205"/>
        <v>1.32</v>
      </c>
      <c r="O200" s="132">
        <f t="shared" si="84"/>
        <v>0.20240000000000002</v>
      </c>
      <c r="P200" s="132">
        <f t="shared" si="85"/>
        <v>7.999999999999996E-2</v>
      </c>
      <c r="Q200" s="132">
        <f t="shared" si="191"/>
        <v>1.6024000000000003</v>
      </c>
      <c r="R200" s="402">
        <f t="shared" si="87"/>
        <v>1.1224000000000001</v>
      </c>
      <c r="S200" s="402">
        <f t="shared" si="88"/>
        <v>0.48</v>
      </c>
      <c r="T200" s="402">
        <f t="shared" si="89"/>
        <v>1.6024</v>
      </c>
      <c r="U200" s="127"/>
      <c r="V200" s="127"/>
      <c r="W200" t="str">
        <f>IFERROR(#REF!*J200,"")</f>
        <v/>
      </c>
      <c r="X200">
        <f t="shared" si="90"/>
        <v>182.16</v>
      </c>
      <c r="Y200">
        <f t="shared" si="91"/>
        <v>198</v>
      </c>
      <c r="Z200" s="127">
        <f t="shared" si="92"/>
        <v>79.2</v>
      </c>
      <c r="AA200" s="127">
        <f t="shared" si="93"/>
        <v>261.36</v>
      </c>
      <c r="AB200" s="127">
        <f t="shared" si="94"/>
        <v>40.075200000000002</v>
      </c>
      <c r="AC200" s="127">
        <f t="shared" si="220"/>
        <v>15.839999999999993</v>
      </c>
      <c r="AD200" s="127">
        <f t="shared" si="221"/>
        <v>317.27520000000004</v>
      </c>
      <c r="AF200" s="127" t="str">
        <f>IFERROR(W200*'FlightConfig '!$K$3,"")</f>
        <v/>
      </c>
      <c r="AG200" s="127">
        <f>IFERROR(X200*'FlightConfig '!$K$17,"")</f>
        <v>66306.240000000005</v>
      </c>
      <c r="AH200" s="127">
        <f>IFERROR(Y200*'FlightConfig '!$K$17,"")</f>
        <v>72072</v>
      </c>
      <c r="AI200" s="127">
        <f>IFERROR(Z200*'FlightConfig '!$K$17,"")</f>
        <v>28828.799999999999</v>
      </c>
      <c r="AJ200" s="127">
        <f>IFERROR(AA200*'FlightConfig '!$K$17,"")</f>
        <v>95135.040000000008</v>
      </c>
      <c r="AK200" s="127">
        <f>IFERROR(AB200*'FlightConfig '!$K$17,"")</f>
        <v>14587.372800000001</v>
      </c>
    </row>
    <row r="201" spans="1:37" ht="18" customHeight="1">
      <c r="A201" t="s">
        <v>189</v>
      </c>
      <c r="B201" s="171">
        <v>1</v>
      </c>
      <c r="C201" s="176" t="str">
        <f t="shared" si="204"/>
        <v>CABIN CREW CLASS1104</v>
      </c>
      <c r="D201" s="293"/>
      <c r="E201" s="305">
        <v>1137</v>
      </c>
      <c r="F201" s="310">
        <v>104</v>
      </c>
      <c r="G201" t="str">
        <f>VLOOKUP(E201,'FG MASTER'!$A:$AB,2,0)</f>
        <v>CREW C1 DINNER CHEESE &amp; CRACKER, CELERY STICK, CARROT, HUMMUS</v>
      </c>
      <c r="H201" s="285">
        <v>1</v>
      </c>
      <c r="I201" s="173">
        <v>1</v>
      </c>
      <c r="J201" s="291">
        <f>IFERROR(IF(I201="std",H201,HLOOKUP(A201,'FlightConfig '!$B$28:$G$29,2,0)*I201),"")</f>
        <v>6</v>
      </c>
      <c r="K201" s="244">
        <f>VLOOKUP(Food!E201,'FG MASTER'!$A$1:$AC$536,16,0)</f>
        <v>1.23</v>
      </c>
      <c r="L201" s="245">
        <f>VLOOKUP(Food!E201,'FG MASTER'!$A$10:$AC$536,17,0)</f>
        <v>1.5</v>
      </c>
      <c r="M201" s="132">
        <f>IFERROR(L201*$M$2,"")</f>
        <v>0.60000000000000009</v>
      </c>
      <c r="N201" s="132">
        <f t="shared" si="205"/>
        <v>1.83</v>
      </c>
      <c r="O201" s="132">
        <f t="shared" si="84"/>
        <v>0.27059999999999995</v>
      </c>
      <c r="P201" s="132">
        <f t="shared" si="85"/>
        <v>0.12</v>
      </c>
      <c r="Q201" s="132">
        <f t="shared" si="191"/>
        <v>2.2206000000000001</v>
      </c>
      <c r="R201" s="402">
        <f t="shared" si="87"/>
        <v>1.5005999999999999</v>
      </c>
      <c r="S201" s="402">
        <f t="shared" si="88"/>
        <v>0.72000000000000008</v>
      </c>
      <c r="T201" s="402">
        <f t="shared" si="89"/>
        <v>2.2206000000000001</v>
      </c>
      <c r="U201" s="127"/>
      <c r="V201" s="127"/>
      <c r="W201" t="str">
        <f>IFERROR(#REF!*J201,"")</f>
        <v/>
      </c>
      <c r="X201">
        <f t="shared" si="90"/>
        <v>7.38</v>
      </c>
      <c r="Y201">
        <f t="shared" si="91"/>
        <v>9</v>
      </c>
      <c r="Z201" s="127">
        <f t="shared" si="92"/>
        <v>3.6000000000000005</v>
      </c>
      <c r="AA201" s="127">
        <f t="shared" si="93"/>
        <v>10.98</v>
      </c>
      <c r="AB201" s="127">
        <f t="shared" si="94"/>
        <v>1.6235999999999997</v>
      </c>
      <c r="AC201" s="127">
        <f t="shared" si="220"/>
        <v>0.72</v>
      </c>
      <c r="AD201" s="127">
        <f t="shared" si="221"/>
        <v>13.323600000000001</v>
      </c>
      <c r="AF201" s="127" t="str">
        <f>IFERROR(W201*'FlightConfig '!$K$3,"")</f>
        <v/>
      </c>
      <c r="AG201" s="127">
        <f>IFERROR(X201*'FlightConfig '!$K$17,"")</f>
        <v>2686.32</v>
      </c>
      <c r="AH201" s="127">
        <f>IFERROR(Y201*'FlightConfig '!$K$17,"")</f>
        <v>3276</v>
      </c>
      <c r="AI201" s="127">
        <f>IFERROR(Z201*'FlightConfig '!$K$17,"")</f>
        <v>1310.4000000000001</v>
      </c>
      <c r="AJ201" s="127">
        <f>IFERROR(AA201*'FlightConfig '!$K$17,"")</f>
        <v>3996.7200000000003</v>
      </c>
      <c r="AK201" s="127">
        <f>IFERROR(AB201*'FlightConfig '!$K$17,"")</f>
        <v>590.99039999999991</v>
      </c>
    </row>
    <row r="202" spans="1:37" ht="18" customHeight="1">
      <c r="A202" t="s">
        <v>189</v>
      </c>
      <c r="B202" s="171">
        <v>1</v>
      </c>
      <c r="C202" s="176" t="str">
        <f t="shared" si="204"/>
        <v>CABIN CREW CLASS1104</v>
      </c>
      <c r="D202" s="293"/>
      <c r="E202" s="305">
        <v>1138</v>
      </c>
      <c r="F202" s="310">
        <v>104</v>
      </c>
      <c r="G202" t="str">
        <f>VLOOKUP(E202,'FG MASTER'!$A:$AB,2,0)</f>
        <v>CREW C1 DINNER HARD BOILED EGG WITH TURKEY CUBES AND CHEDDAR</v>
      </c>
      <c r="H202" s="285">
        <v>1</v>
      </c>
      <c r="I202" s="173">
        <v>1</v>
      </c>
      <c r="J202" s="291">
        <f>IFERROR(IF(I202="std",H202,HLOOKUP(A202,'FlightConfig '!$B$28:$G$29,2,0)*I202),"")</f>
        <v>6</v>
      </c>
      <c r="K202" s="244">
        <f>VLOOKUP(Food!E202,'FG MASTER'!$A$1:$AC$536,16,0)</f>
        <v>2.08</v>
      </c>
      <c r="L202" s="245">
        <f>VLOOKUP(Food!E202,'FG MASTER'!$A$10:$AC$536,17,0)</f>
        <v>1</v>
      </c>
      <c r="M202" s="132">
        <f t="shared" ref="M202:M215" si="222">IFERROR(L202*$M$2,"")</f>
        <v>0.4</v>
      </c>
      <c r="N202" s="132">
        <f t="shared" si="205"/>
        <v>2.48</v>
      </c>
      <c r="O202" s="132">
        <f t="shared" si="84"/>
        <v>0.45759999999999978</v>
      </c>
      <c r="P202" s="132">
        <f t="shared" si="85"/>
        <v>7.999999999999996E-2</v>
      </c>
      <c r="Q202" s="132">
        <f t="shared" si="191"/>
        <v>3.0175999999999998</v>
      </c>
      <c r="R202" s="402">
        <f t="shared" si="87"/>
        <v>2.5375999999999999</v>
      </c>
      <c r="S202" s="402">
        <f t="shared" si="88"/>
        <v>0.48</v>
      </c>
      <c r="T202" s="402">
        <f t="shared" si="89"/>
        <v>3.0175999999999998</v>
      </c>
      <c r="U202" s="127"/>
      <c r="V202" s="127"/>
      <c r="W202" t="str">
        <f>IFERROR(#REF!*J202,"")</f>
        <v/>
      </c>
      <c r="X202">
        <f t="shared" si="90"/>
        <v>12.48</v>
      </c>
      <c r="Y202">
        <f t="shared" si="91"/>
        <v>6</v>
      </c>
      <c r="Z202" s="127">
        <f t="shared" si="92"/>
        <v>2.4000000000000004</v>
      </c>
      <c r="AA202" s="127">
        <f t="shared" si="93"/>
        <v>14.879999999999999</v>
      </c>
      <c r="AB202" s="127">
        <f t="shared" si="94"/>
        <v>2.7455999999999987</v>
      </c>
      <c r="AC202" s="127">
        <f t="shared" si="220"/>
        <v>0.47999999999999976</v>
      </c>
      <c r="AD202" s="127">
        <f t="shared" si="221"/>
        <v>18.105599999999999</v>
      </c>
      <c r="AF202" s="127" t="str">
        <f>IFERROR(W202*'FlightConfig '!$K$3,"")</f>
        <v/>
      </c>
      <c r="AG202" s="127">
        <f>IFERROR(X202*'FlightConfig '!$K$17,"")</f>
        <v>4542.72</v>
      </c>
      <c r="AH202" s="127">
        <f>IFERROR(Y202*'FlightConfig '!$K$17,"")</f>
        <v>2184</v>
      </c>
      <c r="AI202" s="127">
        <f>IFERROR(Z202*'FlightConfig '!$K$17,"")</f>
        <v>873.60000000000014</v>
      </c>
      <c r="AJ202" s="127">
        <f>IFERROR(AA202*'FlightConfig '!$K$17,"")</f>
        <v>5416.32</v>
      </c>
      <c r="AK202" s="127">
        <f>IFERROR(AB202*'FlightConfig '!$K$17,"")</f>
        <v>999.39839999999958</v>
      </c>
    </row>
    <row r="203" spans="1:37" ht="18" customHeight="1">
      <c r="A203" t="s">
        <v>189</v>
      </c>
      <c r="B203" s="171">
        <v>1</v>
      </c>
      <c r="C203" s="176" t="str">
        <f t="shared" si="204"/>
        <v>CABIN CREW CLASS1104</v>
      </c>
      <c r="D203" s="293"/>
      <c r="E203" s="303">
        <v>1139</v>
      </c>
      <c r="F203" s="310">
        <v>104</v>
      </c>
      <c r="G203" t="str">
        <f>VLOOKUP(E203,'FG MASTER'!$A:$AB,2,0)</f>
        <v xml:space="preserve">CREW C1 DINNER WHOLE FRUIT APPLE AND ORANGE </v>
      </c>
      <c r="H203" s="285">
        <v>1</v>
      </c>
      <c r="I203" s="173">
        <v>1</v>
      </c>
      <c r="J203" s="291">
        <f>IFERROR(IF(I203="std",H203,HLOOKUP(A203,'FlightConfig '!$B$28:$G$29,2,0)*I203),"")</f>
        <v>6</v>
      </c>
      <c r="K203" s="244">
        <f>VLOOKUP(Food!E203,'FG MASTER'!$A$1:$AC$536,16,0)</f>
        <v>1.323</v>
      </c>
      <c r="L203" s="245">
        <f>VLOOKUP(Food!E203,'FG MASTER'!$A$10:$AC$536,17,0)</f>
        <v>1</v>
      </c>
      <c r="M203" s="132">
        <f t="shared" si="222"/>
        <v>0.4</v>
      </c>
      <c r="N203" s="132">
        <f t="shared" si="205"/>
        <v>1.7229999999999999</v>
      </c>
      <c r="O203" s="132">
        <f t="shared" si="84"/>
        <v>0.29105999999999987</v>
      </c>
      <c r="P203" s="132">
        <f t="shared" si="85"/>
        <v>7.999999999999996E-2</v>
      </c>
      <c r="Q203" s="132">
        <f t="shared" si="191"/>
        <v>2.0940599999999998</v>
      </c>
      <c r="R203" s="402">
        <f t="shared" si="87"/>
        <v>1.6140599999999998</v>
      </c>
      <c r="S203" s="402">
        <f t="shared" si="88"/>
        <v>0.48</v>
      </c>
      <c r="T203" s="402">
        <f t="shared" si="89"/>
        <v>2.0940599999999998</v>
      </c>
      <c r="U203" s="127"/>
      <c r="V203" s="127"/>
      <c r="W203" t="str">
        <f>IFERROR(#REF!*J203,"")</f>
        <v/>
      </c>
      <c r="X203">
        <f t="shared" si="90"/>
        <v>7.9379999999999997</v>
      </c>
      <c r="Y203">
        <f t="shared" si="91"/>
        <v>6</v>
      </c>
      <c r="Z203" s="127">
        <f t="shared" si="92"/>
        <v>2.4000000000000004</v>
      </c>
      <c r="AA203" s="127">
        <f t="shared" si="93"/>
        <v>10.337999999999999</v>
      </c>
      <c r="AB203" s="127">
        <f t="shared" si="94"/>
        <v>1.7463599999999992</v>
      </c>
      <c r="AC203" s="127">
        <f t="shared" si="220"/>
        <v>0.47999999999999976</v>
      </c>
      <c r="AD203" s="127">
        <f t="shared" si="221"/>
        <v>12.564359999999999</v>
      </c>
      <c r="AF203" s="127" t="str">
        <f>IFERROR(W203*'FlightConfig '!$K$3,"")</f>
        <v/>
      </c>
      <c r="AG203" s="127">
        <f>IFERROR(X203*'FlightConfig '!$K$17,"")</f>
        <v>2889.4319999999998</v>
      </c>
      <c r="AH203" s="127">
        <f>IFERROR(Y203*'FlightConfig '!$K$17,"")</f>
        <v>2184</v>
      </c>
      <c r="AI203" s="127">
        <f>IFERROR(Z203*'FlightConfig '!$K$17,"")</f>
        <v>873.60000000000014</v>
      </c>
      <c r="AJ203" s="127">
        <f>IFERROR(AA203*'FlightConfig '!$K$17,"")</f>
        <v>3763.0319999999997</v>
      </c>
      <c r="AK203" s="127">
        <f>IFERROR(AB203*'FlightConfig '!$K$17,"")</f>
        <v>635.67503999999974</v>
      </c>
    </row>
    <row r="204" spans="1:37" ht="18" customHeight="1">
      <c r="A204" t="s">
        <v>189</v>
      </c>
      <c r="B204" s="171">
        <v>1</v>
      </c>
      <c r="C204" s="176" t="str">
        <f t="shared" si="204"/>
        <v>CABIN CREW CLASS1104</v>
      </c>
      <c r="D204" s="293"/>
      <c r="E204" s="304">
        <v>1140</v>
      </c>
      <c r="F204" s="310">
        <v>104</v>
      </c>
      <c r="G204" t="str">
        <f>VLOOKUP(E204,'FG MASTER'!$A:$AB,2,0)</f>
        <v>CREW C1 DINNER ENTRÉE 1 VEGAN TOFU THAI GREEN CURRY WITH WHITE RICE, STIR FRIED VEGETABLES</v>
      </c>
      <c r="H204" s="285">
        <v>1</v>
      </c>
      <c r="I204" s="173">
        <v>0.5</v>
      </c>
      <c r="J204" s="291">
        <f>IFERROR(IF(I204="std",H204,HLOOKUP(A204,'FlightConfig '!$B$28:$G$29,2,0)*I204),"")</f>
        <v>3</v>
      </c>
      <c r="K204" s="244">
        <f>VLOOKUP(Food!E204,'FG MASTER'!$A$1:$AC$536,16,0)</f>
        <v>2.16</v>
      </c>
      <c r="L204" s="245">
        <f>VLOOKUP(Food!E204,'FG MASTER'!$A$10:$AC$536,17,0)</f>
        <v>3.75</v>
      </c>
      <c r="M204" s="132">
        <f t="shared" si="222"/>
        <v>1.5</v>
      </c>
      <c r="N204" s="132">
        <f t="shared" si="205"/>
        <v>3.66</v>
      </c>
      <c r="O204" s="132">
        <f t="shared" si="84"/>
        <v>0.47520000000000007</v>
      </c>
      <c r="P204" s="132">
        <f t="shared" si="85"/>
        <v>0.29999999999999982</v>
      </c>
      <c r="Q204" s="132">
        <f t="shared" si="191"/>
        <v>4.4352</v>
      </c>
      <c r="R204" s="402">
        <f t="shared" si="87"/>
        <v>2.6352000000000002</v>
      </c>
      <c r="S204" s="402">
        <f t="shared" si="88"/>
        <v>1.7999999999999998</v>
      </c>
      <c r="T204" s="402">
        <f t="shared" si="89"/>
        <v>4.4352</v>
      </c>
      <c r="U204" s="127"/>
      <c r="V204" s="127"/>
      <c r="W204" t="str">
        <f>IFERROR(#REF!*J204,"")</f>
        <v/>
      </c>
      <c r="X204">
        <f t="shared" si="90"/>
        <v>6.48</v>
      </c>
      <c r="Y204">
        <f t="shared" si="91"/>
        <v>11.25</v>
      </c>
      <c r="Z204" s="127">
        <f t="shared" si="92"/>
        <v>4.5</v>
      </c>
      <c r="AA204" s="127">
        <f t="shared" si="93"/>
        <v>10.98</v>
      </c>
      <c r="AB204" s="127">
        <f t="shared" si="94"/>
        <v>1.4256000000000002</v>
      </c>
      <c r="AC204" s="127">
        <f t="shared" si="220"/>
        <v>0.89999999999999947</v>
      </c>
      <c r="AD204" s="127">
        <f t="shared" si="221"/>
        <v>13.3056</v>
      </c>
      <c r="AF204" s="127" t="str">
        <f>IFERROR(W204*'FlightConfig '!$K$3,"")</f>
        <v/>
      </c>
      <c r="AG204" s="127">
        <f>IFERROR(X204*'FlightConfig '!$K$17,"")</f>
        <v>2358.7200000000003</v>
      </c>
      <c r="AH204" s="127">
        <f>IFERROR(Y204*'FlightConfig '!$K$17,"")</f>
        <v>4095</v>
      </c>
      <c r="AI204" s="127">
        <f>IFERROR(Z204*'FlightConfig '!$K$17,"")</f>
        <v>1638</v>
      </c>
      <c r="AJ204" s="127">
        <f>IFERROR(AA204*'FlightConfig '!$K$17,"")</f>
        <v>3996.7200000000003</v>
      </c>
      <c r="AK204" s="127">
        <f>IFERROR(AB204*'FlightConfig '!$K$17,"")</f>
        <v>518.91840000000002</v>
      </c>
    </row>
    <row r="205" spans="1:37" ht="18" customHeight="1">
      <c r="A205" t="s">
        <v>189</v>
      </c>
      <c r="B205" s="171">
        <v>1</v>
      </c>
      <c r="C205" s="176" t="str">
        <f t="shared" si="204"/>
        <v>CABIN CREW CLASS1104</v>
      </c>
      <c r="D205" s="293"/>
      <c r="E205" s="304">
        <v>1141</v>
      </c>
      <c r="F205" s="310">
        <v>104</v>
      </c>
      <c r="G205" t="str">
        <f>VLOOKUP(E205,'FG MASTER'!$A:$AB,2,0)</f>
        <v xml:space="preserve">CREW C1 DINNER ENTRÉE 2 CRUSTED SALMON, MISO GLAZE, SHITAKE STICKY RICE, ROOT VEG WIT PERILLA </v>
      </c>
      <c r="H205" s="285">
        <v>1</v>
      </c>
      <c r="I205" s="173">
        <v>0.3</v>
      </c>
      <c r="J205" s="291">
        <f>IFERROR(IF(I205="std",H205,HLOOKUP(A205,'FlightConfig '!$B$28:$G$29,2,0)*I205),"")</f>
        <v>1.7999999999999998</v>
      </c>
      <c r="K205" s="244">
        <f>VLOOKUP(Food!E205,'FG MASTER'!$A$1:$AC$536,16,0)</f>
        <v>6.93</v>
      </c>
      <c r="L205" s="245">
        <f>VLOOKUP(Food!E205,'FG MASTER'!$A$10:$AC$536,17,0)</f>
        <v>6.25</v>
      </c>
      <c r="M205" s="132">
        <f t="shared" si="222"/>
        <v>2.5</v>
      </c>
      <c r="N205" s="132">
        <f t="shared" si="205"/>
        <v>9.43</v>
      </c>
      <c r="O205" s="132">
        <f t="shared" si="84"/>
        <v>1.5245999999999995</v>
      </c>
      <c r="P205" s="132">
        <f t="shared" si="85"/>
        <v>0.5</v>
      </c>
      <c r="Q205" s="132">
        <f t="shared" si="191"/>
        <v>11.454599999999999</v>
      </c>
      <c r="R205" s="402">
        <f t="shared" si="87"/>
        <v>8.4545999999999992</v>
      </c>
      <c r="S205" s="402">
        <f t="shared" si="88"/>
        <v>3</v>
      </c>
      <c r="T205" s="402">
        <f t="shared" si="89"/>
        <v>11.454599999999999</v>
      </c>
      <c r="U205" s="127"/>
      <c r="V205" s="127"/>
      <c r="W205" t="str">
        <f>IFERROR(#REF!*J205,"")</f>
        <v/>
      </c>
      <c r="X205">
        <f t="shared" si="90"/>
        <v>12.473999999999998</v>
      </c>
      <c r="Y205">
        <f t="shared" si="91"/>
        <v>11.249999999999998</v>
      </c>
      <c r="Z205" s="127">
        <f t="shared" si="92"/>
        <v>4.5</v>
      </c>
      <c r="AA205" s="127">
        <f t="shared" si="93"/>
        <v>16.973999999999997</v>
      </c>
      <c r="AB205" s="127">
        <f t="shared" si="94"/>
        <v>2.7442799999999989</v>
      </c>
      <c r="AC205" s="127">
        <f t="shared" si="220"/>
        <v>0.89999999999999991</v>
      </c>
      <c r="AD205" s="127">
        <f t="shared" si="221"/>
        <v>20.618279999999995</v>
      </c>
      <c r="AF205" s="127" t="str">
        <f>IFERROR(W205*'FlightConfig '!$K$3,"")</f>
        <v/>
      </c>
      <c r="AG205" s="127">
        <f>IFERROR(X205*'FlightConfig '!$K$17,"")</f>
        <v>4540.5359999999991</v>
      </c>
      <c r="AH205" s="127">
        <f>IFERROR(Y205*'FlightConfig '!$K$17,"")</f>
        <v>4094.9999999999995</v>
      </c>
      <c r="AI205" s="127">
        <f>IFERROR(Z205*'FlightConfig '!$K$17,"")</f>
        <v>1638</v>
      </c>
      <c r="AJ205" s="127">
        <f>IFERROR(AA205*'FlightConfig '!$K$17,"")</f>
        <v>6178.5359999999991</v>
      </c>
      <c r="AK205" s="127">
        <f>IFERROR(AB205*'FlightConfig '!$K$17,"")</f>
        <v>998.91791999999964</v>
      </c>
    </row>
    <row r="206" spans="1:37" ht="18" customHeight="1">
      <c r="A206" t="s">
        <v>189</v>
      </c>
      <c r="B206" s="171">
        <v>1</v>
      </c>
      <c r="C206" s="176" t="str">
        <f t="shared" si="204"/>
        <v>CABIN CREW CLASS1104</v>
      </c>
      <c r="D206" s="293"/>
      <c r="E206" s="304">
        <v>1142</v>
      </c>
      <c r="F206" s="310">
        <v>104</v>
      </c>
      <c r="G206" t="str">
        <f>VLOOKUP(E206,'FG MASTER'!$A:$AB,2,0)</f>
        <v>CREW C1 DINNER ENTRÉE 3 LEMON CONFIT CHICKEN BREAST, GRAPE DEMI GLACE, WITH MASHED POTATO AND GREEN BEANS</v>
      </c>
      <c r="H206" s="285">
        <v>1</v>
      </c>
      <c r="I206" s="173">
        <v>0.2</v>
      </c>
      <c r="J206" s="291">
        <f>IFERROR(IF(I206="std",H206,HLOOKUP(A206,'FlightConfig '!$B$28:$G$29,2,0)*I206),"")</f>
        <v>1.2000000000000002</v>
      </c>
      <c r="K206" s="244">
        <f>VLOOKUP(Food!E206,'FG MASTER'!$A$1:$AC$536,16,0)</f>
        <v>5.72</v>
      </c>
      <c r="L206" s="245">
        <f>VLOOKUP(Food!E206,'FG MASTER'!$A$10:$AC$536,17,0)</f>
        <v>5</v>
      </c>
      <c r="M206" s="132">
        <f t="shared" si="222"/>
        <v>2</v>
      </c>
      <c r="N206" s="132">
        <f t="shared" si="205"/>
        <v>7.72</v>
      </c>
      <c r="O206" s="132">
        <f t="shared" si="84"/>
        <v>1.2584</v>
      </c>
      <c r="P206" s="132">
        <f t="shared" si="85"/>
        <v>0.39999999999999991</v>
      </c>
      <c r="Q206" s="132">
        <f t="shared" si="191"/>
        <v>9.378400000000001</v>
      </c>
      <c r="R206" s="402">
        <f t="shared" si="87"/>
        <v>6.9783999999999997</v>
      </c>
      <c r="S206" s="402">
        <f t="shared" si="88"/>
        <v>2.4</v>
      </c>
      <c r="T206" s="402">
        <f t="shared" si="89"/>
        <v>9.3783999999999992</v>
      </c>
      <c r="U206" s="127"/>
      <c r="V206" s="127"/>
      <c r="W206" t="str">
        <f>IFERROR(#REF!*J206,"")</f>
        <v/>
      </c>
      <c r="X206">
        <f t="shared" si="90"/>
        <v>6.8640000000000008</v>
      </c>
      <c r="Y206">
        <f t="shared" si="91"/>
        <v>6.0000000000000009</v>
      </c>
      <c r="Z206" s="127">
        <f t="shared" si="92"/>
        <v>2.4000000000000004</v>
      </c>
      <c r="AA206" s="127">
        <f t="shared" si="93"/>
        <v>9.2640000000000011</v>
      </c>
      <c r="AB206" s="127">
        <f t="shared" si="94"/>
        <v>1.5100800000000001</v>
      </c>
      <c r="AC206" s="127">
        <f t="shared" si="220"/>
        <v>0.48</v>
      </c>
      <c r="AD206" s="127">
        <f t="shared" si="221"/>
        <v>11.254080000000004</v>
      </c>
      <c r="AF206" s="127" t="str">
        <f>IFERROR(W206*'FlightConfig '!$K$3,"")</f>
        <v/>
      </c>
      <c r="AG206" s="127">
        <f>IFERROR(X206*'FlightConfig '!$K$17,"")</f>
        <v>2498.4960000000001</v>
      </c>
      <c r="AH206" s="127">
        <f>IFERROR(Y206*'FlightConfig '!$K$17,"")</f>
        <v>2184.0000000000005</v>
      </c>
      <c r="AI206" s="127">
        <f>IFERROR(Z206*'FlightConfig '!$K$17,"")</f>
        <v>873.60000000000014</v>
      </c>
      <c r="AJ206" s="127">
        <f>IFERROR(AA206*'FlightConfig '!$K$17,"")</f>
        <v>3372.0960000000005</v>
      </c>
      <c r="AK206" s="127">
        <f>IFERROR(AB206*'FlightConfig '!$K$17,"")</f>
        <v>549.66912000000002</v>
      </c>
    </row>
    <row r="207" spans="1:37" ht="18" customHeight="1">
      <c r="A207" t="s">
        <v>189</v>
      </c>
      <c r="B207" s="171">
        <v>1</v>
      </c>
      <c r="C207" s="176" t="str">
        <f t="shared" si="204"/>
        <v>CABIN CREW CLASS1104</v>
      </c>
      <c r="D207" s="293"/>
      <c r="E207" s="304">
        <v>1143</v>
      </c>
      <c r="F207" s="310">
        <v>104</v>
      </c>
      <c r="G207" t="str">
        <f>VLOOKUP(E207,'FG MASTER'!$A:$AB,2,0)</f>
        <v xml:space="preserve">CREW C1 DINNER ENTRÉE 4 CAVATAPI WITH RED WINE TOMATO RAGU SAUCE, AND IMPOSSIBLE MEATBALL </v>
      </c>
      <c r="H207" s="285">
        <v>1</v>
      </c>
      <c r="I207" s="173">
        <v>0.1</v>
      </c>
      <c r="J207" s="291">
        <f>IFERROR(IF(I207="std",H207,HLOOKUP(A207,'FlightConfig '!$B$28:$G$29,2,0)*I207),"")</f>
        <v>0.60000000000000009</v>
      </c>
      <c r="K207" s="244">
        <f>VLOOKUP(Food!E207,'FG MASTER'!$A$1:$AC$536,16,0)</f>
        <v>6.09</v>
      </c>
      <c r="L207" s="245">
        <f>VLOOKUP(Food!E207,'FG MASTER'!$A$10:$AC$536,17,0)</f>
        <v>4</v>
      </c>
      <c r="M207" s="132">
        <f t="shared" si="222"/>
        <v>1.6</v>
      </c>
      <c r="N207" s="132">
        <f>IFERROR((K207)+M207,"")</f>
        <v>7.6899999999999995</v>
      </c>
      <c r="O207" s="132">
        <f t="shared" si="84"/>
        <v>1.3397999999999994</v>
      </c>
      <c r="P207" s="132">
        <f t="shared" si="85"/>
        <v>0.31999999999999984</v>
      </c>
      <c r="Q207" s="132">
        <f t="shared" si="191"/>
        <v>9.3497999999999983</v>
      </c>
      <c r="R207" s="402">
        <f t="shared" si="87"/>
        <v>7.4297999999999993</v>
      </c>
      <c r="S207" s="402">
        <f t="shared" si="88"/>
        <v>1.92</v>
      </c>
      <c r="T207" s="402">
        <f t="shared" si="89"/>
        <v>9.3497999999999983</v>
      </c>
      <c r="U207" s="127"/>
      <c r="V207" s="127"/>
      <c r="W207" t="str">
        <f>IFERROR(#REF!*J207,"")</f>
        <v/>
      </c>
      <c r="X207">
        <f t="shared" si="90"/>
        <v>3.6540000000000004</v>
      </c>
      <c r="Y207">
        <f t="shared" si="91"/>
        <v>2.4000000000000004</v>
      </c>
      <c r="Z207" s="127">
        <f t="shared" si="92"/>
        <v>0.96000000000000019</v>
      </c>
      <c r="AA207" s="127">
        <f t="shared" si="93"/>
        <v>4.6140000000000008</v>
      </c>
      <c r="AB207" s="127">
        <f t="shared" si="94"/>
        <v>0.80387999999999982</v>
      </c>
      <c r="AC207" s="127">
        <f t="shared" si="220"/>
        <v>0.19199999999999992</v>
      </c>
      <c r="AD207" s="127">
        <f t="shared" si="221"/>
        <v>5.6098799999999995</v>
      </c>
      <c r="AF207" s="127" t="str">
        <f>IFERROR(W207*'FlightConfig '!$K$3,"")</f>
        <v/>
      </c>
      <c r="AG207" s="127">
        <f>IFERROR(X207*'FlightConfig '!$K$17,"")</f>
        <v>1330.056</v>
      </c>
      <c r="AH207" s="127">
        <f>IFERROR(Y207*'FlightConfig '!$K$17,"")</f>
        <v>873.60000000000014</v>
      </c>
      <c r="AI207" s="127">
        <f>IFERROR(Z207*'FlightConfig '!$K$17,"")</f>
        <v>349.44000000000005</v>
      </c>
      <c r="AJ207" s="127">
        <f>IFERROR(AA207*'FlightConfig '!$K$17,"")</f>
        <v>1679.4960000000003</v>
      </c>
      <c r="AK207" s="127">
        <f>IFERROR(AB207*'FlightConfig '!$K$17,"")</f>
        <v>292.61231999999995</v>
      </c>
    </row>
    <row r="208" spans="1:37" ht="18" customHeight="1">
      <c r="A208" t="s">
        <v>189</v>
      </c>
      <c r="B208" s="171">
        <v>1</v>
      </c>
      <c r="C208" s="176" t="str">
        <f t="shared" si="204"/>
        <v>CABIN CREW CLASS1104</v>
      </c>
      <c r="D208" s="293"/>
      <c r="E208" s="304">
        <v>1144</v>
      </c>
      <c r="F208" s="310">
        <v>104</v>
      </c>
      <c r="G208" t="str">
        <f>VLOOKUP(E208,'FG MASTER'!$A:$AB,2,0)</f>
        <v xml:space="preserve">CREW C1 DINNER ENTRÉE 5 POTATO GNOCCHI WITH SAGE BROW BUTTER SAUCE AND MARINATED KALE </v>
      </c>
      <c r="H208" s="285">
        <v>1</v>
      </c>
      <c r="I208" s="173">
        <v>0</v>
      </c>
      <c r="J208" s="291">
        <f>IFERROR(IF(I208="std",H208,HLOOKUP(A208,'FlightConfig '!$B$28:$G$29,2,0)*I208),"")</f>
        <v>0</v>
      </c>
      <c r="K208" s="244">
        <f>VLOOKUP(Food!E208,'FG MASTER'!$A$1:$AC$536,16,0)</f>
        <v>2.0099999999999998</v>
      </c>
      <c r="L208" s="245">
        <f>VLOOKUP(Food!E208,'FG MASTER'!$A$10:$AC$536,17,0)</f>
        <v>3.75</v>
      </c>
      <c r="M208" s="132">
        <f t="shared" si="222"/>
        <v>1.5</v>
      </c>
      <c r="N208" s="132">
        <f t="shared" ref="N208:N215" si="223">IFERROR((K208)+M208,"")</f>
        <v>3.51</v>
      </c>
      <c r="O208" s="132">
        <f t="shared" si="84"/>
        <v>0.4421999999999997</v>
      </c>
      <c r="P208" s="132">
        <f t="shared" si="85"/>
        <v>0.29999999999999982</v>
      </c>
      <c r="Q208" s="132">
        <f t="shared" si="191"/>
        <v>4.2521999999999993</v>
      </c>
      <c r="R208" s="402">
        <f t="shared" si="87"/>
        <v>2.4521999999999995</v>
      </c>
      <c r="S208" s="402">
        <f t="shared" si="88"/>
        <v>1.7999999999999998</v>
      </c>
      <c r="T208" s="402">
        <f t="shared" si="89"/>
        <v>4.2521999999999993</v>
      </c>
      <c r="U208" s="127"/>
      <c r="V208" s="127"/>
      <c r="W208" t="str">
        <f>IFERROR(#REF!*J208,"")</f>
        <v/>
      </c>
      <c r="X208">
        <f t="shared" si="90"/>
        <v>0</v>
      </c>
      <c r="Y208">
        <f t="shared" si="91"/>
        <v>0</v>
      </c>
      <c r="Z208" s="127">
        <f t="shared" si="92"/>
        <v>0</v>
      </c>
      <c r="AA208" s="127">
        <f t="shared" si="93"/>
        <v>0</v>
      </c>
      <c r="AB208" s="127">
        <f t="shared" si="94"/>
        <v>0</v>
      </c>
      <c r="AC208" s="127">
        <f t="shared" si="220"/>
        <v>0</v>
      </c>
      <c r="AD208" s="127">
        <f t="shared" si="221"/>
        <v>0</v>
      </c>
      <c r="AF208" s="127" t="str">
        <f>IFERROR(W208*'FlightConfig '!$K$3,"")</f>
        <v/>
      </c>
      <c r="AG208" s="127">
        <f>IFERROR(X208*'FlightConfig '!$K$17,"")</f>
        <v>0</v>
      </c>
      <c r="AH208" s="127">
        <f>IFERROR(Y208*'FlightConfig '!$K$17,"")</f>
        <v>0</v>
      </c>
      <c r="AI208" s="127">
        <f>IFERROR(Z208*'FlightConfig '!$K$17,"")</f>
        <v>0</v>
      </c>
      <c r="AJ208" s="127">
        <f>IFERROR(AA208*'FlightConfig '!$K$17,"")</f>
        <v>0</v>
      </c>
      <c r="AK208" s="127">
        <f>IFERROR(AB208*'FlightConfig '!$K$17,"")</f>
        <v>0</v>
      </c>
    </row>
    <row r="209" spans="1:37" ht="18" customHeight="1">
      <c r="A209" t="s">
        <v>189</v>
      </c>
      <c r="B209" s="171">
        <v>1</v>
      </c>
      <c r="C209" s="176" t="str">
        <f t="shared" si="204"/>
        <v>CABIN CREW CLASS1104</v>
      </c>
      <c r="D209" s="293"/>
      <c r="E209" s="304">
        <v>1145</v>
      </c>
      <c r="F209" s="310">
        <v>104</v>
      </c>
      <c r="G209" t="str">
        <f>VLOOKUP(E209,'FG MASTER'!$A:$AB,2,0)</f>
        <v>CREW C1 SANDWICH 1 HUMMUS, SPROUT TORTILLA WRAP</v>
      </c>
      <c r="H209" s="285">
        <v>1</v>
      </c>
      <c r="I209" s="173">
        <v>0.5</v>
      </c>
      <c r="J209" s="291">
        <f>IFERROR(IF(I209="std",H209,HLOOKUP(A209,'FlightConfig '!$B$28:$G$29,2,0)*I209),"")</f>
        <v>3</v>
      </c>
      <c r="K209" s="244">
        <f>VLOOKUP(Food!E209,'FG MASTER'!$A$1:$AC$536,16,0)</f>
        <v>1.96</v>
      </c>
      <c r="L209" s="245">
        <f>VLOOKUP(Food!E209,'FG MASTER'!$A$10:$AC$536,17,0)</f>
        <v>1.5</v>
      </c>
      <c r="M209" s="132">
        <f t="shared" si="222"/>
        <v>0.60000000000000009</v>
      </c>
      <c r="N209" s="132">
        <f t="shared" si="223"/>
        <v>2.56</v>
      </c>
      <c r="O209" s="132">
        <f t="shared" si="84"/>
        <v>0.43120000000000003</v>
      </c>
      <c r="P209" s="132">
        <f t="shared" si="85"/>
        <v>0.12</v>
      </c>
      <c r="Q209" s="132">
        <f t="shared" si="191"/>
        <v>3.1112000000000002</v>
      </c>
      <c r="R209" s="402">
        <f t="shared" si="87"/>
        <v>2.3912</v>
      </c>
      <c r="S209" s="402">
        <f t="shared" si="88"/>
        <v>0.72000000000000008</v>
      </c>
      <c r="T209" s="402">
        <f t="shared" si="89"/>
        <v>3.1112000000000002</v>
      </c>
      <c r="U209" s="127"/>
      <c r="V209" s="127"/>
      <c r="W209" t="str">
        <f>IFERROR(#REF!*J209,"")</f>
        <v/>
      </c>
      <c r="X209">
        <f t="shared" si="90"/>
        <v>5.88</v>
      </c>
      <c r="Y209">
        <f t="shared" si="91"/>
        <v>4.5</v>
      </c>
      <c r="Z209" s="127">
        <f t="shared" si="92"/>
        <v>1.8000000000000003</v>
      </c>
      <c r="AA209" s="127">
        <f t="shared" si="93"/>
        <v>7.68</v>
      </c>
      <c r="AB209" s="127">
        <f t="shared" si="94"/>
        <v>1.2936000000000001</v>
      </c>
      <c r="AC209" s="127">
        <f t="shared" si="220"/>
        <v>0.36</v>
      </c>
      <c r="AD209" s="127">
        <f t="shared" si="221"/>
        <v>9.3336000000000006</v>
      </c>
      <c r="AF209" s="127" t="str">
        <f>IFERROR(W209*'FlightConfig '!$K$3,"")</f>
        <v/>
      </c>
      <c r="AG209" s="127">
        <f>IFERROR(X209*'FlightConfig '!$K$17,"")</f>
        <v>2140.3200000000002</v>
      </c>
      <c r="AH209" s="127">
        <f>IFERROR(Y209*'FlightConfig '!$K$17,"")</f>
        <v>1638</v>
      </c>
      <c r="AI209" s="127">
        <f>IFERROR(Z209*'FlightConfig '!$K$17,"")</f>
        <v>655.20000000000005</v>
      </c>
      <c r="AJ209" s="127">
        <f>IFERROR(AA209*'FlightConfig '!$K$17,"")</f>
        <v>2795.52</v>
      </c>
      <c r="AK209" s="127">
        <f>IFERROR(AB209*'FlightConfig '!$K$17,"")</f>
        <v>470.87040000000002</v>
      </c>
    </row>
    <row r="210" spans="1:37" ht="18" customHeight="1">
      <c r="A210" t="s">
        <v>189</v>
      </c>
      <c r="B210" s="171">
        <v>1</v>
      </c>
      <c r="C210" s="176" t="str">
        <f t="shared" si="204"/>
        <v>CABIN CREW CLASS1104</v>
      </c>
      <c r="D210" s="293"/>
      <c r="E210" s="304">
        <v>1146</v>
      </c>
      <c r="F210" s="310">
        <v>104</v>
      </c>
      <c r="G210" t="str">
        <f>VLOOKUP(E210,'FG MASTER'!$A:$AB,2,0)</f>
        <v xml:space="preserve">CREW C1 SANDWICH 2 HAM AND PROVOLINE ON WHITE </v>
      </c>
      <c r="H210" s="285">
        <v>1</v>
      </c>
      <c r="I210" s="173">
        <v>0.3</v>
      </c>
      <c r="J210" s="291">
        <f>IFERROR(IF(I210="std",H210,HLOOKUP(A210,'FlightConfig '!$B$28:$G$29,2,0)*I210),"")</f>
        <v>1.7999999999999998</v>
      </c>
      <c r="K210" s="244">
        <f>VLOOKUP(Food!E210,'FG MASTER'!$A$1:$AC$536,16,0)</f>
        <v>1.68</v>
      </c>
      <c r="L210" s="245">
        <f>VLOOKUP(Food!E210,'FG MASTER'!$A$10:$AC$536,17,0)</f>
        <v>1.5</v>
      </c>
      <c r="M210" s="132">
        <f t="shared" si="222"/>
        <v>0.60000000000000009</v>
      </c>
      <c r="N210" s="132">
        <f t="shared" si="223"/>
        <v>2.2800000000000002</v>
      </c>
      <c r="O210" s="132">
        <f t="shared" si="84"/>
        <v>0.36959999999999993</v>
      </c>
      <c r="P210" s="132">
        <f t="shared" si="85"/>
        <v>0.12</v>
      </c>
      <c r="Q210" s="132">
        <f t="shared" si="191"/>
        <v>2.7696000000000005</v>
      </c>
      <c r="R210" s="402">
        <f t="shared" si="87"/>
        <v>2.0495999999999999</v>
      </c>
      <c r="S210" s="402">
        <f t="shared" si="88"/>
        <v>0.72000000000000008</v>
      </c>
      <c r="T210" s="402">
        <f t="shared" si="89"/>
        <v>2.7696000000000001</v>
      </c>
      <c r="U210" s="127"/>
      <c r="V210" s="127"/>
      <c r="W210" t="str">
        <f>IFERROR(#REF!*J210,"")</f>
        <v/>
      </c>
      <c r="X210">
        <f t="shared" si="90"/>
        <v>3.0239999999999996</v>
      </c>
      <c r="Y210">
        <f t="shared" si="91"/>
        <v>2.6999999999999997</v>
      </c>
      <c r="Z210" s="127">
        <f t="shared" si="92"/>
        <v>1.08</v>
      </c>
      <c r="AA210" s="127">
        <f t="shared" si="93"/>
        <v>4.1040000000000001</v>
      </c>
      <c r="AB210" s="127">
        <f t="shared" si="94"/>
        <v>0.66527999999999976</v>
      </c>
      <c r="AC210" s="127">
        <f t="shared" si="220"/>
        <v>0.21599999999999997</v>
      </c>
      <c r="AD210" s="127">
        <f t="shared" si="221"/>
        <v>4.9852800000000004</v>
      </c>
      <c r="AF210" s="127" t="str">
        <f>IFERROR(W210*'FlightConfig '!$K$3,"")</f>
        <v/>
      </c>
      <c r="AG210" s="127">
        <f>IFERROR(X210*'FlightConfig '!$K$17,"")</f>
        <v>1100.7359999999999</v>
      </c>
      <c r="AH210" s="127">
        <f>IFERROR(Y210*'FlightConfig '!$K$17,"")</f>
        <v>982.8</v>
      </c>
      <c r="AI210" s="127">
        <f>IFERROR(Z210*'FlightConfig '!$K$17,"")</f>
        <v>393.12</v>
      </c>
      <c r="AJ210" s="127">
        <f>IFERROR(AA210*'FlightConfig '!$K$17,"")</f>
        <v>1493.856</v>
      </c>
      <c r="AK210" s="127">
        <f>IFERROR(AB210*'FlightConfig '!$K$17,"")</f>
        <v>242.16191999999992</v>
      </c>
    </row>
    <row r="211" spans="1:37" ht="18" customHeight="1">
      <c r="A211" t="s">
        <v>189</v>
      </c>
      <c r="B211" s="171">
        <v>1</v>
      </c>
      <c r="C211" s="176" t="str">
        <f>CONCATENATE(A211&amp;B211&amp;F211)</f>
        <v>CABIN CREW CLASS1104</v>
      </c>
      <c r="D211" s="293"/>
      <c r="E211" s="304">
        <v>1147</v>
      </c>
      <c r="F211" s="310">
        <v>104</v>
      </c>
      <c r="G211" t="str">
        <f>VLOOKUP(E211,'FG MASTER'!$A:$AB,2,0)</f>
        <v>CREW C1 SANDWICH 3 ROAST BEEF AND CHEDDAR ON HOAGIE</v>
      </c>
      <c r="H211" s="285">
        <v>1</v>
      </c>
      <c r="I211" s="173">
        <v>0.2</v>
      </c>
      <c r="J211" s="291">
        <f>IFERROR(IF(I211="std",H211,HLOOKUP(A211,'FlightConfig '!$B$28:$G$29,2,0)*I211),"")</f>
        <v>1.2000000000000002</v>
      </c>
      <c r="K211" s="244">
        <f>VLOOKUP(Food!E211,'FG MASTER'!$A$1:$AC$536,16,0)</f>
        <v>2.2999999999999998</v>
      </c>
      <c r="L211" s="245">
        <f>VLOOKUP(Food!E211,'FG MASTER'!$A$10:$AC$536,17,0)</f>
        <v>1.5</v>
      </c>
      <c r="M211" s="132">
        <f t="shared" si="222"/>
        <v>0.60000000000000009</v>
      </c>
      <c r="N211" s="132">
        <f t="shared" si="223"/>
        <v>2.9</v>
      </c>
      <c r="O211" s="132">
        <f t="shared" ref="O211:O216" si="224">IFERROR($K211*(1+$O$2)-$K211,0)</f>
        <v>0.50599999999999978</v>
      </c>
      <c r="P211" s="132">
        <f t="shared" ref="P211:P216" si="225">IFERROR($M211*(1+$P$2)-$M211,0)</f>
        <v>0.12</v>
      </c>
      <c r="Q211" s="132">
        <f t="shared" ref="Q211:Q215" si="226">SUM(N211:P211)</f>
        <v>3.5259999999999998</v>
      </c>
      <c r="R211" s="402">
        <f t="shared" ref="R211:R215" si="227">K211*(1+$O$2)</f>
        <v>2.8059999999999996</v>
      </c>
      <c r="S211" s="402">
        <f t="shared" ref="S211:S215" si="228">M211*(1+$P$2)</f>
        <v>0.72000000000000008</v>
      </c>
      <c r="T211" s="402">
        <f t="shared" ref="T211:T215" si="229">R211+S211</f>
        <v>3.5259999999999998</v>
      </c>
      <c r="U211" s="127"/>
      <c r="V211" s="127"/>
      <c r="W211" t="str">
        <f>IFERROR(#REF!*J211,"")</f>
        <v/>
      </c>
      <c r="X211">
        <f t="shared" ref="X211:X215" si="230">IFERROR(K211*J211,"")</f>
        <v>2.7600000000000002</v>
      </c>
      <c r="Y211">
        <f t="shared" ref="Y211:Y215" si="231">IFERROR(+L211*J211,"")</f>
        <v>1.8000000000000003</v>
      </c>
      <c r="Z211" s="127">
        <f t="shared" ref="Z211:Z215" si="232">IFERROR(+M211*J211,"")</f>
        <v>0.7200000000000002</v>
      </c>
      <c r="AA211" s="127">
        <f t="shared" ref="AA211:AA215" si="233">IFERROR(+N211*J211,"")</f>
        <v>3.4800000000000004</v>
      </c>
      <c r="AB211" s="127">
        <f t="shared" ref="AB211:AB215" si="234">IFERROR(O211*$J211,"")</f>
        <v>0.60719999999999985</v>
      </c>
      <c r="AC211" s="127">
        <f t="shared" si="220"/>
        <v>0.14400000000000002</v>
      </c>
      <c r="AD211" s="127">
        <f t="shared" si="221"/>
        <v>4.2312000000000003</v>
      </c>
      <c r="AF211" s="127" t="str">
        <f>IFERROR(W211*'FlightConfig '!$K$3,"")</f>
        <v/>
      </c>
      <c r="AG211" s="127">
        <f>IFERROR(X211*'FlightConfig '!$K$17,"")</f>
        <v>1004.6400000000001</v>
      </c>
      <c r="AH211" s="127">
        <f>IFERROR(Y211*'FlightConfig '!$K$17,"")</f>
        <v>655.20000000000005</v>
      </c>
      <c r="AI211" s="127">
        <f>IFERROR(Z211*'FlightConfig '!$K$17,"")</f>
        <v>262.0800000000001</v>
      </c>
      <c r="AJ211" s="127">
        <f>IFERROR(AA211*'FlightConfig '!$K$17,"")</f>
        <v>1266.7200000000003</v>
      </c>
      <c r="AK211" s="127">
        <f>IFERROR(AB211*'FlightConfig '!$K$17,"")</f>
        <v>221.02079999999995</v>
      </c>
    </row>
    <row r="212" spans="1:37" ht="18" customHeight="1">
      <c r="A212" t="s">
        <v>189</v>
      </c>
      <c r="B212" s="171">
        <v>1</v>
      </c>
      <c r="C212" s="176" t="str">
        <f t="shared" ref="C212:C215" si="235">CONCATENATE(A212&amp;B212&amp;F212)</f>
        <v>CABIN CREW CLASS1104</v>
      </c>
      <c r="D212" s="293"/>
      <c r="E212" s="304">
        <v>1148</v>
      </c>
      <c r="F212" s="310">
        <v>104</v>
      </c>
      <c r="G212" t="str">
        <f>VLOOKUP(E212,'FG MASTER'!$A:$AB,2,0)</f>
        <v>CREW C1 SANDWICH 4 CAPRESES SANDWICH ON CIABATA</v>
      </c>
      <c r="H212" s="285">
        <v>1</v>
      </c>
      <c r="I212" s="173">
        <v>0.1</v>
      </c>
      <c r="J212" s="291">
        <f>IFERROR(IF(I212="std",H212,HLOOKUP(A212,'FlightConfig '!$B$28:$G$29,2,0)*I212),"")</f>
        <v>0.60000000000000009</v>
      </c>
      <c r="K212" s="244">
        <f>VLOOKUP(Food!E212,'FG MASTER'!$A$1:$AC$536,16,0)</f>
        <v>1.63</v>
      </c>
      <c r="L212" s="245">
        <f>VLOOKUP(Food!E212,'FG MASTER'!$A$10:$AC$536,17,0)</f>
        <v>1.5</v>
      </c>
      <c r="M212" s="132">
        <f t="shared" si="222"/>
        <v>0.60000000000000009</v>
      </c>
      <c r="N212" s="132">
        <f t="shared" si="223"/>
        <v>2.23</v>
      </c>
      <c r="O212" s="132">
        <f t="shared" si="224"/>
        <v>0.35860000000000003</v>
      </c>
      <c r="P212" s="132">
        <f t="shared" si="225"/>
        <v>0.12</v>
      </c>
      <c r="Q212" s="132">
        <f t="shared" si="226"/>
        <v>2.7086000000000001</v>
      </c>
      <c r="R212" s="402">
        <f t="shared" si="227"/>
        <v>1.9885999999999999</v>
      </c>
      <c r="S212" s="402">
        <f t="shared" si="228"/>
        <v>0.72000000000000008</v>
      </c>
      <c r="T212" s="402">
        <f t="shared" si="229"/>
        <v>2.7086000000000001</v>
      </c>
      <c r="U212" s="127"/>
      <c r="V212" s="127"/>
      <c r="W212" t="str">
        <f>IFERROR(#REF!*J212,"")</f>
        <v/>
      </c>
      <c r="X212">
        <f t="shared" si="230"/>
        <v>0.97800000000000009</v>
      </c>
      <c r="Y212">
        <f t="shared" si="231"/>
        <v>0.90000000000000013</v>
      </c>
      <c r="Z212" s="127">
        <f t="shared" si="232"/>
        <v>0.3600000000000001</v>
      </c>
      <c r="AA212" s="127">
        <f t="shared" si="233"/>
        <v>1.3380000000000001</v>
      </c>
      <c r="AB212" s="127">
        <f t="shared" si="234"/>
        <v>0.21516000000000005</v>
      </c>
      <c r="AC212" s="127">
        <f t="shared" si="220"/>
        <v>7.2000000000000008E-2</v>
      </c>
      <c r="AD212" s="127">
        <f t="shared" si="221"/>
        <v>1.6251600000000004</v>
      </c>
      <c r="AF212" s="127" t="str">
        <f>IFERROR(W212*'FlightConfig '!$K$3,"")</f>
        <v/>
      </c>
      <c r="AG212" s="127">
        <f>IFERROR(X212*'FlightConfig '!$K$17,"")</f>
        <v>355.99200000000002</v>
      </c>
      <c r="AH212" s="127">
        <f>IFERROR(Y212*'FlightConfig '!$K$17,"")</f>
        <v>327.60000000000002</v>
      </c>
      <c r="AI212" s="127">
        <f>IFERROR(Z212*'FlightConfig '!$K$17,"")</f>
        <v>131.04000000000005</v>
      </c>
      <c r="AJ212" s="127">
        <f>IFERROR(AA212*'FlightConfig '!$K$17,"")</f>
        <v>487.03200000000004</v>
      </c>
      <c r="AK212" s="127">
        <f>IFERROR(AB212*'FlightConfig '!$K$17,"")</f>
        <v>78.318240000000017</v>
      </c>
    </row>
    <row r="213" spans="1:37" ht="18" customHeight="1">
      <c r="A213" t="s">
        <v>189</v>
      </c>
      <c r="B213" s="171">
        <v>1</v>
      </c>
      <c r="C213" s="176" t="str">
        <f t="shared" si="235"/>
        <v>CABIN CREW CLASS1104</v>
      </c>
      <c r="D213" s="293"/>
      <c r="E213" s="304">
        <v>1149</v>
      </c>
      <c r="F213" s="310">
        <v>104</v>
      </c>
      <c r="G213" t="str">
        <f>VLOOKUP(E213,'FG MASTER'!$A:$AB,2,0)</f>
        <v>CREW C1 SANDWICH 5 TUNA SALAD ON WHEAT</v>
      </c>
      <c r="H213" s="285">
        <v>1</v>
      </c>
      <c r="I213" s="173">
        <v>0</v>
      </c>
      <c r="J213" s="291">
        <f>IFERROR(IF(I213="std",H213,HLOOKUP(A213,'FlightConfig '!$B$28:$G$29,2,0)*I213),"")</f>
        <v>0</v>
      </c>
      <c r="K213" s="244">
        <f>VLOOKUP(Food!E213,'FG MASTER'!$A$1:$AC$536,16,0)</f>
        <v>1.99</v>
      </c>
      <c r="L213" s="245">
        <f>VLOOKUP(Food!E213,'FG MASTER'!$A$10:$AC$536,17,0)</f>
        <v>1.5</v>
      </c>
      <c r="M213" s="132">
        <f t="shared" si="222"/>
        <v>0.60000000000000009</v>
      </c>
      <c r="N213" s="132">
        <f t="shared" si="223"/>
        <v>2.59</v>
      </c>
      <c r="O213" s="132">
        <f t="shared" si="224"/>
        <v>0.43779999999999997</v>
      </c>
      <c r="P213" s="132">
        <f t="shared" si="225"/>
        <v>0.12</v>
      </c>
      <c r="Q213" s="132">
        <f t="shared" si="226"/>
        <v>3.1478000000000002</v>
      </c>
      <c r="R213" s="402">
        <f t="shared" si="227"/>
        <v>2.4278</v>
      </c>
      <c r="S213" s="402">
        <f t="shared" si="228"/>
        <v>0.72000000000000008</v>
      </c>
      <c r="T213" s="402">
        <f t="shared" si="229"/>
        <v>3.1478000000000002</v>
      </c>
      <c r="U213" s="127"/>
      <c r="V213" s="127"/>
      <c r="W213" t="str">
        <f>IFERROR(#REF!*J213,"")</f>
        <v/>
      </c>
      <c r="X213">
        <f t="shared" si="230"/>
        <v>0</v>
      </c>
      <c r="Y213">
        <f t="shared" si="231"/>
        <v>0</v>
      </c>
      <c r="Z213" s="127">
        <f t="shared" si="232"/>
        <v>0</v>
      </c>
      <c r="AA213" s="127">
        <f t="shared" si="233"/>
        <v>0</v>
      </c>
      <c r="AB213" s="127">
        <f t="shared" si="234"/>
        <v>0</v>
      </c>
      <c r="AC213" s="127">
        <f t="shared" si="220"/>
        <v>0</v>
      </c>
      <c r="AD213" s="127">
        <f t="shared" si="221"/>
        <v>0</v>
      </c>
      <c r="AF213" s="127" t="str">
        <f>IFERROR(W213*'FlightConfig '!$K$3,"")</f>
        <v/>
      </c>
      <c r="AG213" s="127">
        <f>IFERROR(X213*'FlightConfig '!$K$17,"")</f>
        <v>0</v>
      </c>
      <c r="AH213" s="127">
        <f>IFERROR(Y213*'FlightConfig '!$K$17,"")</f>
        <v>0</v>
      </c>
      <c r="AI213" s="127">
        <f>IFERROR(Z213*'FlightConfig '!$K$17,"")</f>
        <v>0</v>
      </c>
      <c r="AJ213" s="127">
        <f>IFERROR(AA213*'FlightConfig '!$K$17,"")</f>
        <v>0</v>
      </c>
      <c r="AK213" s="127">
        <f>IFERROR(AB213*'FlightConfig '!$K$17,"")</f>
        <v>0</v>
      </c>
    </row>
    <row r="214" spans="1:37" ht="18" customHeight="1">
      <c r="A214" t="s">
        <v>189</v>
      </c>
      <c r="B214" s="171">
        <v>1</v>
      </c>
      <c r="C214" s="176" t="str">
        <f t="shared" si="235"/>
        <v>CABIN CREW CLASS1104</v>
      </c>
      <c r="D214" s="293"/>
      <c r="E214" s="304">
        <v>1150</v>
      </c>
      <c r="F214" s="310">
        <v>104</v>
      </c>
      <c r="G214" t="str">
        <f>VLOOKUP(E214,'FG MASTER'!$A:$AB,2,0)</f>
        <v>CREW C1 BREAKFAST HOT SANDWICH 1 CROISSANT AND AGED CHEDDAR</v>
      </c>
      <c r="H214" s="285">
        <v>1</v>
      </c>
      <c r="I214" s="173">
        <v>0.4</v>
      </c>
      <c r="J214" s="291">
        <f>IFERROR(IF(I214="std",H214,HLOOKUP(A214,'FlightConfig '!$B$28:$G$29,2,0)*I214),"")</f>
        <v>2.4000000000000004</v>
      </c>
      <c r="K214" s="244">
        <f>VLOOKUP(Food!E214,'FG MASTER'!$A$1:$AC$536,16,0)</f>
        <v>1.45</v>
      </c>
      <c r="L214" s="245">
        <f>VLOOKUP(Food!E214,'FG MASTER'!$A$10:$AC$536,17,0)</f>
        <v>2</v>
      </c>
      <c r="M214" s="132">
        <f t="shared" si="222"/>
        <v>0.8</v>
      </c>
      <c r="N214" s="132">
        <f t="shared" si="223"/>
        <v>2.25</v>
      </c>
      <c r="O214" s="132">
        <f t="shared" si="224"/>
        <v>0.31899999999999995</v>
      </c>
      <c r="P214" s="132">
        <f t="shared" si="225"/>
        <v>0.15999999999999992</v>
      </c>
      <c r="Q214" s="132">
        <f t="shared" si="226"/>
        <v>2.7290000000000001</v>
      </c>
      <c r="R214" s="402">
        <f t="shared" si="227"/>
        <v>1.7689999999999999</v>
      </c>
      <c r="S214" s="402">
        <f t="shared" si="228"/>
        <v>0.96</v>
      </c>
      <c r="T214" s="402">
        <f t="shared" si="229"/>
        <v>2.7290000000000001</v>
      </c>
      <c r="U214" s="127"/>
      <c r="V214" s="127"/>
      <c r="W214" t="str">
        <f>IFERROR(#REF!*J214,"")</f>
        <v/>
      </c>
      <c r="X214">
        <f t="shared" si="230"/>
        <v>3.4800000000000004</v>
      </c>
      <c r="Y214">
        <f t="shared" si="231"/>
        <v>4.8000000000000007</v>
      </c>
      <c r="Z214" s="127">
        <f t="shared" si="232"/>
        <v>1.9200000000000004</v>
      </c>
      <c r="AA214" s="127">
        <f t="shared" si="233"/>
        <v>5.4</v>
      </c>
      <c r="AB214" s="127">
        <f t="shared" si="234"/>
        <v>0.76559999999999995</v>
      </c>
      <c r="AC214" s="127">
        <f t="shared" si="220"/>
        <v>0.38399999999999984</v>
      </c>
      <c r="AD214" s="127">
        <f t="shared" si="221"/>
        <v>6.5496000000000008</v>
      </c>
      <c r="AF214" s="127" t="str">
        <f>IFERROR(W214*'FlightConfig '!$K$3,"")</f>
        <v/>
      </c>
      <c r="AG214" s="127">
        <f>IFERROR(X214*'FlightConfig '!$K$17,"")</f>
        <v>1266.7200000000003</v>
      </c>
      <c r="AH214" s="127">
        <f>IFERROR(Y214*'FlightConfig '!$K$17,"")</f>
        <v>1747.2000000000003</v>
      </c>
      <c r="AI214" s="127">
        <f>IFERROR(Z214*'FlightConfig '!$K$17,"")</f>
        <v>698.88000000000011</v>
      </c>
      <c r="AJ214" s="127">
        <f>IFERROR(AA214*'FlightConfig '!$K$17,"")</f>
        <v>1965.6000000000001</v>
      </c>
      <c r="AK214" s="127">
        <f>IFERROR(AB214*'FlightConfig '!$K$17,"")</f>
        <v>278.67839999999995</v>
      </c>
    </row>
    <row r="215" spans="1:37" ht="18" customHeight="1">
      <c r="A215" t="s">
        <v>189</v>
      </c>
      <c r="B215" s="171">
        <v>1</v>
      </c>
      <c r="C215" s="176" t="str">
        <f t="shared" si="235"/>
        <v>CABIN CREW CLASS1104</v>
      </c>
      <c r="D215" s="293"/>
      <c r="E215" s="304">
        <v>1151</v>
      </c>
      <c r="F215" s="310">
        <v>104</v>
      </c>
      <c r="G215" t="str">
        <f>VLOOKUP(E215,'FG MASTER'!$A:$AB,2,0)</f>
        <v>CREW C1 BREAKFAST HOT SANDWICH 2 CHICKEN SAUSAGE BISCUIT</v>
      </c>
      <c r="H215" s="285">
        <v>1</v>
      </c>
      <c r="I215" s="173">
        <v>0.3</v>
      </c>
      <c r="J215" s="291">
        <f>IFERROR(IF(I215="std",H215,HLOOKUP(A215,'FlightConfig '!$B$28:$G$29,2,0)*I215),"")</f>
        <v>1.7999999999999998</v>
      </c>
      <c r="K215" s="244">
        <f>VLOOKUP(Food!E215,'FG MASTER'!$A$1:$AC$536,16,0)</f>
        <v>1.45</v>
      </c>
      <c r="L215" s="245">
        <f>VLOOKUP(Food!E215,'FG MASTER'!$A$10:$AC$536,17,0)</f>
        <v>2</v>
      </c>
      <c r="M215" s="132">
        <f t="shared" si="222"/>
        <v>0.8</v>
      </c>
      <c r="N215" s="132">
        <f t="shared" si="223"/>
        <v>2.25</v>
      </c>
      <c r="O215" s="132">
        <f t="shared" si="224"/>
        <v>0.31899999999999995</v>
      </c>
      <c r="P215" s="132">
        <f t="shared" si="225"/>
        <v>0.15999999999999992</v>
      </c>
      <c r="Q215" s="132">
        <f t="shared" si="226"/>
        <v>2.7290000000000001</v>
      </c>
      <c r="R215" s="402">
        <f t="shared" si="227"/>
        <v>1.7689999999999999</v>
      </c>
      <c r="S215" s="402">
        <f t="shared" si="228"/>
        <v>0.96</v>
      </c>
      <c r="T215" s="402">
        <f t="shared" si="229"/>
        <v>2.7290000000000001</v>
      </c>
      <c r="U215" s="127"/>
      <c r="V215" s="127"/>
      <c r="W215" t="str">
        <f>IFERROR(#REF!*J215,"")</f>
        <v/>
      </c>
      <c r="X215">
        <f t="shared" si="230"/>
        <v>2.61</v>
      </c>
      <c r="Y215">
        <f t="shared" si="231"/>
        <v>3.5999999999999996</v>
      </c>
      <c r="Z215" s="127">
        <f t="shared" si="232"/>
        <v>1.44</v>
      </c>
      <c r="AA215" s="127">
        <f t="shared" si="233"/>
        <v>4.05</v>
      </c>
      <c r="AB215" s="127">
        <f t="shared" si="234"/>
        <v>0.57419999999999982</v>
      </c>
      <c r="AC215" s="127">
        <f t="shared" si="220"/>
        <v>0.28799999999999981</v>
      </c>
      <c r="AD215" s="127">
        <f t="shared" si="221"/>
        <v>4.9121999999999995</v>
      </c>
      <c r="AF215" s="127" t="str">
        <f>IFERROR(W215*'FlightConfig '!$K$3,"")</f>
        <v/>
      </c>
      <c r="AG215" s="127">
        <f>IFERROR(X215*'FlightConfig '!$K$17,"")</f>
        <v>950.04</v>
      </c>
      <c r="AH215" s="127">
        <f>IFERROR(Y215*'FlightConfig '!$K$17,"")</f>
        <v>1310.3999999999999</v>
      </c>
      <c r="AI215" s="127">
        <f>IFERROR(Z215*'FlightConfig '!$K$17,"")</f>
        <v>524.16</v>
      </c>
      <c r="AJ215" s="127">
        <f>IFERROR(AA215*'FlightConfig '!$K$17,"")</f>
        <v>1474.2</v>
      </c>
      <c r="AK215" s="127">
        <f>IFERROR(AB215*'FlightConfig '!$K$17,"")</f>
        <v>209.00879999999992</v>
      </c>
    </row>
    <row r="216" spans="1:37" ht="18" customHeight="1">
      <c r="A216" t="s">
        <v>189</v>
      </c>
      <c r="B216" s="171">
        <v>1</v>
      </c>
      <c r="C216" s="176" t="str">
        <f t="shared" ref="C216" si="236">CONCATENATE(A216&amp;B216&amp;F216)</f>
        <v>CABIN CREW CLASS1104</v>
      </c>
      <c r="D216" s="293"/>
      <c r="E216" s="304">
        <v>1152</v>
      </c>
      <c r="F216" s="310">
        <v>104</v>
      </c>
      <c r="G216" t="str">
        <f>VLOOKUP(E216,'FG MASTER'!$A:$AB,2,0)</f>
        <v xml:space="preserve">CREW C1 BREAKFAST HOT SANDWICH 3 BACON ROLL </v>
      </c>
      <c r="H216" s="285">
        <v>1</v>
      </c>
      <c r="I216" s="173">
        <v>0.3</v>
      </c>
      <c r="J216" s="291">
        <f>IFERROR(IF(I216="std",H216,HLOOKUP(A216,'FlightConfig '!$B$28:$G$29,2,0)*I216),"")</f>
        <v>1.7999999999999998</v>
      </c>
      <c r="K216" s="244">
        <f>VLOOKUP(Food!E216,'FG MASTER'!$A$1:$AC$536,16,0)</f>
        <v>1.65</v>
      </c>
      <c r="L216" s="245">
        <f>VLOOKUP(Food!E216,'FG MASTER'!$A$10:$AC$536,17,0)</f>
        <v>2</v>
      </c>
      <c r="M216" s="132">
        <f t="shared" ref="M216" si="237">IFERROR(L216*$M$2,"")</f>
        <v>0.8</v>
      </c>
      <c r="N216" s="132">
        <f t="shared" ref="N216" si="238">IFERROR((K216)+M216,"")</f>
        <v>2.4500000000000002</v>
      </c>
      <c r="O216" s="132">
        <f t="shared" si="224"/>
        <v>0.36299999999999999</v>
      </c>
      <c r="P216" s="132">
        <f t="shared" si="225"/>
        <v>0.15999999999999992</v>
      </c>
      <c r="Q216" s="132">
        <f t="shared" ref="Q216" si="239">SUM(N216:P216)</f>
        <v>2.9729999999999999</v>
      </c>
      <c r="R216" s="402">
        <f t="shared" ref="R216" si="240">K216*(1+$O$2)</f>
        <v>2.0129999999999999</v>
      </c>
      <c r="S216" s="402">
        <f t="shared" ref="S216" si="241">M216*(1+$P$2)</f>
        <v>0.96</v>
      </c>
      <c r="T216" s="402">
        <f t="shared" ref="T216" si="242">R216+S216</f>
        <v>2.9729999999999999</v>
      </c>
      <c r="U216" s="127"/>
      <c r="V216" s="127"/>
      <c r="W216" t="str">
        <f>IFERROR(#REF!*J216,"")</f>
        <v/>
      </c>
      <c r="X216">
        <f t="shared" ref="X216" si="243">IFERROR(K216*J216,"")</f>
        <v>2.9699999999999998</v>
      </c>
      <c r="Y216">
        <f t="shared" ref="Y216" si="244">IFERROR(+L216*J216,"")</f>
        <v>3.5999999999999996</v>
      </c>
      <c r="Z216" s="127">
        <f t="shared" ref="Z216" si="245">IFERROR(+M216*J216,"")</f>
        <v>1.44</v>
      </c>
      <c r="AA216" s="127">
        <f t="shared" ref="AA216" si="246">IFERROR(+N216*J216,"")</f>
        <v>4.41</v>
      </c>
      <c r="AB216" s="127">
        <f t="shared" ref="AB216" si="247">IFERROR(O216*$J216,"")</f>
        <v>0.65339999999999987</v>
      </c>
      <c r="AC216" s="127">
        <f t="shared" ref="AC216" si="248">IFERROR(P216*$J216,"")</f>
        <v>0.28799999999999981</v>
      </c>
      <c r="AD216" s="127">
        <f t="shared" ref="AD216" si="249">IFERROR(+Q216*J216,"")</f>
        <v>5.351399999999999</v>
      </c>
      <c r="AF216" s="127" t="str">
        <f>IFERROR(W216*'FlightConfig '!$K$3,"")</f>
        <v/>
      </c>
      <c r="AG216" s="127">
        <f>IFERROR(X216*'FlightConfig '!$K$17,"")</f>
        <v>1081.08</v>
      </c>
      <c r="AH216" s="127">
        <f>IFERROR(Y216*'FlightConfig '!$K$17,"")</f>
        <v>1310.3999999999999</v>
      </c>
      <c r="AI216" s="127">
        <f>IFERROR(Z216*'FlightConfig '!$K$17,"")</f>
        <v>524.16</v>
      </c>
      <c r="AJ216" s="127">
        <f>IFERROR(AA216*'FlightConfig '!$K$17,"")</f>
        <v>1605.24</v>
      </c>
      <c r="AK216" s="127">
        <f>IFERROR(AB216*'FlightConfig '!$K$17,"")</f>
        <v>237.83759999999995</v>
      </c>
    </row>
    <row r="217" spans="1:37" ht="17.25" customHeight="1">
      <c r="B217" s="171">
        <v>1</v>
      </c>
      <c r="C217" s="176" t="str">
        <f t="shared" ref="C217:C220" si="250">CONCATENATE(A217&amp;B217&amp;F217)</f>
        <v>1</v>
      </c>
      <c r="D217" s="315"/>
      <c r="E217" s="304"/>
      <c r="F217" s="310"/>
      <c r="G217" t="e">
        <f>VLOOKUP(E217,'FG MASTER'!$A:$AB,2,0)</f>
        <v>#N/A</v>
      </c>
      <c r="H217" s="285">
        <v>1</v>
      </c>
      <c r="I217" s="173">
        <v>1</v>
      </c>
      <c r="J217" s="291" t="str">
        <f>IFERROR(IF(I217="std",H217,HLOOKUP(A217,'FlightConfig '!$B$34:$G$35,2,0)*I217),"")</f>
        <v/>
      </c>
      <c r="K217" s="244" t="e">
        <f>VLOOKUP(Food!E217,'FG MASTER'!$A$1:$AC$536,16,0)</f>
        <v>#N/A</v>
      </c>
      <c r="L217" s="245" t="e">
        <f>VLOOKUP(Food!E217,'FG MASTER'!$A$10:$AC$536,17,0)</f>
        <v>#N/A</v>
      </c>
      <c r="M217" s="132" t="str">
        <f t="shared" ref="M217:M234" si="251">IFERROR(L217*$M$2,"")</f>
        <v/>
      </c>
      <c r="N217" s="132" t="str">
        <f t="shared" ref="N217:N247" si="252">IFERROR((K217)+M217,"")</f>
        <v/>
      </c>
      <c r="O217" s="132">
        <f t="shared" ref="O217:O280" si="253">IFERROR($K217*(1+$O$2)-$K217,0)</f>
        <v>0</v>
      </c>
      <c r="P217" s="132">
        <f t="shared" ref="P217:P280" si="254">IFERROR($M217*(1+$P$2)-$M217,0)</f>
        <v>0</v>
      </c>
      <c r="Q217" s="132">
        <f t="shared" ref="Q217:Q220" si="255">SUM(N217:P217)</f>
        <v>0</v>
      </c>
      <c r="R217" s="402" t="e">
        <f t="shared" ref="R217:R280" si="256">K217*(1+$O$2)</f>
        <v>#N/A</v>
      </c>
      <c r="S217" s="402" t="e">
        <f t="shared" ref="S217:S280" si="257">M217*(1+$P$2)</f>
        <v>#VALUE!</v>
      </c>
      <c r="T217" s="402" t="e">
        <f t="shared" ref="T217:T280" si="258">R217+S217</f>
        <v>#N/A</v>
      </c>
      <c r="U217" s="127"/>
      <c r="V217" s="127"/>
      <c r="W217" s="127"/>
      <c r="X217" s="127"/>
      <c r="Y217" s="209"/>
      <c r="Z217" s="127"/>
      <c r="AA217" s="127"/>
      <c r="AB217" s="127"/>
      <c r="AC217" s="127"/>
      <c r="AD217" s="127"/>
      <c r="AG217" s="127"/>
      <c r="AH217" s="127"/>
      <c r="AI217" s="127"/>
      <c r="AJ217" s="127"/>
      <c r="AK217" s="127"/>
    </row>
    <row r="218" spans="1:37" ht="17.25" customHeight="1">
      <c r="B218" s="171">
        <v>1</v>
      </c>
      <c r="C218" s="176" t="str">
        <f t="shared" si="250"/>
        <v>1</v>
      </c>
      <c r="D218" s="315"/>
      <c r="E218" s="304">
        <v>1157</v>
      </c>
      <c r="F218" s="310"/>
      <c r="G218" t="str">
        <f>VLOOKUP(E218,'FG MASTER'!$A:$AB,2,0)</f>
        <v>BC C1 DINNER WHOLE FRUIT PLATTER (BANANA, GREEN APPLE, ORANGE, PEAR, TTL 12PC)</v>
      </c>
      <c r="H218" s="285">
        <v>1</v>
      </c>
      <c r="I218" s="173">
        <v>1</v>
      </c>
      <c r="J218" s="291" t="str">
        <f>IFERROR(IF(I218="std",H218,HLOOKUP(A218,'FlightConfig '!$B$34:$G$35,2,0)*I218),"")</f>
        <v/>
      </c>
      <c r="K218" s="244">
        <f>VLOOKUP(Food!E218,'FG MASTER'!$A$1:$AC$536,16,0)</f>
        <v>8.3960000000000008</v>
      </c>
      <c r="L218" s="245">
        <f>VLOOKUP(Food!E218,'FG MASTER'!$A$10:$AC$536,17,0)</f>
        <v>2</v>
      </c>
      <c r="M218" s="132">
        <f t="shared" si="251"/>
        <v>0.8</v>
      </c>
      <c r="N218" s="132">
        <f t="shared" si="252"/>
        <v>9.1960000000000015</v>
      </c>
      <c r="O218" s="132">
        <f t="shared" si="253"/>
        <v>1.8471200000000003</v>
      </c>
      <c r="P218" s="132">
        <f t="shared" si="254"/>
        <v>0.15999999999999992</v>
      </c>
      <c r="Q218" s="132">
        <f t="shared" si="255"/>
        <v>11.203120000000002</v>
      </c>
      <c r="R218" s="402">
        <f t="shared" si="256"/>
        <v>10.243120000000001</v>
      </c>
      <c r="S218" s="402">
        <f t="shared" si="257"/>
        <v>0.96</v>
      </c>
      <c r="T218" s="402">
        <f t="shared" si="258"/>
        <v>11.203120000000002</v>
      </c>
      <c r="U218" s="127"/>
      <c r="V218" s="127"/>
      <c r="W218" s="127"/>
      <c r="X218" s="127"/>
      <c r="Y218" s="209"/>
      <c r="Z218" s="127"/>
      <c r="AA218" s="127"/>
      <c r="AB218" s="127"/>
      <c r="AC218" s="127"/>
      <c r="AD218" s="127"/>
      <c r="AG218" s="127"/>
      <c r="AH218" s="127"/>
      <c r="AI218" s="127"/>
      <c r="AJ218" s="127"/>
      <c r="AK218" s="127"/>
    </row>
    <row r="219" spans="1:37" ht="17.25" customHeight="1">
      <c r="B219" s="171">
        <v>1</v>
      </c>
      <c r="C219" s="176" t="str">
        <f t="shared" si="250"/>
        <v>1</v>
      </c>
      <c r="D219" s="315"/>
      <c r="E219" s="304">
        <v>1158</v>
      </c>
      <c r="F219" s="310"/>
      <c r="G219" t="str">
        <f>VLOOKUP(E219,'FG MASTER'!$A:$AB,2,0)</f>
        <v>BC C1 DINNER CHOCOLATE DANISH (OPTIMUM 623)</v>
      </c>
      <c r="H219" s="285">
        <v>1</v>
      </c>
      <c r="I219" s="173">
        <v>1</v>
      </c>
      <c r="J219" s="291" t="str">
        <f>IFERROR(IF(I219="std",H219,HLOOKUP(A219,'FlightConfig '!$B$34:$G$35,2,0)*I219),"")</f>
        <v/>
      </c>
      <c r="K219" s="244">
        <f>VLOOKUP(Food!E219,'FG MASTER'!$A$1:$AC$536,16,0)</f>
        <v>1.4761917499999999</v>
      </c>
      <c r="L219" s="245">
        <f>VLOOKUP(Food!E219,'FG MASTER'!$A$10:$AC$536,17,0)</f>
        <v>0.25</v>
      </c>
      <c r="M219" s="132">
        <f t="shared" si="251"/>
        <v>0.1</v>
      </c>
      <c r="N219" s="132">
        <f t="shared" si="252"/>
        <v>1.57619175</v>
      </c>
      <c r="O219" s="132">
        <f t="shared" si="253"/>
        <v>0.32476218499999998</v>
      </c>
      <c r="P219" s="132">
        <f t="shared" si="254"/>
        <v>1.999999999999999E-2</v>
      </c>
      <c r="Q219" s="132">
        <f t="shared" si="255"/>
        <v>1.920953935</v>
      </c>
      <c r="R219" s="402">
        <f t="shared" si="256"/>
        <v>1.8009539349999999</v>
      </c>
      <c r="S219" s="402">
        <f t="shared" si="257"/>
        <v>0.12</v>
      </c>
      <c r="T219" s="402">
        <f t="shared" si="258"/>
        <v>1.920953935</v>
      </c>
      <c r="U219" s="127">
        <v>1.82</v>
      </c>
      <c r="V219" s="127"/>
      <c r="W219" s="127"/>
      <c r="X219" s="127"/>
      <c r="Y219" s="209"/>
      <c r="Z219" s="127"/>
      <c r="AA219" s="127"/>
      <c r="AB219" s="127"/>
      <c r="AC219" s="127"/>
      <c r="AD219" s="127"/>
      <c r="AG219" s="127"/>
      <c r="AH219" s="127"/>
      <c r="AI219" s="127"/>
      <c r="AJ219" s="127"/>
      <c r="AK219" s="127"/>
    </row>
    <row r="220" spans="1:37" ht="17.25" customHeight="1">
      <c r="B220" s="171">
        <v>1</v>
      </c>
      <c r="C220" s="176" t="str">
        <f t="shared" si="250"/>
        <v>1</v>
      </c>
      <c r="D220" s="315"/>
      <c r="E220" s="304"/>
      <c r="F220" s="310"/>
      <c r="G220" t="e">
        <f>VLOOKUP(E220,'FG MASTER'!$A$10:$AB$218,2,0)</f>
        <v>#N/A</v>
      </c>
      <c r="H220" s="285">
        <v>1</v>
      </c>
      <c r="I220" s="173">
        <v>1</v>
      </c>
      <c r="J220" s="291" t="str">
        <f>IFERROR(IF(I220="std",H220,HLOOKUP(A220,'FlightConfig '!$B$34:$G$35,2,0)*I220),"")</f>
        <v/>
      </c>
      <c r="K220" s="244" t="e">
        <f>VLOOKUP(Food!E220,'FG MASTER'!$A$1:$AC$536,16,0)</f>
        <v>#N/A</v>
      </c>
      <c r="L220" s="245" t="e">
        <f>VLOOKUP(Food!E220,'FG MASTER'!$A$10:$AC$536,17,0)</f>
        <v>#N/A</v>
      </c>
      <c r="M220" s="132" t="str">
        <f t="shared" si="251"/>
        <v/>
      </c>
      <c r="N220" s="132" t="str">
        <f t="shared" si="252"/>
        <v/>
      </c>
      <c r="O220" s="132">
        <f t="shared" si="253"/>
        <v>0</v>
      </c>
      <c r="P220" s="132">
        <f t="shared" si="254"/>
        <v>0</v>
      </c>
      <c r="Q220" s="132">
        <f t="shared" si="255"/>
        <v>0</v>
      </c>
      <c r="R220" s="402" t="e">
        <f t="shared" si="256"/>
        <v>#N/A</v>
      </c>
      <c r="S220" s="402" t="e">
        <f t="shared" si="257"/>
        <v>#VALUE!</v>
      </c>
      <c r="T220" s="402" t="e">
        <f t="shared" si="258"/>
        <v>#N/A</v>
      </c>
      <c r="U220" s="127"/>
      <c r="V220" s="127"/>
      <c r="W220" s="127"/>
      <c r="X220" s="127"/>
      <c r="Y220" s="209"/>
      <c r="Z220" s="127"/>
      <c r="AA220" s="127"/>
      <c r="AB220" s="127"/>
      <c r="AC220" s="127"/>
      <c r="AD220" s="127"/>
      <c r="AG220" s="127"/>
      <c r="AH220" s="127"/>
      <c r="AI220" s="127"/>
      <c r="AJ220" s="127"/>
      <c r="AK220" s="127"/>
    </row>
    <row r="221" spans="1:37">
      <c r="A221" t="s">
        <v>156</v>
      </c>
      <c r="B221" s="171">
        <v>2</v>
      </c>
      <c r="C221" s="176" t="str">
        <f>CONCATENATE(A221&amp;B221&amp;F221)</f>
        <v>BUSINESS CLASS2110</v>
      </c>
      <c r="D221" s="172"/>
      <c r="E221" s="304">
        <v>1205</v>
      </c>
      <c r="F221" s="310">
        <v>110</v>
      </c>
      <c r="G221" t="str">
        <f>VLOOKUP(E221,'FG MASTER'!$A:$AB,2,0)</f>
        <v>BC DINNER TRAY SET UP</v>
      </c>
      <c r="H221" s="285">
        <v>1</v>
      </c>
      <c r="I221" s="173">
        <v>1</v>
      </c>
      <c r="J221" s="291">
        <f>IFERROR(IF(I221="std",H221,HLOOKUP(A221,'FlightConfig '!$B$34:$G$35,2,0)*I221),"")</f>
        <v>30</v>
      </c>
      <c r="K221" s="244">
        <f>VLOOKUP(Food!E221,'FG MASTER'!$A$1:$AC$536,16,0)</f>
        <v>0</v>
      </c>
      <c r="L221" s="245">
        <f>VLOOKUP(Food!E221,'FG MASTER'!$A$10:$AC$536,17,0)</f>
        <v>0</v>
      </c>
      <c r="M221" s="132">
        <f t="shared" ref="M221" si="259">IFERROR(L221*$M$2,"")</f>
        <v>0</v>
      </c>
      <c r="N221" s="132">
        <f t="shared" ref="N221" si="260">IFERROR((K221)+M221,"")</f>
        <v>0</v>
      </c>
      <c r="O221" s="132">
        <f t="shared" si="253"/>
        <v>0</v>
      </c>
      <c r="P221" s="132">
        <f t="shared" si="254"/>
        <v>0</v>
      </c>
      <c r="Q221" s="132">
        <f>SUM(N221:P221)</f>
        <v>0</v>
      </c>
      <c r="R221" s="402">
        <f t="shared" ref="R221" si="261">K221*(1+$O$2)</f>
        <v>0</v>
      </c>
      <c r="S221" s="402">
        <f t="shared" ref="S221" si="262">M221*(1+$P$2)</f>
        <v>0</v>
      </c>
      <c r="T221" s="402">
        <f t="shared" ref="T221" si="263">R221+S221</f>
        <v>0</v>
      </c>
      <c r="U221" s="127"/>
      <c r="V221" s="127"/>
      <c r="W221" t="str">
        <f>IFERROR(#REF!*J221,"")</f>
        <v/>
      </c>
      <c r="X221">
        <f t="shared" ref="X221" si="264">IFERROR(K221*J221,"")</f>
        <v>0</v>
      </c>
      <c r="Y221">
        <f t="shared" ref="Y221" si="265">IFERROR(+L221*J221,"")</f>
        <v>0</v>
      </c>
      <c r="Z221" s="127">
        <f t="shared" ref="Z221" si="266">IFERROR(+M221*J221,"")</f>
        <v>0</v>
      </c>
      <c r="AA221" s="127">
        <f t="shared" ref="AA221" si="267">IFERROR(+N221*J221,"")</f>
        <v>0</v>
      </c>
      <c r="AB221" s="127">
        <f t="shared" ref="AB221" si="268">IFERROR(O221*$J221,"")</f>
        <v>0</v>
      </c>
      <c r="AC221" s="127">
        <f t="shared" ref="AC221" si="269">IFERROR(P221*$J221,"")</f>
        <v>0</v>
      </c>
      <c r="AD221" s="127">
        <f t="shared" ref="AD221" si="270">IFERROR(+Q221*J221,"")</f>
        <v>0</v>
      </c>
      <c r="AF221" s="127" t="str">
        <f>IFERROR(W221*'FlightConfig '!$K$3,"")</f>
        <v/>
      </c>
      <c r="AG221" s="127">
        <f>IFERROR(X221*'FlightConfig '!$K$23,"")</f>
        <v>0</v>
      </c>
      <c r="AH221" s="127">
        <f>IFERROR(Y221*'FlightConfig '!$K$23,"")</f>
        <v>0</v>
      </c>
      <c r="AI221" s="127">
        <f>IFERROR(Z221*'FlightConfig '!$K$23,"")</f>
        <v>0</v>
      </c>
      <c r="AJ221" s="127">
        <f>IFERROR(AA221*'FlightConfig '!$K$23,"")</f>
        <v>0</v>
      </c>
      <c r="AK221" s="127">
        <f>IFERROR(AB221*'FlightConfig '!$K$23,"")</f>
        <v>0</v>
      </c>
    </row>
    <row r="222" spans="1:37">
      <c r="A222" t="s">
        <v>156</v>
      </c>
      <c r="B222" s="171">
        <v>2</v>
      </c>
      <c r="C222" s="176" t="str">
        <f>CONCATENATE(A222&amp;B222&amp;F222)</f>
        <v>BUSINESS CLASS2110</v>
      </c>
      <c r="D222" s="172"/>
      <c r="E222" s="304">
        <v>1156</v>
      </c>
      <c r="F222" s="310">
        <v>110</v>
      </c>
      <c r="G222" t="str">
        <f>VLOOKUP(E222,'FG MASTER'!$A:$AB,2,0)</f>
        <v>BC C1 DINNER PLAIN WHIPPED BUTTER WITH FLAKE SALT</v>
      </c>
      <c r="H222" s="285">
        <v>1</v>
      </c>
      <c r="I222" s="173">
        <v>1</v>
      </c>
      <c r="J222" s="291">
        <f>IFERROR(IF(I222="std",H222,HLOOKUP(A222,'FlightConfig '!$B$34:$G$35,2,0)*I222),"")</f>
        <v>30</v>
      </c>
      <c r="K222" s="244">
        <f>VLOOKUP(Food!E222,'FG MASTER'!$A$1:$AC$536,16,0)</f>
        <v>0.2</v>
      </c>
      <c r="L222" s="245">
        <f>VLOOKUP(Food!E222,'FG MASTER'!$A$10:$AC$536,17,0)</f>
        <v>0.5</v>
      </c>
      <c r="M222" s="132">
        <f t="shared" si="251"/>
        <v>0.2</v>
      </c>
      <c r="N222" s="132">
        <f t="shared" si="252"/>
        <v>0.4</v>
      </c>
      <c r="O222" s="132">
        <f t="shared" si="253"/>
        <v>4.3999999999999984E-2</v>
      </c>
      <c r="P222" s="132">
        <f t="shared" si="254"/>
        <v>3.999999999999998E-2</v>
      </c>
      <c r="Q222" s="132">
        <f>SUM(N222:P222)</f>
        <v>0.48399999999999999</v>
      </c>
      <c r="R222" s="402">
        <f t="shared" si="256"/>
        <v>0.24399999999999999</v>
      </c>
      <c r="S222" s="402">
        <f t="shared" si="257"/>
        <v>0.24</v>
      </c>
      <c r="T222" s="402">
        <f t="shared" si="258"/>
        <v>0.48399999999999999</v>
      </c>
      <c r="U222" s="127"/>
      <c r="V222" s="127"/>
      <c r="W222" t="str">
        <f>IFERROR(#REF!*J222,"")</f>
        <v/>
      </c>
      <c r="X222">
        <f t="shared" ref="X222:X284" si="271">IFERROR(K222*J222,"")</f>
        <v>6</v>
      </c>
      <c r="Y222">
        <f t="shared" ref="Y222:Y284" si="272">IFERROR(+L222*J222,"")</f>
        <v>15</v>
      </c>
      <c r="Z222" s="127">
        <f t="shared" ref="Z222:Z284" si="273">IFERROR(+M222*J222,"")</f>
        <v>6</v>
      </c>
      <c r="AA222" s="127">
        <f t="shared" ref="AA222:AA284" si="274">IFERROR(+N222*J222,"")</f>
        <v>12</v>
      </c>
      <c r="AB222" s="127">
        <f t="shared" ref="AB222:AB284" si="275">IFERROR(O222*$J222,"")</f>
        <v>1.3199999999999994</v>
      </c>
      <c r="AC222" s="127">
        <f t="shared" ref="AC222:AC284" si="276">IFERROR(P222*$J222,"")</f>
        <v>1.1999999999999993</v>
      </c>
      <c r="AD222" s="127">
        <f t="shared" ref="AD222:AD284" si="277">IFERROR(+Q222*J222,"")</f>
        <v>14.52</v>
      </c>
      <c r="AF222" s="127" t="str">
        <f>IFERROR(W222*'FlightConfig '!$K$3,"")</f>
        <v/>
      </c>
      <c r="AG222" s="127">
        <f>IFERROR(X222*'FlightConfig '!$K$23,"")</f>
        <v>2184</v>
      </c>
      <c r="AH222" s="127">
        <f>IFERROR(Y222*'FlightConfig '!$K$23,"")</f>
        <v>5460</v>
      </c>
      <c r="AI222" s="127">
        <f>IFERROR(Z222*'FlightConfig '!$K$23,"")</f>
        <v>2184</v>
      </c>
      <c r="AJ222" s="127">
        <f>IFERROR(AA222*'FlightConfig '!$K$23,"")</f>
        <v>4368</v>
      </c>
      <c r="AK222" s="127">
        <f>IFERROR(AB222*'FlightConfig '!$K$23,"")</f>
        <v>480.47999999999979</v>
      </c>
    </row>
    <row r="223" spans="1:37">
      <c r="A223" t="s">
        <v>156</v>
      </c>
      <c r="B223" s="171">
        <v>2</v>
      </c>
      <c r="C223" s="176" t="str">
        <f t="shared" ref="C223:C244" si="278">CONCATENATE(A223&amp;B223&amp;F223)</f>
        <v>BUSINESS CLASS2110</v>
      </c>
      <c r="D223" s="172"/>
      <c r="E223" s="304">
        <v>1002</v>
      </c>
      <c r="F223" s="310">
        <v>110</v>
      </c>
      <c r="G223" t="str">
        <f>VLOOKUP(E223,'FG MASTER'!$A:$AB,2,0)</f>
        <v xml:space="preserve">BC C1 DINNER SWEETWATER BEET AND CHEESE ROLL </v>
      </c>
      <c r="H223" s="285">
        <v>1</v>
      </c>
      <c r="I223" s="173">
        <v>0.5</v>
      </c>
      <c r="J223" s="291">
        <f>IFERROR(IF(I223="std",H223,HLOOKUP(A223,'FlightConfig '!$B$34:$G$35,2,0)*I223),"")</f>
        <v>15</v>
      </c>
      <c r="K223" s="244">
        <f>VLOOKUP(Food!E223,'FG MASTER'!$A$1:$AC$536,16,0)</f>
        <v>0.3</v>
      </c>
      <c r="L223" s="245">
        <f>VLOOKUP(Food!E223,'FG MASTER'!$A$10:$AC$536,17,0)</f>
        <v>0.25</v>
      </c>
      <c r="M223" s="132">
        <f t="shared" si="251"/>
        <v>0.1</v>
      </c>
      <c r="N223" s="132">
        <f t="shared" si="252"/>
        <v>0.4</v>
      </c>
      <c r="O223" s="132">
        <f t="shared" si="253"/>
        <v>6.6000000000000003E-2</v>
      </c>
      <c r="P223" s="132">
        <f t="shared" si="254"/>
        <v>1.999999999999999E-2</v>
      </c>
      <c r="Q223" s="132">
        <f t="shared" ref="Q223:Q229" si="279">SUM(N223:P223)</f>
        <v>0.48599999999999999</v>
      </c>
      <c r="R223" s="402">
        <f t="shared" si="256"/>
        <v>0.36599999999999999</v>
      </c>
      <c r="S223" s="402">
        <f t="shared" si="257"/>
        <v>0.12</v>
      </c>
      <c r="T223" s="402">
        <f t="shared" si="258"/>
        <v>0.48599999999999999</v>
      </c>
      <c r="U223" s="127"/>
      <c r="V223" s="127"/>
      <c r="W223" t="str">
        <f>IFERROR(#REF!*J223,"")</f>
        <v/>
      </c>
      <c r="X223">
        <f t="shared" si="271"/>
        <v>4.5</v>
      </c>
      <c r="Y223">
        <f t="shared" si="272"/>
        <v>3.75</v>
      </c>
      <c r="Z223" s="127">
        <f t="shared" si="273"/>
        <v>1.5</v>
      </c>
      <c r="AA223" s="127">
        <f t="shared" si="274"/>
        <v>6</v>
      </c>
      <c r="AB223" s="127">
        <f t="shared" si="275"/>
        <v>0.99</v>
      </c>
      <c r="AC223" s="127">
        <f t="shared" si="276"/>
        <v>0.29999999999999982</v>
      </c>
      <c r="AD223" s="127">
        <f t="shared" si="277"/>
        <v>7.29</v>
      </c>
      <c r="AF223" s="127" t="str">
        <f>IFERROR(W223*'FlightConfig '!$K$3,"")</f>
        <v/>
      </c>
      <c r="AG223" s="127">
        <f>IFERROR(X223*'FlightConfig '!$K$23,"")</f>
        <v>1638</v>
      </c>
      <c r="AH223" s="127">
        <f>IFERROR(Y223*'FlightConfig '!$K$23,"")</f>
        <v>1365</v>
      </c>
      <c r="AI223" s="127">
        <f>IFERROR(Z223*'FlightConfig '!$K$23,"")</f>
        <v>546</v>
      </c>
      <c r="AJ223" s="127">
        <f>IFERROR(AA223*'FlightConfig '!$K$23,"")</f>
        <v>2184</v>
      </c>
      <c r="AK223" s="127">
        <f>IFERROR(AB223*'FlightConfig '!$K$23,"")</f>
        <v>360.36</v>
      </c>
    </row>
    <row r="224" spans="1:37">
      <c r="A224" t="s">
        <v>156</v>
      </c>
      <c r="B224" s="171">
        <v>2</v>
      </c>
      <c r="C224" s="176" t="str">
        <f t="shared" si="278"/>
        <v>BUSINESS CLASS2110</v>
      </c>
      <c r="D224" s="172"/>
      <c r="E224" s="304">
        <v>1003</v>
      </c>
      <c r="F224" s="310">
        <v>110</v>
      </c>
      <c r="G224" t="str">
        <f>VLOOKUP(E224,'FG MASTER'!$A:$AB,2,0)</f>
        <v xml:space="preserve">BC C1 DINNER HERB FOCACCIA ROLL </v>
      </c>
      <c r="H224" s="285">
        <v>1</v>
      </c>
      <c r="I224" s="173">
        <v>0.5</v>
      </c>
      <c r="J224" s="291">
        <f>IFERROR(IF(I224="std",H224,HLOOKUP(A224,'FlightConfig '!$B$34:$G$35,2,0)*I224),"")</f>
        <v>15</v>
      </c>
      <c r="K224" s="244">
        <f>VLOOKUP(Food!E224,'FG MASTER'!$A$1:$AC$536,16,0)</f>
        <v>0.14000000000000001</v>
      </c>
      <c r="L224" s="245">
        <f>VLOOKUP(Food!E224,'FG MASTER'!$A$10:$AC$536,17,0)</f>
        <v>0.25</v>
      </c>
      <c r="M224" s="132">
        <f t="shared" si="251"/>
        <v>0.1</v>
      </c>
      <c r="N224" s="132">
        <f t="shared" si="252"/>
        <v>0.24000000000000002</v>
      </c>
      <c r="O224" s="132">
        <f t="shared" si="253"/>
        <v>3.0799999999999994E-2</v>
      </c>
      <c r="P224" s="132">
        <f t="shared" si="254"/>
        <v>1.999999999999999E-2</v>
      </c>
      <c r="Q224" s="132">
        <f t="shared" si="279"/>
        <v>0.29080000000000006</v>
      </c>
      <c r="R224" s="402">
        <f t="shared" si="256"/>
        <v>0.17080000000000001</v>
      </c>
      <c r="S224" s="402">
        <f t="shared" si="257"/>
        <v>0.12</v>
      </c>
      <c r="T224" s="402">
        <f t="shared" si="258"/>
        <v>0.2908</v>
      </c>
      <c r="U224" s="127"/>
      <c r="V224" s="127"/>
      <c r="W224" t="str">
        <f>IFERROR(#REF!*J224,"")</f>
        <v/>
      </c>
      <c r="X224">
        <f t="shared" si="271"/>
        <v>2.1</v>
      </c>
      <c r="Y224">
        <f t="shared" si="272"/>
        <v>3.75</v>
      </c>
      <c r="Z224" s="127">
        <f t="shared" si="273"/>
        <v>1.5</v>
      </c>
      <c r="AA224" s="127">
        <f t="shared" si="274"/>
        <v>3.6</v>
      </c>
      <c r="AB224" s="127">
        <f t="shared" si="275"/>
        <v>0.46199999999999991</v>
      </c>
      <c r="AC224" s="127">
        <f t="shared" si="276"/>
        <v>0.29999999999999982</v>
      </c>
      <c r="AD224" s="127">
        <f t="shared" si="277"/>
        <v>4.362000000000001</v>
      </c>
      <c r="AF224" s="127" t="str">
        <f>IFERROR(W224*'FlightConfig '!$K$3,"")</f>
        <v/>
      </c>
      <c r="AG224" s="127">
        <f>IFERROR(X224*'FlightConfig '!$K$23,"")</f>
        <v>764.4</v>
      </c>
      <c r="AH224" s="127">
        <f>IFERROR(Y224*'FlightConfig '!$K$23,"")</f>
        <v>1365</v>
      </c>
      <c r="AI224" s="127">
        <f>IFERROR(Z224*'FlightConfig '!$K$23,"")</f>
        <v>546</v>
      </c>
      <c r="AJ224" s="127">
        <f>IFERROR(AA224*'FlightConfig '!$K$23,"")</f>
        <v>1310.4000000000001</v>
      </c>
      <c r="AK224" s="127">
        <f>IFERROR(AB224*'FlightConfig '!$K$23,"")</f>
        <v>168.16799999999998</v>
      </c>
    </row>
    <row r="225" spans="1:37">
      <c r="A225" t="s">
        <v>156</v>
      </c>
      <c r="B225" s="171">
        <v>2</v>
      </c>
      <c r="C225" s="176" t="str">
        <f t="shared" si="278"/>
        <v>BUSINESS CLASS2110</v>
      </c>
      <c r="D225" s="172"/>
      <c r="E225" s="304">
        <v>1004</v>
      </c>
      <c r="F225" s="310">
        <v>110</v>
      </c>
      <c r="G225" t="str">
        <f>VLOOKUP(E225,'FG MASTER'!$A:$AB,2,0)</f>
        <v xml:space="preserve">BC C1 DINNER HHAWAIIAN ROLL </v>
      </c>
      <c r="H225" s="285">
        <v>1</v>
      </c>
      <c r="I225" s="173">
        <v>0.5</v>
      </c>
      <c r="J225" s="291">
        <f>IFERROR(IF(I225="std",H225,HLOOKUP(A225,'FlightConfig '!$B$34:$G$35,2,0)*I225),"")</f>
        <v>15</v>
      </c>
      <c r="K225" s="244">
        <f>VLOOKUP(Food!E225,'FG MASTER'!$A$1:$AC$536,16,0)</f>
        <v>0.25</v>
      </c>
      <c r="L225" s="245">
        <f>VLOOKUP(Food!E225,'FG MASTER'!$A$10:$AC$536,17,0)</f>
        <v>0.25</v>
      </c>
      <c r="M225" s="132">
        <f t="shared" si="251"/>
        <v>0.1</v>
      </c>
      <c r="N225" s="132">
        <f t="shared" si="252"/>
        <v>0.35</v>
      </c>
      <c r="O225" s="132">
        <f t="shared" si="253"/>
        <v>5.4999999999999993E-2</v>
      </c>
      <c r="P225" s="132">
        <f t="shared" si="254"/>
        <v>1.999999999999999E-2</v>
      </c>
      <c r="Q225" s="132">
        <f t="shared" si="279"/>
        <v>0.42499999999999993</v>
      </c>
      <c r="R225" s="402">
        <f t="shared" si="256"/>
        <v>0.30499999999999999</v>
      </c>
      <c r="S225" s="402">
        <f t="shared" si="257"/>
        <v>0.12</v>
      </c>
      <c r="T225" s="402">
        <f t="shared" si="258"/>
        <v>0.42499999999999999</v>
      </c>
      <c r="U225" s="127"/>
      <c r="V225" s="127"/>
      <c r="W225" t="str">
        <f>IFERROR(#REF!*J225,"")</f>
        <v/>
      </c>
      <c r="X225">
        <f t="shared" si="271"/>
        <v>3.75</v>
      </c>
      <c r="Y225">
        <f t="shared" si="272"/>
        <v>3.75</v>
      </c>
      <c r="Z225" s="127">
        <f t="shared" si="273"/>
        <v>1.5</v>
      </c>
      <c r="AA225" s="127">
        <f t="shared" si="274"/>
        <v>5.25</v>
      </c>
      <c r="AB225" s="127">
        <f t="shared" si="275"/>
        <v>0.82499999999999996</v>
      </c>
      <c r="AC225" s="127">
        <f t="shared" si="276"/>
        <v>0.29999999999999982</v>
      </c>
      <c r="AD225" s="127">
        <f t="shared" si="277"/>
        <v>6.3749999999999991</v>
      </c>
      <c r="AF225" s="127" t="str">
        <f>IFERROR(W225*'FlightConfig '!$K$3,"")</f>
        <v/>
      </c>
      <c r="AG225" s="127">
        <f>IFERROR(X225*'FlightConfig '!$K$23,"")</f>
        <v>1365</v>
      </c>
      <c r="AH225" s="127">
        <f>IFERROR(Y225*'FlightConfig '!$K$23,"")</f>
        <v>1365</v>
      </c>
      <c r="AI225" s="127">
        <f>IFERROR(Z225*'FlightConfig '!$K$23,"")</f>
        <v>546</v>
      </c>
      <c r="AJ225" s="127">
        <f>IFERROR(AA225*'FlightConfig '!$K$23,"")</f>
        <v>1911</v>
      </c>
      <c r="AK225" s="127">
        <f>IFERROR(AB225*'FlightConfig '!$K$23,"")</f>
        <v>300.3</v>
      </c>
    </row>
    <row r="226" spans="1:37" ht="18.75" customHeight="1">
      <c r="A226" t="s">
        <v>156</v>
      </c>
      <c r="B226" s="171">
        <v>2</v>
      </c>
      <c r="C226" s="176" t="str">
        <f t="shared" si="278"/>
        <v>BUSINESS CLASS2110</v>
      </c>
      <c r="D226" s="172"/>
      <c r="E226" s="304">
        <v>1159</v>
      </c>
      <c r="F226" s="310">
        <v>110</v>
      </c>
      <c r="G226" t="str">
        <f>VLOOKUP(E226,'FG MASTER'!$A:$AB,2,0)</f>
        <v>BC C2 DINNER COCKTAIL PRAWN, APPLE FENNEL SALAD, CITRUS AIOLI</v>
      </c>
      <c r="H226" s="285">
        <v>1</v>
      </c>
      <c r="I226" s="173">
        <v>0.55000000000000004</v>
      </c>
      <c r="J226" s="291">
        <f>IFERROR(IF(I226="std",H226,HLOOKUP(A226,'FlightConfig '!$B$34:$G$35,2,0)*I226),"")</f>
        <v>16.5</v>
      </c>
      <c r="K226" s="244">
        <f>VLOOKUP(Food!E226,'FG MASTER'!$A$1:$AC$536,16,0)</f>
        <v>2.69</v>
      </c>
      <c r="L226" s="245">
        <f>VLOOKUP(Food!E226,'FG MASTER'!$A$10:$AC$536,17,0)</f>
        <v>3</v>
      </c>
      <c r="M226" s="132">
        <f t="shared" si="251"/>
        <v>1.2000000000000002</v>
      </c>
      <c r="N226" s="132">
        <f t="shared" si="252"/>
        <v>3.89</v>
      </c>
      <c r="O226" s="132">
        <f t="shared" si="253"/>
        <v>0.5918000000000001</v>
      </c>
      <c r="P226" s="132">
        <f t="shared" si="254"/>
        <v>0.24</v>
      </c>
      <c r="Q226" s="132">
        <f t="shared" si="279"/>
        <v>4.7218</v>
      </c>
      <c r="R226" s="402">
        <f t="shared" si="256"/>
        <v>3.2818000000000001</v>
      </c>
      <c r="S226" s="402">
        <f t="shared" si="257"/>
        <v>1.4400000000000002</v>
      </c>
      <c r="T226" s="402">
        <f t="shared" si="258"/>
        <v>4.7218</v>
      </c>
      <c r="U226" s="127"/>
      <c r="V226" s="127"/>
      <c r="W226" t="str">
        <f>IFERROR(#REF!*J226,"")</f>
        <v/>
      </c>
      <c r="X226">
        <f t="shared" si="271"/>
        <v>44.384999999999998</v>
      </c>
      <c r="Y226">
        <f t="shared" si="272"/>
        <v>49.5</v>
      </c>
      <c r="Z226" s="127">
        <f t="shared" si="273"/>
        <v>19.800000000000004</v>
      </c>
      <c r="AA226" s="127">
        <f t="shared" si="274"/>
        <v>64.185000000000002</v>
      </c>
      <c r="AB226" s="127">
        <f t="shared" si="275"/>
        <v>9.7647000000000013</v>
      </c>
      <c r="AC226" s="127">
        <f t="shared" si="276"/>
        <v>3.96</v>
      </c>
      <c r="AD226" s="127">
        <f t="shared" si="277"/>
        <v>77.909700000000001</v>
      </c>
      <c r="AF226" s="127" t="str">
        <f>IFERROR(W226*'FlightConfig '!$K$3,"")</f>
        <v/>
      </c>
      <c r="AG226" s="127">
        <f>IFERROR(X226*'FlightConfig '!$K$23,"")</f>
        <v>16156.14</v>
      </c>
      <c r="AH226" s="127">
        <f>IFERROR(Y226*'FlightConfig '!$K$23,"")</f>
        <v>18018</v>
      </c>
      <c r="AI226" s="127">
        <f>IFERROR(Z226*'FlightConfig '!$K$23,"")</f>
        <v>7207.2000000000016</v>
      </c>
      <c r="AJ226" s="127">
        <f>IFERROR(AA226*'FlightConfig '!$K$23,"")</f>
        <v>23363.34</v>
      </c>
      <c r="AK226" s="127">
        <f>IFERROR(AB226*'FlightConfig '!$K$23,"")</f>
        <v>3554.3508000000006</v>
      </c>
    </row>
    <row r="227" spans="1:37" ht="18.75" customHeight="1">
      <c r="A227" t="s">
        <v>156</v>
      </c>
      <c r="B227" s="171">
        <v>2</v>
      </c>
      <c r="C227" s="176" t="str">
        <f t="shared" si="278"/>
        <v>BUSINESS CLASS2110</v>
      </c>
      <c r="D227" s="172"/>
      <c r="E227" s="304">
        <v>1160</v>
      </c>
      <c r="F227" s="310">
        <v>110</v>
      </c>
      <c r="G227" t="str">
        <f>VLOOKUP(E227,'FG MASTER'!$A:$AB,2,0)</f>
        <v>BC C2 DINNER HERB BAKED GOAT CHEESE, ARUGULA, HOT HONEY GLAZE, VIBIANO BLOOD ORANGE DRESSING</v>
      </c>
      <c r="H227" s="285">
        <v>1</v>
      </c>
      <c r="I227" s="173">
        <v>0.55000000000000004</v>
      </c>
      <c r="J227" s="291">
        <f>IFERROR(IF(I227="std",H227,HLOOKUP(A227,'FlightConfig '!$B$34:$G$35,2,0)*I227),"")</f>
        <v>16.5</v>
      </c>
      <c r="K227" s="244">
        <f>VLOOKUP(Food!E227,'FG MASTER'!$A$1:$AC$536,16,0)</f>
        <v>2.96</v>
      </c>
      <c r="L227" s="245">
        <f>VLOOKUP(Food!E227,'FG MASTER'!$A$10:$AC$536,17,0)</f>
        <v>1.65</v>
      </c>
      <c r="M227" s="132">
        <f t="shared" si="251"/>
        <v>0.66</v>
      </c>
      <c r="N227" s="132">
        <f t="shared" si="252"/>
        <v>3.62</v>
      </c>
      <c r="O227" s="132">
        <f t="shared" si="253"/>
        <v>0.65119999999999978</v>
      </c>
      <c r="P227" s="132">
        <f t="shared" si="254"/>
        <v>0.13200000000000001</v>
      </c>
      <c r="Q227" s="132">
        <f t="shared" si="279"/>
        <v>4.4032</v>
      </c>
      <c r="R227" s="402">
        <f t="shared" si="256"/>
        <v>3.6111999999999997</v>
      </c>
      <c r="S227" s="402">
        <f t="shared" si="257"/>
        <v>0.79200000000000004</v>
      </c>
      <c r="T227" s="402">
        <f t="shared" si="258"/>
        <v>4.4032</v>
      </c>
      <c r="U227" s="127"/>
      <c r="V227" s="127"/>
      <c r="W227" t="str">
        <f>IFERROR(#REF!*J227,"")</f>
        <v/>
      </c>
      <c r="X227">
        <f t="shared" si="271"/>
        <v>48.839999999999996</v>
      </c>
      <c r="Y227">
        <f t="shared" si="272"/>
        <v>27.224999999999998</v>
      </c>
      <c r="Z227" s="127">
        <f t="shared" si="273"/>
        <v>10.89</v>
      </c>
      <c r="AA227" s="127">
        <f t="shared" si="274"/>
        <v>59.730000000000004</v>
      </c>
      <c r="AB227" s="127">
        <f t="shared" si="275"/>
        <v>10.744799999999996</v>
      </c>
      <c r="AC227" s="127">
        <f t="shared" si="276"/>
        <v>2.1779999999999999</v>
      </c>
      <c r="AD227" s="127">
        <f t="shared" si="277"/>
        <v>72.652799999999999</v>
      </c>
      <c r="AF227" s="127" t="str">
        <f>IFERROR(W227*'FlightConfig '!$K$3,"")</f>
        <v/>
      </c>
      <c r="AG227" s="127">
        <f>IFERROR(X227*'FlightConfig '!$K$23,"")</f>
        <v>17777.759999999998</v>
      </c>
      <c r="AH227" s="127">
        <f>IFERROR(Y227*'FlightConfig '!$K$23,"")</f>
        <v>9909.9</v>
      </c>
      <c r="AI227" s="127">
        <f>IFERROR(Z227*'FlightConfig '!$K$23,"")</f>
        <v>3963.96</v>
      </c>
      <c r="AJ227" s="127">
        <f>IFERROR(AA227*'FlightConfig '!$K$23,"")</f>
        <v>21741.72</v>
      </c>
      <c r="AK227" s="127">
        <f>IFERROR(AB227*'FlightConfig '!$K$23,"")</f>
        <v>3911.1071999999986</v>
      </c>
    </row>
    <row r="228" spans="1:37" ht="18.75" customHeight="1">
      <c r="A228" t="s">
        <v>156</v>
      </c>
      <c r="B228" s="171">
        <v>2</v>
      </c>
      <c r="C228" s="176" t="str">
        <f t="shared" si="278"/>
        <v>BUSINESS CLASS2110</v>
      </c>
      <c r="D228" s="172"/>
      <c r="E228" s="304">
        <v>1161</v>
      </c>
      <c r="F228" s="310">
        <v>110</v>
      </c>
      <c r="G228" t="str">
        <f>VLOOKUP(E228,'FG MASTER'!$A:$AB,2,0)</f>
        <v>BC C2 DINNER AHI TUNA, PICKLED DAIKON AND CUCUMBER SALAD, SCALLION, AND YUZU PONZU AIOLI</v>
      </c>
      <c r="H228" s="285">
        <v>1</v>
      </c>
      <c r="I228" s="173">
        <v>0</v>
      </c>
      <c r="J228" s="291">
        <f>IFERROR(IF(I228="std",H228,HLOOKUP(A228,'FlightConfig '!$B$34:$G$35,2,0)*I228),"")</f>
        <v>0</v>
      </c>
      <c r="K228" s="244">
        <f>VLOOKUP(Food!E228,'FG MASTER'!$A$1:$AC$536,16,0)</f>
        <v>3.2</v>
      </c>
      <c r="L228" s="245">
        <f>VLOOKUP(Food!E228,'FG MASTER'!$A$10:$AC$536,17,0)</f>
        <v>2.75</v>
      </c>
      <c r="M228" s="132">
        <f t="shared" si="251"/>
        <v>1.1000000000000001</v>
      </c>
      <c r="N228" s="132">
        <f t="shared" si="252"/>
        <v>4.3000000000000007</v>
      </c>
      <c r="O228" s="132">
        <f t="shared" si="253"/>
        <v>0.70399999999999974</v>
      </c>
      <c r="P228" s="132">
        <f t="shared" si="254"/>
        <v>0.21999999999999997</v>
      </c>
      <c r="Q228" s="132">
        <f t="shared" si="279"/>
        <v>5.2240000000000002</v>
      </c>
      <c r="R228" s="402">
        <f t="shared" si="256"/>
        <v>3.9039999999999999</v>
      </c>
      <c r="S228" s="402">
        <f t="shared" si="257"/>
        <v>1.32</v>
      </c>
      <c r="T228" s="402">
        <f t="shared" si="258"/>
        <v>5.2240000000000002</v>
      </c>
      <c r="U228" s="127"/>
      <c r="V228" s="127"/>
      <c r="W228" t="str">
        <f>IFERROR(#REF!*J228,"")</f>
        <v/>
      </c>
      <c r="X228">
        <f t="shared" si="271"/>
        <v>0</v>
      </c>
      <c r="Y228">
        <f t="shared" si="272"/>
        <v>0</v>
      </c>
      <c r="Z228" s="127">
        <f t="shared" si="273"/>
        <v>0</v>
      </c>
      <c r="AA228" s="127">
        <f t="shared" si="274"/>
        <v>0</v>
      </c>
      <c r="AB228" s="127">
        <f t="shared" si="275"/>
        <v>0</v>
      </c>
      <c r="AC228" s="127">
        <f t="shared" si="276"/>
        <v>0</v>
      </c>
      <c r="AD228" s="127">
        <f t="shared" si="277"/>
        <v>0</v>
      </c>
      <c r="AF228" s="127" t="str">
        <f>IFERROR(W228*'FlightConfig '!$K$3,"")</f>
        <v/>
      </c>
      <c r="AG228" s="127">
        <f>IFERROR(X228*'FlightConfig '!$K$23,"")</f>
        <v>0</v>
      </c>
      <c r="AH228" s="127">
        <f>IFERROR(Y228*'FlightConfig '!$K$23,"")</f>
        <v>0</v>
      </c>
      <c r="AI228" s="127">
        <f>IFERROR(Z228*'FlightConfig '!$K$23,"")</f>
        <v>0</v>
      </c>
      <c r="AJ228" s="127">
        <f>IFERROR(AA228*'FlightConfig '!$K$23,"")</f>
        <v>0</v>
      </c>
      <c r="AK228" s="127">
        <f>IFERROR(AB228*'FlightConfig '!$K$23,"")</f>
        <v>0</v>
      </c>
    </row>
    <row r="229" spans="1:37" ht="18.75" customHeight="1">
      <c r="A229" t="s">
        <v>156</v>
      </c>
      <c r="B229" s="171">
        <v>2</v>
      </c>
      <c r="C229" s="176" t="str">
        <f t="shared" si="278"/>
        <v>BUSINESS CLASS2110</v>
      </c>
      <c r="D229" s="172"/>
      <c r="E229" s="304">
        <v>1162</v>
      </c>
      <c r="F229" s="310">
        <v>110</v>
      </c>
      <c r="G229" t="str">
        <f>VLOOKUP(E229,'FG MASTER'!$A:$AB,2,0)</f>
        <v>BC C2 DINNER ROASTED VEG TIKKA PUFF BITE, TOMATO, SWEET TAMARIND CHUTNEY, CORIANDER YOGURT</v>
      </c>
      <c r="H229" s="285">
        <v>1</v>
      </c>
      <c r="I229" s="173">
        <v>0</v>
      </c>
      <c r="J229" s="291">
        <f>IFERROR(IF(I229="std",H229,HLOOKUP(A229,'FlightConfig '!$B$34:$G$35,2,0)*I229),"")</f>
        <v>0</v>
      </c>
      <c r="K229" s="244">
        <f>VLOOKUP(Food!E229,'FG MASTER'!$A$1:$AC$536,16,0)</f>
        <v>1.73</v>
      </c>
      <c r="L229" s="245">
        <f>VLOOKUP(Food!E229,'FG MASTER'!$A$10:$AC$536,17,0)</f>
        <v>2.5</v>
      </c>
      <c r="M229" s="132">
        <f t="shared" si="251"/>
        <v>1</v>
      </c>
      <c r="N229" s="132">
        <f t="shared" si="252"/>
        <v>2.73</v>
      </c>
      <c r="O229" s="132">
        <f t="shared" si="253"/>
        <v>0.38059999999999983</v>
      </c>
      <c r="P229" s="132">
        <f t="shared" si="254"/>
        <v>0.19999999999999996</v>
      </c>
      <c r="Q229" s="132">
        <f t="shared" si="279"/>
        <v>3.3106</v>
      </c>
      <c r="R229" s="402">
        <f t="shared" si="256"/>
        <v>2.1105999999999998</v>
      </c>
      <c r="S229" s="402">
        <f t="shared" si="257"/>
        <v>1.2</v>
      </c>
      <c r="T229" s="402">
        <f t="shared" si="258"/>
        <v>3.3106</v>
      </c>
      <c r="U229" s="127"/>
      <c r="V229" s="127"/>
      <c r="W229" t="str">
        <f>IFERROR(#REF!*J229,"")</f>
        <v/>
      </c>
      <c r="X229">
        <f t="shared" si="271"/>
        <v>0</v>
      </c>
      <c r="Y229">
        <f t="shared" si="272"/>
        <v>0</v>
      </c>
      <c r="Z229" s="127">
        <f t="shared" si="273"/>
        <v>0</v>
      </c>
      <c r="AA229" s="127">
        <f t="shared" si="274"/>
        <v>0</v>
      </c>
      <c r="AB229" s="127">
        <f t="shared" si="275"/>
        <v>0</v>
      </c>
      <c r="AC229" s="127">
        <f t="shared" si="276"/>
        <v>0</v>
      </c>
      <c r="AD229" s="127">
        <f t="shared" si="277"/>
        <v>0</v>
      </c>
      <c r="AF229" s="127" t="str">
        <f>IFERROR(W229*'FlightConfig '!$K$3,"")</f>
        <v/>
      </c>
      <c r="AG229" s="127">
        <f>IFERROR(X229*'FlightConfig '!$K$23,"")</f>
        <v>0</v>
      </c>
      <c r="AH229" s="127">
        <f>IFERROR(Y229*'FlightConfig '!$K$23,"")</f>
        <v>0</v>
      </c>
      <c r="AI229" s="127">
        <f>IFERROR(Z229*'FlightConfig '!$K$23,"")</f>
        <v>0</v>
      </c>
      <c r="AJ229" s="127">
        <f>IFERROR(AA229*'FlightConfig '!$K$23,"")</f>
        <v>0</v>
      </c>
      <c r="AK229" s="127">
        <f>IFERROR(AB229*'FlightConfig '!$K$23,"")</f>
        <v>0</v>
      </c>
    </row>
    <row r="230" spans="1:37" ht="18.75" customHeight="1">
      <c r="A230" t="s">
        <v>156</v>
      </c>
      <c r="B230" s="171">
        <v>2</v>
      </c>
      <c r="C230" s="176" t="str">
        <f t="shared" si="278"/>
        <v>BUSINESS CLASS2110</v>
      </c>
      <c r="D230" s="172"/>
      <c r="E230" s="304">
        <v>1168</v>
      </c>
      <c r="F230" s="310">
        <v>110</v>
      </c>
      <c r="G230" t="str">
        <f>VLOOKUP(E230,'FG MASTER'!$A:$AB,2,0)</f>
        <v>BC C2 DINNER ENTREE 1 PERI PERI CHICKEN</v>
      </c>
      <c r="H230" s="285">
        <v>1</v>
      </c>
      <c r="I230" s="173">
        <v>0.6</v>
      </c>
      <c r="J230" s="291">
        <f>IFERROR(IF(I230="std",H230,HLOOKUP(A230,'FlightConfig '!$B$34:$G$35,2,0)*I230),"")</f>
        <v>18</v>
      </c>
      <c r="K230" s="420">
        <f>VLOOKUP(Food!E230,'FG MASTER'!$A$1:$AC$536,16,0)</f>
        <v>4.3790533643228997</v>
      </c>
      <c r="L230" s="245">
        <f>VLOOKUP(Food!E230,'FG MASTER'!$A$10:$AC$536,17,0)</f>
        <v>4.75</v>
      </c>
      <c r="M230" s="132">
        <f t="shared" si="251"/>
        <v>1.9000000000000001</v>
      </c>
      <c r="N230" s="132">
        <f t="shared" si="252"/>
        <v>6.2790533643229001</v>
      </c>
      <c r="O230" s="132">
        <f t="shared" si="253"/>
        <v>0.9633917401510379</v>
      </c>
      <c r="P230" s="132">
        <f t="shared" si="254"/>
        <v>0.38000000000000012</v>
      </c>
      <c r="Q230" s="418">
        <f>SUM(N230:P230)</f>
        <v>7.6224451044739379</v>
      </c>
      <c r="R230" s="402">
        <f t="shared" si="256"/>
        <v>5.3424451044739376</v>
      </c>
      <c r="S230" s="402">
        <f t="shared" si="257"/>
        <v>2.2800000000000002</v>
      </c>
      <c r="T230" s="402">
        <f t="shared" si="258"/>
        <v>7.6224451044739379</v>
      </c>
      <c r="U230" s="127"/>
      <c r="V230" s="127"/>
      <c r="W230" t="str">
        <f>IFERROR(#REF!*J230,"")</f>
        <v/>
      </c>
      <c r="X230">
        <f t="shared" si="271"/>
        <v>78.822960557812195</v>
      </c>
      <c r="Y230">
        <f t="shared" si="272"/>
        <v>85.5</v>
      </c>
      <c r="Z230" s="127">
        <f t="shared" si="273"/>
        <v>34.200000000000003</v>
      </c>
      <c r="AA230" s="127">
        <f t="shared" si="274"/>
        <v>113.0229605578122</v>
      </c>
      <c r="AB230" s="127">
        <f t="shared" si="275"/>
        <v>17.341051322718684</v>
      </c>
      <c r="AC230" s="127">
        <f t="shared" si="276"/>
        <v>6.8400000000000016</v>
      </c>
      <c r="AD230" s="127">
        <f t="shared" si="277"/>
        <v>137.20401188053089</v>
      </c>
      <c r="AF230" s="127" t="str">
        <f>IFERROR(W230*'FlightConfig '!$K$3,"")</f>
        <v/>
      </c>
      <c r="AG230" s="127">
        <f>IFERROR(X230*'FlightConfig '!$K$23,"")</f>
        <v>28691.557643043638</v>
      </c>
      <c r="AH230" s="127">
        <f>IFERROR(Y230*'FlightConfig '!$K$23,"")</f>
        <v>31122</v>
      </c>
      <c r="AI230" s="127">
        <f>IFERROR(Z230*'FlightConfig '!$K$23,"")</f>
        <v>12448.800000000001</v>
      </c>
      <c r="AJ230" s="127">
        <f>IFERROR(AA230*'FlightConfig '!$K$23,"")</f>
        <v>41140.357643043637</v>
      </c>
      <c r="AK230" s="127">
        <f>IFERROR(AB230*'FlightConfig '!$K$23,"")</f>
        <v>6312.1426814696006</v>
      </c>
    </row>
    <row r="231" spans="1:37" ht="18.75" customHeight="1">
      <c r="A231" t="s">
        <v>156</v>
      </c>
      <c r="B231" s="171">
        <v>2</v>
      </c>
      <c r="C231" s="176" t="str">
        <f t="shared" si="278"/>
        <v>BUSINESS CLASS2110</v>
      </c>
      <c r="D231" s="172"/>
      <c r="E231" s="304">
        <v>1169</v>
      </c>
      <c r="F231" s="310">
        <v>110</v>
      </c>
      <c r="G231" t="str">
        <f>VLOOKUP(E231,'FG MASTER'!$A:$AB,2,0)</f>
        <v>BC C2 DINNER ENTREE 2 CRAB CAKE</v>
      </c>
      <c r="H231" s="285">
        <v>1</v>
      </c>
      <c r="I231" s="173">
        <v>0.3</v>
      </c>
      <c r="J231" s="291">
        <f>IFERROR(IF(I231="std",H231,HLOOKUP(A231,'FlightConfig '!$B$34:$G$35,2,0)*I231),"")</f>
        <v>9</v>
      </c>
      <c r="K231" s="244">
        <f>VLOOKUP(Food!E231,'FG MASTER'!$A$1:$AC$536,16,0)</f>
        <v>9.1210635770385107</v>
      </c>
      <c r="L231" s="245">
        <f>VLOOKUP(Food!E231,'FG MASTER'!$A$10:$AC$536,17,0)</f>
        <v>4.75</v>
      </c>
      <c r="M231" s="132">
        <f t="shared" si="251"/>
        <v>1.9000000000000001</v>
      </c>
      <c r="N231" s="132">
        <f t="shared" si="252"/>
        <v>11.021063577038511</v>
      </c>
      <c r="O231" s="132">
        <f t="shared" si="253"/>
        <v>2.0066339869484722</v>
      </c>
      <c r="P231" s="132">
        <f t="shared" si="254"/>
        <v>0.38000000000000012</v>
      </c>
      <c r="Q231" s="132">
        <f t="shared" ref="Q231:Q233" si="280">SUM(N231:P231)</f>
        <v>13.407697563986984</v>
      </c>
      <c r="R231" s="402">
        <f t="shared" si="256"/>
        <v>11.127697563986983</v>
      </c>
      <c r="S231" s="402">
        <f t="shared" si="257"/>
        <v>2.2800000000000002</v>
      </c>
      <c r="T231" s="402">
        <f t="shared" si="258"/>
        <v>13.407697563986982</v>
      </c>
      <c r="U231" s="127"/>
      <c r="V231" s="127"/>
      <c r="W231" t="str">
        <f>IFERROR(#REF!*J231,"")</f>
        <v/>
      </c>
      <c r="X231">
        <f t="shared" si="271"/>
        <v>82.089572193346598</v>
      </c>
      <c r="Y231">
        <f t="shared" si="272"/>
        <v>42.75</v>
      </c>
      <c r="Z231" s="127">
        <f t="shared" si="273"/>
        <v>17.100000000000001</v>
      </c>
      <c r="AA231" s="127">
        <f t="shared" si="274"/>
        <v>99.189572193346606</v>
      </c>
      <c r="AB231" s="127">
        <f t="shared" si="275"/>
        <v>18.05970588253625</v>
      </c>
      <c r="AC231" s="127">
        <f t="shared" si="276"/>
        <v>3.4200000000000008</v>
      </c>
      <c r="AD231" s="127">
        <f t="shared" si="277"/>
        <v>120.66927807588286</v>
      </c>
      <c r="AF231" s="127" t="str">
        <f>IFERROR(W231*'FlightConfig '!$K$3,"")</f>
        <v/>
      </c>
      <c r="AG231" s="127">
        <f>IFERROR(X231*'FlightConfig '!$K$23,"")</f>
        <v>29880.604278378163</v>
      </c>
      <c r="AH231" s="127">
        <f>IFERROR(Y231*'FlightConfig '!$K$23,"")</f>
        <v>15561</v>
      </c>
      <c r="AI231" s="127">
        <f>IFERROR(Z231*'FlightConfig '!$K$23,"")</f>
        <v>6224.4000000000005</v>
      </c>
      <c r="AJ231" s="127">
        <f>IFERROR(AA231*'FlightConfig '!$K$23,"")</f>
        <v>36105.004278378168</v>
      </c>
      <c r="AK231" s="127">
        <f>IFERROR(AB231*'FlightConfig '!$K$23,"")</f>
        <v>6573.7329412431945</v>
      </c>
    </row>
    <row r="232" spans="1:37" ht="18.75" customHeight="1">
      <c r="A232" t="s">
        <v>156</v>
      </c>
      <c r="B232" s="171">
        <v>2</v>
      </c>
      <c r="C232" s="176" t="str">
        <f t="shared" si="278"/>
        <v>BUSINESS CLASS2110</v>
      </c>
      <c r="D232" s="172"/>
      <c r="E232" s="305">
        <v>1170</v>
      </c>
      <c r="F232" s="310">
        <v>110</v>
      </c>
      <c r="G232" t="str">
        <f>VLOOKUP(E232,'FG MASTER'!$A:$AB,2,0)</f>
        <v>BC C2 DINNER ENTREE 3  PASTA CAPPELLETTI</v>
      </c>
      <c r="H232" s="285">
        <v>1</v>
      </c>
      <c r="I232" s="173">
        <v>0.3</v>
      </c>
      <c r="J232" s="291">
        <f>IFERROR(IF(I232="std",H232,HLOOKUP(A232,'FlightConfig '!$B$34:$G$35,2,0)*I232),"")</f>
        <v>9</v>
      </c>
      <c r="K232" s="244">
        <f>VLOOKUP(Food!E232,'FG MASTER'!$A$1:$AC$536,16,0)</f>
        <v>3.9642833494277454</v>
      </c>
      <c r="L232" s="245">
        <f>VLOOKUP(Food!E232,'FG MASTER'!$A$10:$AC$536,17,0)</f>
        <v>3.75</v>
      </c>
      <c r="M232" s="132">
        <f t="shared" si="251"/>
        <v>1.5</v>
      </c>
      <c r="N232" s="132">
        <f t="shared" si="252"/>
        <v>5.4642833494277454</v>
      </c>
      <c r="O232" s="132">
        <f t="shared" si="253"/>
        <v>0.87214233687410392</v>
      </c>
      <c r="P232" s="132">
        <f t="shared" si="254"/>
        <v>0.29999999999999982</v>
      </c>
      <c r="Q232" s="132">
        <f t="shared" si="280"/>
        <v>6.6364256863018491</v>
      </c>
      <c r="R232" s="402">
        <f t="shared" si="256"/>
        <v>4.8364256863018493</v>
      </c>
      <c r="S232" s="402">
        <f t="shared" si="257"/>
        <v>1.7999999999999998</v>
      </c>
      <c r="T232" s="402">
        <f t="shared" si="258"/>
        <v>6.6364256863018491</v>
      </c>
      <c r="U232" s="127"/>
      <c r="V232" s="127"/>
      <c r="W232" t="str">
        <f>IFERROR(#REF!*J232,"")</f>
        <v/>
      </c>
      <c r="X232">
        <f t="shared" si="271"/>
        <v>35.678550144849709</v>
      </c>
      <c r="Y232">
        <f t="shared" si="272"/>
        <v>33.75</v>
      </c>
      <c r="Z232" s="127">
        <f t="shared" si="273"/>
        <v>13.5</v>
      </c>
      <c r="AA232" s="127">
        <f t="shared" si="274"/>
        <v>49.178550144849709</v>
      </c>
      <c r="AB232" s="127">
        <f t="shared" si="275"/>
        <v>7.8492810318669353</v>
      </c>
      <c r="AC232" s="127">
        <f t="shared" si="276"/>
        <v>2.6999999999999984</v>
      </c>
      <c r="AD232" s="127">
        <f t="shared" si="277"/>
        <v>59.727831176716641</v>
      </c>
      <c r="AF232" s="127" t="str">
        <f>IFERROR(W232*'FlightConfig '!$K$3,"")</f>
        <v/>
      </c>
      <c r="AG232" s="127">
        <f>IFERROR(X232*'FlightConfig '!$K$23,"")</f>
        <v>12986.992252725295</v>
      </c>
      <c r="AH232" s="127">
        <f>IFERROR(Y232*'FlightConfig '!$K$23,"")</f>
        <v>12285</v>
      </c>
      <c r="AI232" s="127">
        <f>IFERROR(Z232*'FlightConfig '!$K$23,"")</f>
        <v>4914</v>
      </c>
      <c r="AJ232" s="127">
        <f>IFERROR(AA232*'FlightConfig '!$K$23,"")</f>
        <v>17900.992252725293</v>
      </c>
      <c r="AK232" s="127">
        <f>IFERROR(AB232*'FlightConfig '!$K$23,"")</f>
        <v>2857.1382955995646</v>
      </c>
    </row>
    <row r="233" spans="1:37" ht="18.75" customHeight="1">
      <c r="A233" t="s">
        <v>156</v>
      </c>
      <c r="B233" s="171">
        <v>2</v>
      </c>
      <c r="C233" s="176" t="str">
        <f t="shared" si="278"/>
        <v>BUSINESS CLASS2110</v>
      </c>
      <c r="D233" s="172"/>
      <c r="E233" s="305">
        <v>1171</v>
      </c>
      <c r="F233" s="310">
        <v>110</v>
      </c>
      <c r="G233" t="str">
        <f>VLOOKUP(E233,'FG MASTER'!$A:$AB,2,0)</f>
        <v>BC C2 DINNER ENTREE 4 SOUP AND SANDWICH</v>
      </c>
      <c r="H233" s="285">
        <v>1</v>
      </c>
      <c r="I233" s="173">
        <v>0.2</v>
      </c>
      <c r="J233" s="291">
        <f>IFERROR(IF(I233="std",H233,HLOOKUP(A233,'FlightConfig '!$B$34:$G$35,2,0)*I233),"")</f>
        <v>6</v>
      </c>
      <c r="K233" s="244">
        <f>VLOOKUP(Food!E233,'FG MASTER'!$A$1:$AC$536,16,0)</f>
        <v>2.6020222328068328</v>
      </c>
      <c r="L233" s="245">
        <f>VLOOKUP(Food!E233,'FG MASTER'!$A$10:$AC$536,17,0)</f>
        <v>1</v>
      </c>
      <c r="M233" s="132">
        <f t="shared" si="251"/>
        <v>0.4</v>
      </c>
      <c r="N233" s="132">
        <f t="shared" si="252"/>
        <v>3.0020222328068327</v>
      </c>
      <c r="O233" s="418">
        <f>IFERROR($K233*(1+8%)-$K233,0)</f>
        <v>0.20816177862454666</v>
      </c>
      <c r="P233" s="132">
        <f t="shared" si="254"/>
        <v>7.999999999999996E-2</v>
      </c>
      <c r="Q233" s="132">
        <f t="shared" si="280"/>
        <v>3.2901840114313794</v>
      </c>
      <c r="R233" s="418">
        <f>K233*(1+8%)</f>
        <v>2.8101840114313794</v>
      </c>
      <c r="S233" s="402">
        <f t="shared" si="257"/>
        <v>0.48</v>
      </c>
      <c r="T233" s="402">
        <f t="shared" si="258"/>
        <v>3.2901840114313794</v>
      </c>
      <c r="U233" s="419" t="s">
        <v>357</v>
      </c>
      <c r="V233" s="127"/>
      <c r="W233" t="str">
        <f>IFERROR(#REF!*J233,"")</f>
        <v/>
      </c>
      <c r="X233">
        <f t="shared" si="271"/>
        <v>15.612133396840996</v>
      </c>
      <c r="Y233">
        <f t="shared" si="272"/>
        <v>6</v>
      </c>
      <c r="Z233" s="127">
        <f t="shared" si="273"/>
        <v>2.4000000000000004</v>
      </c>
      <c r="AA233" s="127">
        <f t="shared" si="274"/>
        <v>18.012133396840994</v>
      </c>
      <c r="AB233" s="127">
        <f t="shared" si="275"/>
        <v>1.2489706717472799</v>
      </c>
      <c r="AC233" s="127">
        <f t="shared" si="276"/>
        <v>0.47999999999999976</v>
      </c>
      <c r="AD233" s="127">
        <f t="shared" si="277"/>
        <v>19.741104068588278</v>
      </c>
      <c r="AF233" s="127" t="str">
        <f>IFERROR(W233*'FlightConfig '!$K$3,"")</f>
        <v/>
      </c>
      <c r="AG233" s="127">
        <f>IFERROR(X233*'FlightConfig '!$K$23,"")</f>
        <v>5682.8165564501223</v>
      </c>
      <c r="AH233" s="127">
        <f>IFERROR(Y233*'FlightConfig '!$K$23,"")</f>
        <v>2184</v>
      </c>
      <c r="AI233" s="127">
        <f>IFERROR(Z233*'FlightConfig '!$K$23,"")</f>
        <v>873.60000000000014</v>
      </c>
      <c r="AJ233" s="127">
        <f>IFERROR(AA233*'FlightConfig '!$K$23,"")</f>
        <v>6556.4165564501218</v>
      </c>
      <c r="AK233" s="127">
        <f>IFERROR(AB233*'FlightConfig '!$K$23,"")</f>
        <v>454.62532451600987</v>
      </c>
    </row>
    <row r="234" spans="1:37" ht="18.75" customHeight="1">
      <c r="A234" t="s">
        <v>156</v>
      </c>
      <c r="B234" s="171">
        <v>2</v>
      </c>
      <c r="C234" s="176" t="str">
        <f t="shared" si="278"/>
        <v>BUSINESS CLASS2110</v>
      </c>
      <c r="D234" s="172"/>
      <c r="E234" s="303">
        <v>1092</v>
      </c>
      <c r="F234" s="310">
        <v>110</v>
      </c>
      <c r="G234" t="str">
        <f>VLOOKUP(E234,'FG MASTER'!$A:$AB,2,0)</f>
        <v>BC C1 DINNER GARNISH ARUGULA</v>
      </c>
      <c r="H234" s="285">
        <v>1</v>
      </c>
      <c r="I234" s="173">
        <v>0</v>
      </c>
      <c r="J234" s="291">
        <f>IFERROR(IF(I234="std",H234,HLOOKUP(A234,'FlightConfig '!$B$34:$G$35,2,0)*I234),"")</f>
        <v>0</v>
      </c>
      <c r="K234" s="244">
        <f>VLOOKUP(Food!E234,'FG MASTER'!$A$1:$AC$536,16,0)</f>
        <v>3</v>
      </c>
      <c r="L234" s="245">
        <f>VLOOKUP(Food!E234,'FG MASTER'!$A$10:$AC$536,17,0)</f>
        <v>1</v>
      </c>
      <c r="M234" s="132">
        <f t="shared" si="251"/>
        <v>0.4</v>
      </c>
      <c r="N234" s="132">
        <f t="shared" si="252"/>
        <v>3.4</v>
      </c>
      <c r="O234" s="132">
        <f t="shared" si="253"/>
        <v>0.66000000000000014</v>
      </c>
      <c r="P234" s="132">
        <f t="shared" si="254"/>
        <v>7.999999999999996E-2</v>
      </c>
      <c r="Q234" s="132">
        <f>SUM(N234:P234)</f>
        <v>4.1400000000000006</v>
      </c>
      <c r="R234" s="402">
        <f t="shared" si="256"/>
        <v>3.66</v>
      </c>
      <c r="S234" s="402">
        <f t="shared" si="257"/>
        <v>0.48</v>
      </c>
      <c r="T234" s="402">
        <f t="shared" si="258"/>
        <v>4.1400000000000006</v>
      </c>
      <c r="U234" s="127"/>
      <c r="W234" t="str">
        <f>IFERROR(#REF!*J234,"")</f>
        <v/>
      </c>
      <c r="X234">
        <f t="shared" si="271"/>
        <v>0</v>
      </c>
      <c r="Y234">
        <f t="shared" si="272"/>
        <v>0</v>
      </c>
      <c r="Z234" s="127">
        <f t="shared" si="273"/>
        <v>0</v>
      </c>
      <c r="AA234" s="127">
        <f t="shared" si="274"/>
        <v>0</v>
      </c>
      <c r="AB234" s="127">
        <f t="shared" si="275"/>
        <v>0</v>
      </c>
      <c r="AC234" s="127">
        <f t="shared" si="276"/>
        <v>0</v>
      </c>
      <c r="AD234" s="127">
        <f t="shared" si="277"/>
        <v>0</v>
      </c>
      <c r="AF234" s="127" t="str">
        <f>IFERROR(W234*'FlightConfig '!$K$3,"")</f>
        <v/>
      </c>
      <c r="AG234" s="127">
        <f>IFERROR(X234*'FlightConfig '!$K$23,"")</f>
        <v>0</v>
      </c>
      <c r="AH234" s="127">
        <f>IFERROR(Y234*'FlightConfig '!$K$23,"")</f>
        <v>0</v>
      </c>
      <c r="AI234" s="127">
        <f>IFERROR(Z234*'FlightConfig '!$K$23,"")</f>
        <v>0</v>
      </c>
      <c r="AJ234" s="127">
        <f>IFERROR(AA234*'FlightConfig '!$K$23,"")</f>
        <v>0</v>
      </c>
      <c r="AK234" s="127">
        <f>IFERROR(AB234*'FlightConfig '!$K$23,"")</f>
        <v>0</v>
      </c>
    </row>
    <row r="235" spans="1:37" ht="18.75" customHeight="1">
      <c r="A235" t="s">
        <v>156</v>
      </c>
      <c r="B235" s="171">
        <v>2</v>
      </c>
      <c r="C235" s="176" t="str">
        <f t="shared" si="278"/>
        <v>BUSINESS CLASS2110</v>
      </c>
      <c r="D235" s="172"/>
      <c r="E235" s="305">
        <v>1163</v>
      </c>
      <c r="F235" s="310">
        <v>110</v>
      </c>
      <c r="G235" t="str">
        <f>VLOOKUP(E235,'FG MASTER'!$A:$AB,2,0)</f>
        <v>BC C2 DINNER DUBAI CHOCOLATE CRUCH BAR, CHANTILLY CREAM, PISTACHIO</v>
      </c>
      <c r="H235" s="285">
        <v>1</v>
      </c>
      <c r="I235" s="173">
        <v>0.5</v>
      </c>
      <c r="J235" s="291">
        <f>IFERROR(IF(I235="std",H235,HLOOKUP(A235,'FlightConfig '!$B$34:$G$35,2,0)*I235),"")</f>
        <v>15</v>
      </c>
      <c r="K235" s="420">
        <f>VLOOKUP(Food!E235,'FG MASTER'!$A$1:$AC$536,16,0)</f>
        <v>2.8274375903683375</v>
      </c>
      <c r="L235" s="421">
        <f>VLOOKUP(Food!E235,'FG MASTER'!$A$10:$AC$536,17,0)</f>
        <v>1.5</v>
      </c>
      <c r="M235" s="132">
        <f>IFERROR(L235*$M$2,"")</f>
        <v>0.60000000000000009</v>
      </c>
      <c r="N235" s="132">
        <f t="shared" si="252"/>
        <v>3.4274375903683376</v>
      </c>
      <c r="O235" s="132">
        <f t="shared" si="253"/>
        <v>0.622036269881034</v>
      </c>
      <c r="P235" s="132">
        <f t="shared" si="254"/>
        <v>0.12</v>
      </c>
      <c r="Q235" s="418">
        <f t="shared" ref="Q235:Q240" si="281">SUM(N235:P235)</f>
        <v>4.1694738602493713</v>
      </c>
      <c r="R235" s="402">
        <f t="shared" si="256"/>
        <v>3.4494738602493715</v>
      </c>
      <c r="S235" s="402">
        <f t="shared" si="257"/>
        <v>0.72000000000000008</v>
      </c>
      <c r="T235" s="402">
        <f t="shared" si="258"/>
        <v>4.1694738602493713</v>
      </c>
      <c r="U235" s="127"/>
      <c r="V235" s="127"/>
      <c r="W235" t="str">
        <f>IFERROR(#REF!*J235,"")</f>
        <v/>
      </c>
      <c r="X235">
        <f t="shared" si="271"/>
        <v>42.41156385552506</v>
      </c>
      <c r="Y235">
        <f t="shared" si="272"/>
        <v>22.5</v>
      </c>
      <c r="Z235" s="127">
        <f t="shared" si="273"/>
        <v>9.0000000000000018</v>
      </c>
      <c r="AA235" s="127">
        <f t="shared" si="274"/>
        <v>51.411563855525067</v>
      </c>
      <c r="AB235" s="127">
        <f t="shared" si="275"/>
        <v>9.3305440482155095</v>
      </c>
      <c r="AC235" s="127">
        <f t="shared" si="276"/>
        <v>1.7999999999999998</v>
      </c>
      <c r="AD235" s="127">
        <f t="shared" si="277"/>
        <v>62.542107903740572</v>
      </c>
      <c r="AF235" s="127" t="str">
        <f>IFERROR(W235*'FlightConfig '!$K$3,"")</f>
        <v/>
      </c>
      <c r="AG235" s="127">
        <f>IFERROR(X235*'FlightConfig '!$K$23,"")</f>
        <v>15437.809243411122</v>
      </c>
      <c r="AH235" s="127">
        <f>IFERROR(Y235*'FlightConfig '!$K$23,"")</f>
        <v>8190</v>
      </c>
      <c r="AI235" s="127">
        <f>IFERROR(Z235*'FlightConfig '!$K$23,"")</f>
        <v>3276.0000000000005</v>
      </c>
      <c r="AJ235" s="127">
        <f>IFERROR(AA235*'FlightConfig '!$K$23,"")</f>
        <v>18713.809243411124</v>
      </c>
      <c r="AK235" s="127">
        <f>IFERROR(AB235*'FlightConfig '!$K$23,"")</f>
        <v>3396.3180335504453</v>
      </c>
    </row>
    <row r="236" spans="1:37" ht="18.75" customHeight="1">
      <c r="A236" t="s">
        <v>156</v>
      </c>
      <c r="B236" s="171">
        <v>2</v>
      </c>
      <c r="C236" s="176" t="str">
        <f t="shared" si="278"/>
        <v>BUSINESS CLASS2110</v>
      </c>
      <c r="D236" s="172"/>
      <c r="E236" s="303">
        <v>1164</v>
      </c>
      <c r="F236" s="310">
        <v>110</v>
      </c>
      <c r="G236" t="str">
        <f>VLOOKUP(E236,'FG MASTER'!$A:$AB,2,0)</f>
        <v>BC C2 DINNER EARL GREY CAKE WITH BLACK TEA ANGLAISE, CITRUS PEEL AND ROFFEE CRUNCH</v>
      </c>
      <c r="H236" s="285">
        <v>1</v>
      </c>
      <c r="I236" s="173">
        <v>0.5</v>
      </c>
      <c r="J236" s="291">
        <f>IFERROR(IF(I236="std",H236,HLOOKUP(A236,'FlightConfig '!$B$34:$G$35,2,0)*I236),"")</f>
        <v>15</v>
      </c>
      <c r="K236" s="244">
        <f>VLOOKUP(Food!E236,'FG MASTER'!$A$1:$AC$536,16,0)</f>
        <v>1.1600000000000001</v>
      </c>
      <c r="L236" s="245">
        <f>VLOOKUP(Food!E236,'FG MASTER'!$A$10:$AC$536,17,0)</f>
        <v>1.75</v>
      </c>
      <c r="M236" s="132">
        <f t="shared" ref="M236:M247" si="282">IFERROR(L236*$M$2,"")</f>
        <v>0.70000000000000007</v>
      </c>
      <c r="N236" s="132">
        <f t="shared" si="252"/>
        <v>1.8600000000000003</v>
      </c>
      <c r="O236" s="132">
        <f t="shared" si="253"/>
        <v>0.25520000000000009</v>
      </c>
      <c r="P236" s="132">
        <f t="shared" si="254"/>
        <v>0.14000000000000001</v>
      </c>
      <c r="Q236" s="132">
        <f t="shared" si="281"/>
        <v>2.2552000000000008</v>
      </c>
      <c r="R236" s="402">
        <f t="shared" si="256"/>
        <v>1.4152000000000002</v>
      </c>
      <c r="S236" s="402">
        <f t="shared" si="257"/>
        <v>0.84000000000000008</v>
      </c>
      <c r="T236" s="402">
        <f t="shared" si="258"/>
        <v>2.2552000000000003</v>
      </c>
      <c r="U236" s="127"/>
      <c r="V236" s="127"/>
      <c r="W236" t="str">
        <f>IFERROR(#REF!*J236,"")</f>
        <v/>
      </c>
      <c r="X236">
        <f t="shared" si="271"/>
        <v>17.400000000000002</v>
      </c>
      <c r="Y236">
        <f t="shared" si="272"/>
        <v>26.25</v>
      </c>
      <c r="Z236" s="127">
        <f t="shared" si="273"/>
        <v>10.500000000000002</v>
      </c>
      <c r="AA236" s="127">
        <f t="shared" si="274"/>
        <v>27.900000000000006</v>
      </c>
      <c r="AB236" s="127">
        <f t="shared" si="275"/>
        <v>3.8280000000000012</v>
      </c>
      <c r="AC236" s="127">
        <f t="shared" si="276"/>
        <v>2.1</v>
      </c>
      <c r="AD236" s="127">
        <f t="shared" si="277"/>
        <v>33.82800000000001</v>
      </c>
      <c r="AF236" s="127" t="str">
        <f>IFERROR(W236*'FlightConfig '!$K$3,"")</f>
        <v/>
      </c>
      <c r="AG236" s="127">
        <f>IFERROR(X236*'FlightConfig '!$K$23,"")</f>
        <v>6333.6</v>
      </c>
      <c r="AH236" s="127">
        <f>IFERROR(Y236*'FlightConfig '!$K$23,"")</f>
        <v>9555</v>
      </c>
      <c r="AI236" s="127">
        <f>IFERROR(Z236*'FlightConfig '!$K$23,"")</f>
        <v>3822.0000000000005</v>
      </c>
      <c r="AJ236" s="127">
        <f>IFERROR(AA236*'FlightConfig '!$K$23,"")</f>
        <v>10155.600000000002</v>
      </c>
      <c r="AK236" s="127">
        <f>IFERROR(AB236*'FlightConfig '!$K$23,"")</f>
        <v>1393.3920000000005</v>
      </c>
    </row>
    <row r="237" spans="1:37" ht="18.75" customHeight="1">
      <c r="A237" t="s">
        <v>156</v>
      </c>
      <c r="B237" s="171">
        <v>2</v>
      </c>
      <c r="C237" s="176" t="str">
        <f t="shared" si="278"/>
        <v>BUSINESS CLASS2110</v>
      </c>
      <c r="D237" s="172"/>
      <c r="E237" s="303">
        <v>1165</v>
      </c>
      <c r="F237" s="310">
        <v>110</v>
      </c>
      <c r="G237" t="str">
        <f>VLOOKUP(E237,'FG MASTER'!$A:$AB,2,0)</f>
        <v>BC C2 DINNER RED HEAD MOUSSE CAKE WITH WHIPPED BERRY CREAM, STRAWBERRY AND CROQUANT</v>
      </c>
      <c r="H237" s="285">
        <v>1</v>
      </c>
      <c r="I237" s="173">
        <v>0</v>
      </c>
      <c r="J237" s="291">
        <f>IFERROR(IF(I237="std",H237,HLOOKUP(A237,'FlightConfig '!$B$34:$G$35,2,0)*I237),"")</f>
        <v>0</v>
      </c>
      <c r="K237" s="244">
        <f>VLOOKUP(Food!E237,'FG MASTER'!$A$1:$AC$536,16,0)</f>
        <v>1.01</v>
      </c>
      <c r="L237" s="245">
        <f>VLOOKUP(Food!E237,'FG MASTER'!$A$10:$AC$536,17,0)</f>
        <v>1.75</v>
      </c>
      <c r="M237" s="132">
        <f t="shared" si="282"/>
        <v>0.70000000000000007</v>
      </c>
      <c r="N237" s="132">
        <f t="shared" si="252"/>
        <v>1.71</v>
      </c>
      <c r="O237" s="132">
        <f t="shared" si="253"/>
        <v>0.22219999999999995</v>
      </c>
      <c r="P237" s="132">
        <f t="shared" si="254"/>
        <v>0.14000000000000001</v>
      </c>
      <c r="Q237" s="132">
        <f t="shared" si="281"/>
        <v>2.0722</v>
      </c>
      <c r="R237" s="402">
        <f t="shared" si="256"/>
        <v>1.2322</v>
      </c>
      <c r="S237" s="402">
        <f t="shared" si="257"/>
        <v>0.84000000000000008</v>
      </c>
      <c r="T237" s="402">
        <f t="shared" si="258"/>
        <v>2.0722</v>
      </c>
      <c r="U237" s="127"/>
      <c r="V237" s="127"/>
      <c r="W237" t="str">
        <f>IFERROR(#REF!*J237,"")</f>
        <v/>
      </c>
      <c r="X237">
        <f t="shared" si="271"/>
        <v>0</v>
      </c>
      <c r="Y237">
        <f t="shared" si="272"/>
        <v>0</v>
      </c>
      <c r="Z237" s="127">
        <f t="shared" si="273"/>
        <v>0</v>
      </c>
      <c r="AA237" s="127">
        <f t="shared" si="274"/>
        <v>0</v>
      </c>
      <c r="AB237" s="127">
        <f t="shared" si="275"/>
        <v>0</v>
      </c>
      <c r="AC237" s="127">
        <f t="shared" si="276"/>
        <v>0</v>
      </c>
      <c r="AD237" s="127">
        <f t="shared" si="277"/>
        <v>0</v>
      </c>
      <c r="AF237" s="127" t="str">
        <f>IFERROR(W237*'FlightConfig '!$K$3,"")</f>
        <v/>
      </c>
      <c r="AG237" s="127">
        <f>IFERROR(X237*'FlightConfig '!$K$23,"")</f>
        <v>0</v>
      </c>
      <c r="AH237" s="127">
        <f>IFERROR(Y237*'FlightConfig '!$K$23,"")</f>
        <v>0</v>
      </c>
      <c r="AI237" s="127">
        <f>IFERROR(Z237*'FlightConfig '!$K$23,"")</f>
        <v>0</v>
      </c>
      <c r="AJ237" s="127">
        <f>IFERROR(AA237*'FlightConfig '!$K$23,"")</f>
        <v>0</v>
      </c>
      <c r="AK237" s="127">
        <f>IFERROR(AB237*'FlightConfig '!$K$23,"")</f>
        <v>0</v>
      </c>
    </row>
    <row r="238" spans="1:37" ht="18.75" customHeight="1">
      <c r="A238" t="s">
        <v>156</v>
      </c>
      <c r="B238" s="171">
        <v>2</v>
      </c>
      <c r="C238" s="176" t="str">
        <f t="shared" si="278"/>
        <v>BUSINESS CLASS2110</v>
      </c>
      <c r="D238" s="172"/>
      <c r="E238" s="303">
        <v>1166</v>
      </c>
      <c r="F238" s="310">
        <v>110</v>
      </c>
      <c r="G238" t="str">
        <f>VLOOKUP(E238,'FG MASTER'!$A:$AB,2,0)</f>
        <v>BC C2 DINNER WARMED APPLE TART</v>
      </c>
      <c r="H238" s="285">
        <v>1</v>
      </c>
      <c r="I238" s="173">
        <v>0</v>
      </c>
      <c r="J238" s="291">
        <f>IFERROR(IF(I238="std",H238,HLOOKUP(A238,'FlightConfig '!$B$34:$G$35,2,0)*I238),"")</f>
        <v>0</v>
      </c>
      <c r="K238" s="244">
        <f>VLOOKUP(Food!E238,'FG MASTER'!$A$1:$AC$536,16,0)</f>
        <v>1.25540233190124</v>
      </c>
      <c r="L238" s="245">
        <f>VLOOKUP(Food!E238,'FG MASTER'!$A$10:$AC$536,17,0)</f>
        <v>1</v>
      </c>
      <c r="M238" s="132">
        <f t="shared" si="282"/>
        <v>0.4</v>
      </c>
      <c r="N238" s="132">
        <f t="shared" si="252"/>
        <v>1.6554023319012399</v>
      </c>
      <c r="O238" s="132">
        <f t="shared" si="253"/>
        <v>0.27618851301827285</v>
      </c>
      <c r="P238" s="132">
        <f t="shared" si="254"/>
        <v>7.999999999999996E-2</v>
      </c>
      <c r="Q238" s="132">
        <f t="shared" si="281"/>
        <v>2.0115908449195126</v>
      </c>
      <c r="R238" s="402">
        <f t="shared" si="256"/>
        <v>1.5315908449195128</v>
      </c>
      <c r="S238" s="402">
        <f t="shared" si="257"/>
        <v>0.48</v>
      </c>
      <c r="T238" s="402">
        <f t="shared" si="258"/>
        <v>2.011590844919513</v>
      </c>
      <c r="U238" s="127"/>
      <c r="V238" s="127"/>
      <c r="W238" t="str">
        <f>IFERROR(#REF!*J238,"")</f>
        <v/>
      </c>
      <c r="X238">
        <f t="shared" si="271"/>
        <v>0</v>
      </c>
      <c r="Y238">
        <f t="shared" si="272"/>
        <v>0</v>
      </c>
      <c r="Z238" s="127">
        <f t="shared" si="273"/>
        <v>0</v>
      </c>
      <c r="AA238" s="127">
        <f t="shared" si="274"/>
        <v>0</v>
      </c>
      <c r="AB238" s="127">
        <f t="shared" si="275"/>
        <v>0</v>
      </c>
      <c r="AC238" s="127">
        <f t="shared" si="276"/>
        <v>0</v>
      </c>
      <c r="AD238" s="127">
        <f t="shared" si="277"/>
        <v>0</v>
      </c>
      <c r="AF238" s="127" t="str">
        <f>IFERROR(W238*'FlightConfig '!$K$3,"")</f>
        <v/>
      </c>
      <c r="AG238" s="127">
        <f>IFERROR(X238*'FlightConfig '!$K$23,"")</f>
        <v>0</v>
      </c>
      <c r="AH238" s="127">
        <f>IFERROR(Y238*'FlightConfig '!$K$23,"")</f>
        <v>0</v>
      </c>
      <c r="AI238" s="127">
        <f>IFERROR(Z238*'FlightConfig '!$K$23,"")</f>
        <v>0</v>
      </c>
      <c r="AJ238" s="127">
        <f>IFERROR(AA238*'FlightConfig '!$K$23,"")</f>
        <v>0</v>
      </c>
      <c r="AK238" s="127">
        <f>IFERROR(AB238*'FlightConfig '!$K$23,"")</f>
        <v>0</v>
      </c>
    </row>
    <row r="239" spans="1:37" ht="18.75" customHeight="1">
      <c r="A239" t="s">
        <v>156</v>
      </c>
      <c r="B239" s="171">
        <v>2</v>
      </c>
      <c r="C239" s="176" t="str">
        <f t="shared" ref="C239" si="283">CONCATENATE(A239&amp;B239&amp;F239)</f>
        <v>BUSINESS CLASS2110</v>
      </c>
      <c r="D239" s="172"/>
      <c r="E239" s="303">
        <v>1167</v>
      </c>
      <c r="F239" s="310">
        <v>110</v>
      </c>
      <c r="G239" t="str">
        <f>VLOOKUP(E239,'FG MASTER'!$A:$AB,2,0)</f>
        <v>BC C2 DINNER DESSERT GARNISH VANILLA ICE CREAM BULK (WITH CRY ICE)</v>
      </c>
      <c r="H239" s="285">
        <v>1</v>
      </c>
      <c r="I239" s="173">
        <v>0</v>
      </c>
      <c r="J239" s="291">
        <f>IFERROR(IF(I239="std",H239,HLOOKUP(A239,'FlightConfig '!$B$34:$G$35,2,0)*I239),"")</f>
        <v>0</v>
      </c>
      <c r="K239" s="244">
        <f>VLOOKUP(Food!E239,'FG MASTER'!$A$1:$AC$536,16,0)</f>
        <v>9.9600000000000009</v>
      </c>
      <c r="L239" s="245">
        <f>VLOOKUP(Food!E239,'FG MASTER'!$A$10:$AC$536,17,0)</f>
        <v>1</v>
      </c>
      <c r="M239" s="132">
        <f t="shared" ref="M239" si="284">IFERROR(L239*$M$2,"")</f>
        <v>0.4</v>
      </c>
      <c r="N239" s="132">
        <f t="shared" ref="N239" si="285">IFERROR((K239)+M239,"")</f>
        <v>10.360000000000001</v>
      </c>
      <c r="O239" s="132">
        <f t="shared" si="253"/>
        <v>2.1912000000000003</v>
      </c>
      <c r="P239" s="132">
        <f t="shared" si="254"/>
        <v>7.999999999999996E-2</v>
      </c>
      <c r="Q239" s="132">
        <f t="shared" ref="Q239" si="286">SUM(N239:P239)</f>
        <v>12.631200000000002</v>
      </c>
      <c r="R239" s="402">
        <f t="shared" ref="R239" si="287">K239*(1+$O$2)</f>
        <v>12.151200000000001</v>
      </c>
      <c r="S239" s="402">
        <f t="shared" ref="S239" si="288">M239*(1+$P$2)</f>
        <v>0.48</v>
      </c>
      <c r="T239" s="402">
        <f t="shared" ref="T239" si="289">R239+S239</f>
        <v>12.631200000000002</v>
      </c>
      <c r="U239" s="127"/>
      <c r="V239" s="127"/>
      <c r="W239" t="str">
        <f>IFERROR(#REF!*J239,"")</f>
        <v/>
      </c>
      <c r="X239">
        <f t="shared" ref="X239" si="290">IFERROR(K239*J239,"")</f>
        <v>0</v>
      </c>
      <c r="Y239">
        <f t="shared" ref="Y239" si="291">IFERROR(+L239*J239,"")</f>
        <v>0</v>
      </c>
      <c r="Z239" s="127">
        <f t="shared" ref="Z239" si="292">IFERROR(+M239*J239,"")</f>
        <v>0</v>
      </c>
      <c r="AA239" s="127">
        <f t="shared" ref="AA239" si="293">IFERROR(+N239*J239,"")</f>
        <v>0</v>
      </c>
      <c r="AB239" s="127">
        <f t="shared" ref="AB239" si="294">IFERROR(O239*$J239,"")</f>
        <v>0</v>
      </c>
      <c r="AC239" s="127">
        <f t="shared" ref="AC239" si="295">IFERROR(P239*$J239,"")</f>
        <v>0</v>
      </c>
      <c r="AD239" s="127">
        <f t="shared" ref="AD239" si="296">IFERROR(+Q239*J239,"")</f>
        <v>0</v>
      </c>
      <c r="AF239" s="127" t="str">
        <f>IFERROR(W239*'FlightConfig '!$K$3,"")</f>
        <v/>
      </c>
      <c r="AG239" s="127">
        <f>IFERROR(X239*'FlightConfig '!$K$23,"")</f>
        <v>0</v>
      </c>
      <c r="AH239" s="127">
        <f>IFERROR(Y239*'FlightConfig '!$K$23,"")</f>
        <v>0</v>
      </c>
      <c r="AI239" s="127">
        <f>IFERROR(Z239*'FlightConfig '!$K$23,"")</f>
        <v>0</v>
      </c>
      <c r="AJ239" s="127">
        <f>IFERROR(AA239*'FlightConfig '!$K$23,"")</f>
        <v>0</v>
      </c>
      <c r="AK239" s="127">
        <f>IFERROR(AB239*'FlightConfig '!$K$23,"")</f>
        <v>0</v>
      </c>
    </row>
    <row r="240" spans="1:37" ht="18.75" customHeight="1">
      <c r="A240" t="s">
        <v>156</v>
      </c>
      <c r="B240" s="171">
        <v>2</v>
      </c>
      <c r="C240" s="176" t="str">
        <f t="shared" si="278"/>
        <v>BUSINESS CLASS2110</v>
      </c>
      <c r="D240" s="172"/>
      <c r="E240" s="303">
        <v>1102</v>
      </c>
      <c r="F240" s="310">
        <v>110</v>
      </c>
      <c r="G240" t="str">
        <f>VLOOKUP(E240,'FG MASTER'!$A:$AB,2,0)</f>
        <v>BC C1 DINNER CHEESE PLATE HUMBOLT GOF, LAMB CHOPPER, CHEDDAR, SOULSHINE CUCUMBERS, MUSCADINE JELLY, GRAPE, CRACKER</v>
      </c>
      <c r="H240" s="285">
        <v>1</v>
      </c>
      <c r="I240" s="173">
        <v>0.5</v>
      </c>
      <c r="J240" s="291">
        <f>IFERROR(IF(I240="std",H240,HLOOKUP(A240,'FlightConfig '!$B$34:$G$35,2,0)*I240),"")</f>
        <v>15</v>
      </c>
      <c r="K240" s="244">
        <f>VLOOKUP(Food!E240,'FG MASTER'!$A$1:$AC$536,16,0)</f>
        <v>4.42</v>
      </c>
      <c r="L240" s="245">
        <f>VLOOKUP(Food!E240,'FG MASTER'!$A$10:$AC$536,17,0)</f>
        <v>2.5</v>
      </c>
      <c r="M240" s="132">
        <f t="shared" si="282"/>
        <v>1</v>
      </c>
      <c r="N240" s="132">
        <f t="shared" si="252"/>
        <v>5.42</v>
      </c>
      <c r="O240" s="132">
        <f t="shared" si="253"/>
        <v>0.97239999999999949</v>
      </c>
      <c r="P240" s="132">
        <f t="shared" si="254"/>
        <v>0.19999999999999996</v>
      </c>
      <c r="Q240" s="132">
        <f t="shared" si="281"/>
        <v>6.5923999999999996</v>
      </c>
      <c r="R240" s="402">
        <f t="shared" si="256"/>
        <v>5.3923999999999994</v>
      </c>
      <c r="S240" s="402">
        <f t="shared" si="257"/>
        <v>1.2</v>
      </c>
      <c r="T240" s="402">
        <f t="shared" si="258"/>
        <v>6.5923999999999996</v>
      </c>
      <c r="U240" s="127"/>
      <c r="V240" s="127"/>
      <c r="W240" t="str">
        <f>IFERROR(#REF!*J240,"")</f>
        <v/>
      </c>
      <c r="X240">
        <f t="shared" si="271"/>
        <v>66.3</v>
      </c>
      <c r="Y240">
        <f t="shared" si="272"/>
        <v>37.5</v>
      </c>
      <c r="Z240" s="127">
        <f t="shared" si="273"/>
        <v>15</v>
      </c>
      <c r="AA240" s="127">
        <f t="shared" si="274"/>
        <v>81.3</v>
      </c>
      <c r="AB240" s="127">
        <f t="shared" si="275"/>
        <v>14.585999999999991</v>
      </c>
      <c r="AC240" s="127">
        <f t="shared" si="276"/>
        <v>2.9999999999999991</v>
      </c>
      <c r="AD240" s="127">
        <f t="shared" si="277"/>
        <v>98.885999999999996</v>
      </c>
      <c r="AF240" s="127" t="str">
        <f>IFERROR(W240*'FlightConfig '!$K$3,"")</f>
        <v/>
      </c>
      <c r="AG240" s="127">
        <f>IFERROR(X240*'FlightConfig '!$K$23,"")</f>
        <v>24133.200000000001</v>
      </c>
      <c r="AH240" s="127">
        <f>IFERROR(Y240*'FlightConfig '!$K$23,"")</f>
        <v>13650</v>
      </c>
      <c r="AI240" s="127">
        <f>IFERROR(Z240*'FlightConfig '!$K$23,"")</f>
        <v>5460</v>
      </c>
      <c r="AJ240" s="127">
        <f>IFERROR(AA240*'FlightConfig '!$K$23,"")</f>
        <v>29593.200000000001</v>
      </c>
      <c r="AK240" s="127">
        <f>IFERROR(AB240*'FlightConfig '!$K$23,"")</f>
        <v>5309.3039999999964</v>
      </c>
    </row>
    <row r="241" spans="1:37" ht="18.75" customHeight="1">
      <c r="A241" t="s">
        <v>156</v>
      </c>
      <c r="B241" s="171">
        <v>2</v>
      </c>
      <c r="C241" s="176" t="str">
        <f t="shared" ref="C241" si="297">CONCATENATE(A241&amp;B241&amp;F241)</f>
        <v>BUSINESS CLASS2110</v>
      </c>
      <c r="D241" s="172"/>
      <c r="E241" s="303">
        <v>1209</v>
      </c>
      <c r="F241" s="310">
        <v>110</v>
      </c>
      <c r="G241" t="str">
        <f>VLOOKUP(E241,'FG MASTER'!$A:$AB,2,0)</f>
        <v>BC C2 CRACKER BULK LOAD</v>
      </c>
      <c r="H241" s="285">
        <v>1</v>
      </c>
      <c r="I241" s="173">
        <f>1/12</f>
        <v>8.3333333333333329E-2</v>
      </c>
      <c r="J241" s="291">
        <f>IFERROR(IF(I241="std",H241,HLOOKUP(A241,'FlightConfig '!$B$34:$G$35,2,0)*I241),"")</f>
        <v>2.5</v>
      </c>
      <c r="K241" s="244">
        <f>VLOOKUP(Food!E241,'FG MASTER'!$A$1:$AC$536,16,0)</f>
        <v>1.5333000000000001</v>
      </c>
      <c r="L241" s="245">
        <f>VLOOKUP(Food!E241,'FG MASTER'!$A$10:$AC$536,17,0)</f>
        <v>0.25</v>
      </c>
      <c r="M241" s="132">
        <f t="shared" ref="M241" si="298">IFERROR(L241*$M$2,"")</f>
        <v>0.1</v>
      </c>
      <c r="N241" s="132">
        <f t="shared" ref="N241" si="299">IFERROR((K241)+M241,"")</f>
        <v>1.6333000000000002</v>
      </c>
      <c r="O241" s="132">
        <f t="shared" si="253"/>
        <v>0.33732600000000001</v>
      </c>
      <c r="P241" s="132">
        <f t="shared" si="254"/>
        <v>1.999999999999999E-2</v>
      </c>
      <c r="Q241" s="132">
        <f t="shared" ref="Q241" si="300">SUM(N241:P241)</f>
        <v>1.9906260000000002</v>
      </c>
      <c r="R241" s="402">
        <f t="shared" ref="R241" si="301">K241*(1+$O$2)</f>
        <v>1.8706260000000001</v>
      </c>
      <c r="S241" s="402">
        <f t="shared" ref="S241" si="302">M241*(1+$P$2)</f>
        <v>0.12</v>
      </c>
      <c r="T241" s="402">
        <f t="shared" ref="T241" si="303">R241+S241</f>
        <v>1.9906260000000002</v>
      </c>
      <c r="U241" s="127"/>
      <c r="V241" s="127"/>
      <c r="W241" t="str">
        <f>IFERROR(#REF!*J241,"")</f>
        <v/>
      </c>
      <c r="X241">
        <f t="shared" ref="X241" si="304">IFERROR(K241*J241,"")</f>
        <v>3.8332500000000005</v>
      </c>
      <c r="Y241">
        <f t="shared" ref="Y241" si="305">IFERROR(+L241*J241,"")</f>
        <v>0.625</v>
      </c>
      <c r="Z241" s="127">
        <f t="shared" ref="Z241" si="306">IFERROR(+M241*J241,"")</f>
        <v>0.25</v>
      </c>
      <c r="AA241" s="127">
        <f t="shared" ref="AA241" si="307">IFERROR(+N241*J241,"")</f>
        <v>4.0832500000000005</v>
      </c>
      <c r="AB241" s="127">
        <f t="shared" ref="AB241" si="308">IFERROR(O241*$J241,"")</f>
        <v>0.84331500000000004</v>
      </c>
      <c r="AC241" s="127">
        <f t="shared" ref="AC241" si="309">IFERROR(P241*$J241,"")</f>
        <v>4.9999999999999975E-2</v>
      </c>
      <c r="AD241" s="127">
        <f t="shared" ref="AD241" si="310">IFERROR(+Q241*J241,"")</f>
        <v>4.9765650000000008</v>
      </c>
      <c r="AF241" s="127" t="str">
        <f>IFERROR(W241*'FlightConfig '!$K$3,"")</f>
        <v/>
      </c>
      <c r="AG241" s="127">
        <f>IFERROR(X241*'FlightConfig '!$K$23,"")</f>
        <v>1395.3030000000001</v>
      </c>
      <c r="AH241" s="127">
        <f>IFERROR(Y241*'FlightConfig '!$K$23,"")</f>
        <v>227.5</v>
      </c>
      <c r="AI241" s="127">
        <f>IFERROR(Z241*'FlightConfig '!$K$23,"")</f>
        <v>91</v>
      </c>
      <c r="AJ241" s="127">
        <f>IFERROR(AA241*'FlightConfig '!$K$23,"")</f>
        <v>1486.3030000000001</v>
      </c>
      <c r="AK241" s="127">
        <f>IFERROR(AB241*'FlightConfig '!$K$23,"")</f>
        <v>306.96665999999999</v>
      </c>
    </row>
    <row r="242" spans="1:37" ht="18.75" customHeight="1">
      <c r="A242" t="s">
        <v>156</v>
      </c>
      <c r="B242" s="171">
        <v>2</v>
      </c>
      <c r="C242" s="176" t="str">
        <f t="shared" ref="C242" si="311">CONCATENATE(A242&amp;B242&amp;F242)</f>
        <v>BUSINESS CLASS2110</v>
      </c>
      <c r="D242" s="172"/>
      <c r="E242" s="303">
        <v>1206</v>
      </c>
      <c r="F242" s="310">
        <v>110</v>
      </c>
      <c r="G242" t="str">
        <f>VLOOKUP(E242,'FG MASTER'!$A:$AB,2,0)</f>
        <v>BC BREAKFAST TRAY SET UP</v>
      </c>
      <c r="H242" s="285">
        <v>1</v>
      </c>
      <c r="I242" s="173">
        <v>0.7</v>
      </c>
      <c r="J242" s="291">
        <f>IFERROR(IF(I242="std",H242,HLOOKUP(A242,'FlightConfig '!$B$34:$G$35,2,0)*I242),"")</f>
        <v>21</v>
      </c>
      <c r="K242" s="244">
        <f>VLOOKUP(Food!E242,'FG MASTER'!$A$1:$AC$536,16,0)</f>
        <v>0</v>
      </c>
      <c r="L242" s="245">
        <f>VLOOKUP(Food!E242,'FG MASTER'!$A$10:$AC$536,17,0)</f>
        <v>1.65</v>
      </c>
      <c r="M242" s="132">
        <f t="shared" ref="M242:M243" si="312">IFERROR(L242*$M$2,"")</f>
        <v>0.66</v>
      </c>
      <c r="N242" s="132">
        <f t="shared" ref="N242:N243" si="313">IFERROR((K242)+M242,"")</f>
        <v>0.66</v>
      </c>
      <c r="O242" s="132">
        <f t="shared" si="253"/>
        <v>0</v>
      </c>
      <c r="P242" s="132">
        <f t="shared" si="254"/>
        <v>0.13200000000000001</v>
      </c>
      <c r="Q242" s="132">
        <f>SUM(N242:P242)</f>
        <v>0.79200000000000004</v>
      </c>
      <c r="R242" s="402">
        <f t="shared" ref="R242:R243" si="314">K242*(1+$O$2)</f>
        <v>0</v>
      </c>
      <c r="S242" s="402">
        <f t="shared" ref="S242:S243" si="315">M242*(1+$P$2)</f>
        <v>0.79200000000000004</v>
      </c>
      <c r="T242" s="402">
        <f t="shared" ref="T242:T243" si="316">R242+S242</f>
        <v>0.79200000000000004</v>
      </c>
      <c r="U242" s="127"/>
      <c r="V242" s="127"/>
      <c r="W242" t="str">
        <f>IFERROR(#REF!*J242,"")</f>
        <v/>
      </c>
      <c r="X242">
        <f t="shared" ref="X242:X243" si="317">IFERROR(K242*J242,"")</f>
        <v>0</v>
      </c>
      <c r="Y242">
        <f t="shared" ref="Y242:Y243" si="318">IFERROR(+L242*J242,"")</f>
        <v>34.65</v>
      </c>
      <c r="Z242" s="127">
        <f t="shared" ref="Z242:Z243" si="319">IFERROR(+M242*J242,"")</f>
        <v>13.860000000000001</v>
      </c>
      <c r="AA242" s="127">
        <f t="shared" ref="AA242:AA243" si="320">IFERROR(+N242*J242,"")</f>
        <v>13.860000000000001</v>
      </c>
      <c r="AB242" s="127">
        <f t="shared" ref="AB242:AB243" si="321">IFERROR(O242*$J242,"")</f>
        <v>0</v>
      </c>
      <c r="AC242" s="127">
        <f t="shared" ref="AC242:AC243" si="322">IFERROR(P242*$J242,"")</f>
        <v>2.7720000000000002</v>
      </c>
      <c r="AD242" s="127">
        <f t="shared" ref="AD242:AD243" si="323">IFERROR(+Q242*J242,"")</f>
        <v>16.632000000000001</v>
      </c>
      <c r="AF242" s="127" t="str">
        <f>IFERROR(W242*'FlightConfig '!$K$3,"")</f>
        <v/>
      </c>
      <c r="AG242" s="127">
        <f>IFERROR(X242*'FlightConfig '!$K$23,"")</f>
        <v>0</v>
      </c>
      <c r="AH242" s="127">
        <f>IFERROR(Y242*'FlightConfig '!$K$23,"")</f>
        <v>12612.6</v>
      </c>
      <c r="AI242" s="127">
        <f>IFERROR(Z242*'FlightConfig '!$K$23,"")</f>
        <v>5045.0400000000009</v>
      </c>
      <c r="AJ242" s="127">
        <f>IFERROR(AA242*'FlightConfig '!$K$23,"")</f>
        <v>5045.0400000000009</v>
      </c>
      <c r="AK242" s="127">
        <f>IFERROR(AB242*'FlightConfig '!$K$23,"")</f>
        <v>0</v>
      </c>
    </row>
    <row r="243" spans="1:37" ht="18.75" customHeight="1">
      <c r="A243" t="s">
        <v>156</v>
      </c>
      <c r="B243" s="171">
        <v>2</v>
      </c>
      <c r="C243" s="176" t="str">
        <f>CONCATENATE(A243&amp;B243&amp;F243)</f>
        <v>BUSINESS CLASS2110</v>
      </c>
      <c r="D243" s="172"/>
      <c r="E243" s="303">
        <v>1206</v>
      </c>
      <c r="F243" s="310">
        <v>110</v>
      </c>
      <c r="G243" t="str">
        <f>VLOOKUP(E243,'FG MASTER'!$A:$AB,2,0)</f>
        <v>BC BREAKFAST TRAY SET UP</v>
      </c>
      <c r="H243" s="285">
        <v>1</v>
      </c>
      <c r="I243" s="173">
        <v>0.3</v>
      </c>
      <c r="J243" s="291">
        <f>IFERROR(IF(I243="std",H243,HLOOKUP(A243,'FlightConfig '!$B$34:$G$35,2,0)*I243),"")</f>
        <v>9</v>
      </c>
      <c r="K243" s="244">
        <f>VLOOKUP(Food!E243,'FG MASTER'!$A$1:$AC$536,16,0)</f>
        <v>0</v>
      </c>
      <c r="L243" s="245">
        <f>VLOOKUP(Food!E243,'FG MASTER'!$A$10:$AC$536,17,0)</f>
        <v>1.65</v>
      </c>
      <c r="M243" s="132">
        <f t="shared" si="312"/>
        <v>0.66</v>
      </c>
      <c r="N243" s="132">
        <f t="shared" si="313"/>
        <v>0.66</v>
      </c>
      <c r="O243" s="132">
        <f t="shared" si="253"/>
        <v>0</v>
      </c>
      <c r="P243" s="132">
        <f t="shared" si="254"/>
        <v>0.13200000000000001</v>
      </c>
      <c r="Q243" s="132">
        <f>SUM(N243:P243)</f>
        <v>0.79200000000000004</v>
      </c>
      <c r="R243" s="402">
        <f t="shared" si="314"/>
        <v>0</v>
      </c>
      <c r="S243" s="402">
        <f t="shared" si="315"/>
        <v>0.79200000000000004</v>
      </c>
      <c r="T243" s="402">
        <f t="shared" si="316"/>
        <v>0.79200000000000004</v>
      </c>
      <c r="U243" s="127"/>
      <c r="V243" s="127"/>
      <c r="W243" t="str">
        <f>IFERROR(#REF!*J243,"")</f>
        <v/>
      </c>
      <c r="X243">
        <f t="shared" si="317"/>
        <v>0</v>
      </c>
      <c r="Y243">
        <f t="shared" si="318"/>
        <v>14.85</v>
      </c>
      <c r="Z243" s="127">
        <f t="shared" si="319"/>
        <v>5.94</v>
      </c>
      <c r="AA243" s="127">
        <f t="shared" si="320"/>
        <v>5.94</v>
      </c>
      <c r="AB243" s="127">
        <f t="shared" si="321"/>
        <v>0</v>
      </c>
      <c r="AC243" s="127">
        <f t="shared" si="322"/>
        <v>1.1880000000000002</v>
      </c>
      <c r="AD243" s="127">
        <f t="shared" si="323"/>
        <v>7.1280000000000001</v>
      </c>
      <c r="AF243" s="127" t="str">
        <f>IFERROR(W243*'FlightConfig '!$K$3,"")</f>
        <v/>
      </c>
      <c r="AG243" s="127">
        <f>IFERROR(X243*'FlightConfig '!$K$23,"")</f>
        <v>0</v>
      </c>
      <c r="AH243" s="127">
        <f>IFERROR(Y243*'FlightConfig '!$K$23,"")</f>
        <v>5405.4</v>
      </c>
      <c r="AI243" s="127">
        <f>IFERROR(Z243*'FlightConfig '!$K$23,"")</f>
        <v>2162.1600000000003</v>
      </c>
      <c r="AJ243" s="127">
        <f>IFERROR(AA243*'FlightConfig '!$K$23,"")</f>
        <v>2162.1600000000003</v>
      </c>
      <c r="AK243" s="127">
        <f>IFERROR(AB243*'FlightConfig '!$K$23,"")</f>
        <v>0</v>
      </c>
    </row>
    <row r="244" spans="1:37" ht="18.75" customHeight="1">
      <c r="A244" t="s">
        <v>156</v>
      </c>
      <c r="B244" s="171">
        <v>2</v>
      </c>
      <c r="C244" s="176" t="str">
        <f t="shared" si="278"/>
        <v>BUSINESS CLASS2110</v>
      </c>
      <c r="D244" s="172"/>
      <c r="E244" s="303">
        <v>1175</v>
      </c>
      <c r="F244" s="310">
        <v>110</v>
      </c>
      <c r="G244" t="str">
        <f>VLOOKUP(E244,'FG MASTER'!$A:$AB,2,0)</f>
        <v>BC C2 BRK NOVA CURED SALMON, CREAM CHEESE, EGG, RED ONION,</v>
      </c>
      <c r="H244" s="285">
        <v>1</v>
      </c>
      <c r="I244" s="173">
        <v>0.3</v>
      </c>
      <c r="J244" s="291">
        <f>IFERROR(IF(I244="std",H244,HLOOKUP(A244,'FlightConfig '!$B$34:$G$35,2,0)*I244),"")</f>
        <v>9</v>
      </c>
      <c r="K244" s="244">
        <f>VLOOKUP(Food!E244,'FG MASTER'!$A$1:$AC$536,16,0)</f>
        <v>2.8971130117173667</v>
      </c>
      <c r="L244" s="245">
        <f>VLOOKUP(Food!E244,'FG MASTER'!$A$10:$AC$536,17,0)</f>
        <v>3.45</v>
      </c>
      <c r="M244" s="132">
        <f t="shared" si="282"/>
        <v>1.3800000000000001</v>
      </c>
      <c r="N244" s="132">
        <f t="shared" si="252"/>
        <v>4.2771130117173666</v>
      </c>
      <c r="O244" s="132">
        <f t="shared" si="253"/>
        <v>0.63736486257782055</v>
      </c>
      <c r="P244" s="132">
        <f t="shared" si="254"/>
        <v>0.27600000000000002</v>
      </c>
      <c r="Q244" s="132">
        <f>SUM(N244:P244)</f>
        <v>5.1904778742951869</v>
      </c>
      <c r="R244" s="402">
        <f t="shared" si="256"/>
        <v>3.5344778742951872</v>
      </c>
      <c r="S244" s="402">
        <f t="shared" si="257"/>
        <v>1.6560000000000001</v>
      </c>
      <c r="T244" s="402">
        <f t="shared" si="258"/>
        <v>5.1904778742951869</v>
      </c>
      <c r="U244" s="127"/>
      <c r="V244" s="127"/>
      <c r="W244" t="str">
        <f>IFERROR(#REF!*J244,"")</f>
        <v/>
      </c>
      <c r="X244">
        <f t="shared" si="271"/>
        <v>26.074017105456299</v>
      </c>
      <c r="Y244">
        <f t="shared" si="272"/>
        <v>31.05</v>
      </c>
      <c r="Z244" s="127">
        <f t="shared" si="273"/>
        <v>12.420000000000002</v>
      </c>
      <c r="AA244" s="127">
        <f t="shared" si="274"/>
        <v>38.494017105456301</v>
      </c>
      <c r="AB244" s="127">
        <f t="shared" si="275"/>
        <v>5.7362837632003849</v>
      </c>
      <c r="AC244" s="127">
        <f t="shared" si="276"/>
        <v>2.484</v>
      </c>
      <c r="AD244" s="127">
        <f t="shared" si="277"/>
        <v>46.714300868656679</v>
      </c>
      <c r="AF244" s="127" t="str">
        <f>IFERROR(W244*'FlightConfig '!$K$3,"")</f>
        <v/>
      </c>
      <c r="AG244" s="127">
        <f>IFERROR(X244*'FlightConfig '!$K$23,"")</f>
        <v>9490.9422263860924</v>
      </c>
      <c r="AH244" s="127">
        <f>IFERROR(Y244*'FlightConfig '!$K$23,"")</f>
        <v>11302.2</v>
      </c>
      <c r="AI244" s="127">
        <f>IFERROR(Z244*'FlightConfig '!$K$23,"")</f>
        <v>4520.880000000001</v>
      </c>
      <c r="AJ244" s="127">
        <f>IFERROR(AA244*'FlightConfig '!$K$23,"")</f>
        <v>14011.822226386093</v>
      </c>
      <c r="AK244" s="127">
        <f>IFERROR(AB244*'FlightConfig '!$K$23,"")</f>
        <v>2088.0072898049402</v>
      </c>
    </row>
    <row r="245" spans="1:37" ht="18.75" customHeight="1">
      <c r="A245" t="s">
        <v>156</v>
      </c>
      <c r="B245" s="171">
        <v>2</v>
      </c>
      <c r="C245" s="176" t="str">
        <f>CONCATENATE(A245&amp;B245&amp;F245)</f>
        <v>BUSINESS CLASS2110</v>
      </c>
      <c r="D245" s="172"/>
      <c r="E245" s="303">
        <v>1210</v>
      </c>
      <c r="F245" s="310">
        <v>110</v>
      </c>
      <c r="G245" t="str">
        <f>VLOOKUP(E245,'FG MASTER'!$A:$AB,2,0)</f>
        <v>BC C2 BRK HHH1 BAGEL WITH GRIED EGG AND CHEESE</v>
      </c>
      <c r="H245" s="285">
        <v>1</v>
      </c>
      <c r="I245" s="173">
        <v>0.6</v>
      </c>
      <c r="J245" s="291">
        <f>IFERROR(IF(I245="std",H245,HLOOKUP(A245,'FlightConfig '!$B$34:$G$35,2,0)*I245),"")</f>
        <v>18</v>
      </c>
      <c r="K245" s="244">
        <f>VLOOKUP(Food!E245,'FG MASTER'!$A$1:$AC$536,16,0)</f>
        <v>0.83</v>
      </c>
      <c r="L245" s="245">
        <f>VLOOKUP(Food!E245,'FG MASTER'!$A$10:$AC$536,17,0)</f>
        <v>2.25</v>
      </c>
      <c r="M245" s="132">
        <f t="shared" si="282"/>
        <v>0.9</v>
      </c>
      <c r="N245" s="132">
        <f t="shared" si="252"/>
        <v>1.73</v>
      </c>
      <c r="O245" s="132">
        <f t="shared" si="253"/>
        <v>0.18259999999999998</v>
      </c>
      <c r="P245" s="132">
        <f t="shared" si="254"/>
        <v>0.18000000000000005</v>
      </c>
      <c r="Q245" s="132">
        <f>SUM(N245:P245)</f>
        <v>2.0926</v>
      </c>
      <c r="R245" s="402">
        <f t="shared" si="256"/>
        <v>1.0125999999999999</v>
      </c>
      <c r="S245" s="402">
        <f t="shared" si="257"/>
        <v>1.08</v>
      </c>
      <c r="T245" s="402">
        <f t="shared" si="258"/>
        <v>2.0926</v>
      </c>
      <c r="U245" s="127"/>
      <c r="V245" s="127"/>
      <c r="W245" t="str">
        <f>IFERROR(#REF!*J245,"")</f>
        <v/>
      </c>
      <c r="X245">
        <f t="shared" si="271"/>
        <v>14.94</v>
      </c>
      <c r="Y245">
        <f t="shared" si="272"/>
        <v>40.5</v>
      </c>
      <c r="Z245" s="127">
        <f t="shared" si="273"/>
        <v>16.2</v>
      </c>
      <c r="AA245" s="127">
        <f t="shared" si="274"/>
        <v>31.14</v>
      </c>
      <c r="AB245" s="127">
        <f t="shared" si="275"/>
        <v>3.2867999999999995</v>
      </c>
      <c r="AC245" s="127">
        <f t="shared" si="276"/>
        <v>3.2400000000000011</v>
      </c>
      <c r="AD245" s="127">
        <f t="shared" si="277"/>
        <v>37.666800000000002</v>
      </c>
      <c r="AF245" s="127" t="str">
        <f>IFERROR(W245*'FlightConfig '!$K$3,"")</f>
        <v/>
      </c>
      <c r="AG245" s="127">
        <f>IFERROR(X245*'FlightConfig '!$K$23,"")</f>
        <v>5438.16</v>
      </c>
      <c r="AH245" s="127">
        <f>IFERROR(Y245*'FlightConfig '!$K$23,"")</f>
        <v>14742</v>
      </c>
      <c r="AI245" s="127">
        <f>IFERROR(Z245*'FlightConfig '!$K$23,"")</f>
        <v>5896.8</v>
      </c>
      <c r="AJ245" s="127">
        <f>IFERROR(AA245*'FlightConfig '!$K$23,"")</f>
        <v>11334.960000000001</v>
      </c>
      <c r="AK245" s="127">
        <f>IFERROR(AB245*'FlightConfig '!$K$23,"")</f>
        <v>1196.3951999999999</v>
      </c>
    </row>
    <row r="246" spans="1:37" ht="18.75" customHeight="1">
      <c r="A246" t="s">
        <v>156</v>
      </c>
      <c r="B246" s="171">
        <v>2</v>
      </c>
      <c r="C246" s="176" t="str">
        <f t="shared" ref="C246:C247" si="324">CONCATENATE(A246&amp;B246&amp;F246)</f>
        <v>BUSINESS CLASS2110</v>
      </c>
      <c r="D246" s="172"/>
      <c r="E246" s="303">
        <v>1106</v>
      </c>
      <c r="F246" s="310">
        <v>110</v>
      </c>
      <c r="G246" t="str">
        <f>VLOOKUP(E246,'FG MASTER'!$A:$AB,2,0)</f>
        <v>BC C1 BREAKFAST ENTRÉE 4 ENGLEMANS ROLL, SPOTTED TROTTER - BACON, HP SAUCE</v>
      </c>
      <c r="H246" s="285">
        <v>1</v>
      </c>
      <c r="I246" s="173">
        <v>0.6</v>
      </c>
      <c r="J246" s="291">
        <f>IFERROR(IF(I246="std",H246,HLOOKUP(A246,'FlightConfig '!$B$34:$G$35,2,0)*I246),"")</f>
        <v>18</v>
      </c>
      <c r="K246" s="244">
        <f>VLOOKUP(Food!E246,'FG MASTER'!$A$1:$AC$536,16,0)</f>
        <v>1.97</v>
      </c>
      <c r="L246" s="245">
        <f>VLOOKUP(Food!E246,'FG MASTER'!$A$10:$AC$536,17,0)</f>
        <v>2.5</v>
      </c>
      <c r="M246" s="132">
        <f t="shared" si="282"/>
        <v>1</v>
      </c>
      <c r="N246" s="132">
        <f t="shared" si="252"/>
        <v>2.9699999999999998</v>
      </c>
      <c r="O246" s="132">
        <f t="shared" si="253"/>
        <v>0.43340000000000001</v>
      </c>
      <c r="P246" s="132">
        <f t="shared" si="254"/>
        <v>0.19999999999999996</v>
      </c>
      <c r="Q246" s="132">
        <f t="shared" ref="Q246:Q247" si="325">SUM(N246:P246)</f>
        <v>3.6033999999999997</v>
      </c>
      <c r="R246" s="402">
        <f t="shared" si="256"/>
        <v>2.4034</v>
      </c>
      <c r="S246" s="402">
        <f t="shared" si="257"/>
        <v>1.2</v>
      </c>
      <c r="T246" s="402">
        <f t="shared" si="258"/>
        <v>3.6033999999999997</v>
      </c>
      <c r="U246" s="127"/>
      <c r="V246" s="127"/>
      <c r="W246" t="str">
        <f>IFERROR(#REF!*J246,"")</f>
        <v/>
      </c>
      <c r="X246">
        <f t="shared" si="271"/>
        <v>35.46</v>
      </c>
      <c r="Y246">
        <f t="shared" si="272"/>
        <v>45</v>
      </c>
      <c r="Z246" s="127">
        <f t="shared" si="273"/>
        <v>18</v>
      </c>
      <c r="AA246" s="127">
        <f t="shared" si="274"/>
        <v>53.459999999999994</v>
      </c>
      <c r="AB246" s="127">
        <f t="shared" si="275"/>
        <v>7.8011999999999997</v>
      </c>
      <c r="AC246" s="127">
        <f t="shared" si="276"/>
        <v>3.5999999999999992</v>
      </c>
      <c r="AD246" s="127">
        <f t="shared" si="277"/>
        <v>64.861199999999997</v>
      </c>
      <c r="AF246" s="127" t="str">
        <f>IFERROR(W246*'FlightConfig '!$K$3,"")</f>
        <v/>
      </c>
      <c r="AG246" s="127">
        <f>IFERROR(X246*'FlightConfig '!$K$23,"")</f>
        <v>12907.44</v>
      </c>
      <c r="AH246" s="127">
        <f>IFERROR(Y246*'FlightConfig '!$K$23,"")</f>
        <v>16380</v>
      </c>
      <c r="AI246" s="127">
        <f>IFERROR(Z246*'FlightConfig '!$K$23,"")</f>
        <v>6552</v>
      </c>
      <c r="AJ246" s="127">
        <f>IFERROR(AA246*'FlightConfig '!$K$23,"")</f>
        <v>19459.439999999999</v>
      </c>
      <c r="AK246" s="127">
        <f>IFERROR(AB246*'FlightConfig '!$K$23,"")</f>
        <v>2839.6367999999998</v>
      </c>
    </row>
    <row r="247" spans="1:37" ht="18.75" customHeight="1">
      <c r="A247" t="s">
        <v>156</v>
      </c>
      <c r="B247" s="171">
        <v>2</v>
      </c>
      <c r="C247" s="176" t="str">
        <f t="shared" si="324"/>
        <v>BUSINESS CLASS2110</v>
      </c>
      <c r="D247" s="172"/>
      <c r="E247" s="303">
        <v>1178</v>
      </c>
      <c r="F247" s="310">
        <v>110</v>
      </c>
      <c r="G247" t="str">
        <f>VLOOKUP(E247,'FG MASTER'!$A:$AB,2,0)</f>
        <v>BC C2 BRK SIDE ITEM LAYED YOGURT</v>
      </c>
      <c r="H247" s="285">
        <v>1</v>
      </c>
      <c r="I247" s="173">
        <v>1</v>
      </c>
      <c r="J247" s="291">
        <f>IFERROR(IF(I247="std",H247,HLOOKUP(A247,'FlightConfig '!$B$34:$G$35,2,0)*I247),"")</f>
        <v>30</v>
      </c>
      <c r="K247" s="244">
        <f>VLOOKUP(Food!E247,'FG MASTER'!$A$1:$AC$536,16,0)</f>
        <v>1.0548240215786746</v>
      </c>
      <c r="L247" s="245">
        <f>VLOOKUP(Food!E247,'FG MASTER'!$A$10:$AC$536,17,0)</f>
        <v>1.25</v>
      </c>
      <c r="M247" s="132">
        <f t="shared" si="282"/>
        <v>0.5</v>
      </c>
      <c r="N247" s="132">
        <f t="shared" si="252"/>
        <v>1.5548240215786746</v>
      </c>
      <c r="O247" s="132">
        <f t="shared" si="253"/>
        <v>0.23206128474730847</v>
      </c>
      <c r="P247" s="132">
        <f t="shared" si="254"/>
        <v>9.9999999999999978E-2</v>
      </c>
      <c r="Q247" s="132">
        <f t="shared" si="325"/>
        <v>1.8868853063259832</v>
      </c>
      <c r="R247" s="402">
        <f t="shared" si="256"/>
        <v>1.2868853063259831</v>
      </c>
      <c r="S247" s="402">
        <f t="shared" si="257"/>
        <v>0.6</v>
      </c>
      <c r="T247" s="402">
        <f t="shared" si="258"/>
        <v>1.8868853063259832</v>
      </c>
      <c r="U247" s="127"/>
      <c r="V247" s="127"/>
      <c r="W247" t="str">
        <f>IFERROR(#REF!*J247,"")</f>
        <v/>
      </c>
      <c r="X247">
        <f t="shared" si="271"/>
        <v>31.644720647360238</v>
      </c>
      <c r="Y247">
        <f t="shared" si="272"/>
        <v>37.5</v>
      </c>
      <c r="Z247" s="127">
        <f t="shared" si="273"/>
        <v>15</v>
      </c>
      <c r="AA247" s="127">
        <f t="shared" si="274"/>
        <v>46.644720647360238</v>
      </c>
      <c r="AB247" s="127">
        <f t="shared" si="275"/>
        <v>6.9618385424192546</v>
      </c>
      <c r="AC247" s="127">
        <f t="shared" si="276"/>
        <v>2.9999999999999991</v>
      </c>
      <c r="AD247" s="127">
        <f t="shared" si="277"/>
        <v>56.606559189779496</v>
      </c>
      <c r="AF247" s="127" t="str">
        <f>IFERROR(W247*'FlightConfig '!$K$3,"")</f>
        <v/>
      </c>
      <c r="AG247" s="127">
        <f>IFERROR(X247*'FlightConfig '!$K$23,"")</f>
        <v>11518.678315639127</v>
      </c>
      <c r="AH247" s="127">
        <f>IFERROR(Y247*'FlightConfig '!$K$23,"")</f>
        <v>13650</v>
      </c>
      <c r="AI247" s="127">
        <f>IFERROR(Z247*'FlightConfig '!$K$23,"")</f>
        <v>5460</v>
      </c>
      <c r="AJ247" s="127">
        <f>IFERROR(AA247*'FlightConfig '!$K$23,"")</f>
        <v>16978.678315639125</v>
      </c>
      <c r="AK247" s="127">
        <f>IFERROR(AB247*'FlightConfig '!$K$23,"")</f>
        <v>2534.1092294406085</v>
      </c>
    </row>
    <row r="248" spans="1:37" ht="18.75" customHeight="1">
      <c r="A248" t="s">
        <v>156</v>
      </c>
      <c r="B248" s="171">
        <v>2</v>
      </c>
      <c r="C248" s="176" t="str">
        <f>CONCATENATE(A248&amp;B248&amp;F248)</f>
        <v>BUSINESS CLASS2110</v>
      </c>
      <c r="D248" s="172"/>
      <c r="E248" s="303">
        <v>1179</v>
      </c>
      <c r="F248" s="310">
        <v>110</v>
      </c>
      <c r="G248" t="str">
        <f>VLOOKUP(E248,'FG MASTER'!$A:$AB,2,0)</f>
        <v>BC C2 BRK SIDE ITEM MINI JAM JAR</v>
      </c>
      <c r="H248" s="285">
        <v>1</v>
      </c>
      <c r="I248" s="173">
        <v>1</v>
      </c>
      <c r="J248" s="291">
        <f>IFERROR(IF(I248="std",H248,HLOOKUP(A248,'FlightConfig '!$B$34:$G$35,2,0)*I248),"")</f>
        <v>30</v>
      </c>
      <c r="K248" s="244">
        <f>VLOOKUP(Food!E248,'FG MASTER'!$A$1:$AC$536,16,0)</f>
        <v>0.42724489795918363</v>
      </c>
      <c r="L248" s="245">
        <f>VLOOKUP(Food!E248,'FG MASTER'!$A$10:$AC$536,17,0)</f>
        <v>0.25</v>
      </c>
      <c r="M248" s="132">
        <f>IFERROR(L248*$M$2,"")</f>
        <v>0.1</v>
      </c>
      <c r="N248" s="132">
        <f>IFERROR((K248)+M248,"")</f>
        <v>0.52724489795918361</v>
      </c>
      <c r="O248" s="132">
        <f t="shared" si="253"/>
        <v>9.3993877551020399E-2</v>
      </c>
      <c r="P248" s="132">
        <f t="shared" si="254"/>
        <v>1.999999999999999E-2</v>
      </c>
      <c r="Q248" s="132">
        <f>SUM(N248:P248)</f>
        <v>0.64123877551020403</v>
      </c>
      <c r="R248" s="402">
        <f t="shared" si="256"/>
        <v>0.52123877551020403</v>
      </c>
      <c r="S248" s="402">
        <f t="shared" si="257"/>
        <v>0.12</v>
      </c>
      <c r="T248" s="402">
        <f t="shared" si="258"/>
        <v>0.64123877551020403</v>
      </c>
      <c r="U248" s="127"/>
      <c r="V248" s="127"/>
      <c r="W248" t="str">
        <f>IFERROR(#REF!*J248,"")</f>
        <v/>
      </c>
      <c r="X248">
        <f t="shared" si="271"/>
        <v>12.817346938775509</v>
      </c>
      <c r="Y248">
        <f t="shared" si="272"/>
        <v>7.5</v>
      </c>
      <c r="Z248" s="127">
        <f t="shared" si="273"/>
        <v>3</v>
      </c>
      <c r="AA248" s="127">
        <f t="shared" si="274"/>
        <v>15.817346938775508</v>
      </c>
      <c r="AB248" s="127">
        <f t="shared" si="275"/>
        <v>2.8198163265306118</v>
      </c>
      <c r="AC248" s="127">
        <f t="shared" si="276"/>
        <v>0.59999999999999964</v>
      </c>
      <c r="AD248" s="127">
        <f t="shared" si="277"/>
        <v>19.237163265306123</v>
      </c>
      <c r="AF248" s="127" t="str">
        <f>IFERROR(W248*'FlightConfig '!$K$3,"")</f>
        <v/>
      </c>
      <c r="AG248" s="127">
        <f>IFERROR(X248*'FlightConfig '!$K$23,"")</f>
        <v>4665.5142857142855</v>
      </c>
      <c r="AH248" s="127">
        <f>IFERROR(Y248*'FlightConfig '!$K$23,"")</f>
        <v>2730</v>
      </c>
      <c r="AI248" s="127">
        <f>IFERROR(Z248*'FlightConfig '!$K$23,"")</f>
        <v>1092</v>
      </c>
      <c r="AJ248" s="127">
        <f>IFERROR(AA248*'FlightConfig '!$K$23,"")</f>
        <v>5757.5142857142846</v>
      </c>
      <c r="AK248" s="127">
        <f>IFERROR(AB248*'FlightConfig '!$K$23,"")</f>
        <v>1026.4131428571427</v>
      </c>
    </row>
    <row r="249" spans="1:37" ht="18.75" customHeight="1">
      <c r="A249" t="s">
        <v>156</v>
      </c>
      <c r="B249" s="171">
        <v>2</v>
      </c>
      <c r="C249" s="176" t="str">
        <f t="shared" ref="C249:C263" si="326">CONCATENATE(A249&amp;B249&amp;F249)</f>
        <v>BUSINESS CLASS2110</v>
      </c>
      <c r="D249" s="172"/>
      <c r="E249" s="303">
        <v>1174</v>
      </c>
      <c r="F249" s="310">
        <v>110</v>
      </c>
      <c r="G249" t="str">
        <f>VLOOKUP(E249,'FG MASTER'!$A:$AB,2,0)</f>
        <v>BC C2 BRK PASTRIES - CROISSANT</v>
      </c>
      <c r="H249" s="285">
        <v>1</v>
      </c>
      <c r="I249" s="173">
        <v>1</v>
      </c>
      <c r="J249" s="291">
        <f>IFERROR(IF(I249="std",H249,HLOOKUP(A249,'FlightConfig '!$B$34:$G$35,2,0)*I249),"")</f>
        <v>30</v>
      </c>
      <c r="K249" s="244">
        <f>VLOOKUP(Food!E249,'FG MASTER'!$A$1:$AC$536,16,0)</f>
        <v>1.2553338435374155</v>
      </c>
      <c r="L249" s="245">
        <f>VLOOKUP(Food!E249,'FG MASTER'!$A$10:$AC$536,17,0)</f>
        <v>0.5</v>
      </c>
      <c r="M249" s="132">
        <f t="shared" ref="M249:M263" si="327">IFERROR(L249*$M$2,"")</f>
        <v>0.2</v>
      </c>
      <c r="N249" s="132">
        <f t="shared" ref="N249:N263" si="328">IFERROR((K249)+M249,"")</f>
        <v>1.4553338435374155</v>
      </c>
      <c r="O249" s="132">
        <f t="shared" si="253"/>
        <v>0.27617344557823142</v>
      </c>
      <c r="P249" s="132">
        <f t="shared" si="254"/>
        <v>3.999999999999998E-2</v>
      </c>
      <c r="Q249" s="132">
        <f t="shared" ref="Q249:Q251" si="329">SUM(N249:P249)</f>
        <v>1.7715072891156469</v>
      </c>
      <c r="R249" s="402">
        <f t="shared" si="256"/>
        <v>1.5315072891156469</v>
      </c>
      <c r="S249" s="402">
        <f t="shared" si="257"/>
        <v>0.24</v>
      </c>
      <c r="T249" s="402">
        <f t="shared" si="258"/>
        <v>1.7715072891156469</v>
      </c>
      <c r="U249" s="127"/>
      <c r="V249" s="127"/>
      <c r="W249" t="str">
        <f>IFERROR(#REF!*J249,"")</f>
        <v/>
      </c>
      <c r="X249">
        <f t="shared" si="271"/>
        <v>37.660015306122467</v>
      </c>
      <c r="Y249">
        <f t="shared" si="272"/>
        <v>15</v>
      </c>
      <c r="Z249" s="127">
        <f t="shared" si="273"/>
        <v>6</v>
      </c>
      <c r="AA249" s="127">
        <f t="shared" si="274"/>
        <v>43.66001530612246</v>
      </c>
      <c r="AB249" s="127">
        <f t="shared" si="275"/>
        <v>8.2852033673469432</v>
      </c>
      <c r="AC249" s="127">
        <f t="shared" si="276"/>
        <v>1.1999999999999993</v>
      </c>
      <c r="AD249" s="127">
        <f t="shared" si="277"/>
        <v>53.145218673469408</v>
      </c>
      <c r="AF249" s="127" t="str">
        <f>IFERROR(W249*'FlightConfig '!$K$3,"")</f>
        <v/>
      </c>
      <c r="AG249" s="127">
        <f>IFERROR(X249*'FlightConfig '!$K$23,"")</f>
        <v>13708.245571428579</v>
      </c>
      <c r="AH249" s="127">
        <f>IFERROR(Y249*'FlightConfig '!$K$23,"")</f>
        <v>5460</v>
      </c>
      <c r="AI249" s="127">
        <f>IFERROR(Z249*'FlightConfig '!$K$23,"")</f>
        <v>2184</v>
      </c>
      <c r="AJ249" s="127">
        <f>IFERROR(AA249*'FlightConfig '!$K$23,"")</f>
        <v>15892.245571428575</v>
      </c>
      <c r="AK249" s="127">
        <f>IFERROR(AB249*'FlightConfig '!$K$23,"")</f>
        <v>3015.8140257142873</v>
      </c>
    </row>
    <row r="250" spans="1:37" ht="18.75" customHeight="1">
      <c r="A250" t="s">
        <v>156</v>
      </c>
      <c r="B250" s="171">
        <v>2</v>
      </c>
      <c r="C250" s="176" t="str">
        <f t="shared" ref="C250" si="330">CONCATENATE(A250&amp;B250&amp;F250)</f>
        <v>BUSINESS CLASS2110</v>
      </c>
      <c r="D250" s="172"/>
      <c r="E250" s="303">
        <v>1204</v>
      </c>
      <c r="F250" s="310">
        <v>110</v>
      </c>
      <c r="G250" t="str">
        <f>VLOOKUP(E250,'FG MASTER'!$A:$AB,2,0)</f>
        <v>BC C2 GARNISH GRAPEFRUIT SEGMENT 20CT</v>
      </c>
      <c r="H250" s="285">
        <v>1</v>
      </c>
      <c r="I250" s="173" t="s">
        <v>356</v>
      </c>
      <c r="J250" s="291">
        <f>IFERROR(IF(I250="std",H250,HLOOKUP(A250,'FlightConfig '!$B$34:$G$35,2,0)*I250),"")</f>
        <v>1</v>
      </c>
      <c r="K250" s="244">
        <f>VLOOKUP(Food!E250,'FG MASTER'!$A$1:$AC$536,16,0)</f>
        <v>4.9882500000000007</v>
      </c>
      <c r="L250" s="245">
        <f>VLOOKUP(Food!E250,'FG MASTER'!$A$10:$AC$536,17,0)</f>
        <v>0.5</v>
      </c>
      <c r="M250" s="132">
        <f t="shared" ref="M250" si="331">IFERROR(L250*$M$2,"")</f>
        <v>0.2</v>
      </c>
      <c r="N250" s="132">
        <f t="shared" ref="N250" si="332">IFERROR((K250)+M250,"")</f>
        <v>5.1882500000000009</v>
      </c>
      <c r="O250" s="132">
        <f t="shared" si="253"/>
        <v>1.0974149999999998</v>
      </c>
      <c r="P250" s="132">
        <f t="shared" si="254"/>
        <v>3.999999999999998E-2</v>
      </c>
      <c r="Q250" s="132">
        <f t="shared" ref="Q250" si="333">SUM(N250:P250)</f>
        <v>6.3256650000000008</v>
      </c>
      <c r="R250" s="402">
        <f t="shared" ref="R250" si="334">K250*(1+$O$2)</f>
        <v>6.0856650000000005</v>
      </c>
      <c r="S250" s="402">
        <f t="shared" ref="S250" si="335">M250*(1+$P$2)</f>
        <v>0.24</v>
      </c>
      <c r="T250" s="402">
        <f t="shared" ref="T250" si="336">R250+S250</f>
        <v>6.3256650000000008</v>
      </c>
      <c r="U250" s="127"/>
      <c r="V250" s="127"/>
      <c r="W250" t="str">
        <f>IFERROR(#REF!*J250,"")</f>
        <v/>
      </c>
      <c r="X250">
        <f t="shared" ref="X250" si="337">IFERROR(K250*J250,"")</f>
        <v>4.9882500000000007</v>
      </c>
      <c r="Y250">
        <f t="shared" ref="Y250" si="338">IFERROR(+L250*J250,"")</f>
        <v>0.5</v>
      </c>
      <c r="Z250" s="127">
        <f t="shared" ref="Z250" si="339">IFERROR(+M250*J250,"")</f>
        <v>0.2</v>
      </c>
      <c r="AA250" s="127">
        <f t="shared" ref="AA250" si="340">IFERROR(+N250*J250,"")</f>
        <v>5.1882500000000009</v>
      </c>
      <c r="AB250" s="127">
        <f t="shared" ref="AB250" si="341">IFERROR(O250*$J250,"")</f>
        <v>1.0974149999999998</v>
      </c>
      <c r="AC250" s="127">
        <f t="shared" ref="AC250" si="342">IFERROR(P250*$J250,"")</f>
        <v>3.999999999999998E-2</v>
      </c>
      <c r="AD250" s="127">
        <f t="shared" ref="AD250" si="343">IFERROR(+Q250*J250,"")</f>
        <v>6.3256650000000008</v>
      </c>
      <c r="AF250" s="127" t="str">
        <f>IFERROR(W250*'FlightConfig '!$K$3,"")</f>
        <v/>
      </c>
      <c r="AG250" s="127">
        <f>IFERROR(X250*'FlightConfig '!$K$23,"")</f>
        <v>1815.7230000000002</v>
      </c>
      <c r="AH250" s="127">
        <f>IFERROR(Y250*'FlightConfig '!$K$23,"")</f>
        <v>182</v>
      </c>
      <c r="AI250" s="127">
        <f>IFERROR(Z250*'FlightConfig '!$K$23,"")</f>
        <v>72.8</v>
      </c>
      <c r="AJ250" s="127">
        <f>IFERROR(AA250*'FlightConfig '!$K$23,"")</f>
        <v>1888.5230000000004</v>
      </c>
      <c r="AK250" s="127">
        <f>IFERROR(AB250*'FlightConfig '!$K$23,"")</f>
        <v>399.45905999999991</v>
      </c>
    </row>
    <row r="251" spans="1:37" ht="18.75" customHeight="1">
      <c r="A251" t="s">
        <v>157</v>
      </c>
      <c r="B251" s="171">
        <v>2</v>
      </c>
      <c r="C251" s="176" t="str">
        <f t="shared" si="326"/>
        <v>PREMIUM ECONOMY CLASS2110</v>
      </c>
      <c r="D251" s="311"/>
      <c r="E251" s="304">
        <v>1111</v>
      </c>
      <c r="F251" s="310">
        <v>110</v>
      </c>
      <c r="G251" t="str">
        <f>VLOOKUP(E251,'FG MASTER'!$A:$AB,2,0)</f>
        <v>PY C1 DINNER TSU</v>
      </c>
      <c r="H251" s="285">
        <v>1</v>
      </c>
      <c r="I251" s="173">
        <v>1</v>
      </c>
      <c r="J251" s="291">
        <f>IFERROR(IF(I251="std",H251,HLOOKUP(A251,'FlightConfig '!$B$34:$G$35,2,0)*I251),"")</f>
        <v>44</v>
      </c>
      <c r="K251" s="244">
        <f>VLOOKUP(Food!E251,'FG MASTER'!$A$1:$AC$536,16,0)</f>
        <v>0</v>
      </c>
      <c r="L251" s="245">
        <f>VLOOKUP(Food!E251,'FG MASTER'!$A$10:$AC$536,17,0)</f>
        <v>1.5</v>
      </c>
      <c r="M251" s="132">
        <f t="shared" si="327"/>
        <v>0.60000000000000009</v>
      </c>
      <c r="N251" s="132">
        <f t="shared" si="328"/>
        <v>0.60000000000000009</v>
      </c>
      <c r="O251" s="132">
        <f t="shared" si="253"/>
        <v>0</v>
      </c>
      <c r="P251" s="132">
        <f t="shared" si="254"/>
        <v>0.12</v>
      </c>
      <c r="Q251" s="132">
        <f t="shared" si="329"/>
        <v>0.72000000000000008</v>
      </c>
      <c r="R251" s="402">
        <f t="shared" si="256"/>
        <v>0</v>
      </c>
      <c r="S251" s="402">
        <f t="shared" si="257"/>
        <v>0.72000000000000008</v>
      </c>
      <c r="T251" s="402">
        <f t="shared" si="258"/>
        <v>0.72000000000000008</v>
      </c>
      <c r="U251" s="127"/>
      <c r="V251" s="127"/>
      <c r="W251" t="str">
        <f>IFERROR(#REF!*J251,"")</f>
        <v/>
      </c>
      <c r="X251">
        <f t="shared" si="271"/>
        <v>0</v>
      </c>
      <c r="Y251">
        <f t="shared" si="272"/>
        <v>66</v>
      </c>
      <c r="Z251" s="127">
        <f t="shared" si="273"/>
        <v>26.400000000000006</v>
      </c>
      <c r="AA251" s="127">
        <f t="shared" si="274"/>
        <v>26.400000000000006</v>
      </c>
      <c r="AB251" s="127">
        <f t="shared" si="275"/>
        <v>0</v>
      </c>
      <c r="AC251" s="127">
        <f t="shared" si="276"/>
        <v>5.2799999999999994</v>
      </c>
      <c r="AD251" s="127">
        <f t="shared" si="277"/>
        <v>31.680000000000003</v>
      </c>
      <c r="AF251" s="127" t="str">
        <f>IFERROR(W251*'FlightConfig '!$K$3,"")</f>
        <v/>
      </c>
      <c r="AG251" s="127">
        <f>IFERROR(X251*'FlightConfig '!$K$23,"")</f>
        <v>0</v>
      </c>
      <c r="AH251" s="127">
        <f>IFERROR(Y251*'FlightConfig '!$K$23,"")</f>
        <v>24024</v>
      </c>
      <c r="AI251" s="127">
        <f>IFERROR(Z251*'FlightConfig '!$K$23,"")</f>
        <v>9609.6000000000022</v>
      </c>
      <c r="AJ251" s="127">
        <f>IFERROR(AA251*'FlightConfig '!$K$23,"")</f>
        <v>9609.6000000000022</v>
      </c>
      <c r="AK251" s="127">
        <f>IFERROR(AB251*'FlightConfig '!$K$23,"")</f>
        <v>0</v>
      </c>
    </row>
    <row r="252" spans="1:37" ht="18.75" customHeight="1">
      <c r="A252" t="s">
        <v>157</v>
      </c>
      <c r="B252" s="171">
        <v>2</v>
      </c>
      <c r="C252" s="176" t="str">
        <f t="shared" si="326"/>
        <v>PREMIUM ECONOMY CLASS2110</v>
      </c>
      <c r="D252" s="311"/>
      <c r="E252" s="304">
        <v>1112</v>
      </c>
      <c r="F252" s="310">
        <v>110</v>
      </c>
      <c r="G252" t="str">
        <f>VLOOKUP(E252,'FG MASTER'!$A:$AB,2,0)</f>
        <v>PY C1 DINNER BREAD HOUSEMADE SWEETWATER BEER AND CHEESE ROLL</v>
      </c>
      <c r="H252" s="285">
        <v>1</v>
      </c>
      <c r="I252" s="173">
        <v>1</v>
      </c>
      <c r="J252" s="291">
        <f>IFERROR(IF(I252="std",H252,HLOOKUP(A252,'FlightConfig '!$B$34:$G$35,2,0)*I252),"")</f>
        <v>44</v>
      </c>
      <c r="K252" s="244">
        <f>VLOOKUP(Food!E252,'FG MASTER'!$A$1:$AC$536,16,0)</f>
        <v>0.29738124999999999</v>
      </c>
      <c r="L252" s="245">
        <f>VLOOKUP(Food!E252,'FG MASTER'!$A$10:$AC$536,17,0)</f>
        <v>0.25</v>
      </c>
      <c r="M252" s="132">
        <f t="shared" si="327"/>
        <v>0.1</v>
      </c>
      <c r="N252" s="132">
        <f t="shared" si="328"/>
        <v>0.39738125000000002</v>
      </c>
      <c r="O252" s="132">
        <f t="shared" si="253"/>
        <v>6.5423874999999965E-2</v>
      </c>
      <c r="P252" s="132">
        <f t="shared" si="254"/>
        <v>1.999999999999999E-2</v>
      </c>
      <c r="Q252" s="132">
        <f t="shared" ref="Q252:Q264" si="344">SUM(N252:P252)</f>
        <v>0.48280512499999995</v>
      </c>
      <c r="R252" s="402">
        <f t="shared" si="256"/>
        <v>0.36280512499999995</v>
      </c>
      <c r="S252" s="402">
        <f t="shared" si="257"/>
        <v>0.12</v>
      </c>
      <c r="T252" s="402">
        <f t="shared" si="258"/>
        <v>0.48280512499999995</v>
      </c>
      <c r="U252" s="127"/>
      <c r="V252" s="127"/>
      <c r="W252" t="str">
        <f>IFERROR(#REF!*J252,"")</f>
        <v/>
      </c>
      <c r="X252">
        <f t="shared" si="271"/>
        <v>13.084774999999999</v>
      </c>
      <c r="Y252">
        <f t="shared" si="272"/>
        <v>11</v>
      </c>
      <c r="Z252" s="127">
        <f t="shared" si="273"/>
        <v>4.4000000000000004</v>
      </c>
      <c r="AA252" s="127">
        <f t="shared" si="274"/>
        <v>17.484774999999999</v>
      </c>
      <c r="AB252" s="127">
        <f t="shared" si="275"/>
        <v>2.8786504999999982</v>
      </c>
      <c r="AC252" s="127">
        <f t="shared" si="276"/>
        <v>0.87999999999999956</v>
      </c>
      <c r="AD252" s="127">
        <f t="shared" si="277"/>
        <v>21.243425499999997</v>
      </c>
      <c r="AF252" s="127" t="str">
        <f>IFERROR(W252*'FlightConfig '!$K$3,"")</f>
        <v/>
      </c>
      <c r="AG252" s="127">
        <f>IFERROR(X252*'FlightConfig '!$K$23,"")</f>
        <v>4762.8580999999995</v>
      </c>
      <c r="AH252" s="127">
        <f>IFERROR(Y252*'FlightConfig '!$K$23,"")</f>
        <v>4004</v>
      </c>
      <c r="AI252" s="127">
        <f>IFERROR(Z252*'FlightConfig '!$K$23,"")</f>
        <v>1601.6000000000001</v>
      </c>
      <c r="AJ252" s="127">
        <f>IFERROR(AA252*'FlightConfig '!$K$23,"")</f>
        <v>6364.4580999999998</v>
      </c>
      <c r="AK252" s="127">
        <f>IFERROR(AB252*'FlightConfig '!$K$23,"")</f>
        <v>1047.8287819999994</v>
      </c>
    </row>
    <row r="253" spans="1:37" ht="18.75" customHeight="1">
      <c r="A253" t="s">
        <v>157</v>
      </c>
      <c r="B253" s="171">
        <v>2</v>
      </c>
      <c r="C253" s="176" t="str">
        <f t="shared" si="326"/>
        <v>PREMIUM ECONOMY CLASS2110</v>
      </c>
      <c r="D253" s="311"/>
      <c r="E253" s="304">
        <v>1113</v>
      </c>
      <c r="F253" s="310">
        <v>110</v>
      </c>
      <c r="G253" t="str">
        <f>VLOOKUP(E253,'FG MASTER'!$A:$AB,2,0)</f>
        <v>PY C1 DINNER BUTTER</v>
      </c>
      <c r="H253" s="285">
        <v>1</v>
      </c>
      <c r="I253" s="173">
        <v>1</v>
      </c>
      <c r="J253" s="291">
        <f>IFERROR(IF(I253="std",H253,HLOOKUP(A253,'FlightConfig '!$B$34:$G$35,2,0)*I253),"")</f>
        <v>44</v>
      </c>
      <c r="K253" s="244">
        <f>VLOOKUP(Food!E253,'FG MASTER'!$A$1:$AC$536,16,0)</f>
        <v>0.3</v>
      </c>
      <c r="L253" s="245">
        <f>VLOOKUP(Food!E253,'FG MASTER'!$A$10:$AC$536,17,0)</f>
        <v>0.25</v>
      </c>
      <c r="M253" s="132">
        <f t="shared" si="327"/>
        <v>0.1</v>
      </c>
      <c r="N253" s="132">
        <f t="shared" si="328"/>
        <v>0.4</v>
      </c>
      <c r="O253" s="132">
        <f t="shared" si="253"/>
        <v>6.6000000000000003E-2</v>
      </c>
      <c r="P253" s="132">
        <f t="shared" si="254"/>
        <v>1.999999999999999E-2</v>
      </c>
      <c r="Q253" s="132">
        <f t="shared" si="344"/>
        <v>0.48599999999999999</v>
      </c>
      <c r="R253" s="402">
        <f t="shared" si="256"/>
        <v>0.36599999999999999</v>
      </c>
      <c r="S253" s="402">
        <f t="shared" si="257"/>
        <v>0.12</v>
      </c>
      <c r="T253" s="402">
        <f t="shared" si="258"/>
        <v>0.48599999999999999</v>
      </c>
      <c r="U253" s="127"/>
      <c r="V253" s="127"/>
      <c r="W253" t="str">
        <f>IFERROR(#REF!*J253,"")</f>
        <v/>
      </c>
      <c r="X253">
        <f t="shared" si="271"/>
        <v>13.2</v>
      </c>
      <c r="Y253">
        <f t="shared" si="272"/>
        <v>11</v>
      </c>
      <c r="Z253" s="127">
        <f t="shared" si="273"/>
        <v>4.4000000000000004</v>
      </c>
      <c r="AA253" s="127">
        <f t="shared" si="274"/>
        <v>17.600000000000001</v>
      </c>
      <c r="AB253" s="127">
        <f t="shared" si="275"/>
        <v>2.9039999999999999</v>
      </c>
      <c r="AC253" s="127">
        <f t="shared" si="276"/>
        <v>0.87999999999999956</v>
      </c>
      <c r="AD253" s="127">
        <f t="shared" si="277"/>
        <v>21.384</v>
      </c>
      <c r="AF253" s="127" t="str">
        <f>IFERROR(W253*'FlightConfig '!$K$3,"")</f>
        <v/>
      </c>
      <c r="AG253" s="127">
        <f>IFERROR(X253*'FlightConfig '!$K$23,"")</f>
        <v>4804.8</v>
      </c>
      <c r="AH253" s="127">
        <f>IFERROR(Y253*'FlightConfig '!$K$23,"")</f>
        <v>4004</v>
      </c>
      <c r="AI253" s="127">
        <f>IFERROR(Z253*'FlightConfig '!$K$23,"")</f>
        <v>1601.6000000000001</v>
      </c>
      <c r="AJ253" s="127">
        <f>IFERROR(AA253*'FlightConfig '!$K$23,"")</f>
        <v>6406.4000000000005</v>
      </c>
      <c r="AK253" s="127">
        <f>IFERROR(AB253*'FlightConfig '!$K$23,"")</f>
        <v>1057.056</v>
      </c>
    </row>
    <row r="254" spans="1:37" ht="18.75" customHeight="1">
      <c r="A254" t="s">
        <v>157</v>
      </c>
      <c r="B254" s="171">
        <v>2</v>
      </c>
      <c r="C254" s="176" t="str">
        <f t="shared" si="326"/>
        <v>PREMIUM ECONOMY CLASS2110</v>
      </c>
      <c r="D254" s="311"/>
      <c r="E254" s="304">
        <v>1180</v>
      </c>
      <c r="F254" s="310">
        <v>110</v>
      </c>
      <c r="G254" t="str">
        <f>VLOOKUP(E254,'FG MASTER'!$A:$AB,2,0)</f>
        <v>PY C2 DINNER SALAD TOMAT SLICE, MOZZARELLA, BASIL, BALSAMIC DRESSING</v>
      </c>
      <c r="H254" s="285">
        <v>1</v>
      </c>
      <c r="I254" s="173">
        <v>1</v>
      </c>
      <c r="J254" s="291">
        <f>IFERROR(IF(I254="std",H254,HLOOKUP(A254,'FlightConfig '!$B$34:$G$35,2,0)*I254),"")</f>
        <v>44</v>
      </c>
      <c r="K254" s="244">
        <f>VLOOKUP(Food!E254,'FG MASTER'!$A$1:$AC$536,16,0)</f>
        <v>0.96647029431380793</v>
      </c>
      <c r="L254" s="245">
        <f>VLOOKUP(Food!E254,'FG MASTER'!$A$10:$AC$536,17,0)</f>
        <v>1</v>
      </c>
      <c r="M254" s="132">
        <f t="shared" si="327"/>
        <v>0.4</v>
      </c>
      <c r="N254" s="132">
        <f t="shared" si="328"/>
        <v>1.3664702943138081</v>
      </c>
      <c r="O254" s="132">
        <f t="shared" si="253"/>
        <v>0.2126234647490377</v>
      </c>
      <c r="P254" s="132">
        <f t="shared" si="254"/>
        <v>7.999999999999996E-2</v>
      </c>
      <c r="Q254" s="132">
        <f t="shared" si="344"/>
        <v>1.6590937590628458</v>
      </c>
      <c r="R254" s="402">
        <f t="shared" si="256"/>
        <v>1.1790937590628456</v>
      </c>
      <c r="S254" s="402">
        <f t="shared" si="257"/>
        <v>0.48</v>
      </c>
      <c r="T254" s="402">
        <f t="shared" si="258"/>
        <v>1.6590937590628456</v>
      </c>
      <c r="U254" s="127"/>
      <c r="V254" s="127"/>
      <c r="W254" t="str">
        <f>IFERROR(#REF!*J254,"")</f>
        <v/>
      </c>
      <c r="X254">
        <f t="shared" si="271"/>
        <v>42.524692949807552</v>
      </c>
      <c r="Y254">
        <f t="shared" si="272"/>
        <v>44</v>
      </c>
      <c r="Z254" s="127">
        <f t="shared" si="273"/>
        <v>17.600000000000001</v>
      </c>
      <c r="AA254" s="127">
        <f t="shared" si="274"/>
        <v>60.124692949807553</v>
      </c>
      <c r="AB254" s="127">
        <f t="shared" si="275"/>
        <v>9.355432448957659</v>
      </c>
      <c r="AC254" s="127">
        <f t="shared" si="276"/>
        <v>3.5199999999999982</v>
      </c>
      <c r="AD254" s="127">
        <f t="shared" si="277"/>
        <v>73.000125398765221</v>
      </c>
      <c r="AF254" s="127" t="str">
        <f>IFERROR(W254*'FlightConfig '!$K$3,"")</f>
        <v/>
      </c>
      <c r="AG254" s="127">
        <f>IFERROR(X254*'FlightConfig '!$K$23,"")</f>
        <v>15478.98823372995</v>
      </c>
      <c r="AH254" s="127">
        <f>IFERROR(Y254*'FlightConfig '!$K$23,"")</f>
        <v>16016</v>
      </c>
      <c r="AI254" s="127">
        <f>IFERROR(Z254*'FlightConfig '!$K$23,"")</f>
        <v>6406.4000000000005</v>
      </c>
      <c r="AJ254" s="127">
        <f>IFERROR(AA254*'FlightConfig '!$K$23,"")</f>
        <v>21885.388233729951</v>
      </c>
      <c r="AK254" s="127">
        <f>IFERROR(AB254*'FlightConfig '!$K$23,"")</f>
        <v>3405.377411420588</v>
      </c>
    </row>
    <row r="255" spans="1:37" ht="18.75" customHeight="1">
      <c r="A255" t="s">
        <v>157</v>
      </c>
      <c r="B255" s="171">
        <v>2</v>
      </c>
      <c r="C255" s="176" t="str">
        <f t="shared" si="326"/>
        <v>PREMIUM ECONOMY CLASS2110</v>
      </c>
      <c r="D255" s="311"/>
      <c r="E255" s="304">
        <v>1181</v>
      </c>
      <c r="F255" s="310">
        <v>110</v>
      </c>
      <c r="G255" t="str">
        <f>VLOOKUP(E255,'FG MASTER'!$A:$AB,2,0)</f>
        <v>PY C2 DINNER ENTRÉE 1 ROAST CHICKEN BREAST, WILD RICE, BROCCOLI, SNAP PEA, THYME JUS</v>
      </c>
      <c r="H255" s="285">
        <v>1</v>
      </c>
      <c r="I255" s="173">
        <v>0.3</v>
      </c>
      <c r="J255" s="291">
        <f>IFERROR(IF(I255="std",H255,HLOOKUP(A255,'FlightConfig '!$B$34:$G$35,2,0)*I255),"")</f>
        <v>13.2</v>
      </c>
      <c r="K255" s="244">
        <f>VLOOKUP(Food!E255,'FG MASTER'!$A$1:$AC$536,16,0)</f>
        <v>2.16759712519206</v>
      </c>
      <c r="L255" s="245">
        <f>VLOOKUP(Food!E255,'FG MASTER'!$A$10:$AC$536,17,0)</f>
        <v>4</v>
      </c>
      <c r="M255" s="132">
        <f t="shared" si="327"/>
        <v>1.6</v>
      </c>
      <c r="N255" s="132">
        <f t="shared" si="328"/>
        <v>3.7675971251920601</v>
      </c>
      <c r="O255" s="132">
        <f t="shared" si="253"/>
        <v>0.47687136754225312</v>
      </c>
      <c r="P255" s="132">
        <f t="shared" si="254"/>
        <v>0.31999999999999984</v>
      </c>
      <c r="Q255" s="132">
        <f t="shared" si="344"/>
        <v>4.5644684927343135</v>
      </c>
      <c r="R255" s="402">
        <f t="shared" si="256"/>
        <v>2.6444684927343132</v>
      </c>
      <c r="S255" s="402">
        <f t="shared" si="257"/>
        <v>1.92</v>
      </c>
      <c r="T255" s="402">
        <f t="shared" si="258"/>
        <v>4.5644684927343135</v>
      </c>
      <c r="U255" s="127"/>
      <c r="V255" s="127"/>
      <c r="W255" t="str">
        <f>IFERROR(#REF!*J255,"")</f>
        <v/>
      </c>
      <c r="X255">
        <f t="shared" si="271"/>
        <v>28.612282052535193</v>
      </c>
      <c r="Y255">
        <f t="shared" si="272"/>
        <v>52.8</v>
      </c>
      <c r="Z255" s="127">
        <f t="shared" si="273"/>
        <v>21.12</v>
      </c>
      <c r="AA255" s="127">
        <f t="shared" si="274"/>
        <v>49.73228205253519</v>
      </c>
      <c r="AB255" s="127">
        <f t="shared" si="275"/>
        <v>6.2947020515577412</v>
      </c>
      <c r="AC255" s="127">
        <f t="shared" si="276"/>
        <v>4.2239999999999975</v>
      </c>
      <c r="AD255" s="127">
        <f t="shared" si="277"/>
        <v>60.250984104092936</v>
      </c>
      <c r="AF255" s="127" t="str">
        <f>IFERROR(W255*'FlightConfig '!$K$3,"")</f>
        <v/>
      </c>
      <c r="AG255" s="127">
        <f>IFERROR(X255*'FlightConfig '!$K$23,"")</f>
        <v>10414.87066712281</v>
      </c>
      <c r="AH255" s="127">
        <f>IFERROR(Y255*'FlightConfig '!$K$23,"")</f>
        <v>19219.2</v>
      </c>
      <c r="AI255" s="127">
        <f>IFERROR(Z255*'FlightConfig '!$K$23,"")</f>
        <v>7687.68</v>
      </c>
      <c r="AJ255" s="127">
        <f>IFERROR(AA255*'FlightConfig '!$K$23,"")</f>
        <v>18102.55066712281</v>
      </c>
      <c r="AK255" s="127">
        <f>IFERROR(AB255*'FlightConfig '!$K$23,"")</f>
        <v>2291.2715467670178</v>
      </c>
    </row>
    <row r="256" spans="1:37" ht="18.75" customHeight="1">
      <c r="A256" t="s">
        <v>157</v>
      </c>
      <c r="B256" s="171">
        <v>2</v>
      </c>
      <c r="C256" s="176" t="str">
        <f t="shared" si="326"/>
        <v>PREMIUM ECONOMY CLASS2110</v>
      </c>
      <c r="D256" s="311"/>
      <c r="E256" s="304">
        <v>1182</v>
      </c>
      <c r="F256" s="310">
        <v>110</v>
      </c>
      <c r="G256" t="str">
        <f>VLOOKUP(E256,'FG MASTER'!$A:$AB,2,0)</f>
        <v>PY C2 DINNER ENTRÉE 2 SEARED SALMON, SMOKED CORN CREAM, POTATO, SUCCOTASH, SPINACH</v>
      </c>
      <c r="H256" s="285">
        <v>1</v>
      </c>
      <c r="I256" s="173">
        <v>0.5</v>
      </c>
      <c r="J256" s="291">
        <f>IFERROR(IF(I256="std",H256,HLOOKUP(A256,'FlightConfig '!$B$34:$G$35,2,0)*I256),"")</f>
        <v>22</v>
      </c>
      <c r="K256" s="420">
        <f>VLOOKUP(Food!E256,'FG MASTER'!$A$1:$AC$536,16,0)</f>
        <v>4.3841277028163308</v>
      </c>
      <c r="L256" s="245">
        <f>VLOOKUP(Food!E256,'FG MASTER'!$A$10:$AC$536,17,0)</f>
        <v>4</v>
      </c>
      <c r="M256" s="132">
        <f t="shared" si="327"/>
        <v>1.6</v>
      </c>
      <c r="N256" s="132">
        <f t="shared" si="328"/>
        <v>5.9841277028163304</v>
      </c>
      <c r="O256" s="418">
        <f>IFERROR($K256*(1+12%)-$K256,0)</f>
        <v>0.5260953243379598</v>
      </c>
      <c r="P256" s="132">
        <f t="shared" si="254"/>
        <v>0.31999999999999984</v>
      </c>
      <c r="Q256" s="132">
        <f t="shared" si="344"/>
        <v>6.8302230271542896</v>
      </c>
      <c r="R256" s="418">
        <f>K256*(1+12%)</f>
        <v>4.9102230271542906</v>
      </c>
      <c r="S256" s="402">
        <f t="shared" si="257"/>
        <v>1.92</v>
      </c>
      <c r="T256" s="402">
        <f t="shared" si="258"/>
        <v>6.8302230271542905</v>
      </c>
      <c r="U256" s="127"/>
      <c r="V256" s="127"/>
      <c r="W256" t="str">
        <f>IFERROR(#REF!*J256,"")</f>
        <v/>
      </c>
      <c r="X256">
        <f t="shared" si="271"/>
        <v>96.450809461959281</v>
      </c>
      <c r="Y256">
        <f t="shared" si="272"/>
        <v>88</v>
      </c>
      <c r="Z256" s="127">
        <f t="shared" si="273"/>
        <v>35.200000000000003</v>
      </c>
      <c r="AA256" s="127">
        <f t="shared" si="274"/>
        <v>131.65080946195928</v>
      </c>
      <c r="AB256" s="127">
        <f t="shared" si="275"/>
        <v>11.574097135435116</v>
      </c>
      <c r="AC256" s="127">
        <f t="shared" si="276"/>
        <v>7.0399999999999965</v>
      </c>
      <c r="AD256" s="127">
        <f t="shared" si="277"/>
        <v>150.26490659739437</v>
      </c>
      <c r="AF256" s="127" t="str">
        <f>IFERROR(W256*'FlightConfig '!$K$3,"")</f>
        <v/>
      </c>
      <c r="AG256" s="127">
        <f>IFERROR(X256*'FlightConfig '!$K$23,"")</f>
        <v>35108.094644153178</v>
      </c>
      <c r="AH256" s="127">
        <f>IFERROR(Y256*'FlightConfig '!$K$23,"")</f>
        <v>32032</v>
      </c>
      <c r="AI256" s="127">
        <f>IFERROR(Z256*'FlightConfig '!$K$23,"")</f>
        <v>12812.800000000001</v>
      </c>
      <c r="AJ256" s="127">
        <f>IFERROR(AA256*'FlightConfig '!$K$23,"")</f>
        <v>47920.894644153181</v>
      </c>
      <c r="AK256" s="127">
        <f>IFERROR(AB256*'FlightConfig '!$K$23,"")</f>
        <v>4212.9713572983819</v>
      </c>
    </row>
    <row r="257" spans="1:37" ht="18.75" customHeight="1">
      <c r="A257" t="s">
        <v>157</v>
      </c>
      <c r="B257" s="171">
        <v>2</v>
      </c>
      <c r="C257" s="176" t="str">
        <f t="shared" si="326"/>
        <v>PREMIUM ECONOMY CLASS2110</v>
      </c>
      <c r="D257" s="311"/>
      <c r="E257" s="304">
        <v>1183</v>
      </c>
      <c r="F257" s="310">
        <v>110</v>
      </c>
      <c r="G257" t="str">
        <f>VLOOKUP(E257,'FG MASTER'!$A:$AB,2,0)</f>
        <v>PY C2 DINNER ENTRÉE 3 MUSHROOM RAVIOLI, PANA CREAM SAUCE, WILD MUSHROOM CONSERVA</v>
      </c>
      <c r="H257" s="285">
        <v>1</v>
      </c>
      <c r="I257" s="173">
        <v>0.35</v>
      </c>
      <c r="J257" s="291">
        <f>IFERROR(IF(I257="std",H257,HLOOKUP(A257,'FlightConfig '!$B$34:$G$35,2,0)*I257),"")</f>
        <v>15.399999999999999</v>
      </c>
      <c r="K257" s="244">
        <f>VLOOKUP(Food!E257,'FG MASTER'!$A$1:$AC$536,16,0)</f>
        <v>2.4194278165369911</v>
      </c>
      <c r="L257" s="245">
        <f>VLOOKUP(Food!E257,'FG MASTER'!$A$10:$AC$536,17,0)</f>
        <v>3.25</v>
      </c>
      <c r="M257" s="132">
        <f t="shared" si="327"/>
        <v>1.3</v>
      </c>
      <c r="N257" s="132">
        <f t="shared" si="328"/>
        <v>3.7194278165369914</v>
      </c>
      <c r="O257" s="132">
        <f t="shared" si="253"/>
        <v>0.5322741196381382</v>
      </c>
      <c r="P257" s="132">
        <f t="shared" si="254"/>
        <v>0.26</v>
      </c>
      <c r="Q257" s="132">
        <f t="shared" si="344"/>
        <v>4.5117019361751289</v>
      </c>
      <c r="R257" s="402">
        <f t="shared" si="256"/>
        <v>2.9517019361751293</v>
      </c>
      <c r="S257" s="402">
        <f t="shared" si="257"/>
        <v>1.56</v>
      </c>
      <c r="T257" s="402">
        <f t="shared" si="258"/>
        <v>4.5117019361751289</v>
      </c>
      <c r="U257" s="127">
        <v>4.54</v>
      </c>
      <c r="V257" s="127"/>
      <c r="W257" t="str">
        <f>IFERROR(#REF!*J257,"")</f>
        <v/>
      </c>
      <c r="X257">
        <f t="shared" si="271"/>
        <v>37.259188374669662</v>
      </c>
      <c r="Y257">
        <f t="shared" si="272"/>
        <v>50.05</v>
      </c>
      <c r="Z257" s="127">
        <f t="shared" si="273"/>
        <v>20.02</v>
      </c>
      <c r="AA257" s="127">
        <f t="shared" si="274"/>
        <v>57.279188374669666</v>
      </c>
      <c r="AB257" s="127">
        <f t="shared" si="275"/>
        <v>8.197021442427328</v>
      </c>
      <c r="AC257" s="127">
        <f t="shared" si="276"/>
        <v>4.0039999999999996</v>
      </c>
      <c r="AD257" s="127">
        <f t="shared" si="277"/>
        <v>69.480209817096977</v>
      </c>
      <c r="AF257" s="127" t="str">
        <f>IFERROR(W257*'FlightConfig '!$K$3,"")</f>
        <v/>
      </c>
      <c r="AG257" s="127">
        <f>IFERROR(X257*'FlightConfig '!$K$23,"")</f>
        <v>13562.344568379756</v>
      </c>
      <c r="AH257" s="127">
        <f>IFERROR(Y257*'FlightConfig '!$K$23,"")</f>
        <v>18218.2</v>
      </c>
      <c r="AI257" s="127">
        <f>IFERROR(Z257*'FlightConfig '!$K$23,"")</f>
        <v>7287.28</v>
      </c>
      <c r="AJ257" s="127">
        <f>IFERROR(AA257*'FlightConfig '!$K$23,"")</f>
        <v>20849.624568379757</v>
      </c>
      <c r="AK257" s="127">
        <f>IFERROR(AB257*'FlightConfig '!$K$23,"")</f>
        <v>2983.7158050435473</v>
      </c>
    </row>
    <row r="258" spans="1:37" ht="18.75" customHeight="1">
      <c r="A258" t="s">
        <v>157</v>
      </c>
      <c r="B258" s="171">
        <v>2</v>
      </c>
      <c r="C258" s="176" t="str">
        <f t="shared" si="326"/>
        <v>PREMIUM ECONOMY CLASS2110</v>
      </c>
      <c r="D258" s="311"/>
      <c r="E258" s="304">
        <v>1184</v>
      </c>
      <c r="F258" s="310">
        <v>110</v>
      </c>
      <c r="G258" t="str">
        <f>VLOOKUP(E258,'FG MASTER'!$A:$AB,2,0)</f>
        <v>PY C2 DINNER CHOCOLATE FLAN</v>
      </c>
      <c r="H258" s="285">
        <v>1</v>
      </c>
      <c r="I258" s="173">
        <v>1</v>
      </c>
      <c r="J258" s="291">
        <f>IFERROR(IF(I258="std",H258,HLOOKUP(A258,'FlightConfig '!$B$34:$G$35,2,0)*I258),"")</f>
        <v>44</v>
      </c>
      <c r="K258" s="244">
        <f>VLOOKUP(Food!E258,'FG MASTER'!$A$1:$AC$536,16,0)</f>
        <v>0.91614285714285737</v>
      </c>
      <c r="L258" s="245">
        <f>VLOOKUP(Food!E258,'FG MASTER'!$A$10:$AC$536,17,0)</f>
        <v>1</v>
      </c>
      <c r="M258" s="132">
        <f t="shared" si="327"/>
        <v>0.4</v>
      </c>
      <c r="N258" s="132">
        <f t="shared" si="328"/>
        <v>1.3161428571428573</v>
      </c>
      <c r="O258" s="132">
        <f t="shared" si="253"/>
        <v>0.2015514285714286</v>
      </c>
      <c r="P258" s="132">
        <f t="shared" si="254"/>
        <v>7.999999999999996E-2</v>
      </c>
      <c r="Q258" s="132">
        <f t="shared" si="344"/>
        <v>1.5976942857142857</v>
      </c>
      <c r="R258" s="402">
        <f t="shared" si="256"/>
        <v>1.117694285714286</v>
      </c>
      <c r="S258" s="402">
        <f t="shared" si="257"/>
        <v>0.48</v>
      </c>
      <c r="T258" s="402">
        <f t="shared" si="258"/>
        <v>1.597694285714286</v>
      </c>
      <c r="U258" s="127"/>
      <c r="V258" s="127"/>
      <c r="W258" t="str">
        <f>IFERROR(#REF!*J258,"")</f>
        <v/>
      </c>
      <c r="X258">
        <f t="shared" si="271"/>
        <v>40.310285714285726</v>
      </c>
      <c r="Y258">
        <f t="shared" si="272"/>
        <v>44</v>
      </c>
      <c r="Z258" s="127">
        <f t="shared" si="273"/>
        <v>17.600000000000001</v>
      </c>
      <c r="AA258" s="127">
        <f t="shared" si="274"/>
        <v>57.91028571428572</v>
      </c>
      <c r="AB258" s="127">
        <f t="shared" si="275"/>
        <v>8.8682628571428594</v>
      </c>
      <c r="AC258" s="127">
        <f t="shared" si="276"/>
        <v>3.5199999999999982</v>
      </c>
      <c r="AD258" s="127">
        <f t="shared" si="277"/>
        <v>70.298548571428569</v>
      </c>
      <c r="AF258" s="127" t="str">
        <f>IFERROR(W258*'FlightConfig '!$K$3,"")</f>
        <v/>
      </c>
      <c r="AG258" s="127">
        <f>IFERROR(X258*'FlightConfig '!$K$23,"")</f>
        <v>14672.944000000005</v>
      </c>
      <c r="AH258" s="127">
        <f>IFERROR(Y258*'FlightConfig '!$K$23,"")</f>
        <v>16016</v>
      </c>
      <c r="AI258" s="127">
        <f>IFERROR(Z258*'FlightConfig '!$K$23,"")</f>
        <v>6406.4000000000005</v>
      </c>
      <c r="AJ258" s="127">
        <f>IFERROR(AA258*'FlightConfig '!$K$23,"")</f>
        <v>21079.344000000001</v>
      </c>
      <c r="AK258" s="127">
        <f>IFERROR(AB258*'FlightConfig '!$K$23,"")</f>
        <v>3228.047680000001</v>
      </c>
    </row>
    <row r="259" spans="1:37" ht="18.75" customHeight="1">
      <c r="A259" t="s">
        <v>157</v>
      </c>
      <c r="B259" s="171">
        <v>2</v>
      </c>
      <c r="C259" s="176" t="str">
        <f t="shared" si="326"/>
        <v>PREMIUM ECONOMY CLASS2110</v>
      </c>
      <c r="D259" s="311"/>
      <c r="E259" s="304">
        <v>1119</v>
      </c>
      <c r="F259" s="310">
        <v>110</v>
      </c>
      <c r="G259" t="str">
        <f>VLOOKUP(E259,'FG MASTER'!$A:$AB,2,0)</f>
        <v>PY C1 DINENR CHEESE PLATE - CHEDDAR, MUENSTER CHEESE, DRIED APROCIT, JAM, CRACKER</v>
      </c>
      <c r="H259" s="285">
        <v>1</v>
      </c>
      <c r="I259" s="173">
        <v>1</v>
      </c>
      <c r="J259" s="291">
        <f>IFERROR(IF(I259="std",H259,HLOOKUP(A259,'FlightConfig '!$B$34:$G$35,2,0)*I259),"")</f>
        <v>44</v>
      </c>
      <c r="K259" s="244">
        <f>VLOOKUP(Food!E259,'FG MASTER'!$A$1:$AC$536,16,0)</f>
        <v>1.2</v>
      </c>
      <c r="L259" s="245">
        <f>VLOOKUP(Food!E259,'FG MASTER'!$A$10:$AC$536,17,0)</f>
        <v>1.75</v>
      </c>
      <c r="M259" s="132">
        <f t="shared" si="327"/>
        <v>0.70000000000000007</v>
      </c>
      <c r="N259" s="132">
        <f t="shared" si="328"/>
        <v>1.9</v>
      </c>
      <c r="O259" s="132">
        <f t="shared" si="253"/>
        <v>0.26400000000000001</v>
      </c>
      <c r="P259" s="132">
        <f t="shared" si="254"/>
        <v>0.14000000000000001</v>
      </c>
      <c r="Q259" s="132">
        <f t="shared" si="344"/>
        <v>2.3039999999999998</v>
      </c>
      <c r="R259" s="402">
        <f t="shared" si="256"/>
        <v>1.464</v>
      </c>
      <c r="S259" s="402">
        <f t="shared" si="257"/>
        <v>0.84000000000000008</v>
      </c>
      <c r="T259" s="402">
        <f t="shared" si="258"/>
        <v>2.3040000000000003</v>
      </c>
      <c r="U259" s="127"/>
      <c r="V259" s="127"/>
      <c r="W259" t="str">
        <f>IFERROR(#REF!*J259,"")</f>
        <v/>
      </c>
      <c r="X259">
        <f t="shared" si="271"/>
        <v>52.8</v>
      </c>
      <c r="Y259">
        <f t="shared" si="272"/>
        <v>77</v>
      </c>
      <c r="Z259" s="127">
        <f t="shared" si="273"/>
        <v>30.800000000000004</v>
      </c>
      <c r="AA259" s="127">
        <f t="shared" si="274"/>
        <v>83.6</v>
      </c>
      <c r="AB259" s="127">
        <f t="shared" si="275"/>
        <v>11.616</v>
      </c>
      <c r="AC259" s="127">
        <f t="shared" si="276"/>
        <v>6.16</v>
      </c>
      <c r="AD259" s="127">
        <f t="shared" si="277"/>
        <v>101.37599999999999</v>
      </c>
      <c r="AF259" s="127" t="str">
        <f>IFERROR(W259*'FlightConfig '!$K$3,"")</f>
        <v/>
      </c>
      <c r="AG259" s="127">
        <f>IFERROR(X259*'FlightConfig '!$K$23,"")</f>
        <v>19219.2</v>
      </c>
      <c r="AH259" s="127">
        <f>IFERROR(Y259*'FlightConfig '!$K$23,"")</f>
        <v>28028</v>
      </c>
      <c r="AI259" s="127">
        <f>IFERROR(Z259*'FlightConfig '!$K$23,"")</f>
        <v>11211.2</v>
      </c>
      <c r="AJ259" s="127">
        <f>IFERROR(AA259*'FlightConfig '!$K$23,"")</f>
        <v>30430.399999999998</v>
      </c>
      <c r="AK259" s="127">
        <f>IFERROR(AB259*'FlightConfig '!$K$23,"")</f>
        <v>4228.2240000000002</v>
      </c>
    </row>
    <row r="260" spans="1:37" ht="18.75" customHeight="1">
      <c r="A260" t="s">
        <v>157</v>
      </c>
      <c r="B260" s="171">
        <v>2</v>
      </c>
      <c r="C260" s="176" t="str">
        <f t="shared" si="326"/>
        <v>PREMIUM ECONOMY CLASS2110</v>
      </c>
      <c r="D260" s="311"/>
      <c r="E260" s="304">
        <v>1120</v>
      </c>
      <c r="F260" s="310">
        <v>110</v>
      </c>
      <c r="G260" t="str">
        <f>VLOOKUP(E260,'FG MASTER'!$A:$AB,2,0)</f>
        <v>PY C1 BREAKFAST TSU</v>
      </c>
      <c r="H260" s="285">
        <v>1</v>
      </c>
      <c r="I260" s="173">
        <v>1</v>
      </c>
      <c r="J260" s="291">
        <f>IFERROR(IF(I260="std",H260,HLOOKUP(A260,'FlightConfig '!$B$34:$G$35,2,0)*I260),"")</f>
        <v>44</v>
      </c>
      <c r="K260" s="244">
        <f>VLOOKUP(Food!E260,'FG MASTER'!$A$1:$AC$536,16,0)</f>
        <v>0</v>
      </c>
      <c r="L260" s="245">
        <f>VLOOKUP(Food!E260,'FG MASTER'!$A$10:$AC$536,17,0)</f>
        <v>1.25</v>
      </c>
      <c r="M260" s="132">
        <f t="shared" si="327"/>
        <v>0.5</v>
      </c>
      <c r="N260" s="132">
        <f t="shared" si="328"/>
        <v>0.5</v>
      </c>
      <c r="O260" s="132">
        <f t="shared" si="253"/>
        <v>0</v>
      </c>
      <c r="P260" s="132">
        <f t="shared" si="254"/>
        <v>9.9999999999999978E-2</v>
      </c>
      <c r="Q260" s="132">
        <f t="shared" si="344"/>
        <v>0.6</v>
      </c>
      <c r="R260" s="402">
        <f t="shared" si="256"/>
        <v>0</v>
      </c>
      <c r="S260" s="402">
        <f t="shared" si="257"/>
        <v>0.6</v>
      </c>
      <c r="T260" s="402">
        <f t="shared" si="258"/>
        <v>0.6</v>
      </c>
      <c r="U260" s="127"/>
      <c r="V260" s="127"/>
      <c r="W260" t="str">
        <f>IFERROR(#REF!*J260,"")</f>
        <v/>
      </c>
      <c r="X260">
        <f t="shared" si="271"/>
        <v>0</v>
      </c>
      <c r="Y260">
        <f t="shared" si="272"/>
        <v>55</v>
      </c>
      <c r="Z260" s="127">
        <f t="shared" si="273"/>
        <v>22</v>
      </c>
      <c r="AA260" s="127">
        <f t="shared" si="274"/>
        <v>22</v>
      </c>
      <c r="AB260" s="127">
        <f t="shared" si="275"/>
        <v>0</v>
      </c>
      <c r="AC260" s="127">
        <f t="shared" si="276"/>
        <v>4.3999999999999986</v>
      </c>
      <c r="AD260" s="127">
        <f t="shared" si="277"/>
        <v>26.4</v>
      </c>
      <c r="AF260" s="127" t="str">
        <f>IFERROR(W260*'FlightConfig '!$K$3,"")</f>
        <v/>
      </c>
      <c r="AG260" s="127">
        <f>IFERROR(X260*'FlightConfig '!$K$23,"")</f>
        <v>0</v>
      </c>
      <c r="AH260" s="127">
        <f>IFERROR(Y260*'FlightConfig '!$K$23,"")</f>
        <v>20020</v>
      </c>
      <c r="AI260" s="127">
        <f>IFERROR(Z260*'FlightConfig '!$K$23,"")</f>
        <v>8008</v>
      </c>
      <c r="AJ260" s="127">
        <f>IFERROR(AA260*'FlightConfig '!$K$23,"")</f>
        <v>8008</v>
      </c>
      <c r="AK260" s="127">
        <f>IFERROR(AB260*'FlightConfig '!$K$23,"")</f>
        <v>0</v>
      </c>
    </row>
    <row r="261" spans="1:37" ht="18.75" customHeight="1">
      <c r="A261" t="s">
        <v>157</v>
      </c>
      <c r="B261" s="171">
        <v>2</v>
      </c>
      <c r="C261" s="176" t="str">
        <f t="shared" si="326"/>
        <v>PREMIUM ECONOMY CLASS2110</v>
      </c>
      <c r="D261" s="311"/>
      <c r="E261" s="304">
        <v>1210</v>
      </c>
      <c r="F261" s="310">
        <v>110</v>
      </c>
      <c r="G261" t="str">
        <f>VLOOKUP(E261,'FG MASTER'!$A:$AB,2,0)</f>
        <v>BC C2 BRK HHH1 BAGEL WITH GRIED EGG AND CHEESE</v>
      </c>
      <c r="H261" s="285">
        <v>1</v>
      </c>
      <c r="I261" s="173">
        <v>0.5</v>
      </c>
      <c r="J261" s="291">
        <f>IFERROR(IF(I261="std",H261,HLOOKUP(A261,'FlightConfig '!$B$34:$G$35,2,0)*I261),"")</f>
        <v>22</v>
      </c>
      <c r="K261" s="244">
        <f>VLOOKUP(Food!E261,'FG MASTER'!$A$1:$AC$536,16,0)</f>
        <v>0.83</v>
      </c>
      <c r="L261" s="245">
        <f>VLOOKUP(Food!E261,'FG MASTER'!$A$10:$AC$536,17,0)</f>
        <v>2.25</v>
      </c>
      <c r="M261" s="132">
        <f t="shared" si="327"/>
        <v>0.9</v>
      </c>
      <c r="N261" s="132">
        <f t="shared" si="328"/>
        <v>1.73</v>
      </c>
      <c r="O261" s="132">
        <f t="shared" si="253"/>
        <v>0.18259999999999998</v>
      </c>
      <c r="P261" s="132">
        <f t="shared" si="254"/>
        <v>0.18000000000000005</v>
      </c>
      <c r="Q261" s="132">
        <f t="shared" si="344"/>
        <v>2.0926</v>
      </c>
      <c r="R261" s="402">
        <f t="shared" si="256"/>
        <v>1.0125999999999999</v>
      </c>
      <c r="S261" s="402">
        <f t="shared" si="257"/>
        <v>1.08</v>
      </c>
      <c r="T261" s="402">
        <f t="shared" si="258"/>
        <v>2.0926</v>
      </c>
      <c r="U261" s="127"/>
      <c r="V261" s="127"/>
      <c r="W261" t="str">
        <f>IFERROR(#REF!*J261,"")</f>
        <v/>
      </c>
      <c r="X261">
        <f t="shared" si="271"/>
        <v>18.259999999999998</v>
      </c>
      <c r="Y261">
        <f t="shared" si="272"/>
        <v>49.5</v>
      </c>
      <c r="Z261" s="127">
        <f t="shared" si="273"/>
        <v>19.8</v>
      </c>
      <c r="AA261" s="127">
        <f t="shared" si="274"/>
        <v>38.06</v>
      </c>
      <c r="AB261" s="127">
        <f t="shared" si="275"/>
        <v>4.0171999999999999</v>
      </c>
      <c r="AC261" s="127">
        <f t="shared" si="276"/>
        <v>3.9600000000000009</v>
      </c>
      <c r="AD261" s="127">
        <f t="shared" si="277"/>
        <v>46.037199999999999</v>
      </c>
      <c r="AF261" s="127" t="str">
        <f>IFERROR(W261*'FlightConfig '!$K$3,"")</f>
        <v/>
      </c>
      <c r="AG261" s="127">
        <f>IFERROR(X261*'FlightConfig '!$K$23,"")</f>
        <v>6646.6399999999994</v>
      </c>
      <c r="AH261" s="127">
        <f>IFERROR(Y261*'FlightConfig '!$K$23,"")</f>
        <v>18018</v>
      </c>
      <c r="AI261" s="127">
        <f>IFERROR(Z261*'FlightConfig '!$K$23,"")</f>
        <v>7207.2</v>
      </c>
      <c r="AJ261" s="127">
        <f>IFERROR(AA261*'FlightConfig '!$K$23,"")</f>
        <v>13853.84</v>
      </c>
      <c r="AK261" s="127">
        <f>IFERROR(AB261*'FlightConfig '!$K$23,"")</f>
        <v>1462.2608</v>
      </c>
    </row>
    <row r="262" spans="1:37" ht="18.75" customHeight="1">
      <c r="A262" t="s">
        <v>157</v>
      </c>
      <c r="B262" s="171">
        <v>2</v>
      </c>
      <c r="C262" s="176" t="str">
        <f t="shared" si="326"/>
        <v>PREMIUM ECONOMY CLASS2110</v>
      </c>
      <c r="D262" s="311"/>
      <c r="E262" s="304">
        <v>1211</v>
      </c>
      <c r="F262" s="310">
        <v>110</v>
      </c>
      <c r="G262" t="str">
        <f>VLOOKUP(E262,'FG MASTER'!$A:$AB,2,0)</f>
        <v>PY C2 BRK HHH1 ENGLISH MUGGIN WITH FRIED EGG AND TURKEY SAUSAGE</v>
      </c>
      <c r="H262" s="285">
        <v>1</v>
      </c>
      <c r="I262" s="173">
        <v>0.5</v>
      </c>
      <c r="J262" s="291">
        <f>IFERROR(IF(I262="std",H262,HLOOKUP(A262,'FlightConfig '!$B$34:$G$35,2,0)*I262),"")</f>
        <v>22</v>
      </c>
      <c r="K262" s="244">
        <f>VLOOKUP(Food!E262,'FG MASTER'!$A$1:$AC$536,16,0)</f>
        <v>1.1499999999999999</v>
      </c>
      <c r="L262" s="245">
        <f>VLOOKUP(Food!E262,'FG MASTER'!$A$10:$AC$536,17,0)</f>
        <v>2.25</v>
      </c>
      <c r="M262" s="132">
        <f t="shared" si="327"/>
        <v>0.9</v>
      </c>
      <c r="N262" s="132">
        <f t="shared" si="328"/>
        <v>2.0499999999999998</v>
      </c>
      <c r="O262" s="132">
        <f t="shared" si="253"/>
        <v>0.25299999999999989</v>
      </c>
      <c r="P262" s="132">
        <f t="shared" si="254"/>
        <v>0.18000000000000005</v>
      </c>
      <c r="Q262" s="132">
        <f t="shared" si="344"/>
        <v>2.4830000000000001</v>
      </c>
      <c r="R262" s="402">
        <f t="shared" si="256"/>
        <v>1.4029999999999998</v>
      </c>
      <c r="S262" s="402">
        <f t="shared" si="257"/>
        <v>1.08</v>
      </c>
      <c r="T262" s="402">
        <f t="shared" si="258"/>
        <v>2.4829999999999997</v>
      </c>
      <c r="U262" s="127"/>
      <c r="V262" s="127"/>
      <c r="W262" t="str">
        <f>IFERROR(#REF!*J262,"")</f>
        <v/>
      </c>
      <c r="X262">
        <f t="shared" si="271"/>
        <v>25.299999999999997</v>
      </c>
      <c r="Y262">
        <f t="shared" si="272"/>
        <v>49.5</v>
      </c>
      <c r="Z262" s="127">
        <f t="shared" si="273"/>
        <v>19.8</v>
      </c>
      <c r="AA262" s="127">
        <f t="shared" si="274"/>
        <v>45.099999999999994</v>
      </c>
      <c r="AB262" s="127">
        <f t="shared" si="275"/>
        <v>5.5659999999999972</v>
      </c>
      <c r="AC262" s="127">
        <f t="shared" si="276"/>
        <v>3.9600000000000009</v>
      </c>
      <c r="AD262" s="127">
        <f t="shared" si="277"/>
        <v>54.626000000000005</v>
      </c>
      <c r="AF262" s="127" t="str">
        <f>IFERROR(W262*'FlightConfig '!$K$3,"")</f>
        <v/>
      </c>
      <c r="AG262" s="127">
        <f>IFERROR(X262*'FlightConfig '!$K$23,"")</f>
        <v>9209.1999999999989</v>
      </c>
      <c r="AH262" s="127">
        <f>IFERROR(Y262*'FlightConfig '!$K$23,"")</f>
        <v>18018</v>
      </c>
      <c r="AI262" s="127">
        <f>IFERROR(Z262*'FlightConfig '!$K$23,"")</f>
        <v>7207.2</v>
      </c>
      <c r="AJ262" s="127">
        <f>IFERROR(AA262*'FlightConfig '!$K$23,"")</f>
        <v>16416.399999999998</v>
      </c>
      <c r="AK262" s="127">
        <f>IFERROR(AB262*'FlightConfig '!$K$23,"")</f>
        <v>2026.023999999999</v>
      </c>
    </row>
    <row r="263" spans="1:37" ht="18.75" customHeight="1">
      <c r="A263" t="s">
        <v>157</v>
      </c>
      <c r="B263" s="171">
        <v>2</v>
      </c>
      <c r="C263" s="176" t="str">
        <f t="shared" si="326"/>
        <v>PREMIUM ECONOMY CLASS2110</v>
      </c>
      <c r="D263" s="311"/>
      <c r="E263" s="304">
        <v>1188</v>
      </c>
      <c r="F263" s="310">
        <v>110</v>
      </c>
      <c r="G263" t="str">
        <f>VLOOKUP(E263,'FG MASTER'!$A:$AB,2,0)</f>
        <v>PY C2 BRK SIDE ITEM LAYERED YOGURT</v>
      </c>
      <c r="H263" s="285">
        <v>1</v>
      </c>
      <c r="I263" s="173">
        <v>1</v>
      </c>
      <c r="J263" s="291">
        <f>IFERROR(IF(I263="std",H263,HLOOKUP(A263,'FlightConfig '!$B$34:$G$35,2,0)*I263),"")</f>
        <v>44</v>
      </c>
      <c r="K263" s="244">
        <f>VLOOKUP(Food!E263,'FG MASTER'!$A$1:$AC$536,16,0)</f>
        <v>1.0548240215786746</v>
      </c>
      <c r="L263" s="245">
        <f>VLOOKUP(Food!E263,'FG MASTER'!$A$10:$AC$536,17,0)</f>
        <v>1.25</v>
      </c>
      <c r="M263" s="132">
        <f t="shared" si="327"/>
        <v>0.5</v>
      </c>
      <c r="N263" s="132">
        <f t="shared" si="328"/>
        <v>1.5548240215786746</v>
      </c>
      <c r="O263" s="132">
        <f t="shared" si="253"/>
        <v>0.23206128474730847</v>
      </c>
      <c r="P263" s="132">
        <f t="shared" si="254"/>
        <v>9.9999999999999978E-2</v>
      </c>
      <c r="Q263" s="132">
        <f t="shared" si="344"/>
        <v>1.8868853063259832</v>
      </c>
      <c r="R263" s="402">
        <f t="shared" si="256"/>
        <v>1.2868853063259831</v>
      </c>
      <c r="S263" s="402">
        <f t="shared" si="257"/>
        <v>0.6</v>
      </c>
      <c r="T263" s="402">
        <f t="shared" si="258"/>
        <v>1.8868853063259832</v>
      </c>
      <c r="U263" s="127"/>
      <c r="V263" s="127"/>
      <c r="W263" t="str">
        <f>IFERROR(#REF!*J263,"")</f>
        <v/>
      </c>
      <c r="X263">
        <f t="shared" si="271"/>
        <v>46.412256949461685</v>
      </c>
      <c r="Y263">
        <f t="shared" si="272"/>
        <v>55</v>
      </c>
      <c r="Z263" s="127">
        <f t="shared" si="273"/>
        <v>22</v>
      </c>
      <c r="AA263" s="127">
        <f t="shared" si="274"/>
        <v>68.412256949461678</v>
      </c>
      <c r="AB263" s="127">
        <f t="shared" si="275"/>
        <v>10.210696528881574</v>
      </c>
      <c r="AC263" s="127">
        <f t="shared" si="276"/>
        <v>4.3999999999999986</v>
      </c>
      <c r="AD263" s="127">
        <f t="shared" si="277"/>
        <v>83.022953478343254</v>
      </c>
      <c r="AF263" s="127" t="str">
        <f>IFERROR(W263*'FlightConfig '!$K$3,"")</f>
        <v/>
      </c>
      <c r="AG263" s="127">
        <f>IFERROR(X263*'FlightConfig '!$K$23,"")</f>
        <v>16894.061529604052</v>
      </c>
      <c r="AH263" s="127">
        <f>IFERROR(Y263*'FlightConfig '!$K$23,"")</f>
        <v>20020</v>
      </c>
      <c r="AI263" s="127">
        <f>IFERROR(Z263*'FlightConfig '!$K$23,"")</f>
        <v>8008</v>
      </c>
      <c r="AJ263" s="127">
        <f>IFERROR(AA263*'FlightConfig '!$K$23,"")</f>
        <v>24902.061529604052</v>
      </c>
      <c r="AK263" s="127">
        <f>IFERROR(AB263*'FlightConfig '!$K$23,"")</f>
        <v>3716.6935365128929</v>
      </c>
    </row>
    <row r="264" spans="1:37" ht="18.75" customHeight="1">
      <c r="A264" t="s">
        <v>158</v>
      </c>
      <c r="B264" s="171">
        <v>2</v>
      </c>
      <c r="C264" s="176" t="str">
        <f>CONCATENATE(A264&amp;B264&amp;F264)</f>
        <v>ECONOMY CLASS2110</v>
      </c>
      <c r="D264" s="311"/>
      <c r="E264" s="304">
        <v>1127</v>
      </c>
      <c r="F264" s="310">
        <v>110</v>
      </c>
      <c r="G264" t="str">
        <f>VLOOKUP(E264,'FG MASTER'!$A:$AB,2,0)</f>
        <v>YC C1 DINNER TSU</v>
      </c>
      <c r="H264" s="285">
        <v>1</v>
      </c>
      <c r="I264" s="173">
        <v>1</v>
      </c>
      <c r="J264" s="291">
        <f>IFERROR(IF(I264="std",H264,HLOOKUP(A264,'FlightConfig '!$B$34:$G$35,2,0)*I264),"")</f>
        <v>184</v>
      </c>
      <c r="K264" s="244">
        <f>VLOOKUP(Food!E264,'FG MASTER'!$A$1:$AC$536,16,0)</f>
        <v>0</v>
      </c>
      <c r="L264" s="245">
        <f>VLOOKUP(Food!E264,'FG MASTER'!$A$10:$AC$536,17,0)</f>
        <v>0.5</v>
      </c>
      <c r="M264" s="132">
        <f t="shared" ref="M264:M275" si="345">IFERROR(L264*$M$2,"")</f>
        <v>0.2</v>
      </c>
      <c r="N264" s="132">
        <f>IFERROR((K264)+M264,"")</f>
        <v>0.2</v>
      </c>
      <c r="O264" s="132">
        <f t="shared" si="253"/>
        <v>0</v>
      </c>
      <c r="P264" s="132">
        <f t="shared" si="254"/>
        <v>3.999999999999998E-2</v>
      </c>
      <c r="Q264" s="132">
        <f t="shared" si="344"/>
        <v>0.24</v>
      </c>
      <c r="R264" s="402">
        <f t="shared" si="256"/>
        <v>0</v>
      </c>
      <c r="S264" s="402">
        <f t="shared" si="257"/>
        <v>0.24</v>
      </c>
      <c r="T264" s="402">
        <f t="shared" si="258"/>
        <v>0.24</v>
      </c>
      <c r="U264" s="127"/>
      <c r="V264" s="127"/>
      <c r="W264" t="str">
        <f>IFERROR(#REF!*J264,"")</f>
        <v/>
      </c>
      <c r="X264">
        <f t="shared" si="271"/>
        <v>0</v>
      </c>
      <c r="Y264">
        <f t="shared" si="272"/>
        <v>92</v>
      </c>
      <c r="Z264" s="127">
        <f t="shared" si="273"/>
        <v>36.800000000000004</v>
      </c>
      <c r="AA264" s="127">
        <f t="shared" si="274"/>
        <v>36.800000000000004</v>
      </c>
      <c r="AB264" s="127">
        <f t="shared" si="275"/>
        <v>0</v>
      </c>
      <c r="AC264" s="127">
        <f t="shared" si="276"/>
        <v>7.3599999999999959</v>
      </c>
      <c r="AD264" s="127">
        <f t="shared" si="277"/>
        <v>44.16</v>
      </c>
      <c r="AF264" s="127" t="str">
        <f>IFERROR(W264*'FlightConfig '!$K$3,"")</f>
        <v/>
      </c>
      <c r="AG264" s="127">
        <f>IFERROR(X264*'FlightConfig '!$K$23,"")</f>
        <v>0</v>
      </c>
      <c r="AH264" s="127">
        <f>IFERROR(Y264*'FlightConfig '!$K$23,"")</f>
        <v>33488</v>
      </c>
      <c r="AI264" s="127">
        <f>IFERROR(Z264*'FlightConfig '!$K$23,"")</f>
        <v>13395.2</v>
      </c>
      <c r="AJ264" s="127">
        <f>IFERROR(AA264*'FlightConfig '!$K$23,"")</f>
        <v>13395.2</v>
      </c>
      <c r="AK264" s="127">
        <f>IFERROR(AB264*'FlightConfig '!$K$23,"")</f>
        <v>0</v>
      </c>
    </row>
    <row r="265" spans="1:37" ht="18.75" customHeight="1">
      <c r="A265" t="s">
        <v>158</v>
      </c>
      <c r="B265" s="171">
        <v>2</v>
      </c>
      <c r="C265" s="176" t="str">
        <f>CONCATENATE(A265&amp;B265&amp;F265)</f>
        <v>ECONOMY CLASS2110</v>
      </c>
      <c r="D265" s="311"/>
      <c r="E265" s="304">
        <v>1189</v>
      </c>
      <c r="F265" s="310">
        <v>110</v>
      </c>
      <c r="G265" t="str">
        <f>VLOOKUP(E265,'FG MASTER'!$A:$AB,2,0)</f>
        <v>YC C2 DINNER BREAD HONEY WHEAT</v>
      </c>
      <c r="H265" s="285">
        <v>1</v>
      </c>
      <c r="I265" s="173">
        <v>1</v>
      </c>
      <c r="J265" s="291">
        <f>IFERROR(IF(I265="std",H265,HLOOKUP(A265,'FlightConfig '!$B$34:$G$35,2,0)*I265),"")</f>
        <v>184</v>
      </c>
      <c r="K265" s="244">
        <f>VLOOKUP(Food!E265,'FG MASTER'!$A$1:$AC$536,16,0)</f>
        <v>0.3</v>
      </c>
      <c r="L265" s="245">
        <f>VLOOKUP(Food!E265,'FG MASTER'!$A$10:$AC$536,17,0)</f>
        <v>0.25</v>
      </c>
      <c r="M265" s="132">
        <f t="shared" si="345"/>
        <v>0.1</v>
      </c>
      <c r="N265" s="132">
        <f>IFERROR((K265)+M265,"")</f>
        <v>0.4</v>
      </c>
      <c r="O265" s="132">
        <f t="shared" si="253"/>
        <v>6.6000000000000003E-2</v>
      </c>
      <c r="P265" s="132">
        <f t="shared" si="254"/>
        <v>1.999999999999999E-2</v>
      </c>
      <c r="Q265" s="132">
        <f t="shared" ref="Q265:Q290" si="346">SUM(N265:P265)</f>
        <v>0.48599999999999999</v>
      </c>
      <c r="R265" s="402">
        <f t="shared" si="256"/>
        <v>0.36599999999999999</v>
      </c>
      <c r="S265" s="402">
        <f t="shared" si="257"/>
        <v>0.12</v>
      </c>
      <c r="T265" s="402">
        <f t="shared" si="258"/>
        <v>0.48599999999999999</v>
      </c>
      <c r="U265" s="127"/>
      <c r="V265" s="127"/>
      <c r="W265" t="str">
        <f>IFERROR(#REF!*J265,"")</f>
        <v/>
      </c>
      <c r="X265">
        <f t="shared" si="271"/>
        <v>55.199999999999996</v>
      </c>
      <c r="Y265">
        <f t="shared" si="272"/>
        <v>46</v>
      </c>
      <c r="Z265" s="127">
        <f t="shared" si="273"/>
        <v>18.400000000000002</v>
      </c>
      <c r="AA265" s="127">
        <f t="shared" si="274"/>
        <v>73.600000000000009</v>
      </c>
      <c r="AB265" s="127">
        <f t="shared" si="275"/>
        <v>12.144</v>
      </c>
      <c r="AC265" s="127">
        <f t="shared" si="276"/>
        <v>3.6799999999999979</v>
      </c>
      <c r="AD265" s="127">
        <f t="shared" si="277"/>
        <v>89.423999999999992</v>
      </c>
      <c r="AF265" s="127" t="str">
        <f>IFERROR(W265*'FlightConfig '!$K$3,"")</f>
        <v/>
      </c>
      <c r="AG265" s="127">
        <f>IFERROR(X265*'FlightConfig '!$K$23,"")</f>
        <v>20092.8</v>
      </c>
      <c r="AH265" s="127">
        <f>IFERROR(Y265*'FlightConfig '!$K$23,"")</f>
        <v>16744</v>
      </c>
      <c r="AI265" s="127">
        <f>IFERROR(Z265*'FlightConfig '!$K$23,"")</f>
        <v>6697.6</v>
      </c>
      <c r="AJ265" s="127">
        <f>IFERROR(AA265*'FlightConfig '!$K$23,"")</f>
        <v>26790.400000000001</v>
      </c>
      <c r="AK265" s="127">
        <f>IFERROR(AB265*'FlightConfig '!$K$23,"")</f>
        <v>4420.4160000000002</v>
      </c>
    </row>
    <row r="266" spans="1:37" ht="18.75" customHeight="1">
      <c r="A266" t="s">
        <v>158</v>
      </c>
      <c r="B266" s="171">
        <v>2</v>
      </c>
      <c r="C266" s="176" t="str">
        <f>CONCATENATE(A266&amp;B266&amp;F266)</f>
        <v>ECONOMY CLASS2110</v>
      </c>
      <c r="D266" s="311"/>
      <c r="E266" s="304">
        <v>1129</v>
      </c>
      <c r="F266" s="310">
        <v>110</v>
      </c>
      <c r="G266" t="str">
        <f>VLOOKUP(E266,'FG MASTER'!$A:$AB,2,0)</f>
        <v>YC C1 DINNER BUTTER</v>
      </c>
      <c r="H266" s="285">
        <v>1</v>
      </c>
      <c r="I266" s="173">
        <v>1</v>
      </c>
      <c r="J266" s="291">
        <f>IFERROR(IF(I266="std",H266,HLOOKUP(A266,'FlightConfig '!$B$34:$G$35,2,0)*I266),"")</f>
        <v>184</v>
      </c>
      <c r="K266" s="244">
        <f>VLOOKUP(Food!E266,'FG MASTER'!$A$1:$AC$536,16,0)</f>
        <v>0.3</v>
      </c>
      <c r="L266" s="245">
        <f>VLOOKUP(Food!E266,'FG MASTER'!$A$10:$AC$536,17,0)</f>
        <v>0.25</v>
      </c>
      <c r="M266" s="132">
        <f t="shared" si="345"/>
        <v>0.1</v>
      </c>
      <c r="N266" s="132">
        <f>IFERROR((K266)+M266,"")</f>
        <v>0.4</v>
      </c>
      <c r="O266" s="132">
        <f t="shared" si="253"/>
        <v>6.6000000000000003E-2</v>
      </c>
      <c r="P266" s="132">
        <f t="shared" si="254"/>
        <v>1.999999999999999E-2</v>
      </c>
      <c r="Q266" s="132">
        <f t="shared" si="346"/>
        <v>0.48599999999999999</v>
      </c>
      <c r="R266" s="402">
        <f t="shared" si="256"/>
        <v>0.36599999999999999</v>
      </c>
      <c r="S266" s="402">
        <f t="shared" si="257"/>
        <v>0.12</v>
      </c>
      <c r="T266" s="402">
        <f t="shared" si="258"/>
        <v>0.48599999999999999</v>
      </c>
      <c r="U266" s="127"/>
      <c r="V266" s="127"/>
      <c r="W266" t="str">
        <f>IFERROR(#REF!*J266,"")</f>
        <v/>
      </c>
      <c r="X266">
        <f t="shared" si="271"/>
        <v>55.199999999999996</v>
      </c>
      <c r="Y266">
        <f t="shared" si="272"/>
        <v>46</v>
      </c>
      <c r="Z266" s="127">
        <f t="shared" si="273"/>
        <v>18.400000000000002</v>
      </c>
      <c r="AA266" s="127">
        <f t="shared" si="274"/>
        <v>73.600000000000009</v>
      </c>
      <c r="AB266" s="127">
        <f t="shared" si="275"/>
        <v>12.144</v>
      </c>
      <c r="AC266" s="127">
        <f t="shared" si="276"/>
        <v>3.6799999999999979</v>
      </c>
      <c r="AD266" s="127">
        <f t="shared" si="277"/>
        <v>89.423999999999992</v>
      </c>
      <c r="AF266" s="127" t="str">
        <f>IFERROR(W266*'FlightConfig '!$K$3,"")</f>
        <v/>
      </c>
      <c r="AG266" s="127">
        <f>IFERROR(X266*'FlightConfig '!$K$23,"")</f>
        <v>20092.8</v>
      </c>
      <c r="AH266" s="127">
        <f>IFERROR(Y266*'FlightConfig '!$K$23,"")</f>
        <v>16744</v>
      </c>
      <c r="AI266" s="127">
        <f>IFERROR(Z266*'FlightConfig '!$K$23,"")</f>
        <v>6697.6</v>
      </c>
      <c r="AJ266" s="127">
        <f>IFERROR(AA266*'FlightConfig '!$K$23,"")</f>
        <v>26790.400000000001</v>
      </c>
      <c r="AK266" s="127">
        <f>IFERROR(AB266*'FlightConfig '!$K$23,"")</f>
        <v>4420.4160000000002</v>
      </c>
    </row>
    <row r="267" spans="1:37" ht="18.75" customHeight="1">
      <c r="A267" t="s">
        <v>158</v>
      </c>
      <c r="B267" s="171">
        <v>2</v>
      </c>
      <c r="C267" s="176" t="str">
        <f>CONCATENATE(A267&amp;B267&amp;F267)</f>
        <v>ECONOMY CLASS2110</v>
      </c>
      <c r="D267" s="311"/>
      <c r="E267" s="304">
        <v>1208</v>
      </c>
      <c r="F267" s="310">
        <v>110</v>
      </c>
      <c r="G267" t="str">
        <f>VLOOKUP(E267,'FG MASTER'!$A:$AB,2,0)</f>
        <v>YC CRACKER</v>
      </c>
      <c r="H267" s="285">
        <v>1</v>
      </c>
      <c r="I267" s="173">
        <v>1</v>
      </c>
      <c r="J267" s="291">
        <f>IFERROR(IF(I267="std",H267,HLOOKUP(A267,'FlightConfig '!$B$34:$G$35,2,0)*I267),"")</f>
        <v>184</v>
      </c>
      <c r="K267" s="244">
        <f>VLOOKUP(Food!E267,'FG MASTER'!$A$1:$AC$536,16,0)</f>
        <v>0.16500000000000001</v>
      </c>
      <c r="L267" s="245">
        <f>VLOOKUP(Food!E267,'FG MASTER'!$A$10:$AC$536,17,0)</f>
        <v>0.25</v>
      </c>
      <c r="M267" s="132">
        <f t="shared" ref="M267" si="347">IFERROR(L267*$M$2,"")</f>
        <v>0.1</v>
      </c>
      <c r="N267" s="132">
        <f>IFERROR((K267)+M267,"")</f>
        <v>0.26500000000000001</v>
      </c>
      <c r="O267" s="132">
        <f t="shared" si="253"/>
        <v>3.6299999999999999E-2</v>
      </c>
      <c r="P267" s="132">
        <f t="shared" si="254"/>
        <v>1.999999999999999E-2</v>
      </c>
      <c r="Q267" s="132">
        <f t="shared" ref="Q267" si="348">SUM(N267:P267)</f>
        <v>0.32130000000000003</v>
      </c>
      <c r="R267" s="402">
        <f t="shared" ref="R267" si="349">K267*(1+$O$2)</f>
        <v>0.20130000000000001</v>
      </c>
      <c r="S267" s="402">
        <f t="shared" ref="S267" si="350">M267*(1+$P$2)</f>
        <v>0.12</v>
      </c>
      <c r="T267" s="402">
        <f t="shared" ref="T267" si="351">R267+S267</f>
        <v>0.32130000000000003</v>
      </c>
      <c r="U267" s="127"/>
      <c r="V267" s="127"/>
      <c r="W267" t="str">
        <f>IFERROR(#REF!*J267,"")</f>
        <v/>
      </c>
      <c r="X267">
        <f t="shared" ref="X267" si="352">IFERROR(K267*J267,"")</f>
        <v>30.360000000000003</v>
      </c>
      <c r="Y267">
        <f t="shared" ref="Y267" si="353">IFERROR(+L267*J267,"")</f>
        <v>46</v>
      </c>
      <c r="Z267" s="127">
        <f t="shared" ref="Z267" si="354">IFERROR(+M267*J267,"")</f>
        <v>18.400000000000002</v>
      </c>
      <c r="AA267" s="127">
        <f t="shared" ref="AA267" si="355">IFERROR(+N267*J267,"")</f>
        <v>48.760000000000005</v>
      </c>
      <c r="AB267" s="127">
        <f t="shared" ref="AB267" si="356">IFERROR(O267*$J267,"")</f>
        <v>6.6791999999999998</v>
      </c>
      <c r="AC267" s="127">
        <f t="shared" ref="AC267" si="357">IFERROR(P267*$J267,"")</f>
        <v>3.6799999999999979</v>
      </c>
      <c r="AD267" s="127">
        <f t="shared" ref="AD267" si="358">IFERROR(+Q267*J267,"")</f>
        <v>59.119200000000006</v>
      </c>
      <c r="AF267" s="127" t="str">
        <f>IFERROR(W267*'FlightConfig '!$K$3,"")</f>
        <v/>
      </c>
      <c r="AG267" s="127">
        <f>IFERROR(X267*'FlightConfig '!$K$23,"")</f>
        <v>11051.04</v>
      </c>
      <c r="AH267" s="127">
        <f>IFERROR(Y267*'FlightConfig '!$K$23,"")</f>
        <v>16744</v>
      </c>
      <c r="AI267" s="127">
        <f>IFERROR(Z267*'FlightConfig '!$K$23,"")</f>
        <v>6697.6</v>
      </c>
      <c r="AJ267" s="127">
        <f>IFERROR(AA267*'FlightConfig '!$K$23,"")</f>
        <v>17748.640000000003</v>
      </c>
      <c r="AK267" s="127">
        <f>IFERROR(AB267*'FlightConfig '!$K$23,"")</f>
        <v>2431.2287999999999</v>
      </c>
    </row>
    <row r="268" spans="1:37" ht="18.75" customHeight="1">
      <c r="A268" t="s">
        <v>158</v>
      </c>
      <c r="B268" s="171">
        <v>2</v>
      </c>
      <c r="C268" s="176" t="str">
        <f>CONCATENATE(A268&amp;B268&amp;F268)</f>
        <v>ECONOMY CLASS2110</v>
      </c>
      <c r="D268" s="311"/>
      <c r="E268" s="304">
        <v>1153</v>
      </c>
      <c r="F268" s="310">
        <v>110</v>
      </c>
      <c r="G268" t="str">
        <f>VLOOKUP(E268,'FG MASTER'!$A:$AB,2,0)</f>
        <v>YC C1 DINNER TILLAMOOK CHEESE</v>
      </c>
      <c r="H268" s="285">
        <v>1</v>
      </c>
      <c r="I268" s="173">
        <v>1</v>
      </c>
      <c r="J268" s="291">
        <f>IFERROR(IF(I268="std",H268,HLOOKUP(A268,'FlightConfig '!$B$34:$G$35,2,0)*I268),"")</f>
        <v>184</v>
      </c>
      <c r="K268" s="244">
        <f>VLOOKUP(Food!E268,'FG MASTER'!$A$1:$AC$536,16,0)</f>
        <v>0.5</v>
      </c>
      <c r="L268" s="245">
        <f>VLOOKUP(Food!E268,'FG MASTER'!$A$10:$AC$536,17,0)</f>
        <v>0.25</v>
      </c>
      <c r="M268" s="132">
        <f t="shared" si="345"/>
        <v>0.1</v>
      </c>
      <c r="N268" s="132">
        <f>IFERROR((K268)+M268,"")</f>
        <v>0.6</v>
      </c>
      <c r="O268" s="132">
        <f t="shared" si="253"/>
        <v>0.10999999999999999</v>
      </c>
      <c r="P268" s="132">
        <f t="shared" si="254"/>
        <v>1.999999999999999E-2</v>
      </c>
      <c r="Q268" s="132">
        <f t="shared" si="346"/>
        <v>0.73</v>
      </c>
      <c r="R268" s="402">
        <f t="shared" si="256"/>
        <v>0.61</v>
      </c>
      <c r="S268" s="402">
        <f t="shared" si="257"/>
        <v>0.12</v>
      </c>
      <c r="T268" s="402">
        <f t="shared" si="258"/>
        <v>0.73</v>
      </c>
      <c r="U268" s="127"/>
      <c r="V268" s="127"/>
      <c r="W268" t="str">
        <f>IFERROR(#REF!*J268,"")</f>
        <v/>
      </c>
      <c r="X268">
        <f t="shared" si="271"/>
        <v>92</v>
      </c>
      <c r="Y268">
        <f t="shared" si="272"/>
        <v>46</v>
      </c>
      <c r="Z268" s="127">
        <f t="shared" si="273"/>
        <v>18.400000000000002</v>
      </c>
      <c r="AA268" s="127">
        <f t="shared" si="274"/>
        <v>110.39999999999999</v>
      </c>
      <c r="AB268" s="127">
        <f t="shared" si="275"/>
        <v>20.239999999999998</v>
      </c>
      <c r="AC268" s="127">
        <f t="shared" si="276"/>
        <v>3.6799999999999979</v>
      </c>
      <c r="AD268" s="127">
        <f t="shared" si="277"/>
        <v>134.32</v>
      </c>
      <c r="AF268" s="127" t="str">
        <f>IFERROR(W268*'FlightConfig '!$K$3,"")</f>
        <v/>
      </c>
      <c r="AG268" s="127">
        <f>IFERROR(X268*'FlightConfig '!$K$23,"")</f>
        <v>33488</v>
      </c>
      <c r="AH268" s="127">
        <f>IFERROR(Y268*'FlightConfig '!$K$23,"")</f>
        <v>16744</v>
      </c>
      <c r="AI268" s="127">
        <f>IFERROR(Z268*'FlightConfig '!$K$23,"")</f>
        <v>6697.6</v>
      </c>
      <c r="AJ268" s="127">
        <f>IFERROR(AA268*'FlightConfig '!$K$23,"")</f>
        <v>40185.599999999999</v>
      </c>
      <c r="AK268" s="127">
        <f>IFERROR(AB268*'FlightConfig '!$K$23,"")</f>
        <v>7367.36</v>
      </c>
    </row>
    <row r="269" spans="1:37" ht="18.75" customHeight="1">
      <c r="A269" t="s">
        <v>158</v>
      </c>
      <c r="B269" s="171">
        <v>2</v>
      </c>
      <c r="C269" s="176" t="str">
        <f t="shared" ref="C269:C285" si="359">CONCATENATE(A269&amp;B269&amp;F269)</f>
        <v>ECONOMY CLASS2110</v>
      </c>
      <c r="D269" s="311"/>
      <c r="E269" s="304">
        <v>1190</v>
      </c>
      <c r="F269" s="310">
        <v>110</v>
      </c>
      <c r="G269" t="str">
        <f>VLOOKUP(E269,'FG MASTER'!$A:$AB,2,0)</f>
        <v xml:space="preserve">YC C2 DINNER SALAD MIXED GREEN, CUCUMBER, SHREDDED CARROT WITH ITALIAN DRESSING </v>
      </c>
      <c r="H269" s="285">
        <v>1</v>
      </c>
      <c r="I269" s="173">
        <v>1</v>
      </c>
      <c r="J269" s="291">
        <f>IFERROR(IF(I269="std",H269,HLOOKUP(A269,'FlightConfig '!$B$34:$G$35,2,0)*I269),"")</f>
        <v>184</v>
      </c>
      <c r="K269" s="244">
        <f>VLOOKUP(Food!E269,'FG MASTER'!$A$1:$AC$536,16,0)</f>
        <v>0.42412345437619003</v>
      </c>
      <c r="L269" s="245">
        <f>VLOOKUP(Food!E269,'FG MASTER'!$A$10:$AC$536,17,0)</f>
        <v>1</v>
      </c>
      <c r="M269" s="132">
        <f t="shared" si="345"/>
        <v>0.4</v>
      </c>
      <c r="N269" s="132">
        <f t="shared" ref="N269:N283" si="360">IFERROR((K269)+M269,"")</f>
        <v>0.82412345437619006</v>
      </c>
      <c r="O269" s="132">
        <f t="shared" si="253"/>
        <v>9.3307159962761843E-2</v>
      </c>
      <c r="P269" s="132">
        <f t="shared" si="254"/>
        <v>7.999999999999996E-2</v>
      </c>
      <c r="Q269" s="132">
        <f t="shared" si="346"/>
        <v>0.99743061433895186</v>
      </c>
      <c r="R269" s="402">
        <f t="shared" si="256"/>
        <v>0.51743061433895188</v>
      </c>
      <c r="S269" s="402">
        <f t="shared" si="257"/>
        <v>0.48</v>
      </c>
      <c r="T269" s="402">
        <f t="shared" si="258"/>
        <v>0.99743061433895186</v>
      </c>
      <c r="U269" s="127"/>
      <c r="V269" s="127"/>
      <c r="W269" t="str">
        <f>IFERROR(#REF!*J269,"")</f>
        <v/>
      </c>
      <c r="X269">
        <f t="shared" si="271"/>
        <v>78.038715605218968</v>
      </c>
      <c r="Y269">
        <f t="shared" si="272"/>
        <v>184</v>
      </c>
      <c r="Z269" s="127">
        <f t="shared" si="273"/>
        <v>73.600000000000009</v>
      </c>
      <c r="AA269" s="127">
        <f t="shared" si="274"/>
        <v>151.63871560521898</v>
      </c>
      <c r="AB269" s="127">
        <f t="shared" si="275"/>
        <v>17.168517433148178</v>
      </c>
      <c r="AC269" s="127">
        <f t="shared" si="276"/>
        <v>14.719999999999992</v>
      </c>
      <c r="AD269" s="127">
        <f t="shared" si="277"/>
        <v>183.52723303836714</v>
      </c>
      <c r="AF269" s="127" t="str">
        <f>IFERROR(W269*'FlightConfig '!$K$3,"")</f>
        <v/>
      </c>
      <c r="AG269" s="127">
        <f>IFERROR(X269*'FlightConfig '!$K$23,"")</f>
        <v>28406.092480299703</v>
      </c>
      <c r="AH269" s="127">
        <f>IFERROR(Y269*'FlightConfig '!$K$23,"")</f>
        <v>66976</v>
      </c>
      <c r="AI269" s="127">
        <f>IFERROR(Z269*'FlightConfig '!$K$23,"")</f>
        <v>26790.400000000001</v>
      </c>
      <c r="AJ269" s="127">
        <f>IFERROR(AA269*'FlightConfig '!$K$23,"")</f>
        <v>55196.492480299705</v>
      </c>
      <c r="AK269" s="127">
        <f>IFERROR(AB269*'FlightConfig '!$K$23,"")</f>
        <v>6249.3403456659371</v>
      </c>
    </row>
    <row r="270" spans="1:37" ht="18.75" customHeight="1">
      <c r="A270" t="s">
        <v>158</v>
      </c>
      <c r="B270" s="171">
        <v>2</v>
      </c>
      <c r="C270" s="176" t="str">
        <f t="shared" si="359"/>
        <v>ECONOMY CLASS2110</v>
      </c>
      <c r="D270" s="311"/>
      <c r="E270" s="304">
        <v>1191</v>
      </c>
      <c r="F270" s="310">
        <v>110</v>
      </c>
      <c r="G270" t="str">
        <f>VLOOKUP(E270,'FG MASTER'!$A:$AB,2,0)</f>
        <v>YC C2 DINNER ENTRÉE 1 TERIYAKI CHICKEN, BULGOLGO SAUCE, SCALLION, FRIED RICE, SIR FRIED VEGETABLE</v>
      </c>
      <c r="H270" s="285">
        <v>1</v>
      </c>
      <c r="I270" s="173">
        <v>0.7</v>
      </c>
      <c r="J270" s="291">
        <f>IFERROR(IF(I270="std",H270,HLOOKUP(A270,'FlightConfig '!$B$34:$G$35,2,0)*I270),"")</f>
        <v>128.79999999999998</v>
      </c>
      <c r="K270" s="244">
        <f>VLOOKUP(Food!E270,'FG MASTER'!$A$1:$AC$536,16,0)</f>
        <v>2.2438681420503181</v>
      </c>
      <c r="L270" s="245">
        <f>VLOOKUP(Food!E270,'FG MASTER'!$A$10:$AC$536,17,0)</f>
        <v>3.25</v>
      </c>
      <c r="M270" s="132">
        <f t="shared" si="345"/>
        <v>1.3</v>
      </c>
      <c r="N270" s="132">
        <f t="shared" si="360"/>
        <v>3.543868142050318</v>
      </c>
      <c r="O270" s="132">
        <f t="shared" si="253"/>
        <v>0.49365099125106982</v>
      </c>
      <c r="P270" s="132">
        <f t="shared" si="254"/>
        <v>0.26</v>
      </c>
      <c r="Q270" s="132">
        <f t="shared" si="346"/>
        <v>4.2975191333013871</v>
      </c>
      <c r="R270" s="402">
        <f t="shared" si="256"/>
        <v>2.737519133301388</v>
      </c>
      <c r="S270" s="402">
        <f t="shared" si="257"/>
        <v>1.56</v>
      </c>
      <c r="T270" s="402">
        <f t="shared" si="258"/>
        <v>4.297519133301388</v>
      </c>
      <c r="U270" s="127"/>
      <c r="V270" s="127"/>
      <c r="W270" t="str">
        <f>IFERROR(#REF!*J270,"")</f>
        <v/>
      </c>
      <c r="X270">
        <f t="shared" si="271"/>
        <v>289.01021669608093</v>
      </c>
      <c r="Y270">
        <f t="shared" si="272"/>
        <v>418.59999999999997</v>
      </c>
      <c r="Z270" s="127">
        <f t="shared" si="273"/>
        <v>167.44</v>
      </c>
      <c r="AA270" s="127">
        <f t="shared" si="274"/>
        <v>456.45021669608087</v>
      </c>
      <c r="AB270" s="127">
        <f t="shared" si="275"/>
        <v>63.582247673137786</v>
      </c>
      <c r="AC270" s="127">
        <f t="shared" si="276"/>
        <v>33.488</v>
      </c>
      <c r="AD270" s="127">
        <f t="shared" si="277"/>
        <v>553.52046436921864</v>
      </c>
      <c r="AF270" s="127" t="str">
        <f>IFERROR(W270*'FlightConfig '!$K$3,"")</f>
        <v/>
      </c>
      <c r="AG270" s="127">
        <f>IFERROR(X270*'FlightConfig '!$K$23,"")</f>
        <v>105199.71887737345</v>
      </c>
      <c r="AH270" s="127">
        <f>IFERROR(Y270*'FlightConfig '!$K$23,"")</f>
        <v>152370.4</v>
      </c>
      <c r="AI270" s="127">
        <f>IFERROR(Z270*'FlightConfig '!$K$23,"")</f>
        <v>60948.159999999996</v>
      </c>
      <c r="AJ270" s="127">
        <f>IFERROR(AA270*'FlightConfig '!$K$23,"")</f>
        <v>166147.87887737344</v>
      </c>
      <c r="AK270" s="127">
        <f>IFERROR(AB270*'FlightConfig '!$K$23,"")</f>
        <v>23143.938153022154</v>
      </c>
    </row>
    <row r="271" spans="1:37" ht="18.75" customHeight="1">
      <c r="A271" t="s">
        <v>158</v>
      </c>
      <c r="B271" s="171">
        <v>2</v>
      </c>
      <c r="C271" s="176" t="str">
        <f t="shared" si="359"/>
        <v>ECONOMY CLASS2110</v>
      </c>
      <c r="D271" s="311"/>
      <c r="E271" s="304">
        <v>1192</v>
      </c>
      <c r="F271" s="310">
        <v>110</v>
      </c>
      <c r="G271" t="str">
        <f>VLOOKUP(E271,'FG MASTER'!$A:$AB,2,0)</f>
        <v>YC C2 DINNER ENTRÉE 2 CANNELLONI, MARINARA SAUCE, JULIENCE VEG, PECORINNO CHEESE</v>
      </c>
      <c r="H271" s="285">
        <v>1</v>
      </c>
      <c r="I271" s="173">
        <v>0.3</v>
      </c>
      <c r="J271" s="291">
        <f>IFERROR(IF(I271="std",H271,HLOOKUP(A271,'FlightConfig '!$B$34:$G$35,2,0)*I271),"")</f>
        <v>55.199999999999996</v>
      </c>
      <c r="K271" s="420">
        <f>VLOOKUP(Food!E271,'FG MASTER'!$A$1:$AC$536,16,0)</f>
        <v>1.8338973880755325</v>
      </c>
      <c r="L271" s="245">
        <f>VLOOKUP(Food!E271,'FG MASTER'!$A$10:$AC$536,17,0)</f>
        <v>2.5</v>
      </c>
      <c r="M271" s="132">
        <f t="shared" si="345"/>
        <v>1</v>
      </c>
      <c r="N271" s="132">
        <f t="shared" si="360"/>
        <v>2.8338973880755325</v>
      </c>
      <c r="O271" s="132">
        <f t="shared" si="253"/>
        <v>0.403457425376617</v>
      </c>
      <c r="P271" s="132">
        <f t="shared" si="254"/>
        <v>0.19999999999999996</v>
      </c>
      <c r="Q271" s="132">
        <f t="shared" si="346"/>
        <v>3.4373548134521492</v>
      </c>
      <c r="R271" s="402">
        <f t="shared" si="256"/>
        <v>2.2373548134521495</v>
      </c>
      <c r="S271" s="402">
        <f t="shared" si="257"/>
        <v>1.2</v>
      </c>
      <c r="T271" s="402">
        <f t="shared" si="258"/>
        <v>3.4373548134521492</v>
      </c>
      <c r="U271" s="127"/>
      <c r="V271" s="127"/>
      <c r="W271" t="str">
        <f>IFERROR(#REF!*J271,"")</f>
        <v/>
      </c>
      <c r="X271">
        <f t="shared" si="271"/>
        <v>101.23113582176939</v>
      </c>
      <c r="Y271">
        <f t="shared" si="272"/>
        <v>138</v>
      </c>
      <c r="Z271" s="127">
        <f t="shared" si="273"/>
        <v>55.199999999999996</v>
      </c>
      <c r="AA271" s="127">
        <f t="shared" si="274"/>
        <v>156.43113582176937</v>
      </c>
      <c r="AB271" s="127">
        <f t="shared" si="275"/>
        <v>22.270849880789257</v>
      </c>
      <c r="AC271" s="127">
        <f t="shared" si="276"/>
        <v>11.039999999999997</v>
      </c>
      <c r="AD271" s="127">
        <f t="shared" si="277"/>
        <v>189.74198570255862</v>
      </c>
      <c r="AF271" s="127" t="str">
        <f>IFERROR(W271*'FlightConfig '!$K$3,"")</f>
        <v/>
      </c>
      <c r="AG271" s="127">
        <f>IFERROR(X271*'FlightConfig '!$K$23,"")</f>
        <v>36848.133439124053</v>
      </c>
      <c r="AH271" s="127">
        <f>IFERROR(Y271*'FlightConfig '!$K$23,"")</f>
        <v>50232</v>
      </c>
      <c r="AI271" s="127">
        <f>IFERROR(Z271*'FlightConfig '!$K$23,"")</f>
        <v>20092.8</v>
      </c>
      <c r="AJ271" s="127">
        <f>IFERROR(AA271*'FlightConfig '!$K$23,"")</f>
        <v>56940.933439124055</v>
      </c>
      <c r="AK271" s="127">
        <f>IFERROR(AB271*'FlightConfig '!$K$23,"")</f>
        <v>8106.5893566072891</v>
      </c>
    </row>
    <row r="272" spans="1:37" ht="18.75" customHeight="1">
      <c r="A272" t="s">
        <v>158</v>
      </c>
      <c r="B272" s="171">
        <v>2</v>
      </c>
      <c r="C272" s="176" t="str">
        <f t="shared" si="359"/>
        <v>ECONOMY CLASS2110</v>
      </c>
      <c r="D272" s="311"/>
      <c r="E272" s="304">
        <v>1193</v>
      </c>
      <c r="F272" s="310">
        <v>110</v>
      </c>
      <c r="G272" t="str">
        <f>VLOOKUP(E272,'FG MASTER'!$A:$AB,2,0)</f>
        <v>YC C2 DINNER DESSERT BROWNIE BAR</v>
      </c>
      <c r="H272" s="285">
        <v>1</v>
      </c>
      <c r="I272" s="173">
        <v>1</v>
      </c>
      <c r="J272" s="291">
        <f>IFERROR(IF(I272="std",H272,HLOOKUP(A272,'FlightConfig '!$B$34:$G$35,2,0)*I272),"")</f>
        <v>184</v>
      </c>
      <c r="K272" s="244">
        <f>VLOOKUP(Food!E272,'FG MASTER'!$A$1:$AC$536,16,0)</f>
        <v>0.51442500408163294</v>
      </c>
      <c r="L272" s="245">
        <f>VLOOKUP(Food!E272,'FG MASTER'!$A$10:$AC$536,17,0)</f>
        <v>1</v>
      </c>
      <c r="M272" s="132">
        <f t="shared" si="345"/>
        <v>0.4</v>
      </c>
      <c r="N272" s="132">
        <f t="shared" si="360"/>
        <v>0.91442500408163296</v>
      </c>
      <c r="O272" s="132">
        <f t="shared" si="253"/>
        <v>0.11317350089795919</v>
      </c>
      <c r="P272" s="132">
        <f t="shared" si="254"/>
        <v>7.999999999999996E-2</v>
      </c>
      <c r="Q272" s="132">
        <f t="shared" si="346"/>
        <v>1.1075985049795922</v>
      </c>
      <c r="R272" s="402">
        <f t="shared" si="256"/>
        <v>0.62759850497959213</v>
      </c>
      <c r="S272" s="402">
        <f t="shared" si="257"/>
        <v>0.48</v>
      </c>
      <c r="T272" s="402">
        <f t="shared" si="258"/>
        <v>1.1075985049795922</v>
      </c>
      <c r="U272" s="127"/>
      <c r="V272" s="127"/>
      <c r="W272" t="str">
        <f>IFERROR(#REF!*J272,"")</f>
        <v/>
      </c>
      <c r="X272">
        <f t="shared" si="271"/>
        <v>94.654200751020454</v>
      </c>
      <c r="Y272">
        <f t="shared" si="272"/>
        <v>184</v>
      </c>
      <c r="Z272" s="127">
        <f t="shared" si="273"/>
        <v>73.600000000000009</v>
      </c>
      <c r="AA272" s="127">
        <f t="shared" si="274"/>
        <v>168.25420075102048</v>
      </c>
      <c r="AB272" s="127">
        <f t="shared" si="275"/>
        <v>20.82392416522449</v>
      </c>
      <c r="AC272" s="127">
        <f t="shared" si="276"/>
        <v>14.719999999999992</v>
      </c>
      <c r="AD272" s="127">
        <f t="shared" si="277"/>
        <v>203.79812491624497</v>
      </c>
      <c r="AF272" s="127" t="str">
        <f>IFERROR(W272*'FlightConfig '!$K$3,"")</f>
        <v/>
      </c>
      <c r="AG272" s="127">
        <f>IFERROR(X272*'FlightConfig '!$K$23,"")</f>
        <v>34454.129073371449</v>
      </c>
      <c r="AH272" s="127">
        <f>IFERROR(Y272*'FlightConfig '!$K$23,"")</f>
        <v>66976</v>
      </c>
      <c r="AI272" s="127">
        <f>IFERROR(Z272*'FlightConfig '!$K$23,"")</f>
        <v>26790.400000000001</v>
      </c>
      <c r="AJ272" s="127">
        <f>IFERROR(AA272*'FlightConfig '!$K$23,"")</f>
        <v>61244.52907337145</v>
      </c>
      <c r="AK272" s="127">
        <f>IFERROR(AB272*'FlightConfig '!$K$23,"")</f>
        <v>7579.9083961417145</v>
      </c>
    </row>
    <row r="273" spans="1:37" ht="18.75" customHeight="1">
      <c r="A273" t="s">
        <v>158</v>
      </c>
      <c r="B273" s="171">
        <v>2</v>
      </c>
      <c r="C273" s="176" t="str">
        <f t="shared" si="359"/>
        <v>ECONOMY CLASS2110</v>
      </c>
      <c r="D273" s="311"/>
      <c r="E273" s="304">
        <v>1134</v>
      </c>
      <c r="F273" s="310">
        <v>110</v>
      </c>
      <c r="G273" t="str">
        <f>VLOOKUP(E273,'FG MASTER'!$A:$AB,2,0)</f>
        <v>YC C1 BREAKFAST TSU</v>
      </c>
      <c r="H273" s="285">
        <v>1</v>
      </c>
      <c r="I273" s="173">
        <v>1</v>
      </c>
      <c r="J273" s="291">
        <f>IFERROR(IF(I273="std",H273,HLOOKUP(A273,'FlightConfig '!$B$34:$G$35,2,0)*I273),"")</f>
        <v>184</v>
      </c>
      <c r="K273" s="244">
        <f>VLOOKUP(Food!E273,'FG MASTER'!$A$1:$AC$536,16,0)</f>
        <v>0</v>
      </c>
      <c r="L273" s="245">
        <f>VLOOKUP(Food!E273,'FG MASTER'!$A$10:$AC$536,17,0)</f>
        <v>0.5</v>
      </c>
      <c r="M273" s="132">
        <f t="shared" si="345"/>
        <v>0.2</v>
      </c>
      <c r="N273" s="132">
        <f t="shared" si="360"/>
        <v>0.2</v>
      </c>
      <c r="O273" s="132">
        <f t="shared" si="253"/>
        <v>0</v>
      </c>
      <c r="P273" s="132">
        <f t="shared" si="254"/>
        <v>3.999999999999998E-2</v>
      </c>
      <c r="Q273" s="132">
        <f t="shared" si="346"/>
        <v>0.24</v>
      </c>
      <c r="R273" s="402">
        <f t="shared" si="256"/>
        <v>0</v>
      </c>
      <c r="S273" s="402">
        <f t="shared" si="257"/>
        <v>0.24</v>
      </c>
      <c r="T273" s="402">
        <f t="shared" si="258"/>
        <v>0.24</v>
      </c>
      <c r="U273" s="127"/>
      <c r="V273" s="127"/>
      <c r="W273" t="str">
        <f>IFERROR(#REF!*J273,"")</f>
        <v/>
      </c>
      <c r="X273">
        <f t="shared" si="271"/>
        <v>0</v>
      </c>
      <c r="Y273">
        <f t="shared" si="272"/>
        <v>92</v>
      </c>
      <c r="Z273" s="127">
        <f t="shared" si="273"/>
        <v>36.800000000000004</v>
      </c>
      <c r="AA273" s="127">
        <f t="shared" si="274"/>
        <v>36.800000000000004</v>
      </c>
      <c r="AB273" s="127">
        <f t="shared" si="275"/>
        <v>0</v>
      </c>
      <c r="AC273" s="127">
        <f t="shared" si="276"/>
        <v>7.3599999999999959</v>
      </c>
      <c r="AD273" s="127">
        <f t="shared" si="277"/>
        <v>44.16</v>
      </c>
      <c r="AF273" s="127" t="str">
        <f>IFERROR(W273*'FlightConfig '!$K$3,"")</f>
        <v/>
      </c>
      <c r="AG273" s="127">
        <f>IFERROR(X273*'FlightConfig '!$K$23,"")</f>
        <v>0</v>
      </c>
      <c r="AH273" s="127">
        <f>IFERROR(Y273*'FlightConfig '!$K$23,"")</f>
        <v>33488</v>
      </c>
      <c r="AI273" s="127">
        <f>IFERROR(Z273*'FlightConfig '!$K$23,"")</f>
        <v>13395.2</v>
      </c>
      <c r="AJ273" s="127">
        <f>IFERROR(AA273*'FlightConfig '!$K$23,"")</f>
        <v>13395.2</v>
      </c>
      <c r="AK273" s="127">
        <f>IFERROR(AB273*'FlightConfig '!$K$23,"")</f>
        <v>0</v>
      </c>
    </row>
    <row r="274" spans="1:37" ht="18.75" customHeight="1">
      <c r="A274" t="s">
        <v>158</v>
      </c>
      <c r="B274" s="171">
        <v>2</v>
      </c>
      <c r="C274" s="176" t="str">
        <f t="shared" si="359"/>
        <v>ECONOMY CLASS2110</v>
      </c>
      <c r="D274" s="311"/>
      <c r="E274" s="304">
        <v>1194</v>
      </c>
      <c r="F274" s="310">
        <v>110</v>
      </c>
      <c r="G274" t="str">
        <f>VLOOKUP(E274,'FG MASTER'!$A:$AB,2,0)</f>
        <v>YC C2 BRK CINNAMON OAT MUFFIN</v>
      </c>
      <c r="H274" s="285">
        <v>1</v>
      </c>
      <c r="I274" s="173">
        <v>1</v>
      </c>
      <c r="J274" s="291">
        <f>IFERROR(IF(I274="std",H274,HLOOKUP(A274,'FlightConfig '!$B$34:$G$35,2,0)*I274),"")</f>
        <v>184</v>
      </c>
      <c r="K274" s="244">
        <f>VLOOKUP(Food!E274,'FG MASTER'!$A$1:$AC$536,16,0)</f>
        <v>0.71633198282139499</v>
      </c>
      <c r="L274" s="245">
        <f>VLOOKUP(Food!E274,'FG MASTER'!$A$10:$AC$536,17,0)</f>
        <v>0.5</v>
      </c>
      <c r="M274" s="132">
        <f t="shared" si="345"/>
        <v>0.2</v>
      </c>
      <c r="N274" s="132">
        <f t="shared" si="360"/>
        <v>0.91633198282139494</v>
      </c>
      <c r="O274" s="418">
        <f>IFERROR($K274*(1+10%)-$K274,0)</f>
        <v>7.1633198282139543E-2</v>
      </c>
      <c r="P274" s="132">
        <f t="shared" si="254"/>
        <v>3.999999999999998E-2</v>
      </c>
      <c r="Q274" s="132">
        <f t="shared" ref="Q274:Q275" si="361">SUM(N274:P274)</f>
        <v>1.0279651811035344</v>
      </c>
      <c r="R274" s="418">
        <f>K274*(1+10%)</f>
        <v>0.78796518110353453</v>
      </c>
      <c r="S274" s="402">
        <f t="shared" si="257"/>
        <v>0.24</v>
      </c>
      <c r="T274" s="402">
        <f t="shared" si="258"/>
        <v>1.0279651811035344</v>
      </c>
      <c r="U274" s="127"/>
      <c r="V274" s="127"/>
      <c r="W274" t="str">
        <f>IFERROR(#REF!*J274,"")</f>
        <v/>
      </c>
      <c r="X274">
        <f t="shared" si="271"/>
        <v>131.80508483913667</v>
      </c>
      <c r="Y274">
        <f t="shared" si="272"/>
        <v>92</v>
      </c>
      <c r="Z274" s="127">
        <f t="shared" si="273"/>
        <v>36.800000000000004</v>
      </c>
      <c r="AA274" s="127">
        <f t="shared" si="274"/>
        <v>168.60508483913668</v>
      </c>
      <c r="AB274" s="127">
        <f t="shared" si="275"/>
        <v>13.180508483913677</v>
      </c>
      <c r="AC274" s="127">
        <f t="shared" si="276"/>
        <v>7.3599999999999959</v>
      </c>
      <c r="AD274" s="127">
        <f t="shared" si="277"/>
        <v>189.14559332305032</v>
      </c>
      <c r="AF274" s="127" t="str">
        <f>IFERROR(W274*'FlightConfig '!$K$3,"")</f>
        <v/>
      </c>
      <c r="AG274" s="127">
        <f>IFERROR(X274*'FlightConfig '!$K$23,"")</f>
        <v>47977.05088144575</v>
      </c>
      <c r="AH274" s="127">
        <f>IFERROR(Y274*'FlightConfig '!$K$23,"")</f>
        <v>33488</v>
      </c>
      <c r="AI274" s="127">
        <f>IFERROR(Z274*'FlightConfig '!$K$23,"")</f>
        <v>13395.2</v>
      </c>
      <c r="AJ274" s="127">
        <f>IFERROR(AA274*'FlightConfig '!$K$23,"")</f>
        <v>61372.250881445754</v>
      </c>
      <c r="AK274" s="127">
        <f>IFERROR(AB274*'FlightConfig '!$K$23,"")</f>
        <v>4797.7050881445784</v>
      </c>
    </row>
    <row r="275" spans="1:37" ht="18.75" customHeight="1">
      <c r="A275" t="s">
        <v>158</v>
      </c>
      <c r="B275" s="171">
        <v>2</v>
      </c>
      <c r="C275" s="176" t="str">
        <f t="shared" si="359"/>
        <v>ECONOMY CLASS2110</v>
      </c>
      <c r="D275" s="311"/>
      <c r="E275" s="304">
        <v>1195</v>
      </c>
      <c r="F275" s="310">
        <v>110</v>
      </c>
      <c r="G275" t="str">
        <f>VLOOKUP(E275,'FG MASTER'!$A:$AB,2,0)</f>
        <v>YC C2 BRK VANILLA YOGURT, BLUEBERRY COMPOTE</v>
      </c>
      <c r="H275" s="285">
        <v>1</v>
      </c>
      <c r="I275" s="173">
        <v>1</v>
      </c>
      <c r="J275" s="291">
        <f>IFERROR(IF(I275="std",H275,HLOOKUP(A275,'FlightConfig '!$B$34:$G$35,2,0)*I275),"")</f>
        <v>184</v>
      </c>
      <c r="K275" s="244">
        <f>VLOOKUP(Food!E275,'FG MASTER'!$A$1:$AC$536,16,0)</f>
        <v>0.62750710665381648</v>
      </c>
      <c r="L275" s="245">
        <f>VLOOKUP(Food!E275,'FG MASTER'!$A$10:$AC$536,17,0)</f>
        <v>0.75</v>
      </c>
      <c r="M275" s="132">
        <f t="shared" si="345"/>
        <v>0.30000000000000004</v>
      </c>
      <c r="N275" s="132">
        <f t="shared" si="360"/>
        <v>0.92750710665381653</v>
      </c>
      <c r="O275" s="418">
        <f>IFERROR($K275*(1+10%)-$K275,0)</f>
        <v>6.2750710665381737E-2</v>
      </c>
      <c r="P275" s="132">
        <f t="shared" si="254"/>
        <v>0.06</v>
      </c>
      <c r="Q275" s="132">
        <f t="shared" si="361"/>
        <v>1.0502578173191983</v>
      </c>
      <c r="R275" s="418">
        <f>K275*(1+10%)</f>
        <v>0.69025781731919822</v>
      </c>
      <c r="S275" s="402">
        <f t="shared" si="257"/>
        <v>0.36000000000000004</v>
      </c>
      <c r="T275" s="402">
        <f t="shared" si="258"/>
        <v>1.0502578173191983</v>
      </c>
      <c r="U275" s="127"/>
      <c r="V275" s="127"/>
      <c r="W275" t="str">
        <f>IFERROR(#REF!*J275,"")</f>
        <v/>
      </c>
      <c r="X275">
        <f t="shared" si="271"/>
        <v>115.46130762430224</v>
      </c>
      <c r="Y275">
        <f t="shared" si="272"/>
        <v>138</v>
      </c>
      <c r="Z275" s="127">
        <f t="shared" si="273"/>
        <v>55.20000000000001</v>
      </c>
      <c r="AA275" s="127">
        <f t="shared" si="274"/>
        <v>170.66130762430225</v>
      </c>
      <c r="AB275" s="127">
        <f t="shared" si="275"/>
        <v>11.54613076243024</v>
      </c>
      <c r="AC275" s="127">
        <f t="shared" si="276"/>
        <v>11.04</v>
      </c>
      <c r="AD275" s="127">
        <f t="shared" si="277"/>
        <v>193.24743838673248</v>
      </c>
      <c r="AF275" s="127" t="str">
        <f>IFERROR(W275*'FlightConfig '!$K$3,"")</f>
        <v/>
      </c>
      <c r="AG275" s="127">
        <f>IFERROR(X275*'FlightConfig '!$K$23,"")</f>
        <v>42027.915975246011</v>
      </c>
      <c r="AH275" s="127">
        <f>IFERROR(Y275*'FlightConfig '!$K$23,"")</f>
        <v>50232</v>
      </c>
      <c r="AI275" s="127">
        <f>IFERROR(Z275*'FlightConfig '!$K$23,"")</f>
        <v>20092.800000000003</v>
      </c>
      <c r="AJ275" s="127">
        <f>IFERROR(AA275*'FlightConfig '!$K$23,"")</f>
        <v>62120.715975246021</v>
      </c>
      <c r="AK275" s="127">
        <f>IFERROR(AB275*'FlightConfig '!$K$23,"")</f>
        <v>4202.7915975246069</v>
      </c>
    </row>
    <row r="276" spans="1:37" ht="18.75" customHeight="1">
      <c r="A276" t="s">
        <v>189</v>
      </c>
      <c r="B276" s="171">
        <v>2</v>
      </c>
      <c r="C276" s="176" t="str">
        <f t="shared" si="359"/>
        <v>CABIN CREW CLASS2110</v>
      </c>
      <c r="D276" s="293"/>
      <c r="E276" s="305">
        <v>1137</v>
      </c>
      <c r="F276" s="310">
        <v>110</v>
      </c>
      <c r="G276" t="str">
        <f>VLOOKUP(E276,'FG MASTER'!$A:$AB,2,0)</f>
        <v>CREW C1 DINNER CHEESE &amp; CRACKER, CELERY STICK, CARROT, HUMMUS</v>
      </c>
      <c r="H276" s="285">
        <v>1</v>
      </c>
      <c r="I276" s="173">
        <v>1</v>
      </c>
      <c r="J276" s="291">
        <f>IFERROR(IF(I276="std",H276,HLOOKUP(A276,'FlightConfig '!$B$34:$G$35,2,0)*I276),"")</f>
        <v>6</v>
      </c>
      <c r="K276" s="244">
        <f>VLOOKUP(Food!E276,'FG MASTER'!$A$1:$AC$536,16,0)</f>
        <v>1.23</v>
      </c>
      <c r="L276" s="245">
        <f>VLOOKUP(Food!E276,'FG MASTER'!$A$10:$AC$536,17,0)</f>
        <v>1.5</v>
      </c>
      <c r="M276" s="132">
        <f>IFERROR(L276*$M$2,"")</f>
        <v>0.60000000000000009</v>
      </c>
      <c r="N276" s="132">
        <f t="shared" si="360"/>
        <v>1.83</v>
      </c>
      <c r="O276" s="132">
        <f t="shared" si="253"/>
        <v>0.27059999999999995</v>
      </c>
      <c r="P276" s="132">
        <f t="shared" si="254"/>
        <v>0.12</v>
      </c>
      <c r="Q276" s="132">
        <f t="shared" si="346"/>
        <v>2.2206000000000001</v>
      </c>
      <c r="R276" s="402">
        <f t="shared" si="256"/>
        <v>1.5005999999999999</v>
      </c>
      <c r="S276" s="402">
        <f t="shared" si="257"/>
        <v>0.72000000000000008</v>
      </c>
      <c r="T276" s="402">
        <f t="shared" si="258"/>
        <v>2.2206000000000001</v>
      </c>
      <c r="U276" s="127"/>
      <c r="V276" s="127"/>
      <c r="W276" t="str">
        <f>IFERROR(#REF!*J276,"")</f>
        <v/>
      </c>
      <c r="X276">
        <f t="shared" si="271"/>
        <v>7.38</v>
      </c>
      <c r="Y276">
        <f t="shared" si="272"/>
        <v>9</v>
      </c>
      <c r="Z276" s="127">
        <f t="shared" si="273"/>
        <v>3.6000000000000005</v>
      </c>
      <c r="AA276" s="127">
        <f t="shared" si="274"/>
        <v>10.98</v>
      </c>
      <c r="AB276" s="127">
        <f t="shared" si="275"/>
        <v>1.6235999999999997</v>
      </c>
      <c r="AC276" s="127">
        <f t="shared" si="276"/>
        <v>0.72</v>
      </c>
      <c r="AD276" s="127">
        <f t="shared" si="277"/>
        <v>13.323600000000001</v>
      </c>
      <c r="AF276" s="127" t="str">
        <f>IFERROR(W276*'FlightConfig '!$K$3,"")</f>
        <v/>
      </c>
      <c r="AG276" s="127">
        <f>IFERROR(X276*'FlightConfig '!$K$23,"")</f>
        <v>2686.32</v>
      </c>
      <c r="AH276" s="127">
        <f>IFERROR(Y276*'FlightConfig '!$K$23,"")</f>
        <v>3276</v>
      </c>
      <c r="AI276" s="127">
        <f>IFERROR(Z276*'FlightConfig '!$K$23,"")</f>
        <v>1310.4000000000001</v>
      </c>
      <c r="AJ276" s="127">
        <f>IFERROR(AA276*'FlightConfig '!$K$23,"")</f>
        <v>3996.7200000000003</v>
      </c>
      <c r="AK276" s="127">
        <f>IFERROR(AB276*'FlightConfig '!$K$23,"")</f>
        <v>590.99039999999991</v>
      </c>
    </row>
    <row r="277" spans="1:37" ht="18.75" customHeight="1">
      <c r="A277" t="s">
        <v>189</v>
      </c>
      <c r="B277" s="171">
        <v>2</v>
      </c>
      <c r="C277" s="176" t="str">
        <f t="shared" si="359"/>
        <v>CABIN CREW CLASS2110</v>
      </c>
      <c r="D277" s="293"/>
      <c r="E277" s="305">
        <v>1138</v>
      </c>
      <c r="F277" s="310">
        <v>110</v>
      </c>
      <c r="G277" t="str">
        <f>VLOOKUP(E277,'FG MASTER'!$A:$AB,2,0)</f>
        <v>CREW C1 DINNER HARD BOILED EGG WITH TURKEY CUBES AND CHEDDAR</v>
      </c>
      <c r="H277" s="285">
        <v>1</v>
      </c>
      <c r="I277" s="173">
        <v>1</v>
      </c>
      <c r="J277" s="291">
        <f>IFERROR(IF(I277="std",H277,HLOOKUP(A277,'FlightConfig '!$B$34:$G$35,2,0)*I277),"")</f>
        <v>6</v>
      </c>
      <c r="K277" s="244">
        <f>VLOOKUP(Food!E277,'FG MASTER'!$A$1:$AC$536,16,0)</f>
        <v>2.08</v>
      </c>
      <c r="L277" s="245">
        <f>VLOOKUP(Food!E277,'FG MASTER'!$A$10:$AC$536,17,0)</f>
        <v>1</v>
      </c>
      <c r="M277" s="132">
        <f t="shared" ref="M277:M290" si="362">IFERROR(L277*$M$2,"")</f>
        <v>0.4</v>
      </c>
      <c r="N277" s="132">
        <f t="shared" si="360"/>
        <v>2.48</v>
      </c>
      <c r="O277" s="132">
        <f t="shared" si="253"/>
        <v>0.45759999999999978</v>
      </c>
      <c r="P277" s="132">
        <f t="shared" si="254"/>
        <v>7.999999999999996E-2</v>
      </c>
      <c r="Q277" s="132">
        <f t="shared" si="346"/>
        <v>3.0175999999999998</v>
      </c>
      <c r="R277" s="402">
        <f t="shared" si="256"/>
        <v>2.5375999999999999</v>
      </c>
      <c r="S277" s="402">
        <f t="shared" si="257"/>
        <v>0.48</v>
      </c>
      <c r="T277" s="402">
        <f t="shared" si="258"/>
        <v>3.0175999999999998</v>
      </c>
      <c r="U277" s="127"/>
      <c r="V277" s="127"/>
      <c r="W277" t="str">
        <f>IFERROR(#REF!*J277,"")</f>
        <v/>
      </c>
      <c r="X277">
        <f t="shared" si="271"/>
        <v>12.48</v>
      </c>
      <c r="Y277">
        <f t="shared" si="272"/>
        <v>6</v>
      </c>
      <c r="Z277" s="127">
        <f t="shared" si="273"/>
        <v>2.4000000000000004</v>
      </c>
      <c r="AA277" s="127">
        <f t="shared" si="274"/>
        <v>14.879999999999999</v>
      </c>
      <c r="AB277" s="127">
        <f t="shared" si="275"/>
        <v>2.7455999999999987</v>
      </c>
      <c r="AC277" s="127">
        <f t="shared" si="276"/>
        <v>0.47999999999999976</v>
      </c>
      <c r="AD277" s="127">
        <f t="shared" si="277"/>
        <v>18.105599999999999</v>
      </c>
      <c r="AF277" s="127" t="str">
        <f>IFERROR(W277*'FlightConfig '!$K$3,"")</f>
        <v/>
      </c>
      <c r="AG277" s="127">
        <f>IFERROR(X277*'FlightConfig '!$K$23,"")</f>
        <v>4542.72</v>
      </c>
      <c r="AH277" s="127">
        <f>IFERROR(Y277*'FlightConfig '!$K$23,"")</f>
        <v>2184</v>
      </c>
      <c r="AI277" s="127">
        <f>IFERROR(Z277*'FlightConfig '!$K$23,"")</f>
        <v>873.60000000000014</v>
      </c>
      <c r="AJ277" s="127">
        <f>IFERROR(AA277*'FlightConfig '!$K$23,"")</f>
        <v>5416.32</v>
      </c>
      <c r="AK277" s="127">
        <f>IFERROR(AB277*'FlightConfig '!$K$23,"")</f>
        <v>999.39839999999958</v>
      </c>
    </row>
    <row r="278" spans="1:37" ht="18.75" customHeight="1">
      <c r="A278" t="s">
        <v>189</v>
      </c>
      <c r="B278" s="171">
        <v>2</v>
      </c>
      <c r="C278" s="176" t="str">
        <f t="shared" si="359"/>
        <v>CABIN CREW CLASS2110</v>
      </c>
      <c r="D278" s="293"/>
      <c r="E278" s="303">
        <v>1139</v>
      </c>
      <c r="F278" s="310">
        <v>110</v>
      </c>
      <c r="G278" t="str">
        <f>VLOOKUP(E278,'FG MASTER'!$A:$AB,2,0)</f>
        <v xml:space="preserve">CREW C1 DINNER WHOLE FRUIT APPLE AND ORANGE </v>
      </c>
      <c r="H278" s="285">
        <v>1</v>
      </c>
      <c r="I278" s="173">
        <v>1</v>
      </c>
      <c r="J278" s="291">
        <f>IFERROR(IF(I278="std",H278,HLOOKUP(A278,'FlightConfig '!$B$34:$G$35,2,0)*I278),"")</f>
        <v>6</v>
      </c>
      <c r="K278" s="244">
        <f>VLOOKUP(Food!E278,'FG MASTER'!$A$1:$AC$536,16,0)</f>
        <v>1.323</v>
      </c>
      <c r="L278" s="245">
        <f>VLOOKUP(Food!E278,'FG MASTER'!$A$10:$AC$536,17,0)</f>
        <v>1</v>
      </c>
      <c r="M278" s="132">
        <f t="shared" si="362"/>
        <v>0.4</v>
      </c>
      <c r="N278" s="132">
        <f t="shared" si="360"/>
        <v>1.7229999999999999</v>
      </c>
      <c r="O278" s="132">
        <f t="shared" si="253"/>
        <v>0.29105999999999987</v>
      </c>
      <c r="P278" s="132">
        <f t="shared" si="254"/>
        <v>7.999999999999996E-2</v>
      </c>
      <c r="Q278" s="132">
        <f t="shared" si="346"/>
        <v>2.0940599999999998</v>
      </c>
      <c r="R278" s="402">
        <f t="shared" si="256"/>
        <v>1.6140599999999998</v>
      </c>
      <c r="S278" s="402">
        <f t="shared" si="257"/>
        <v>0.48</v>
      </c>
      <c r="T278" s="402">
        <f t="shared" si="258"/>
        <v>2.0940599999999998</v>
      </c>
      <c r="U278" s="127"/>
      <c r="V278" s="127"/>
      <c r="W278" t="str">
        <f>IFERROR(#REF!*J278,"")</f>
        <v/>
      </c>
      <c r="X278">
        <f t="shared" si="271"/>
        <v>7.9379999999999997</v>
      </c>
      <c r="Y278">
        <f t="shared" si="272"/>
        <v>6</v>
      </c>
      <c r="Z278" s="127">
        <f t="shared" si="273"/>
        <v>2.4000000000000004</v>
      </c>
      <c r="AA278" s="127">
        <f t="shared" si="274"/>
        <v>10.337999999999999</v>
      </c>
      <c r="AB278" s="127">
        <f t="shared" si="275"/>
        <v>1.7463599999999992</v>
      </c>
      <c r="AC278" s="127">
        <f t="shared" si="276"/>
        <v>0.47999999999999976</v>
      </c>
      <c r="AD278" s="127">
        <f t="shared" si="277"/>
        <v>12.564359999999999</v>
      </c>
      <c r="AF278" s="127" t="str">
        <f>IFERROR(W278*'FlightConfig '!$K$3,"")</f>
        <v/>
      </c>
      <c r="AG278" s="127">
        <f>IFERROR(X278*'FlightConfig '!$K$23,"")</f>
        <v>2889.4319999999998</v>
      </c>
      <c r="AH278" s="127">
        <f>IFERROR(Y278*'FlightConfig '!$K$23,"")</f>
        <v>2184</v>
      </c>
      <c r="AI278" s="127">
        <f>IFERROR(Z278*'FlightConfig '!$K$23,"")</f>
        <v>873.60000000000014</v>
      </c>
      <c r="AJ278" s="127">
        <f>IFERROR(AA278*'FlightConfig '!$K$23,"")</f>
        <v>3763.0319999999997</v>
      </c>
      <c r="AK278" s="127">
        <f>IFERROR(AB278*'FlightConfig '!$K$23,"")</f>
        <v>635.67503999999974</v>
      </c>
    </row>
    <row r="279" spans="1:37" ht="18.75" customHeight="1">
      <c r="A279" t="s">
        <v>189</v>
      </c>
      <c r="B279" s="171">
        <v>2</v>
      </c>
      <c r="C279" s="176" t="str">
        <f t="shared" si="359"/>
        <v>CABIN CREW CLASS2110</v>
      </c>
      <c r="D279" s="293"/>
      <c r="E279" s="304">
        <v>1168</v>
      </c>
      <c r="F279" s="310">
        <v>110</v>
      </c>
      <c r="G279" t="str">
        <f>VLOOKUP(E279,'FG MASTER'!$A:$AB,2,0)</f>
        <v>BC C2 DINNER ENTREE 1 PERI PERI CHICKEN</v>
      </c>
      <c r="H279" s="285">
        <v>1</v>
      </c>
      <c r="I279" s="173">
        <v>0.25</v>
      </c>
      <c r="J279" s="291">
        <f>IFERROR(IF(I279="std",H279,HLOOKUP(A279,'FlightConfig '!$B$34:$G$35,2,0)*I279),"")</f>
        <v>1.5</v>
      </c>
      <c r="K279" s="420">
        <f>VLOOKUP(Food!E279,'FG MASTER'!$A$1:$AC$536,16,0)</f>
        <v>4.3790533643228997</v>
      </c>
      <c r="L279" s="245">
        <f>VLOOKUP(Food!E279,'FG MASTER'!$A$10:$AC$536,17,0)</f>
        <v>4.75</v>
      </c>
      <c r="M279" s="132">
        <f t="shared" si="362"/>
        <v>1.9000000000000001</v>
      </c>
      <c r="N279" s="132">
        <f t="shared" si="360"/>
        <v>6.2790533643229001</v>
      </c>
      <c r="O279" s="132">
        <f t="shared" si="253"/>
        <v>0.9633917401510379</v>
      </c>
      <c r="P279" s="132">
        <f t="shared" si="254"/>
        <v>0.38000000000000012</v>
      </c>
      <c r="Q279" s="418">
        <f>SUM(N279:P279)</f>
        <v>7.6224451044739379</v>
      </c>
      <c r="R279" s="402">
        <f t="shared" ref="R279:R282" si="363">K279*(1+$O$2)</f>
        <v>5.3424451044739376</v>
      </c>
      <c r="S279" s="402">
        <f t="shared" ref="S279:S283" si="364">M279*(1+$P$2)</f>
        <v>2.2800000000000002</v>
      </c>
      <c r="T279" s="402">
        <f t="shared" ref="T279:T283" si="365">R279+S279</f>
        <v>7.6224451044739379</v>
      </c>
      <c r="U279" s="127"/>
      <c r="V279" s="127"/>
      <c r="W279" t="str">
        <f>IFERROR(#REF!*J279,"")</f>
        <v/>
      </c>
      <c r="X279">
        <f t="shared" si="271"/>
        <v>6.5685800464843496</v>
      </c>
      <c r="Y279">
        <f t="shared" si="272"/>
        <v>7.125</v>
      </c>
      <c r="Z279" s="127">
        <f t="shared" si="273"/>
        <v>2.85</v>
      </c>
      <c r="AA279" s="127">
        <f t="shared" si="274"/>
        <v>9.418580046484351</v>
      </c>
      <c r="AB279" s="127">
        <f t="shared" si="275"/>
        <v>1.4450876102265569</v>
      </c>
      <c r="AC279" s="127">
        <f t="shared" si="276"/>
        <v>0.57000000000000017</v>
      </c>
      <c r="AD279" s="127">
        <f t="shared" si="277"/>
        <v>11.433667656710906</v>
      </c>
      <c r="AF279" s="127" t="str">
        <f>IFERROR(W279*'FlightConfig '!$K$3,"")</f>
        <v/>
      </c>
      <c r="AG279" s="127">
        <f>IFERROR(X279*'FlightConfig '!$K$23,"")</f>
        <v>2390.9631369203034</v>
      </c>
      <c r="AH279" s="127">
        <f>IFERROR(Y279*'FlightConfig '!$K$23,"")</f>
        <v>2593.5</v>
      </c>
      <c r="AI279" s="127">
        <f>IFERROR(Z279*'FlightConfig '!$K$23,"")</f>
        <v>1037.4000000000001</v>
      </c>
      <c r="AJ279" s="127">
        <f>IFERROR(AA279*'FlightConfig '!$K$23,"")</f>
        <v>3428.363136920304</v>
      </c>
      <c r="AK279" s="127">
        <f>IFERROR(AB279*'FlightConfig '!$K$23,"")</f>
        <v>526.01189012246664</v>
      </c>
    </row>
    <row r="280" spans="1:37" ht="18.75" customHeight="1">
      <c r="A280" t="s">
        <v>189</v>
      </c>
      <c r="B280" s="171">
        <v>2</v>
      </c>
      <c r="C280" s="176" t="str">
        <f t="shared" si="359"/>
        <v>CABIN CREW CLASS2110</v>
      </c>
      <c r="D280" s="293"/>
      <c r="E280" s="304">
        <v>1169</v>
      </c>
      <c r="F280" s="310">
        <v>110</v>
      </c>
      <c r="G280" t="str">
        <f>VLOOKUP(E280,'FG MASTER'!$A:$AB,2,0)</f>
        <v>BC C2 DINNER ENTREE 2 CRAB CAKE</v>
      </c>
      <c r="H280" s="285">
        <v>1</v>
      </c>
      <c r="I280" s="173">
        <v>0.25</v>
      </c>
      <c r="J280" s="291">
        <f>IFERROR(IF(I280="std",H280,HLOOKUP(A280,'FlightConfig '!$B$34:$G$35,2,0)*I280),"")</f>
        <v>1.5</v>
      </c>
      <c r="K280" s="244">
        <f>VLOOKUP(Food!E280,'FG MASTER'!$A$1:$AC$536,16,0)</f>
        <v>9.1210635770385107</v>
      </c>
      <c r="L280" s="245">
        <f>VLOOKUP(Food!E280,'FG MASTER'!$A$10:$AC$536,17,0)</f>
        <v>4.75</v>
      </c>
      <c r="M280" s="132">
        <f t="shared" si="362"/>
        <v>1.9000000000000001</v>
      </c>
      <c r="N280" s="132">
        <f t="shared" si="360"/>
        <v>11.021063577038511</v>
      </c>
      <c r="O280" s="132">
        <f t="shared" si="253"/>
        <v>2.0066339869484722</v>
      </c>
      <c r="P280" s="132">
        <f t="shared" si="254"/>
        <v>0.38000000000000012</v>
      </c>
      <c r="Q280" s="132">
        <f t="shared" ref="Q280:Q283" si="366">SUM(N280:P280)</f>
        <v>13.407697563986984</v>
      </c>
      <c r="R280" s="402">
        <f t="shared" si="363"/>
        <v>11.127697563986983</v>
      </c>
      <c r="S280" s="402">
        <f t="shared" si="364"/>
        <v>2.2800000000000002</v>
      </c>
      <c r="T280" s="402">
        <f t="shared" si="365"/>
        <v>13.407697563986982</v>
      </c>
      <c r="U280" s="127"/>
      <c r="V280" s="127"/>
      <c r="W280" t="str">
        <f>IFERROR(#REF!*J280,"")</f>
        <v/>
      </c>
      <c r="X280">
        <f t="shared" si="271"/>
        <v>13.681595365557765</v>
      </c>
      <c r="Y280">
        <f t="shared" si="272"/>
        <v>7.125</v>
      </c>
      <c r="Z280" s="127">
        <f t="shared" si="273"/>
        <v>2.85</v>
      </c>
      <c r="AA280" s="127">
        <f t="shared" si="274"/>
        <v>16.531595365557767</v>
      </c>
      <c r="AB280" s="127">
        <f t="shared" si="275"/>
        <v>3.0099509804227083</v>
      </c>
      <c r="AC280" s="127">
        <f t="shared" si="276"/>
        <v>0.57000000000000017</v>
      </c>
      <c r="AD280" s="127">
        <f t="shared" si="277"/>
        <v>20.111546345980475</v>
      </c>
      <c r="AF280" s="127" t="str">
        <f>IFERROR(W280*'FlightConfig '!$K$3,"")</f>
        <v/>
      </c>
      <c r="AG280" s="127">
        <f>IFERROR(X280*'FlightConfig '!$K$23,"")</f>
        <v>4980.1007130630269</v>
      </c>
      <c r="AH280" s="127">
        <f>IFERROR(Y280*'FlightConfig '!$K$23,"")</f>
        <v>2593.5</v>
      </c>
      <c r="AI280" s="127">
        <f>IFERROR(Z280*'FlightConfig '!$K$23,"")</f>
        <v>1037.4000000000001</v>
      </c>
      <c r="AJ280" s="127">
        <f>IFERROR(AA280*'FlightConfig '!$K$23,"")</f>
        <v>6017.5007130630274</v>
      </c>
      <c r="AK280" s="127">
        <f>IFERROR(AB280*'FlightConfig '!$K$23,"")</f>
        <v>1095.6221568738658</v>
      </c>
    </row>
    <row r="281" spans="1:37" ht="18.75" customHeight="1">
      <c r="A281" t="s">
        <v>189</v>
      </c>
      <c r="B281" s="171">
        <v>2</v>
      </c>
      <c r="C281" s="176" t="str">
        <f t="shared" si="359"/>
        <v>CABIN CREW CLASS2110</v>
      </c>
      <c r="D281" s="293"/>
      <c r="E281" s="305">
        <v>1170</v>
      </c>
      <c r="F281" s="310">
        <v>110</v>
      </c>
      <c r="G281" t="str">
        <f>VLOOKUP(E281,'FG MASTER'!$A:$AB,2,0)</f>
        <v>BC C2 DINNER ENTREE 3  PASTA CAPPELLETTI</v>
      </c>
      <c r="H281" s="285">
        <v>1</v>
      </c>
      <c r="I281" s="173">
        <v>0.25</v>
      </c>
      <c r="J281" s="291">
        <f>IFERROR(IF(I281="std",H281,HLOOKUP(A281,'FlightConfig '!$B$34:$G$35,2,0)*I281),"")</f>
        <v>1.5</v>
      </c>
      <c r="K281" s="244">
        <f>VLOOKUP(Food!E281,'FG MASTER'!$A$1:$AC$536,16,0)</f>
        <v>3.9642833494277454</v>
      </c>
      <c r="L281" s="245">
        <f>VLOOKUP(Food!E281,'FG MASTER'!$A$10:$AC$536,17,0)</f>
        <v>3.75</v>
      </c>
      <c r="M281" s="132">
        <f t="shared" si="362"/>
        <v>1.5</v>
      </c>
      <c r="N281" s="132">
        <f t="shared" si="360"/>
        <v>5.4642833494277454</v>
      </c>
      <c r="O281" s="132">
        <f t="shared" ref="O281:O282" si="367">IFERROR($K281*(1+$O$2)-$K281,0)</f>
        <v>0.87214233687410392</v>
      </c>
      <c r="P281" s="132">
        <f t="shared" ref="P281:P283" si="368">IFERROR($M281*(1+$P$2)-$M281,0)</f>
        <v>0.29999999999999982</v>
      </c>
      <c r="Q281" s="132">
        <f t="shared" si="366"/>
        <v>6.6364256863018491</v>
      </c>
      <c r="R281" s="402">
        <f t="shared" si="363"/>
        <v>4.8364256863018493</v>
      </c>
      <c r="S281" s="402">
        <f t="shared" si="364"/>
        <v>1.7999999999999998</v>
      </c>
      <c r="T281" s="402">
        <f t="shared" si="365"/>
        <v>6.6364256863018491</v>
      </c>
      <c r="U281" s="127"/>
      <c r="V281" s="127"/>
      <c r="W281" t="str">
        <f>IFERROR(#REF!*J281,"")</f>
        <v/>
      </c>
      <c r="X281">
        <f t="shared" si="271"/>
        <v>5.9464250241416181</v>
      </c>
      <c r="Y281">
        <f t="shared" si="272"/>
        <v>5.625</v>
      </c>
      <c r="Z281" s="127">
        <f t="shared" si="273"/>
        <v>2.25</v>
      </c>
      <c r="AA281" s="127">
        <f t="shared" si="274"/>
        <v>8.1964250241416181</v>
      </c>
      <c r="AB281" s="127">
        <f t="shared" si="275"/>
        <v>1.3082135053111559</v>
      </c>
      <c r="AC281" s="127">
        <f t="shared" si="276"/>
        <v>0.44999999999999973</v>
      </c>
      <c r="AD281" s="127">
        <f t="shared" si="277"/>
        <v>9.9546385294527742</v>
      </c>
      <c r="AF281" s="127" t="str">
        <f>IFERROR(W281*'FlightConfig '!$K$3,"")</f>
        <v/>
      </c>
      <c r="AG281" s="127">
        <f>IFERROR(X281*'FlightConfig '!$K$23,"")</f>
        <v>2164.4987087875488</v>
      </c>
      <c r="AH281" s="127">
        <f>IFERROR(Y281*'FlightConfig '!$K$23,"")</f>
        <v>2047.5</v>
      </c>
      <c r="AI281" s="127">
        <f>IFERROR(Z281*'FlightConfig '!$K$23,"")</f>
        <v>819</v>
      </c>
      <c r="AJ281" s="127">
        <f>IFERROR(AA281*'FlightConfig '!$K$23,"")</f>
        <v>2983.4987087875488</v>
      </c>
      <c r="AK281" s="127">
        <f>IFERROR(AB281*'FlightConfig '!$K$23,"")</f>
        <v>476.18971593326074</v>
      </c>
    </row>
    <row r="282" spans="1:37" ht="18.75" customHeight="1">
      <c r="A282" t="s">
        <v>189</v>
      </c>
      <c r="B282" s="171">
        <v>2</v>
      </c>
      <c r="C282" s="176" t="str">
        <f t="shared" si="359"/>
        <v>CABIN CREW CLASS2110</v>
      </c>
      <c r="D282" s="293"/>
      <c r="E282" s="305">
        <v>1171</v>
      </c>
      <c r="F282" s="310">
        <v>110</v>
      </c>
      <c r="G282" t="str">
        <f>VLOOKUP(E282,'FG MASTER'!$A:$AB,2,0)</f>
        <v>BC C2 DINNER ENTREE 4 SOUP AND SANDWICH</v>
      </c>
      <c r="H282" s="285">
        <v>1</v>
      </c>
      <c r="I282" s="173">
        <v>0.25</v>
      </c>
      <c r="J282" s="291">
        <f>IFERROR(IF(I282="std",H282,HLOOKUP(A282,'FlightConfig '!$B$34:$G$35,2,0)*I282),"")</f>
        <v>1.5</v>
      </c>
      <c r="K282" s="244">
        <f>VLOOKUP(Food!E282,'FG MASTER'!$A$1:$AC$536,16,0)</f>
        <v>2.6020222328068328</v>
      </c>
      <c r="L282" s="245">
        <f>VLOOKUP(Food!E282,'FG MASTER'!$A$10:$AC$536,17,0)</f>
        <v>1</v>
      </c>
      <c r="M282" s="132">
        <f t="shared" si="362"/>
        <v>0.4</v>
      </c>
      <c r="N282" s="132">
        <f t="shared" si="360"/>
        <v>3.0020222328068327</v>
      </c>
      <c r="O282" s="418">
        <f>IFERROR($K282*(1+8%)-$K282,0)</f>
        <v>0.20816177862454666</v>
      </c>
      <c r="P282" s="132">
        <f t="shared" si="368"/>
        <v>7.999999999999996E-2</v>
      </c>
      <c r="Q282" s="132">
        <f t="shared" si="366"/>
        <v>3.2901840114313794</v>
      </c>
      <c r="R282" s="418">
        <f>K282*(1+8%)</f>
        <v>2.8101840114313794</v>
      </c>
      <c r="S282" s="402">
        <f t="shared" si="364"/>
        <v>0.48</v>
      </c>
      <c r="T282" s="402">
        <f t="shared" si="365"/>
        <v>3.2901840114313794</v>
      </c>
      <c r="U282" s="419" t="s">
        <v>357</v>
      </c>
      <c r="V282" s="127"/>
      <c r="W282" t="str">
        <f>IFERROR(#REF!*J282,"")</f>
        <v/>
      </c>
      <c r="X282">
        <f t="shared" si="271"/>
        <v>3.9030333492102489</v>
      </c>
      <c r="Y282">
        <f t="shared" si="272"/>
        <v>1.5</v>
      </c>
      <c r="Z282" s="127">
        <f t="shared" si="273"/>
        <v>0.60000000000000009</v>
      </c>
      <c r="AA282" s="127">
        <f t="shared" si="274"/>
        <v>4.5030333492102486</v>
      </c>
      <c r="AB282" s="127">
        <f t="shared" si="275"/>
        <v>0.31224266793681998</v>
      </c>
      <c r="AC282" s="127">
        <f t="shared" si="276"/>
        <v>0.11999999999999994</v>
      </c>
      <c r="AD282" s="127">
        <f t="shared" si="277"/>
        <v>4.9352760171470695</v>
      </c>
      <c r="AF282" s="127" t="str">
        <f>IFERROR(W282*'FlightConfig '!$K$3,"")</f>
        <v/>
      </c>
      <c r="AG282" s="127">
        <f>IFERROR(X282*'FlightConfig '!$K$23,"")</f>
        <v>1420.7041391125306</v>
      </c>
      <c r="AH282" s="127">
        <f>IFERROR(Y282*'FlightConfig '!$K$23,"")</f>
        <v>546</v>
      </c>
      <c r="AI282" s="127">
        <f>IFERROR(Z282*'FlightConfig '!$K$23,"")</f>
        <v>218.40000000000003</v>
      </c>
      <c r="AJ282" s="127">
        <f>IFERROR(AA282*'FlightConfig '!$K$23,"")</f>
        <v>1639.1041391125304</v>
      </c>
      <c r="AK282" s="127">
        <f>IFERROR(AB282*'FlightConfig '!$K$23,"")</f>
        <v>113.65633112900247</v>
      </c>
    </row>
    <row r="283" spans="1:37" ht="18.75" customHeight="1">
      <c r="A283" t="s">
        <v>189</v>
      </c>
      <c r="B283" s="171">
        <v>2</v>
      </c>
      <c r="C283" s="176" t="str">
        <f t="shared" si="359"/>
        <v>CABIN CREW CLASS2110</v>
      </c>
      <c r="D283" s="293"/>
      <c r="E283" s="304">
        <v>1182</v>
      </c>
      <c r="F283" s="310">
        <v>110</v>
      </c>
      <c r="G283" t="str">
        <f>VLOOKUP(E283,'FG MASTER'!$A:$AB,2,0)</f>
        <v>PY C2 DINNER ENTRÉE 2 SEARED SALMON, SMOKED CORN CREAM, POTATO, SUCCOTASH, SPINACH</v>
      </c>
      <c r="H283" s="285">
        <v>1</v>
      </c>
      <c r="I283" s="173">
        <v>0.25</v>
      </c>
      <c r="J283" s="291">
        <f>IFERROR(IF(I283="std",H283,HLOOKUP(A283,'FlightConfig '!$B$34:$G$35,2,0)*I283),"")</f>
        <v>1.5</v>
      </c>
      <c r="K283" s="420">
        <f>VLOOKUP(Food!E283,'FG MASTER'!$A$1:$AC$536,16,0)</f>
        <v>4.3841277028163308</v>
      </c>
      <c r="L283" s="245">
        <f>VLOOKUP(Food!E283,'FG MASTER'!$A$10:$AC$536,17,0)</f>
        <v>4</v>
      </c>
      <c r="M283" s="132">
        <f t="shared" si="362"/>
        <v>1.6</v>
      </c>
      <c r="N283" s="132">
        <f t="shared" si="360"/>
        <v>5.9841277028163304</v>
      </c>
      <c r="O283" s="418">
        <f>IFERROR($K283*(1+12%)-$K283,0)</f>
        <v>0.5260953243379598</v>
      </c>
      <c r="P283" s="132">
        <f t="shared" si="368"/>
        <v>0.31999999999999984</v>
      </c>
      <c r="Q283" s="132">
        <f t="shared" si="366"/>
        <v>6.8302230271542896</v>
      </c>
      <c r="R283" s="418">
        <f>K283*(1+12%)</f>
        <v>4.9102230271542906</v>
      </c>
      <c r="S283" s="402">
        <f t="shared" si="364"/>
        <v>1.92</v>
      </c>
      <c r="T283" s="402">
        <f t="shared" si="365"/>
        <v>6.8302230271542905</v>
      </c>
      <c r="U283" s="127"/>
      <c r="V283" s="127"/>
      <c r="W283" t="str">
        <f>IFERROR(#REF!*J283,"")</f>
        <v/>
      </c>
      <c r="X283">
        <f t="shared" si="271"/>
        <v>6.5761915542244962</v>
      </c>
      <c r="Y283">
        <f t="shared" si="272"/>
        <v>6</v>
      </c>
      <c r="Z283" s="127">
        <f t="shared" si="273"/>
        <v>2.4000000000000004</v>
      </c>
      <c r="AA283" s="127">
        <f t="shared" si="274"/>
        <v>8.9761915542244957</v>
      </c>
      <c r="AB283" s="127">
        <f t="shared" si="275"/>
        <v>0.7891429865069397</v>
      </c>
      <c r="AC283" s="127">
        <f t="shared" si="276"/>
        <v>0.47999999999999976</v>
      </c>
      <c r="AD283" s="127">
        <f t="shared" si="277"/>
        <v>10.245334540731434</v>
      </c>
      <c r="AF283" s="127" t="str">
        <f>IFERROR(W283*'FlightConfig '!$K$3,"")</f>
        <v/>
      </c>
      <c r="AG283" s="127">
        <f>IFERROR(X283*'FlightConfig '!$K$23,"")</f>
        <v>2393.7337257377167</v>
      </c>
      <c r="AH283" s="127">
        <f>IFERROR(Y283*'FlightConfig '!$K$23,"")</f>
        <v>2184</v>
      </c>
      <c r="AI283" s="127">
        <f>IFERROR(Z283*'FlightConfig '!$K$23,"")</f>
        <v>873.60000000000014</v>
      </c>
      <c r="AJ283" s="127">
        <f>IFERROR(AA283*'FlightConfig '!$K$23,"")</f>
        <v>3267.3337257377166</v>
      </c>
      <c r="AK283" s="127">
        <f>IFERROR(AB283*'FlightConfig '!$K$23,"")</f>
        <v>287.24804708852605</v>
      </c>
    </row>
    <row r="284" spans="1:37" ht="18.75" customHeight="1">
      <c r="A284" t="s">
        <v>189</v>
      </c>
      <c r="B284" s="171">
        <v>2</v>
      </c>
      <c r="C284" s="176" t="str">
        <f t="shared" si="359"/>
        <v>CABIN CREW CLASS2110</v>
      </c>
      <c r="D284" s="293"/>
      <c r="E284" s="304">
        <v>1196</v>
      </c>
      <c r="F284" s="310">
        <v>110</v>
      </c>
      <c r="G284" t="str">
        <f>VLOOKUP(E284,'FG MASTER'!$A:$AB,2,0)</f>
        <v>CC C2 SANDWICH TOFU BANH MI</v>
      </c>
      <c r="H284" s="285">
        <v>1</v>
      </c>
      <c r="I284" s="173">
        <v>0.16</v>
      </c>
      <c r="J284" s="291">
        <f>IFERROR(IF(I284="std",H284,HLOOKUP(A284,'FlightConfig '!$B$34:$G$35,2,0)*I284),"")</f>
        <v>0.96</v>
      </c>
      <c r="K284" s="244">
        <f>VLOOKUP(Food!E284,'FG MASTER'!$A$1:$AC$536,16,0)</f>
        <v>1.96</v>
      </c>
      <c r="L284" s="245">
        <f>VLOOKUP(Food!E284,'FG MASTER'!$A$10:$AC$536,17,0)</f>
        <v>1.5</v>
      </c>
      <c r="M284" s="132">
        <f t="shared" si="362"/>
        <v>0.60000000000000009</v>
      </c>
      <c r="N284" s="132">
        <f t="shared" ref="N283:N290" si="369">IFERROR((K284)+M284,"")</f>
        <v>2.56</v>
      </c>
      <c r="O284" s="132">
        <f t="shared" ref="O281:O291" si="370">IFERROR($K284*(1+$O$2)-$K284,0)</f>
        <v>0.43120000000000003</v>
      </c>
      <c r="P284" s="132">
        <f t="shared" ref="P281:P291" si="371">IFERROR($M284*(1+$P$2)-$M284,0)</f>
        <v>0.12</v>
      </c>
      <c r="Q284" s="132">
        <f t="shared" si="346"/>
        <v>3.1112000000000002</v>
      </c>
      <c r="R284" s="402">
        <f t="shared" ref="R281:R290" si="372">K284*(1+$O$2)</f>
        <v>2.3912</v>
      </c>
      <c r="S284" s="402">
        <f t="shared" ref="S281:S290" si="373">M284*(1+$P$2)</f>
        <v>0.72000000000000008</v>
      </c>
      <c r="T284" s="402">
        <f t="shared" ref="T281:T290" si="374">R284+S284</f>
        <v>3.1112000000000002</v>
      </c>
      <c r="U284" s="127"/>
      <c r="V284" s="127"/>
      <c r="W284" t="str">
        <f>IFERROR(#REF!*J284,"")</f>
        <v/>
      </c>
      <c r="X284">
        <f t="shared" si="271"/>
        <v>1.8815999999999999</v>
      </c>
      <c r="Y284">
        <f t="shared" si="272"/>
        <v>1.44</v>
      </c>
      <c r="Z284" s="127">
        <f t="shared" si="273"/>
        <v>0.57600000000000007</v>
      </c>
      <c r="AA284" s="127">
        <f t="shared" si="274"/>
        <v>2.4575999999999998</v>
      </c>
      <c r="AB284" s="127">
        <f t="shared" si="275"/>
        <v>0.41395199999999999</v>
      </c>
      <c r="AC284" s="127">
        <f t="shared" si="276"/>
        <v>0.1152</v>
      </c>
      <c r="AD284" s="127">
        <f t="shared" si="277"/>
        <v>2.9867520000000001</v>
      </c>
      <c r="AF284" s="127" t="str">
        <f>IFERROR(W284*'FlightConfig '!$K$3,"")</f>
        <v/>
      </c>
      <c r="AG284" s="127">
        <f>IFERROR(X284*'FlightConfig '!$K$23,"")</f>
        <v>684.90239999999994</v>
      </c>
      <c r="AH284" s="127">
        <f>IFERROR(Y284*'FlightConfig '!$K$23,"")</f>
        <v>524.16</v>
      </c>
      <c r="AI284" s="127">
        <f>IFERROR(Z284*'FlightConfig '!$K$23,"")</f>
        <v>209.66400000000002</v>
      </c>
      <c r="AJ284" s="127">
        <f>IFERROR(AA284*'FlightConfig '!$K$23,"")</f>
        <v>894.56639999999993</v>
      </c>
      <c r="AK284" s="127">
        <f>IFERROR(AB284*'FlightConfig '!$K$23,"")</f>
        <v>150.678528</v>
      </c>
    </row>
    <row r="285" spans="1:37" ht="18.75" customHeight="1">
      <c r="A285" t="s">
        <v>189</v>
      </c>
      <c r="B285" s="171">
        <v>2</v>
      </c>
      <c r="C285" s="176" t="str">
        <f t="shared" si="359"/>
        <v>CABIN CREW CLASS2110</v>
      </c>
      <c r="D285" s="293"/>
      <c r="E285" s="304">
        <v>1197</v>
      </c>
      <c r="F285" s="310">
        <v>110</v>
      </c>
      <c r="G285" t="str">
        <f>VLOOKUP(E285,'FG MASTER'!$A:$AB,2,0)</f>
        <v>CC C2 SANDWICH TURKEY SWISS HOAGIE</v>
      </c>
      <c r="H285" s="285">
        <v>1</v>
      </c>
      <c r="I285" s="173">
        <v>0.16</v>
      </c>
      <c r="J285" s="291">
        <f>IFERROR(IF(I285="std",H285,HLOOKUP(A285,'FlightConfig '!$B$34:$G$35,2,0)*I285),"")</f>
        <v>0.96</v>
      </c>
      <c r="K285" s="244">
        <f>VLOOKUP(Food!E285,'FG MASTER'!$A$1:$AC$536,16,0)</f>
        <v>1.68</v>
      </c>
      <c r="L285" s="245">
        <f>VLOOKUP(Food!E285,'FG MASTER'!$A$10:$AC$536,17,0)</f>
        <v>1.5</v>
      </c>
      <c r="M285" s="132">
        <f t="shared" si="362"/>
        <v>0.60000000000000009</v>
      </c>
      <c r="N285" s="132">
        <f t="shared" si="369"/>
        <v>2.2800000000000002</v>
      </c>
      <c r="O285" s="132">
        <f t="shared" si="370"/>
        <v>0.36959999999999993</v>
      </c>
      <c r="P285" s="132">
        <f t="shared" si="371"/>
        <v>0.12</v>
      </c>
      <c r="Q285" s="132">
        <f t="shared" si="346"/>
        <v>2.7696000000000005</v>
      </c>
      <c r="R285" s="402">
        <f t="shared" si="372"/>
        <v>2.0495999999999999</v>
      </c>
      <c r="S285" s="402">
        <f t="shared" si="373"/>
        <v>0.72000000000000008</v>
      </c>
      <c r="T285" s="402">
        <f t="shared" si="374"/>
        <v>2.7696000000000001</v>
      </c>
      <c r="U285" s="127"/>
      <c r="V285" s="127"/>
      <c r="W285" t="str">
        <f>IFERROR(#REF!*J285,"")</f>
        <v/>
      </c>
      <c r="X285">
        <f t="shared" ref="X285:X290" si="375">IFERROR(K285*J285,"")</f>
        <v>1.6127999999999998</v>
      </c>
      <c r="Y285">
        <f t="shared" ref="Y285:Y290" si="376">IFERROR(+L285*J285,"")</f>
        <v>1.44</v>
      </c>
      <c r="Z285" s="127">
        <f t="shared" ref="Z285:Z290" si="377">IFERROR(+M285*J285,"")</f>
        <v>0.57600000000000007</v>
      </c>
      <c r="AA285" s="127">
        <f t="shared" ref="AA285:AA290" si="378">IFERROR(+N285*J285,"")</f>
        <v>2.1888000000000001</v>
      </c>
      <c r="AB285" s="127">
        <f t="shared" ref="AB285:AB290" si="379">IFERROR(O285*$J285,"")</f>
        <v>0.35481599999999991</v>
      </c>
      <c r="AC285" s="127">
        <f t="shared" ref="AC285:AC290" si="380">IFERROR(P285*$J285,"")</f>
        <v>0.1152</v>
      </c>
      <c r="AD285" s="127">
        <f t="shared" ref="AD285:AD290" si="381">IFERROR(+Q285*J285,"")</f>
        <v>2.6588160000000003</v>
      </c>
      <c r="AF285" s="127" t="str">
        <f>IFERROR(W285*'FlightConfig '!$K$3,"")</f>
        <v/>
      </c>
      <c r="AG285" s="127">
        <f>IFERROR(X285*'FlightConfig '!$K$23,"")</f>
        <v>587.05919999999992</v>
      </c>
      <c r="AH285" s="127">
        <f>IFERROR(Y285*'FlightConfig '!$K$23,"")</f>
        <v>524.16</v>
      </c>
      <c r="AI285" s="127">
        <f>IFERROR(Z285*'FlightConfig '!$K$23,"")</f>
        <v>209.66400000000002</v>
      </c>
      <c r="AJ285" s="127">
        <f>IFERROR(AA285*'FlightConfig '!$K$23,"")</f>
        <v>796.72320000000002</v>
      </c>
      <c r="AK285" s="127">
        <f>IFERROR(AB285*'FlightConfig '!$K$23,"")</f>
        <v>129.15302399999996</v>
      </c>
    </row>
    <row r="286" spans="1:37" ht="18.75" customHeight="1">
      <c r="A286" t="s">
        <v>189</v>
      </c>
      <c r="B286" s="171">
        <v>2</v>
      </c>
      <c r="C286" s="176" t="str">
        <f>CONCATENATE(A286&amp;B286&amp;F286)</f>
        <v>CABIN CREW CLASS2110</v>
      </c>
      <c r="D286" s="293"/>
      <c r="E286" s="304">
        <v>1198</v>
      </c>
      <c r="F286" s="310">
        <v>110</v>
      </c>
      <c r="G286" t="str">
        <f>VLOOKUP(E286,'FG MASTER'!$A:$AB,2,0)</f>
        <v>CC C2 SANDWICH BLT WHOLE WHEAT</v>
      </c>
      <c r="H286" s="285">
        <v>1</v>
      </c>
      <c r="I286" s="173">
        <v>0.16</v>
      </c>
      <c r="J286" s="291">
        <f>IFERROR(IF(I286="std",H286,HLOOKUP(A286,'FlightConfig '!$B$34:$G$35,2,0)*I286),"")</f>
        <v>0.96</v>
      </c>
      <c r="K286" s="244">
        <f>VLOOKUP(Food!E286,'FG MASTER'!$A$1:$AC$536,16,0)</f>
        <v>1.93</v>
      </c>
      <c r="L286" s="245">
        <f>VLOOKUP(Food!E286,'FG MASTER'!$A$10:$AC$536,17,0)</f>
        <v>1.5</v>
      </c>
      <c r="M286" s="132">
        <f t="shared" si="362"/>
        <v>0.60000000000000009</v>
      </c>
      <c r="N286" s="132">
        <f t="shared" si="369"/>
        <v>2.5300000000000002</v>
      </c>
      <c r="O286" s="132">
        <f t="shared" si="370"/>
        <v>0.42460000000000009</v>
      </c>
      <c r="P286" s="132">
        <f t="shared" si="371"/>
        <v>0.12</v>
      </c>
      <c r="Q286" s="132">
        <f t="shared" si="346"/>
        <v>3.0746000000000002</v>
      </c>
      <c r="R286" s="402">
        <f t="shared" si="372"/>
        <v>2.3546</v>
      </c>
      <c r="S286" s="402">
        <f t="shared" si="373"/>
        <v>0.72000000000000008</v>
      </c>
      <c r="T286" s="402">
        <f t="shared" si="374"/>
        <v>3.0746000000000002</v>
      </c>
      <c r="U286" s="127"/>
      <c r="V286" s="127"/>
      <c r="W286" t="str">
        <f>IFERROR(#REF!*J286,"")</f>
        <v/>
      </c>
      <c r="X286">
        <f t="shared" si="375"/>
        <v>1.8527999999999998</v>
      </c>
      <c r="Y286">
        <f t="shared" si="376"/>
        <v>1.44</v>
      </c>
      <c r="Z286" s="127">
        <f t="shared" si="377"/>
        <v>0.57600000000000007</v>
      </c>
      <c r="AA286" s="127">
        <f t="shared" si="378"/>
        <v>2.4288000000000003</v>
      </c>
      <c r="AB286" s="127">
        <f t="shared" si="379"/>
        <v>0.40761600000000009</v>
      </c>
      <c r="AC286" s="127">
        <f t="shared" si="380"/>
        <v>0.1152</v>
      </c>
      <c r="AD286" s="127">
        <f t="shared" si="381"/>
        <v>2.951616</v>
      </c>
      <c r="AF286" s="127" t="str">
        <f>IFERROR(W286*'FlightConfig '!$K$3,"")</f>
        <v/>
      </c>
      <c r="AG286" s="127">
        <f>IFERROR(X286*'FlightConfig '!$K$23,"")</f>
        <v>674.41919999999993</v>
      </c>
      <c r="AH286" s="127">
        <f>IFERROR(Y286*'FlightConfig '!$K$23,"")</f>
        <v>524.16</v>
      </c>
      <c r="AI286" s="127">
        <f>IFERROR(Z286*'FlightConfig '!$K$23,"")</f>
        <v>209.66400000000002</v>
      </c>
      <c r="AJ286" s="127">
        <f>IFERROR(AA286*'FlightConfig '!$K$23,"")</f>
        <v>884.08320000000015</v>
      </c>
      <c r="AK286" s="127">
        <f>IFERROR(AB286*'FlightConfig '!$K$23,"")</f>
        <v>148.37222400000005</v>
      </c>
    </row>
    <row r="287" spans="1:37" ht="18.75" customHeight="1">
      <c r="A287" t="s">
        <v>189</v>
      </c>
      <c r="B287" s="171">
        <v>2</v>
      </c>
      <c r="C287" s="176" t="str">
        <f t="shared" ref="C287:C290" si="382">CONCATENATE(A287&amp;B287&amp;F287)</f>
        <v>CABIN CREW CLASS2110</v>
      </c>
      <c r="D287" s="293"/>
      <c r="E287" s="304">
        <v>1199</v>
      </c>
      <c r="F287" s="310">
        <v>110</v>
      </c>
      <c r="G287" t="str">
        <f>VLOOKUP(E287,'FG MASTER'!$A:$AB,2,0)</f>
        <v>CC C2 SANDWICH VEGETABLE ON CIABATTA</v>
      </c>
      <c r="H287" s="285">
        <v>1</v>
      </c>
      <c r="I287" s="173">
        <v>0.16</v>
      </c>
      <c r="J287" s="291">
        <f>IFERROR(IF(I287="std",H287,HLOOKUP(A287,'FlightConfig '!$B$34:$G$35,2,0)*I287),"")</f>
        <v>0.96</v>
      </c>
      <c r="K287" s="244">
        <f>VLOOKUP(Food!E287,'FG MASTER'!$A$1:$AC$536,16,0)</f>
        <v>1.63</v>
      </c>
      <c r="L287" s="245">
        <f>VLOOKUP(Food!E287,'FG MASTER'!$A$10:$AC$536,17,0)</f>
        <v>1.5</v>
      </c>
      <c r="M287" s="132">
        <f t="shared" si="362"/>
        <v>0.60000000000000009</v>
      </c>
      <c r="N287" s="132">
        <f t="shared" si="369"/>
        <v>2.23</v>
      </c>
      <c r="O287" s="132">
        <f t="shared" si="370"/>
        <v>0.35860000000000003</v>
      </c>
      <c r="P287" s="132">
        <f t="shared" si="371"/>
        <v>0.12</v>
      </c>
      <c r="Q287" s="132">
        <f t="shared" si="346"/>
        <v>2.7086000000000001</v>
      </c>
      <c r="R287" s="402">
        <f t="shared" si="372"/>
        <v>1.9885999999999999</v>
      </c>
      <c r="S287" s="402">
        <f t="shared" si="373"/>
        <v>0.72000000000000008</v>
      </c>
      <c r="T287" s="402">
        <f t="shared" si="374"/>
        <v>2.7086000000000001</v>
      </c>
      <c r="U287" s="127"/>
      <c r="V287" s="127"/>
      <c r="W287" t="str">
        <f>IFERROR(#REF!*J287,"")</f>
        <v/>
      </c>
      <c r="X287">
        <f t="shared" si="375"/>
        <v>1.5647999999999997</v>
      </c>
      <c r="Y287">
        <f t="shared" si="376"/>
        <v>1.44</v>
      </c>
      <c r="Z287" s="127">
        <f t="shared" si="377"/>
        <v>0.57600000000000007</v>
      </c>
      <c r="AA287" s="127">
        <f t="shared" si="378"/>
        <v>2.1408</v>
      </c>
      <c r="AB287" s="127">
        <f t="shared" si="379"/>
        <v>0.34425600000000001</v>
      </c>
      <c r="AC287" s="127">
        <f t="shared" si="380"/>
        <v>0.1152</v>
      </c>
      <c r="AD287" s="127">
        <f t="shared" si="381"/>
        <v>2.6002559999999999</v>
      </c>
      <c r="AF287" s="127" t="str">
        <f>IFERROR(W287*'FlightConfig '!$K$3,"")</f>
        <v/>
      </c>
      <c r="AG287" s="127">
        <f>IFERROR(X287*'FlightConfig '!$K$23,"")</f>
        <v>569.58719999999994</v>
      </c>
      <c r="AH287" s="127">
        <f>IFERROR(Y287*'FlightConfig '!$K$23,"")</f>
        <v>524.16</v>
      </c>
      <c r="AI287" s="127">
        <f>IFERROR(Z287*'FlightConfig '!$K$23,"")</f>
        <v>209.66400000000002</v>
      </c>
      <c r="AJ287" s="127">
        <f>IFERROR(AA287*'FlightConfig '!$K$23,"")</f>
        <v>779.25120000000004</v>
      </c>
      <c r="AK287" s="127">
        <f>IFERROR(AB287*'FlightConfig '!$K$23,"")</f>
        <v>125.309184</v>
      </c>
    </row>
    <row r="288" spans="1:37" ht="18.75" customHeight="1">
      <c r="A288" t="s">
        <v>189</v>
      </c>
      <c r="B288" s="171">
        <v>2</v>
      </c>
      <c r="C288" s="176" t="str">
        <f t="shared" si="382"/>
        <v>CABIN CREW CLASS2110</v>
      </c>
      <c r="D288" s="293"/>
      <c r="E288" s="304">
        <v>1200</v>
      </c>
      <c r="F288" s="310">
        <v>110</v>
      </c>
      <c r="G288" t="str">
        <f>VLOOKUP(E288,'FG MASTER'!$A:$AB,2,0)</f>
        <v xml:space="preserve">CC C2 SANDWICH CHICKEN SALAD CROISSANT </v>
      </c>
      <c r="H288" s="285">
        <v>1</v>
      </c>
      <c r="I288" s="173">
        <v>0.16</v>
      </c>
      <c r="J288" s="291">
        <f>IFERROR(IF(I288="std",H288,HLOOKUP(A288,'FlightConfig '!$B$34:$G$35,2,0)*I288),"")</f>
        <v>0.96</v>
      </c>
      <c r="K288" s="244">
        <f>VLOOKUP(Food!E288,'FG MASTER'!$A$1:$AC$536,16,0)</f>
        <v>1.99</v>
      </c>
      <c r="L288" s="245">
        <f>VLOOKUP(Food!E288,'FG MASTER'!$A$10:$AC$536,17,0)</f>
        <v>1.5</v>
      </c>
      <c r="M288" s="132">
        <f t="shared" si="362"/>
        <v>0.60000000000000009</v>
      </c>
      <c r="N288" s="132">
        <f t="shared" si="369"/>
        <v>2.59</v>
      </c>
      <c r="O288" s="132">
        <f t="shared" si="370"/>
        <v>0.43779999999999997</v>
      </c>
      <c r="P288" s="132">
        <f t="shared" si="371"/>
        <v>0.12</v>
      </c>
      <c r="Q288" s="132">
        <f t="shared" si="346"/>
        <v>3.1478000000000002</v>
      </c>
      <c r="R288" s="402">
        <f t="shared" si="372"/>
        <v>2.4278</v>
      </c>
      <c r="S288" s="402">
        <f t="shared" si="373"/>
        <v>0.72000000000000008</v>
      </c>
      <c r="T288" s="402">
        <f t="shared" si="374"/>
        <v>3.1478000000000002</v>
      </c>
      <c r="U288" s="127"/>
      <c r="V288" s="127"/>
      <c r="W288" t="str">
        <f>IFERROR(#REF!*J288,"")</f>
        <v/>
      </c>
      <c r="X288">
        <f t="shared" si="375"/>
        <v>1.9103999999999999</v>
      </c>
      <c r="Y288">
        <f t="shared" si="376"/>
        <v>1.44</v>
      </c>
      <c r="Z288" s="127">
        <f t="shared" si="377"/>
        <v>0.57600000000000007</v>
      </c>
      <c r="AA288" s="127">
        <f t="shared" si="378"/>
        <v>2.4863999999999997</v>
      </c>
      <c r="AB288" s="127">
        <f t="shared" si="379"/>
        <v>0.42028799999999994</v>
      </c>
      <c r="AC288" s="127">
        <f t="shared" si="380"/>
        <v>0.1152</v>
      </c>
      <c r="AD288" s="127">
        <f t="shared" si="381"/>
        <v>3.0218880000000001</v>
      </c>
      <c r="AF288" s="127" t="str">
        <f>IFERROR(W288*'FlightConfig '!$K$3,"")</f>
        <v/>
      </c>
      <c r="AG288" s="127">
        <f>IFERROR(X288*'FlightConfig '!$K$23,"")</f>
        <v>695.38559999999995</v>
      </c>
      <c r="AH288" s="127">
        <f>IFERROR(Y288*'FlightConfig '!$K$23,"")</f>
        <v>524.16</v>
      </c>
      <c r="AI288" s="127">
        <f>IFERROR(Z288*'FlightConfig '!$K$23,"")</f>
        <v>209.66400000000002</v>
      </c>
      <c r="AJ288" s="127">
        <f>IFERROR(AA288*'FlightConfig '!$K$23,"")</f>
        <v>905.04959999999994</v>
      </c>
      <c r="AK288" s="127">
        <f>IFERROR(AB288*'FlightConfig '!$K$23,"")</f>
        <v>152.98483199999998</v>
      </c>
    </row>
    <row r="289" spans="1:37" ht="18.75" customHeight="1">
      <c r="A289" t="s">
        <v>189</v>
      </c>
      <c r="B289" s="171">
        <v>2</v>
      </c>
      <c r="C289" s="176" t="str">
        <f t="shared" si="382"/>
        <v>CABIN CREW CLASS2110</v>
      </c>
      <c r="D289" s="293"/>
      <c r="E289" s="304">
        <v>1201</v>
      </c>
      <c r="F289" s="310">
        <v>110</v>
      </c>
      <c r="G289" t="str">
        <f>VLOOKUP(E289,'FG MASTER'!$A:$AB,2,0)</f>
        <v>CC C2 SANDWICH CROISSANT AND AGED CHEDDAR</v>
      </c>
      <c r="H289" s="285">
        <v>1</v>
      </c>
      <c r="I289" s="173">
        <v>0.16</v>
      </c>
      <c r="J289" s="291">
        <f>IFERROR(IF(I289="std",H289,HLOOKUP(A289,'FlightConfig '!$B$34:$G$35,2,0)*I289),"")</f>
        <v>0.96</v>
      </c>
      <c r="K289" s="244">
        <f>VLOOKUP(Food!E289,'FG MASTER'!$A$1:$AC$536,16,0)</f>
        <v>1.45</v>
      </c>
      <c r="L289" s="245">
        <f>VLOOKUP(Food!E289,'FG MASTER'!$A$10:$AC$536,17,0)</f>
        <v>1.5</v>
      </c>
      <c r="M289" s="132">
        <f t="shared" si="362"/>
        <v>0.60000000000000009</v>
      </c>
      <c r="N289" s="132">
        <f t="shared" si="369"/>
        <v>2.0499999999999998</v>
      </c>
      <c r="O289" s="132">
        <f t="shared" si="370"/>
        <v>0.31899999999999995</v>
      </c>
      <c r="P289" s="132">
        <f t="shared" si="371"/>
        <v>0.12</v>
      </c>
      <c r="Q289" s="132">
        <f t="shared" si="346"/>
        <v>2.4889999999999999</v>
      </c>
      <c r="R289" s="402">
        <f t="shared" si="372"/>
        <v>1.7689999999999999</v>
      </c>
      <c r="S289" s="402">
        <f t="shared" si="373"/>
        <v>0.72000000000000008</v>
      </c>
      <c r="T289" s="402">
        <f t="shared" si="374"/>
        <v>2.4889999999999999</v>
      </c>
      <c r="U289" s="127"/>
      <c r="V289" s="127"/>
      <c r="W289" t="str">
        <f>IFERROR(#REF!*J289,"")</f>
        <v/>
      </c>
      <c r="X289">
        <f t="shared" si="375"/>
        <v>1.3919999999999999</v>
      </c>
      <c r="Y289">
        <f t="shared" si="376"/>
        <v>1.44</v>
      </c>
      <c r="Z289" s="127">
        <f t="shared" si="377"/>
        <v>0.57600000000000007</v>
      </c>
      <c r="AA289" s="127">
        <f t="shared" si="378"/>
        <v>1.9679999999999997</v>
      </c>
      <c r="AB289" s="127">
        <f t="shared" si="379"/>
        <v>0.30623999999999996</v>
      </c>
      <c r="AC289" s="127">
        <f t="shared" si="380"/>
        <v>0.1152</v>
      </c>
      <c r="AD289" s="127">
        <f t="shared" si="381"/>
        <v>2.38944</v>
      </c>
      <c r="AF289" s="127" t="str">
        <f>IFERROR(W289*'FlightConfig '!$K$3,"")</f>
        <v/>
      </c>
      <c r="AG289" s="127">
        <f>IFERROR(X289*'FlightConfig '!$K$23,"")</f>
        <v>506.68799999999999</v>
      </c>
      <c r="AH289" s="127">
        <f>IFERROR(Y289*'FlightConfig '!$K$23,"")</f>
        <v>524.16</v>
      </c>
      <c r="AI289" s="127">
        <f>IFERROR(Z289*'FlightConfig '!$K$23,"")</f>
        <v>209.66400000000002</v>
      </c>
      <c r="AJ289" s="127">
        <f>IFERROR(AA289*'FlightConfig '!$K$23,"")</f>
        <v>716.35199999999986</v>
      </c>
      <c r="AK289" s="127">
        <f>IFERROR(AB289*'FlightConfig '!$K$23,"")</f>
        <v>111.47135999999999</v>
      </c>
    </row>
    <row r="290" spans="1:37" ht="18.75" customHeight="1">
      <c r="A290" t="s">
        <v>189</v>
      </c>
      <c r="B290" s="171">
        <v>2</v>
      </c>
      <c r="C290" s="176" t="str">
        <f t="shared" si="382"/>
        <v>CABIN CREW CLASS2110</v>
      </c>
      <c r="D290" s="293"/>
      <c r="E290" s="304">
        <v>1202</v>
      </c>
      <c r="F290" s="310">
        <v>110</v>
      </c>
      <c r="G290" t="str">
        <f>VLOOKUP(E290,'FG MASTER'!$A:$AB,2,0)</f>
        <v>CC C2 SANDWICH CHICKEN SAUSAGE, BISCUIT</v>
      </c>
      <c r="H290" s="285">
        <v>1</v>
      </c>
      <c r="I290" s="173">
        <v>0.16</v>
      </c>
      <c r="J290" s="291">
        <f>IFERROR(IF(I290="std",H290,HLOOKUP(A290,'FlightConfig '!$B$34:$G$35,2,0)*I290),"")</f>
        <v>0.96</v>
      </c>
      <c r="K290" s="244">
        <f>VLOOKUP(Food!E290,'FG MASTER'!$A$1:$AC$536,16,0)</f>
        <v>1.99</v>
      </c>
      <c r="L290" s="245">
        <f>VLOOKUP(Food!E290,'FG MASTER'!$A$10:$AC$536,17,0)</f>
        <v>1.5</v>
      </c>
      <c r="M290" s="132">
        <f t="shared" si="362"/>
        <v>0.60000000000000009</v>
      </c>
      <c r="N290" s="132">
        <f t="shared" si="369"/>
        <v>2.59</v>
      </c>
      <c r="O290" s="132">
        <f t="shared" si="370"/>
        <v>0.43779999999999997</v>
      </c>
      <c r="P290" s="132">
        <f t="shared" si="371"/>
        <v>0.12</v>
      </c>
      <c r="Q290" s="132">
        <f t="shared" si="346"/>
        <v>3.1478000000000002</v>
      </c>
      <c r="R290" s="402">
        <f t="shared" si="372"/>
        <v>2.4278</v>
      </c>
      <c r="S290" s="402">
        <f t="shared" si="373"/>
        <v>0.72000000000000008</v>
      </c>
      <c r="T290" s="402">
        <f t="shared" si="374"/>
        <v>3.1478000000000002</v>
      </c>
      <c r="U290" s="127"/>
      <c r="V290" s="127"/>
      <c r="W290" t="str">
        <f>IFERROR(#REF!*J290,"")</f>
        <v/>
      </c>
      <c r="X290">
        <f t="shared" si="375"/>
        <v>1.9103999999999999</v>
      </c>
      <c r="Y290">
        <f t="shared" si="376"/>
        <v>1.44</v>
      </c>
      <c r="Z290" s="127">
        <f t="shared" si="377"/>
        <v>0.57600000000000007</v>
      </c>
      <c r="AA290" s="127">
        <f t="shared" si="378"/>
        <v>2.4863999999999997</v>
      </c>
      <c r="AB290" s="127">
        <f t="shared" si="379"/>
        <v>0.42028799999999994</v>
      </c>
      <c r="AC290" s="127">
        <f t="shared" si="380"/>
        <v>0.1152</v>
      </c>
      <c r="AD290" s="127">
        <f t="shared" si="381"/>
        <v>3.0218880000000001</v>
      </c>
      <c r="AF290" s="127" t="str">
        <f>IFERROR(W290*'FlightConfig '!$K$3,"")</f>
        <v/>
      </c>
      <c r="AG290" s="127">
        <f>IFERROR(X290*'FlightConfig '!$K$23,"")</f>
        <v>695.38559999999995</v>
      </c>
      <c r="AH290" s="127">
        <f>IFERROR(Y290*'FlightConfig '!$K$23,"")</f>
        <v>524.16</v>
      </c>
      <c r="AI290" s="127">
        <f>IFERROR(Z290*'FlightConfig '!$K$23,"")</f>
        <v>209.66400000000002</v>
      </c>
      <c r="AJ290" s="127">
        <f>IFERROR(AA290*'FlightConfig '!$K$23,"")</f>
        <v>905.04959999999994</v>
      </c>
      <c r="AK290" s="127">
        <f>IFERROR(AB290*'FlightConfig '!$K$23,"")</f>
        <v>152.98483199999998</v>
      </c>
    </row>
    <row r="291" spans="1:37" ht="18.75" customHeight="1">
      <c r="A291" t="s">
        <v>189</v>
      </c>
      <c r="B291" s="171">
        <v>2</v>
      </c>
      <c r="C291" s="176" t="str">
        <f t="shared" ref="C291" si="383">CONCATENATE(A291&amp;B291&amp;F291)</f>
        <v>CABIN CREW CLASS2110</v>
      </c>
      <c r="D291" s="293"/>
      <c r="E291" s="303">
        <v>1106</v>
      </c>
      <c r="F291" s="310">
        <v>110</v>
      </c>
      <c r="G291" t="str">
        <f>VLOOKUP(E291,'FG MASTER'!$A:$AB,2,0)</f>
        <v>BC C1 BREAKFAST ENTRÉE 4 ENGLEMANS ROLL, SPOTTED TROTTER - BACON, HP SAUCE</v>
      </c>
      <c r="H291" s="285">
        <v>1</v>
      </c>
      <c r="I291" s="173">
        <v>0.16</v>
      </c>
      <c r="J291" s="291">
        <f>IFERROR(IF(I291="std",H291,HLOOKUP(A291,'FlightConfig '!$B$34:$G$35,2,0)*I291),"")</f>
        <v>0.96</v>
      </c>
      <c r="K291" s="244">
        <f>VLOOKUP(Food!E291,'FG MASTER'!$A$1:$AC$536,16,0)</f>
        <v>1.97</v>
      </c>
      <c r="L291" s="245">
        <f>VLOOKUP(Food!E291,'FG MASTER'!$A$10:$AC$536,17,0)</f>
        <v>2.5</v>
      </c>
      <c r="M291" s="132">
        <f t="shared" ref="M291" si="384">IFERROR(L291*$M$2,"")</f>
        <v>1</v>
      </c>
      <c r="N291" s="132">
        <f t="shared" ref="N291" si="385">IFERROR((K291)+M291,"")</f>
        <v>2.9699999999999998</v>
      </c>
      <c r="O291" s="132">
        <f t="shared" si="370"/>
        <v>0.43340000000000001</v>
      </c>
      <c r="P291" s="132">
        <f t="shared" si="371"/>
        <v>0.19999999999999996</v>
      </c>
      <c r="Q291" s="132">
        <f t="shared" ref="Q291" si="386">SUM(N291:P291)</f>
        <v>3.6033999999999997</v>
      </c>
      <c r="R291" s="402">
        <f t="shared" ref="R291" si="387">K291*(1+$O$2)</f>
        <v>2.4034</v>
      </c>
      <c r="S291" s="402">
        <f t="shared" ref="S291" si="388">M291*(1+$P$2)</f>
        <v>1.2</v>
      </c>
      <c r="T291" s="402">
        <f t="shared" ref="T291" si="389">R291+S291</f>
        <v>3.6033999999999997</v>
      </c>
      <c r="U291" s="127"/>
      <c r="V291" s="127"/>
      <c r="W291" t="str">
        <f>IFERROR(#REF!*J291,"")</f>
        <v/>
      </c>
      <c r="X291">
        <f t="shared" ref="X291" si="390">IFERROR(K291*J291,"")</f>
        <v>1.8912</v>
      </c>
      <c r="Y291">
        <f t="shared" ref="Y291" si="391">IFERROR(+L291*J291,"")</f>
        <v>2.4</v>
      </c>
      <c r="Z291" s="127">
        <f t="shared" ref="Z291" si="392">IFERROR(+M291*J291,"")</f>
        <v>0.96</v>
      </c>
      <c r="AA291" s="127">
        <f t="shared" ref="AA291" si="393">IFERROR(+N291*J291,"")</f>
        <v>2.8511999999999995</v>
      </c>
      <c r="AB291" s="127">
        <f t="shared" ref="AB291" si="394">IFERROR(O291*$J291,"")</f>
        <v>0.41606399999999999</v>
      </c>
      <c r="AC291" s="127">
        <f t="shared" ref="AC291" si="395">IFERROR(P291*$J291,"")</f>
        <v>0.19199999999999995</v>
      </c>
      <c r="AD291" s="127">
        <f t="shared" ref="AD291" si="396">IFERROR(+Q291*J291,"")</f>
        <v>3.4592639999999997</v>
      </c>
      <c r="AF291" s="127" t="str">
        <f>IFERROR(W291*'FlightConfig '!$K$3,"")</f>
        <v/>
      </c>
      <c r="AG291" s="127">
        <f>IFERROR(X291*'FlightConfig '!$K$23,"")</f>
        <v>688.39679999999998</v>
      </c>
      <c r="AH291" s="127">
        <f>IFERROR(Y291*'FlightConfig '!$K$23,"")</f>
        <v>873.6</v>
      </c>
      <c r="AI291" s="127">
        <f>IFERROR(Z291*'FlightConfig '!$K$23,"")</f>
        <v>349.44</v>
      </c>
      <c r="AJ291" s="127">
        <f>IFERROR(AA291*'FlightConfig '!$K$23,"")</f>
        <v>1037.8367999999998</v>
      </c>
      <c r="AK291" s="127">
        <f>IFERROR(AB291*'FlightConfig '!$K$23,"")</f>
        <v>151.44729599999999</v>
      </c>
    </row>
    <row r="292" spans="1:37" ht="17.25" customHeight="1">
      <c r="B292" s="171">
        <v>1</v>
      </c>
      <c r="C292" s="176" t="str">
        <f t="shared" ref="C292" si="397">CONCATENATE(A292&amp;B292&amp;F292)</f>
        <v>1</v>
      </c>
      <c r="D292" s="315"/>
      <c r="E292" s="304"/>
      <c r="F292" s="310"/>
      <c r="G292" t="e">
        <f>VLOOKUP(E292,'FG MASTER'!$A:$AB,2,0)</f>
        <v>#N/A</v>
      </c>
      <c r="H292" s="285">
        <v>1</v>
      </c>
      <c r="I292" s="173">
        <v>1</v>
      </c>
      <c r="J292" s="291" t="str">
        <f>IFERROR(IF(I292="std",H292,HLOOKUP(A292,'FlightConfig '!$B$34:$G$35,2,0)*I292),"")</f>
        <v/>
      </c>
      <c r="K292" s="244" t="e">
        <f>VLOOKUP(Food!E292,'FG MASTER'!$A$1:$AC$536,16,0)</f>
        <v>#N/A</v>
      </c>
      <c r="L292" s="245" t="e">
        <f>VLOOKUP(Food!E292,'FG MASTER'!$A$10:$AC$536,17,0)</f>
        <v>#N/A</v>
      </c>
      <c r="M292" s="132" t="str">
        <f t="shared" ref="M292:M306" si="398">IFERROR(L292*$M$2,"")</f>
        <v/>
      </c>
      <c r="N292" s="132" t="str">
        <f t="shared" ref="N292:N319" si="399">IFERROR((K292)+M292,"")</f>
        <v/>
      </c>
      <c r="O292" s="132">
        <f t="shared" ref="O292:O355" si="400">IFERROR($K292*(1+$O$2)-$K292,0)</f>
        <v>0</v>
      </c>
      <c r="P292" s="132">
        <f t="shared" ref="P292:P355" si="401">IFERROR($M292*(1+$P$2)-$M292,0)</f>
        <v>0</v>
      </c>
      <c r="Q292" s="132">
        <f t="shared" ref="Q292" si="402">SUM(N292:P292)</f>
        <v>0</v>
      </c>
      <c r="R292" s="402" t="e">
        <f t="shared" ref="R292:R355" si="403">K292*(1+$O$2)</f>
        <v>#N/A</v>
      </c>
      <c r="S292" s="402" t="e">
        <f t="shared" ref="S292:S355" si="404">M292*(1+$P$2)</f>
        <v>#VALUE!</v>
      </c>
      <c r="T292" s="402" t="e">
        <f t="shared" ref="T292:T355" si="405">R292+S292</f>
        <v>#N/A</v>
      </c>
      <c r="U292" s="127"/>
      <c r="V292" s="127"/>
      <c r="W292" s="127"/>
      <c r="X292" s="127"/>
      <c r="Z292" s="127"/>
      <c r="AA292" s="127"/>
      <c r="AB292" s="127"/>
      <c r="AC292" s="127"/>
      <c r="AD292" s="127"/>
      <c r="AG292" s="127"/>
      <c r="AH292" s="127"/>
      <c r="AI292" s="127"/>
      <c r="AJ292" s="127"/>
      <c r="AK292" s="127"/>
    </row>
    <row r="293" spans="1:37">
      <c r="A293" t="s">
        <v>156</v>
      </c>
      <c r="B293" s="171">
        <v>2</v>
      </c>
      <c r="C293" s="176" t="str">
        <f>CONCATENATE(A293&amp;B293&amp;F293)</f>
        <v>BUSINESS CLASS2104</v>
      </c>
      <c r="D293" s="172"/>
      <c r="E293" s="304">
        <v>1205</v>
      </c>
      <c r="F293" s="310">
        <v>104</v>
      </c>
      <c r="G293" t="str">
        <f>VLOOKUP(E293,'FG MASTER'!$A:$AB,2,0)</f>
        <v>BC DINNER TRAY SET UP</v>
      </c>
      <c r="H293" s="285">
        <v>1</v>
      </c>
      <c r="I293" s="173">
        <v>1</v>
      </c>
      <c r="J293" s="291">
        <f>IFERROR(IF(I293="std",H293,HLOOKUP(A293,'FlightConfig '!$B$34:$G$35,2,0)*I293),"")</f>
        <v>30</v>
      </c>
      <c r="K293" s="244">
        <f>VLOOKUP(Food!E293,'FG MASTER'!$A$1:$AC$536,16,0)</f>
        <v>0</v>
      </c>
      <c r="L293" s="245">
        <f>VLOOKUP(Food!E293,'FG MASTER'!$A$10:$AC$536,17,0)</f>
        <v>0</v>
      </c>
      <c r="M293" s="132">
        <f t="shared" si="398"/>
        <v>0</v>
      </c>
      <c r="N293" s="132">
        <f t="shared" si="399"/>
        <v>0</v>
      </c>
      <c r="O293" s="132">
        <f t="shared" si="400"/>
        <v>0</v>
      </c>
      <c r="P293" s="132">
        <f t="shared" si="401"/>
        <v>0</v>
      </c>
      <c r="Q293" s="132">
        <f>SUM(N293:P293)</f>
        <v>0</v>
      </c>
      <c r="R293" s="402">
        <f t="shared" si="403"/>
        <v>0</v>
      </c>
      <c r="S293" s="402">
        <f t="shared" si="404"/>
        <v>0</v>
      </c>
      <c r="T293" s="402">
        <f t="shared" si="405"/>
        <v>0</v>
      </c>
      <c r="U293" s="127"/>
      <c r="V293" s="127"/>
      <c r="W293" t="str">
        <f>IFERROR(#REF!*J293,"")</f>
        <v/>
      </c>
      <c r="X293">
        <f t="shared" ref="X293:X356" si="406">IFERROR(K293*J293,"")</f>
        <v>0</v>
      </c>
      <c r="Y293">
        <f t="shared" ref="Y293:Y356" si="407">IFERROR(+L293*J293,"")</f>
        <v>0</v>
      </c>
      <c r="Z293" s="127">
        <f t="shared" ref="Z293:Z356" si="408">IFERROR(+M293*J293,"")</f>
        <v>0</v>
      </c>
      <c r="AA293" s="127">
        <f t="shared" ref="AA293:AA356" si="409">IFERROR(+N293*J293,"")</f>
        <v>0</v>
      </c>
      <c r="AB293" s="127">
        <f t="shared" ref="AB293:AB356" si="410">IFERROR(O293*$J293,"")</f>
        <v>0</v>
      </c>
      <c r="AC293" s="127">
        <f t="shared" ref="AC293:AC356" si="411">IFERROR(P293*$J293,"")</f>
        <v>0</v>
      </c>
      <c r="AD293" s="127">
        <f t="shared" ref="AD293:AD356" si="412">IFERROR(+Q293*J293,"")</f>
        <v>0</v>
      </c>
      <c r="AF293" s="127" t="str">
        <f>IFERROR(W293*'FlightConfig '!$K$3,"")</f>
        <v/>
      </c>
      <c r="AG293" s="127">
        <f>IFERROR(X293*'FlightConfig '!$K$23,"")</f>
        <v>0</v>
      </c>
      <c r="AH293" s="127">
        <f>IFERROR(Y293*'FlightConfig '!$K$23,"")</f>
        <v>0</v>
      </c>
      <c r="AI293" s="127">
        <f>IFERROR(Z293*'FlightConfig '!$K$23,"")</f>
        <v>0</v>
      </c>
      <c r="AJ293" s="127">
        <f>IFERROR(AA293*'FlightConfig '!$K$23,"")</f>
        <v>0</v>
      </c>
      <c r="AK293" s="127">
        <f>IFERROR(AB293*'FlightConfig '!$K$23,"")</f>
        <v>0</v>
      </c>
    </row>
    <row r="294" spans="1:37">
      <c r="A294" t="s">
        <v>156</v>
      </c>
      <c r="B294" s="171">
        <v>2</v>
      </c>
      <c r="C294" s="176" t="str">
        <f>CONCATENATE(A294&amp;B294&amp;F294)</f>
        <v>BUSINESS CLASS2104</v>
      </c>
      <c r="D294" s="172"/>
      <c r="E294" s="304">
        <v>1156</v>
      </c>
      <c r="F294" s="310">
        <v>104</v>
      </c>
      <c r="G294" t="str">
        <f>VLOOKUP(E294,'FG MASTER'!$A:$AB,2,0)</f>
        <v>BC C1 DINNER PLAIN WHIPPED BUTTER WITH FLAKE SALT</v>
      </c>
      <c r="H294" s="285">
        <v>1</v>
      </c>
      <c r="I294" s="173">
        <v>1</v>
      </c>
      <c r="J294" s="291">
        <f>IFERROR(IF(I294="std",H294,HLOOKUP(A294,'FlightConfig '!$B$34:$G$35,2,0)*I294),"")</f>
        <v>30</v>
      </c>
      <c r="K294" s="244">
        <f>VLOOKUP(Food!E294,'FG MASTER'!$A$1:$AC$536,16,0)</f>
        <v>0.2</v>
      </c>
      <c r="L294" s="245">
        <f>VLOOKUP(Food!E294,'FG MASTER'!$A$10:$AC$536,17,0)</f>
        <v>0.5</v>
      </c>
      <c r="M294" s="132">
        <f t="shared" si="398"/>
        <v>0.2</v>
      </c>
      <c r="N294" s="132">
        <f t="shared" si="399"/>
        <v>0.4</v>
      </c>
      <c r="O294" s="132">
        <f t="shared" si="400"/>
        <v>4.3999999999999984E-2</v>
      </c>
      <c r="P294" s="132">
        <f t="shared" si="401"/>
        <v>3.999999999999998E-2</v>
      </c>
      <c r="Q294" s="132">
        <f>SUM(N294:P294)</f>
        <v>0.48399999999999999</v>
      </c>
      <c r="R294" s="402">
        <f t="shared" si="403"/>
        <v>0.24399999999999999</v>
      </c>
      <c r="S294" s="402">
        <f t="shared" si="404"/>
        <v>0.24</v>
      </c>
      <c r="T294" s="402">
        <f t="shared" si="405"/>
        <v>0.48399999999999999</v>
      </c>
      <c r="U294" s="127"/>
      <c r="V294" s="127"/>
      <c r="W294" t="str">
        <f>IFERROR(#REF!*J294,"")</f>
        <v/>
      </c>
      <c r="X294">
        <f t="shared" si="406"/>
        <v>6</v>
      </c>
      <c r="Y294">
        <f t="shared" si="407"/>
        <v>15</v>
      </c>
      <c r="Z294" s="127">
        <f t="shared" si="408"/>
        <v>6</v>
      </c>
      <c r="AA294" s="127">
        <f t="shared" si="409"/>
        <v>12</v>
      </c>
      <c r="AB294" s="127">
        <f t="shared" si="410"/>
        <v>1.3199999999999994</v>
      </c>
      <c r="AC294" s="127">
        <f t="shared" si="411"/>
        <v>1.1999999999999993</v>
      </c>
      <c r="AD294" s="127">
        <f t="shared" si="412"/>
        <v>14.52</v>
      </c>
      <c r="AF294" s="127" t="str">
        <f>IFERROR(W294*'FlightConfig '!$K$3,"")</f>
        <v/>
      </c>
      <c r="AG294" s="127">
        <f>IFERROR(X294*'FlightConfig '!$K$23,"")</f>
        <v>2184</v>
      </c>
      <c r="AH294" s="127">
        <f>IFERROR(Y294*'FlightConfig '!$K$23,"")</f>
        <v>5460</v>
      </c>
      <c r="AI294" s="127">
        <f>IFERROR(Z294*'FlightConfig '!$K$23,"")</f>
        <v>2184</v>
      </c>
      <c r="AJ294" s="127">
        <f>IFERROR(AA294*'FlightConfig '!$K$23,"")</f>
        <v>4368</v>
      </c>
      <c r="AK294" s="127">
        <f>IFERROR(AB294*'FlightConfig '!$K$23,"")</f>
        <v>480.47999999999979</v>
      </c>
    </row>
    <row r="295" spans="1:37">
      <c r="A295" t="s">
        <v>156</v>
      </c>
      <c r="B295" s="171">
        <v>2</v>
      </c>
      <c r="C295" s="176" t="str">
        <f t="shared" ref="C295:C314" si="413">CONCATENATE(A295&amp;B295&amp;F295)</f>
        <v>BUSINESS CLASS2104</v>
      </c>
      <c r="D295" s="172"/>
      <c r="E295" s="304">
        <v>1002</v>
      </c>
      <c r="F295" s="310">
        <v>104</v>
      </c>
      <c r="G295" t="str">
        <f>VLOOKUP(E295,'FG MASTER'!$A:$AB,2,0)</f>
        <v xml:space="preserve">BC C1 DINNER SWEETWATER BEET AND CHEESE ROLL </v>
      </c>
      <c r="H295" s="285">
        <v>1</v>
      </c>
      <c r="I295" s="173">
        <v>0.5</v>
      </c>
      <c r="J295" s="291">
        <f>IFERROR(IF(I295="std",H295,HLOOKUP(A295,'FlightConfig '!$B$34:$G$35,2,0)*I295),"")</f>
        <v>15</v>
      </c>
      <c r="K295" s="244">
        <f>VLOOKUP(Food!E295,'FG MASTER'!$A$1:$AC$536,16,0)</f>
        <v>0.3</v>
      </c>
      <c r="L295" s="245">
        <f>VLOOKUP(Food!E295,'FG MASTER'!$A$10:$AC$536,17,0)</f>
        <v>0.25</v>
      </c>
      <c r="M295" s="132">
        <f t="shared" si="398"/>
        <v>0.1</v>
      </c>
      <c r="N295" s="132">
        <f t="shared" si="399"/>
        <v>0.4</v>
      </c>
      <c r="O295" s="132">
        <f t="shared" si="400"/>
        <v>6.6000000000000003E-2</v>
      </c>
      <c r="P295" s="132">
        <f t="shared" si="401"/>
        <v>1.999999999999999E-2</v>
      </c>
      <c r="Q295" s="132">
        <f t="shared" ref="Q295:Q301" si="414">SUM(N295:P295)</f>
        <v>0.48599999999999999</v>
      </c>
      <c r="R295" s="402">
        <f t="shared" si="403"/>
        <v>0.36599999999999999</v>
      </c>
      <c r="S295" s="402">
        <f t="shared" si="404"/>
        <v>0.12</v>
      </c>
      <c r="T295" s="402">
        <f t="shared" si="405"/>
        <v>0.48599999999999999</v>
      </c>
      <c r="U295" s="127"/>
      <c r="V295" s="127"/>
      <c r="W295" t="str">
        <f>IFERROR(#REF!*J295,"")</f>
        <v/>
      </c>
      <c r="X295">
        <f t="shared" si="406"/>
        <v>4.5</v>
      </c>
      <c r="Y295">
        <f t="shared" si="407"/>
        <v>3.75</v>
      </c>
      <c r="Z295" s="127">
        <f t="shared" si="408"/>
        <v>1.5</v>
      </c>
      <c r="AA295" s="127">
        <f t="shared" si="409"/>
        <v>6</v>
      </c>
      <c r="AB295" s="127">
        <f t="shared" si="410"/>
        <v>0.99</v>
      </c>
      <c r="AC295" s="127">
        <f t="shared" si="411"/>
        <v>0.29999999999999982</v>
      </c>
      <c r="AD295" s="127">
        <f t="shared" si="412"/>
        <v>7.29</v>
      </c>
      <c r="AF295" s="127" t="str">
        <f>IFERROR(W295*'FlightConfig '!$K$3,"")</f>
        <v/>
      </c>
      <c r="AG295" s="127">
        <f>IFERROR(X295*'FlightConfig '!$K$23,"")</f>
        <v>1638</v>
      </c>
      <c r="AH295" s="127">
        <f>IFERROR(Y295*'FlightConfig '!$K$23,"")</f>
        <v>1365</v>
      </c>
      <c r="AI295" s="127">
        <f>IFERROR(Z295*'FlightConfig '!$K$23,"")</f>
        <v>546</v>
      </c>
      <c r="AJ295" s="127">
        <f>IFERROR(AA295*'FlightConfig '!$K$23,"")</f>
        <v>2184</v>
      </c>
      <c r="AK295" s="127">
        <f>IFERROR(AB295*'FlightConfig '!$K$23,"")</f>
        <v>360.36</v>
      </c>
    </row>
    <row r="296" spans="1:37">
      <c r="A296" t="s">
        <v>156</v>
      </c>
      <c r="B296" s="171">
        <v>2</v>
      </c>
      <c r="C296" s="176" t="str">
        <f t="shared" si="413"/>
        <v>BUSINESS CLASS2104</v>
      </c>
      <c r="D296" s="172"/>
      <c r="E296" s="304">
        <v>1003</v>
      </c>
      <c r="F296" s="310">
        <v>104</v>
      </c>
      <c r="G296" t="str">
        <f>VLOOKUP(E296,'FG MASTER'!$A:$AB,2,0)</f>
        <v xml:space="preserve">BC C1 DINNER HERB FOCACCIA ROLL </v>
      </c>
      <c r="H296" s="285">
        <v>1</v>
      </c>
      <c r="I296" s="173">
        <v>0.5</v>
      </c>
      <c r="J296" s="291">
        <f>IFERROR(IF(I296="std",H296,HLOOKUP(A296,'FlightConfig '!$B$34:$G$35,2,0)*I296),"")</f>
        <v>15</v>
      </c>
      <c r="K296" s="244">
        <f>VLOOKUP(Food!E296,'FG MASTER'!$A$1:$AC$536,16,0)</f>
        <v>0.14000000000000001</v>
      </c>
      <c r="L296" s="245">
        <f>VLOOKUP(Food!E296,'FG MASTER'!$A$10:$AC$536,17,0)</f>
        <v>0.25</v>
      </c>
      <c r="M296" s="132">
        <f t="shared" si="398"/>
        <v>0.1</v>
      </c>
      <c r="N296" s="132">
        <f t="shared" si="399"/>
        <v>0.24000000000000002</v>
      </c>
      <c r="O296" s="132">
        <f t="shared" si="400"/>
        <v>3.0799999999999994E-2</v>
      </c>
      <c r="P296" s="132">
        <f t="shared" si="401"/>
        <v>1.999999999999999E-2</v>
      </c>
      <c r="Q296" s="132">
        <f t="shared" si="414"/>
        <v>0.29080000000000006</v>
      </c>
      <c r="R296" s="402">
        <f t="shared" si="403"/>
        <v>0.17080000000000001</v>
      </c>
      <c r="S296" s="402">
        <f t="shared" si="404"/>
        <v>0.12</v>
      </c>
      <c r="T296" s="402">
        <f t="shared" si="405"/>
        <v>0.2908</v>
      </c>
      <c r="U296" s="127"/>
      <c r="V296" s="127"/>
      <c r="W296" t="str">
        <f>IFERROR(#REF!*J296,"")</f>
        <v/>
      </c>
      <c r="X296">
        <f t="shared" si="406"/>
        <v>2.1</v>
      </c>
      <c r="Y296">
        <f t="shared" si="407"/>
        <v>3.75</v>
      </c>
      <c r="Z296" s="127">
        <f t="shared" si="408"/>
        <v>1.5</v>
      </c>
      <c r="AA296" s="127">
        <f t="shared" si="409"/>
        <v>3.6</v>
      </c>
      <c r="AB296" s="127">
        <f t="shared" si="410"/>
        <v>0.46199999999999991</v>
      </c>
      <c r="AC296" s="127">
        <f t="shared" si="411"/>
        <v>0.29999999999999982</v>
      </c>
      <c r="AD296" s="127">
        <f t="shared" si="412"/>
        <v>4.362000000000001</v>
      </c>
      <c r="AF296" s="127" t="str">
        <f>IFERROR(W296*'FlightConfig '!$K$3,"")</f>
        <v/>
      </c>
      <c r="AG296" s="127">
        <f>IFERROR(X296*'FlightConfig '!$K$23,"")</f>
        <v>764.4</v>
      </c>
      <c r="AH296" s="127">
        <f>IFERROR(Y296*'FlightConfig '!$K$23,"")</f>
        <v>1365</v>
      </c>
      <c r="AI296" s="127">
        <f>IFERROR(Z296*'FlightConfig '!$K$23,"")</f>
        <v>546</v>
      </c>
      <c r="AJ296" s="127">
        <f>IFERROR(AA296*'FlightConfig '!$K$23,"")</f>
        <v>1310.4000000000001</v>
      </c>
      <c r="AK296" s="127">
        <f>IFERROR(AB296*'FlightConfig '!$K$23,"")</f>
        <v>168.16799999999998</v>
      </c>
    </row>
    <row r="297" spans="1:37">
      <c r="A297" t="s">
        <v>156</v>
      </c>
      <c r="B297" s="171">
        <v>2</v>
      </c>
      <c r="C297" s="176" t="str">
        <f t="shared" si="413"/>
        <v>BUSINESS CLASS2104</v>
      </c>
      <c r="D297" s="172"/>
      <c r="E297" s="304">
        <v>1004</v>
      </c>
      <c r="F297" s="310">
        <v>104</v>
      </c>
      <c r="G297" t="str">
        <f>VLOOKUP(E297,'FG MASTER'!$A:$AB,2,0)</f>
        <v xml:space="preserve">BC C1 DINNER HHAWAIIAN ROLL </v>
      </c>
      <c r="H297" s="285">
        <v>1</v>
      </c>
      <c r="I297" s="173">
        <v>0.5</v>
      </c>
      <c r="J297" s="291">
        <f>IFERROR(IF(I297="std",H297,HLOOKUP(A297,'FlightConfig '!$B$34:$G$35,2,0)*I297),"")</f>
        <v>15</v>
      </c>
      <c r="K297" s="244">
        <f>VLOOKUP(Food!E297,'FG MASTER'!$A$1:$AC$536,16,0)</f>
        <v>0.25</v>
      </c>
      <c r="L297" s="245">
        <f>VLOOKUP(Food!E297,'FG MASTER'!$A$10:$AC$536,17,0)</f>
        <v>0.25</v>
      </c>
      <c r="M297" s="132">
        <f t="shared" si="398"/>
        <v>0.1</v>
      </c>
      <c r="N297" s="132">
        <f t="shared" si="399"/>
        <v>0.35</v>
      </c>
      <c r="O297" s="132">
        <f t="shared" si="400"/>
        <v>5.4999999999999993E-2</v>
      </c>
      <c r="P297" s="132">
        <f t="shared" si="401"/>
        <v>1.999999999999999E-2</v>
      </c>
      <c r="Q297" s="132">
        <f t="shared" si="414"/>
        <v>0.42499999999999993</v>
      </c>
      <c r="R297" s="402">
        <f t="shared" si="403"/>
        <v>0.30499999999999999</v>
      </c>
      <c r="S297" s="402">
        <f t="shared" si="404"/>
        <v>0.12</v>
      </c>
      <c r="T297" s="402">
        <f t="shared" si="405"/>
        <v>0.42499999999999999</v>
      </c>
      <c r="U297" s="127"/>
      <c r="V297" s="127"/>
      <c r="W297" t="str">
        <f>IFERROR(#REF!*J297,"")</f>
        <v/>
      </c>
      <c r="X297">
        <f t="shared" si="406"/>
        <v>3.75</v>
      </c>
      <c r="Y297">
        <f t="shared" si="407"/>
        <v>3.75</v>
      </c>
      <c r="Z297" s="127">
        <f t="shared" si="408"/>
        <v>1.5</v>
      </c>
      <c r="AA297" s="127">
        <f t="shared" si="409"/>
        <v>5.25</v>
      </c>
      <c r="AB297" s="127">
        <f t="shared" si="410"/>
        <v>0.82499999999999996</v>
      </c>
      <c r="AC297" s="127">
        <f t="shared" si="411"/>
        <v>0.29999999999999982</v>
      </c>
      <c r="AD297" s="127">
        <f t="shared" si="412"/>
        <v>6.3749999999999991</v>
      </c>
      <c r="AF297" s="127" t="str">
        <f>IFERROR(W297*'FlightConfig '!$K$3,"")</f>
        <v/>
      </c>
      <c r="AG297" s="127">
        <f>IFERROR(X297*'FlightConfig '!$K$23,"")</f>
        <v>1365</v>
      </c>
      <c r="AH297" s="127">
        <f>IFERROR(Y297*'FlightConfig '!$K$23,"")</f>
        <v>1365</v>
      </c>
      <c r="AI297" s="127">
        <f>IFERROR(Z297*'FlightConfig '!$K$23,"")</f>
        <v>546</v>
      </c>
      <c r="AJ297" s="127">
        <f>IFERROR(AA297*'FlightConfig '!$K$23,"")</f>
        <v>1911</v>
      </c>
      <c r="AK297" s="127">
        <f>IFERROR(AB297*'FlightConfig '!$K$23,"")</f>
        <v>300.3</v>
      </c>
    </row>
    <row r="298" spans="1:37" ht="18.75" customHeight="1">
      <c r="A298" t="s">
        <v>156</v>
      </c>
      <c r="B298" s="171">
        <v>2</v>
      </c>
      <c r="C298" s="176" t="str">
        <f t="shared" si="413"/>
        <v>BUSINESS CLASS2104</v>
      </c>
      <c r="D298" s="172"/>
      <c r="E298" s="304">
        <v>1159</v>
      </c>
      <c r="F298" s="310">
        <v>104</v>
      </c>
      <c r="G298" t="str">
        <f>VLOOKUP(E298,'FG MASTER'!$A:$AB,2,0)</f>
        <v>BC C2 DINNER COCKTAIL PRAWN, APPLE FENNEL SALAD, CITRUS AIOLI</v>
      </c>
      <c r="H298" s="285">
        <v>1</v>
      </c>
      <c r="I298" s="173">
        <v>0.55000000000000004</v>
      </c>
      <c r="J298" s="291">
        <f>IFERROR(IF(I298="std",H298,HLOOKUP(A298,'FlightConfig '!$B$34:$G$35,2,0)*I298),"")</f>
        <v>16.5</v>
      </c>
      <c r="K298" s="244">
        <f>VLOOKUP(Food!E298,'FG MASTER'!$A$1:$AC$536,16,0)</f>
        <v>2.69</v>
      </c>
      <c r="L298" s="245">
        <f>VLOOKUP(Food!E298,'FG MASTER'!$A$10:$AC$536,17,0)</f>
        <v>3</v>
      </c>
      <c r="M298" s="132">
        <f t="shared" si="398"/>
        <v>1.2000000000000002</v>
      </c>
      <c r="N298" s="132">
        <f t="shared" si="399"/>
        <v>3.89</v>
      </c>
      <c r="O298" s="132">
        <f t="shared" si="400"/>
        <v>0.5918000000000001</v>
      </c>
      <c r="P298" s="132">
        <f t="shared" si="401"/>
        <v>0.24</v>
      </c>
      <c r="Q298" s="132">
        <f t="shared" si="414"/>
        <v>4.7218</v>
      </c>
      <c r="R298" s="402">
        <f t="shared" si="403"/>
        <v>3.2818000000000001</v>
      </c>
      <c r="S298" s="402">
        <f t="shared" si="404"/>
        <v>1.4400000000000002</v>
      </c>
      <c r="T298" s="402">
        <f t="shared" si="405"/>
        <v>4.7218</v>
      </c>
      <c r="U298" s="127"/>
      <c r="V298" s="127"/>
      <c r="W298" t="str">
        <f>IFERROR(#REF!*J298,"")</f>
        <v/>
      </c>
      <c r="X298">
        <f t="shared" si="406"/>
        <v>44.384999999999998</v>
      </c>
      <c r="Y298">
        <f t="shared" si="407"/>
        <v>49.5</v>
      </c>
      <c r="Z298" s="127">
        <f t="shared" si="408"/>
        <v>19.800000000000004</v>
      </c>
      <c r="AA298" s="127">
        <f t="shared" si="409"/>
        <v>64.185000000000002</v>
      </c>
      <c r="AB298" s="127">
        <f t="shared" si="410"/>
        <v>9.7647000000000013</v>
      </c>
      <c r="AC298" s="127">
        <f t="shared" si="411"/>
        <v>3.96</v>
      </c>
      <c r="AD298" s="127">
        <f t="shared" si="412"/>
        <v>77.909700000000001</v>
      </c>
      <c r="AF298" s="127" t="str">
        <f>IFERROR(W298*'FlightConfig '!$K$3,"")</f>
        <v/>
      </c>
      <c r="AG298" s="127">
        <f>IFERROR(X298*'FlightConfig '!$K$23,"")</f>
        <v>16156.14</v>
      </c>
      <c r="AH298" s="127">
        <f>IFERROR(Y298*'FlightConfig '!$K$23,"")</f>
        <v>18018</v>
      </c>
      <c r="AI298" s="127">
        <f>IFERROR(Z298*'FlightConfig '!$K$23,"")</f>
        <v>7207.2000000000016</v>
      </c>
      <c r="AJ298" s="127">
        <f>IFERROR(AA298*'FlightConfig '!$K$23,"")</f>
        <v>23363.34</v>
      </c>
      <c r="AK298" s="127">
        <f>IFERROR(AB298*'FlightConfig '!$K$23,"")</f>
        <v>3554.3508000000006</v>
      </c>
    </row>
    <row r="299" spans="1:37" ht="18.75" customHeight="1">
      <c r="A299" t="s">
        <v>156</v>
      </c>
      <c r="B299" s="171">
        <v>2</v>
      </c>
      <c r="C299" s="176" t="str">
        <f t="shared" si="413"/>
        <v>BUSINESS CLASS2104</v>
      </c>
      <c r="D299" s="172"/>
      <c r="E299" s="304">
        <v>1160</v>
      </c>
      <c r="F299" s="310">
        <v>104</v>
      </c>
      <c r="G299" t="str">
        <f>VLOOKUP(E299,'FG MASTER'!$A:$AB,2,0)</f>
        <v>BC C2 DINNER HERB BAKED GOAT CHEESE, ARUGULA, HOT HONEY GLAZE, VIBIANO BLOOD ORANGE DRESSING</v>
      </c>
      <c r="H299" s="285">
        <v>1</v>
      </c>
      <c r="I299" s="173">
        <v>0.55000000000000004</v>
      </c>
      <c r="J299" s="291">
        <f>IFERROR(IF(I299="std",H299,HLOOKUP(A299,'FlightConfig '!$B$34:$G$35,2,0)*I299),"")</f>
        <v>16.5</v>
      </c>
      <c r="K299" s="244">
        <f>VLOOKUP(Food!E299,'FG MASTER'!$A$1:$AC$536,16,0)</f>
        <v>2.96</v>
      </c>
      <c r="L299" s="245">
        <f>VLOOKUP(Food!E299,'FG MASTER'!$A$10:$AC$536,17,0)</f>
        <v>1.65</v>
      </c>
      <c r="M299" s="132">
        <f t="shared" si="398"/>
        <v>0.66</v>
      </c>
      <c r="N299" s="132">
        <f t="shared" si="399"/>
        <v>3.62</v>
      </c>
      <c r="O299" s="132">
        <f t="shared" si="400"/>
        <v>0.65119999999999978</v>
      </c>
      <c r="P299" s="132">
        <f t="shared" si="401"/>
        <v>0.13200000000000001</v>
      </c>
      <c r="Q299" s="132">
        <f t="shared" si="414"/>
        <v>4.4032</v>
      </c>
      <c r="R299" s="402">
        <f t="shared" si="403"/>
        <v>3.6111999999999997</v>
      </c>
      <c r="S299" s="402">
        <f t="shared" si="404"/>
        <v>0.79200000000000004</v>
      </c>
      <c r="T299" s="402">
        <f t="shared" si="405"/>
        <v>4.4032</v>
      </c>
      <c r="U299" s="127"/>
      <c r="V299" s="127"/>
      <c r="W299" t="str">
        <f>IFERROR(#REF!*J299,"")</f>
        <v/>
      </c>
      <c r="X299">
        <f t="shared" si="406"/>
        <v>48.839999999999996</v>
      </c>
      <c r="Y299">
        <f t="shared" si="407"/>
        <v>27.224999999999998</v>
      </c>
      <c r="Z299" s="127">
        <f t="shared" si="408"/>
        <v>10.89</v>
      </c>
      <c r="AA299" s="127">
        <f t="shared" si="409"/>
        <v>59.730000000000004</v>
      </c>
      <c r="AB299" s="127">
        <f t="shared" si="410"/>
        <v>10.744799999999996</v>
      </c>
      <c r="AC299" s="127">
        <f t="shared" si="411"/>
        <v>2.1779999999999999</v>
      </c>
      <c r="AD299" s="127">
        <f t="shared" si="412"/>
        <v>72.652799999999999</v>
      </c>
      <c r="AF299" s="127" t="str">
        <f>IFERROR(W299*'FlightConfig '!$K$3,"")</f>
        <v/>
      </c>
      <c r="AG299" s="127">
        <f>IFERROR(X299*'FlightConfig '!$K$23,"")</f>
        <v>17777.759999999998</v>
      </c>
      <c r="AH299" s="127">
        <f>IFERROR(Y299*'FlightConfig '!$K$23,"")</f>
        <v>9909.9</v>
      </c>
      <c r="AI299" s="127">
        <f>IFERROR(Z299*'FlightConfig '!$K$23,"")</f>
        <v>3963.96</v>
      </c>
      <c r="AJ299" s="127">
        <f>IFERROR(AA299*'FlightConfig '!$K$23,"")</f>
        <v>21741.72</v>
      </c>
      <c r="AK299" s="127">
        <f>IFERROR(AB299*'FlightConfig '!$K$23,"")</f>
        <v>3911.1071999999986</v>
      </c>
    </row>
    <row r="300" spans="1:37" ht="18.75" customHeight="1">
      <c r="A300" t="s">
        <v>156</v>
      </c>
      <c r="B300" s="171">
        <v>2</v>
      </c>
      <c r="C300" s="176" t="str">
        <f t="shared" si="413"/>
        <v>BUSINESS CLASS2104</v>
      </c>
      <c r="D300" s="172"/>
      <c r="E300" s="304">
        <v>1161</v>
      </c>
      <c r="F300" s="310">
        <v>104</v>
      </c>
      <c r="G300" t="str">
        <f>VLOOKUP(E300,'FG MASTER'!$A:$AB,2,0)</f>
        <v>BC C2 DINNER AHI TUNA, PICKLED DAIKON AND CUCUMBER SALAD, SCALLION, AND YUZU PONZU AIOLI</v>
      </c>
      <c r="H300" s="285">
        <v>1</v>
      </c>
      <c r="I300" s="173">
        <v>0</v>
      </c>
      <c r="J300" s="291">
        <f>IFERROR(IF(I300="std",H300,HLOOKUP(A300,'FlightConfig '!$B$34:$G$35,2,0)*I300),"")</f>
        <v>0</v>
      </c>
      <c r="K300" s="244">
        <f>VLOOKUP(Food!E300,'FG MASTER'!$A$1:$AC$536,16,0)</f>
        <v>3.2</v>
      </c>
      <c r="L300" s="245">
        <f>VLOOKUP(Food!E300,'FG MASTER'!$A$10:$AC$536,17,0)</f>
        <v>2.75</v>
      </c>
      <c r="M300" s="132">
        <f t="shared" si="398"/>
        <v>1.1000000000000001</v>
      </c>
      <c r="N300" s="132">
        <f t="shared" si="399"/>
        <v>4.3000000000000007</v>
      </c>
      <c r="O300" s="132">
        <f t="shared" si="400"/>
        <v>0.70399999999999974</v>
      </c>
      <c r="P300" s="132">
        <f t="shared" si="401"/>
        <v>0.21999999999999997</v>
      </c>
      <c r="Q300" s="132">
        <f t="shared" si="414"/>
        <v>5.2240000000000002</v>
      </c>
      <c r="R300" s="402">
        <f t="shared" si="403"/>
        <v>3.9039999999999999</v>
      </c>
      <c r="S300" s="402">
        <f t="shared" si="404"/>
        <v>1.32</v>
      </c>
      <c r="T300" s="402">
        <f t="shared" si="405"/>
        <v>5.2240000000000002</v>
      </c>
      <c r="U300" s="127"/>
      <c r="V300" s="127"/>
      <c r="W300" t="str">
        <f>IFERROR(#REF!*J300,"")</f>
        <v/>
      </c>
      <c r="X300">
        <f t="shared" si="406"/>
        <v>0</v>
      </c>
      <c r="Y300">
        <f t="shared" si="407"/>
        <v>0</v>
      </c>
      <c r="Z300" s="127">
        <f t="shared" si="408"/>
        <v>0</v>
      </c>
      <c r="AA300" s="127">
        <f t="shared" si="409"/>
        <v>0</v>
      </c>
      <c r="AB300" s="127">
        <f t="shared" si="410"/>
        <v>0</v>
      </c>
      <c r="AC300" s="127">
        <f t="shared" si="411"/>
        <v>0</v>
      </c>
      <c r="AD300" s="127">
        <f t="shared" si="412"/>
        <v>0</v>
      </c>
      <c r="AF300" s="127" t="str">
        <f>IFERROR(W300*'FlightConfig '!$K$3,"")</f>
        <v/>
      </c>
      <c r="AG300" s="127">
        <f>IFERROR(X300*'FlightConfig '!$K$23,"")</f>
        <v>0</v>
      </c>
      <c r="AH300" s="127">
        <f>IFERROR(Y300*'FlightConfig '!$K$23,"")</f>
        <v>0</v>
      </c>
      <c r="AI300" s="127">
        <f>IFERROR(Z300*'FlightConfig '!$K$23,"")</f>
        <v>0</v>
      </c>
      <c r="AJ300" s="127">
        <f>IFERROR(AA300*'FlightConfig '!$K$23,"")</f>
        <v>0</v>
      </c>
      <c r="AK300" s="127">
        <f>IFERROR(AB300*'FlightConfig '!$K$23,"")</f>
        <v>0</v>
      </c>
    </row>
    <row r="301" spans="1:37" ht="18.75" customHeight="1">
      <c r="A301" t="s">
        <v>156</v>
      </c>
      <c r="B301" s="171">
        <v>2</v>
      </c>
      <c r="C301" s="176" t="str">
        <f t="shared" si="413"/>
        <v>BUSINESS CLASS2104</v>
      </c>
      <c r="D301" s="172"/>
      <c r="E301" s="304">
        <v>1162</v>
      </c>
      <c r="F301" s="310">
        <v>104</v>
      </c>
      <c r="G301" t="str">
        <f>VLOOKUP(E301,'FG MASTER'!$A:$AB,2,0)</f>
        <v>BC C2 DINNER ROASTED VEG TIKKA PUFF BITE, TOMATO, SWEET TAMARIND CHUTNEY, CORIANDER YOGURT</v>
      </c>
      <c r="H301" s="285">
        <v>1</v>
      </c>
      <c r="I301" s="173">
        <v>0</v>
      </c>
      <c r="J301" s="291">
        <f>IFERROR(IF(I301="std",H301,HLOOKUP(A301,'FlightConfig '!$B$34:$G$35,2,0)*I301),"")</f>
        <v>0</v>
      </c>
      <c r="K301" s="244">
        <f>VLOOKUP(Food!E301,'FG MASTER'!$A$1:$AC$536,16,0)</f>
        <v>1.73</v>
      </c>
      <c r="L301" s="245">
        <f>VLOOKUP(Food!E301,'FG MASTER'!$A$10:$AC$536,17,0)</f>
        <v>2.5</v>
      </c>
      <c r="M301" s="132">
        <f t="shared" si="398"/>
        <v>1</v>
      </c>
      <c r="N301" s="132">
        <f t="shared" si="399"/>
        <v>2.73</v>
      </c>
      <c r="O301" s="132">
        <f t="shared" si="400"/>
        <v>0.38059999999999983</v>
      </c>
      <c r="P301" s="132">
        <f t="shared" si="401"/>
        <v>0.19999999999999996</v>
      </c>
      <c r="Q301" s="132">
        <f t="shared" si="414"/>
        <v>3.3106</v>
      </c>
      <c r="R301" s="402">
        <f t="shared" si="403"/>
        <v>2.1105999999999998</v>
      </c>
      <c r="S301" s="402">
        <f t="shared" si="404"/>
        <v>1.2</v>
      </c>
      <c r="T301" s="402">
        <f t="shared" si="405"/>
        <v>3.3106</v>
      </c>
      <c r="U301" s="127"/>
      <c r="V301" s="127"/>
      <c r="W301" t="str">
        <f>IFERROR(#REF!*J301,"")</f>
        <v/>
      </c>
      <c r="X301">
        <f t="shared" si="406"/>
        <v>0</v>
      </c>
      <c r="Y301">
        <f t="shared" si="407"/>
        <v>0</v>
      </c>
      <c r="Z301" s="127">
        <f t="shared" si="408"/>
        <v>0</v>
      </c>
      <c r="AA301" s="127">
        <f t="shared" si="409"/>
        <v>0</v>
      </c>
      <c r="AB301" s="127">
        <f t="shared" si="410"/>
        <v>0</v>
      </c>
      <c r="AC301" s="127">
        <f t="shared" si="411"/>
        <v>0</v>
      </c>
      <c r="AD301" s="127">
        <f t="shared" si="412"/>
        <v>0</v>
      </c>
      <c r="AF301" s="127" t="str">
        <f>IFERROR(W301*'FlightConfig '!$K$3,"")</f>
        <v/>
      </c>
      <c r="AG301" s="127">
        <f>IFERROR(X301*'FlightConfig '!$K$23,"")</f>
        <v>0</v>
      </c>
      <c r="AH301" s="127">
        <f>IFERROR(Y301*'FlightConfig '!$K$23,"")</f>
        <v>0</v>
      </c>
      <c r="AI301" s="127">
        <f>IFERROR(Z301*'FlightConfig '!$K$23,"")</f>
        <v>0</v>
      </c>
      <c r="AJ301" s="127">
        <f>IFERROR(AA301*'FlightConfig '!$K$23,"")</f>
        <v>0</v>
      </c>
      <c r="AK301" s="127">
        <f>IFERROR(AB301*'FlightConfig '!$K$23,"")</f>
        <v>0</v>
      </c>
    </row>
    <row r="302" spans="1:37" ht="18.75" customHeight="1">
      <c r="A302" t="s">
        <v>156</v>
      </c>
      <c r="B302" s="171">
        <v>2</v>
      </c>
      <c r="C302" s="176" t="str">
        <f t="shared" si="413"/>
        <v>BUSINESS CLASS2104</v>
      </c>
      <c r="D302" s="172"/>
      <c r="E302" s="304">
        <v>1168</v>
      </c>
      <c r="F302" s="310">
        <v>104</v>
      </c>
      <c r="G302" t="str">
        <f>VLOOKUP(E302,'FG MASTER'!$A:$AB,2,0)</f>
        <v>BC C2 DINNER ENTREE 1 PERI PERI CHICKEN</v>
      </c>
      <c r="H302" s="285">
        <v>1</v>
      </c>
      <c r="I302" s="173">
        <v>0.6</v>
      </c>
      <c r="J302" s="291">
        <f>IFERROR(IF(I302="std",H302,HLOOKUP(A302,'FlightConfig '!$B$34:$G$35,2,0)*I302),"")</f>
        <v>18</v>
      </c>
      <c r="K302" s="420">
        <f>VLOOKUP(Food!E302,'FG MASTER'!$A$1:$AC$536,16,0)</f>
        <v>4.3790533643228997</v>
      </c>
      <c r="L302" s="245">
        <f>VLOOKUP(Food!E302,'FG MASTER'!$A$10:$AC$536,17,0)</f>
        <v>4.75</v>
      </c>
      <c r="M302" s="132">
        <f t="shared" si="398"/>
        <v>1.9000000000000001</v>
      </c>
      <c r="N302" s="132">
        <f t="shared" si="399"/>
        <v>6.2790533643229001</v>
      </c>
      <c r="O302" s="132">
        <f t="shared" si="400"/>
        <v>0.9633917401510379</v>
      </c>
      <c r="P302" s="132">
        <f t="shared" si="401"/>
        <v>0.38000000000000012</v>
      </c>
      <c r="Q302" s="418">
        <f>SUM(N302:P302)</f>
        <v>7.6224451044739379</v>
      </c>
      <c r="R302" s="402">
        <f t="shared" si="403"/>
        <v>5.3424451044739376</v>
      </c>
      <c r="S302" s="402">
        <f t="shared" si="404"/>
        <v>2.2800000000000002</v>
      </c>
      <c r="T302" s="402">
        <f t="shared" si="405"/>
        <v>7.6224451044739379</v>
      </c>
      <c r="U302" s="127"/>
      <c r="V302" s="127"/>
      <c r="W302" t="str">
        <f>IFERROR(#REF!*J302,"")</f>
        <v/>
      </c>
      <c r="X302">
        <f t="shared" si="406"/>
        <v>78.822960557812195</v>
      </c>
      <c r="Y302">
        <f t="shared" si="407"/>
        <v>85.5</v>
      </c>
      <c r="Z302" s="127">
        <f t="shared" si="408"/>
        <v>34.200000000000003</v>
      </c>
      <c r="AA302" s="127">
        <f t="shared" si="409"/>
        <v>113.0229605578122</v>
      </c>
      <c r="AB302" s="127">
        <f t="shared" si="410"/>
        <v>17.341051322718684</v>
      </c>
      <c r="AC302" s="127">
        <f t="shared" si="411"/>
        <v>6.8400000000000016</v>
      </c>
      <c r="AD302" s="127">
        <f t="shared" si="412"/>
        <v>137.20401188053089</v>
      </c>
      <c r="AF302" s="127" t="str">
        <f>IFERROR(W302*'FlightConfig '!$K$3,"")</f>
        <v/>
      </c>
      <c r="AG302" s="127">
        <f>IFERROR(X302*'FlightConfig '!$K$23,"")</f>
        <v>28691.557643043638</v>
      </c>
      <c r="AH302" s="127">
        <f>IFERROR(Y302*'FlightConfig '!$K$23,"")</f>
        <v>31122</v>
      </c>
      <c r="AI302" s="127">
        <f>IFERROR(Z302*'FlightConfig '!$K$23,"")</f>
        <v>12448.800000000001</v>
      </c>
      <c r="AJ302" s="127">
        <f>IFERROR(AA302*'FlightConfig '!$K$23,"")</f>
        <v>41140.357643043637</v>
      </c>
      <c r="AK302" s="127">
        <f>IFERROR(AB302*'FlightConfig '!$K$23,"")</f>
        <v>6312.1426814696006</v>
      </c>
    </row>
    <row r="303" spans="1:37" ht="18.75" customHeight="1">
      <c r="A303" t="s">
        <v>156</v>
      </c>
      <c r="B303" s="171">
        <v>2</v>
      </c>
      <c r="C303" s="176" t="str">
        <f t="shared" si="413"/>
        <v>BUSINESS CLASS2104</v>
      </c>
      <c r="D303" s="172"/>
      <c r="E303" s="304">
        <v>1169</v>
      </c>
      <c r="F303" s="310">
        <v>104</v>
      </c>
      <c r="G303" t="str">
        <f>VLOOKUP(E303,'FG MASTER'!$A:$AB,2,0)</f>
        <v>BC C2 DINNER ENTREE 2 CRAB CAKE</v>
      </c>
      <c r="H303" s="285">
        <v>1</v>
      </c>
      <c r="I303" s="173">
        <v>0.3</v>
      </c>
      <c r="J303" s="291">
        <f>IFERROR(IF(I303="std",H303,HLOOKUP(A303,'FlightConfig '!$B$34:$G$35,2,0)*I303),"")</f>
        <v>9</v>
      </c>
      <c r="K303" s="244">
        <f>VLOOKUP(Food!E303,'FG MASTER'!$A$1:$AC$536,16,0)</f>
        <v>9.1210635770385107</v>
      </c>
      <c r="L303" s="245">
        <f>VLOOKUP(Food!E303,'FG MASTER'!$A$10:$AC$536,17,0)</f>
        <v>4.75</v>
      </c>
      <c r="M303" s="132">
        <f t="shared" si="398"/>
        <v>1.9000000000000001</v>
      </c>
      <c r="N303" s="132">
        <f t="shared" si="399"/>
        <v>11.021063577038511</v>
      </c>
      <c r="O303" s="132">
        <f t="shared" si="400"/>
        <v>2.0066339869484722</v>
      </c>
      <c r="P303" s="132">
        <f t="shared" si="401"/>
        <v>0.38000000000000012</v>
      </c>
      <c r="Q303" s="132">
        <f t="shared" ref="Q303:Q305" si="415">SUM(N303:P303)</f>
        <v>13.407697563986984</v>
      </c>
      <c r="R303" s="402">
        <f t="shared" si="403"/>
        <v>11.127697563986983</v>
      </c>
      <c r="S303" s="402">
        <f t="shared" si="404"/>
        <v>2.2800000000000002</v>
      </c>
      <c r="T303" s="402">
        <f t="shared" si="405"/>
        <v>13.407697563986982</v>
      </c>
      <c r="U303" s="127"/>
      <c r="V303" s="127"/>
      <c r="W303" t="str">
        <f>IFERROR(#REF!*J303,"")</f>
        <v/>
      </c>
      <c r="X303">
        <f t="shared" si="406"/>
        <v>82.089572193346598</v>
      </c>
      <c r="Y303">
        <f t="shared" si="407"/>
        <v>42.75</v>
      </c>
      <c r="Z303" s="127">
        <f t="shared" si="408"/>
        <v>17.100000000000001</v>
      </c>
      <c r="AA303" s="127">
        <f t="shared" si="409"/>
        <v>99.189572193346606</v>
      </c>
      <c r="AB303" s="127">
        <f t="shared" si="410"/>
        <v>18.05970588253625</v>
      </c>
      <c r="AC303" s="127">
        <f t="shared" si="411"/>
        <v>3.4200000000000008</v>
      </c>
      <c r="AD303" s="127">
        <f t="shared" si="412"/>
        <v>120.66927807588286</v>
      </c>
      <c r="AF303" s="127" t="str">
        <f>IFERROR(W303*'FlightConfig '!$K$3,"")</f>
        <v/>
      </c>
      <c r="AG303" s="127">
        <f>IFERROR(X303*'FlightConfig '!$K$23,"")</f>
        <v>29880.604278378163</v>
      </c>
      <c r="AH303" s="127">
        <f>IFERROR(Y303*'FlightConfig '!$K$23,"")</f>
        <v>15561</v>
      </c>
      <c r="AI303" s="127">
        <f>IFERROR(Z303*'FlightConfig '!$K$23,"")</f>
        <v>6224.4000000000005</v>
      </c>
      <c r="AJ303" s="127">
        <f>IFERROR(AA303*'FlightConfig '!$K$23,"")</f>
        <v>36105.004278378168</v>
      </c>
      <c r="AK303" s="127">
        <f>IFERROR(AB303*'FlightConfig '!$K$23,"")</f>
        <v>6573.7329412431945</v>
      </c>
    </row>
    <row r="304" spans="1:37" ht="18.75" customHeight="1">
      <c r="A304" t="s">
        <v>156</v>
      </c>
      <c r="B304" s="171">
        <v>2</v>
      </c>
      <c r="C304" s="176" t="str">
        <f t="shared" si="413"/>
        <v>BUSINESS CLASS2104</v>
      </c>
      <c r="D304" s="172"/>
      <c r="E304" s="305">
        <v>1170</v>
      </c>
      <c r="F304" s="310">
        <v>104</v>
      </c>
      <c r="G304" t="str">
        <f>VLOOKUP(E304,'FG MASTER'!$A:$AB,2,0)</f>
        <v>BC C2 DINNER ENTREE 3  PASTA CAPPELLETTI</v>
      </c>
      <c r="H304" s="285">
        <v>1</v>
      </c>
      <c r="I304" s="173">
        <v>0.3</v>
      </c>
      <c r="J304" s="291">
        <f>IFERROR(IF(I304="std",H304,HLOOKUP(A304,'FlightConfig '!$B$34:$G$35,2,0)*I304),"")</f>
        <v>9</v>
      </c>
      <c r="K304" s="244">
        <f>VLOOKUP(Food!E304,'FG MASTER'!$A$1:$AC$536,16,0)</f>
        <v>3.9642833494277454</v>
      </c>
      <c r="L304" s="245">
        <f>VLOOKUP(Food!E304,'FG MASTER'!$A$10:$AC$536,17,0)</f>
        <v>3.75</v>
      </c>
      <c r="M304" s="132">
        <f t="shared" si="398"/>
        <v>1.5</v>
      </c>
      <c r="N304" s="132">
        <f t="shared" si="399"/>
        <v>5.4642833494277454</v>
      </c>
      <c r="O304" s="132">
        <f t="shared" si="400"/>
        <v>0.87214233687410392</v>
      </c>
      <c r="P304" s="132">
        <f t="shared" si="401"/>
        <v>0.29999999999999982</v>
      </c>
      <c r="Q304" s="132">
        <f t="shared" si="415"/>
        <v>6.6364256863018491</v>
      </c>
      <c r="R304" s="402">
        <f t="shared" si="403"/>
        <v>4.8364256863018493</v>
      </c>
      <c r="S304" s="402">
        <f t="shared" si="404"/>
        <v>1.7999999999999998</v>
      </c>
      <c r="T304" s="402">
        <f t="shared" si="405"/>
        <v>6.6364256863018491</v>
      </c>
      <c r="U304" s="127"/>
      <c r="V304" s="127"/>
      <c r="W304" t="str">
        <f>IFERROR(#REF!*J304,"")</f>
        <v/>
      </c>
      <c r="X304">
        <f t="shared" si="406"/>
        <v>35.678550144849709</v>
      </c>
      <c r="Y304">
        <f t="shared" si="407"/>
        <v>33.75</v>
      </c>
      <c r="Z304" s="127">
        <f t="shared" si="408"/>
        <v>13.5</v>
      </c>
      <c r="AA304" s="127">
        <f t="shared" si="409"/>
        <v>49.178550144849709</v>
      </c>
      <c r="AB304" s="127">
        <f t="shared" si="410"/>
        <v>7.8492810318669353</v>
      </c>
      <c r="AC304" s="127">
        <f t="shared" si="411"/>
        <v>2.6999999999999984</v>
      </c>
      <c r="AD304" s="127">
        <f t="shared" si="412"/>
        <v>59.727831176716641</v>
      </c>
      <c r="AF304" s="127" t="str">
        <f>IFERROR(W304*'FlightConfig '!$K$3,"")</f>
        <v/>
      </c>
      <c r="AG304" s="127">
        <f>IFERROR(X304*'FlightConfig '!$K$23,"")</f>
        <v>12986.992252725295</v>
      </c>
      <c r="AH304" s="127">
        <f>IFERROR(Y304*'FlightConfig '!$K$23,"")</f>
        <v>12285</v>
      </c>
      <c r="AI304" s="127">
        <f>IFERROR(Z304*'FlightConfig '!$K$23,"")</f>
        <v>4914</v>
      </c>
      <c r="AJ304" s="127">
        <f>IFERROR(AA304*'FlightConfig '!$K$23,"")</f>
        <v>17900.992252725293</v>
      </c>
      <c r="AK304" s="127">
        <f>IFERROR(AB304*'FlightConfig '!$K$23,"")</f>
        <v>2857.1382955995646</v>
      </c>
    </row>
    <row r="305" spans="1:37" ht="18.75" customHeight="1">
      <c r="A305" t="s">
        <v>156</v>
      </c>
      <c r="B305" s="171">
        <v>2</v>
      </c>
      <c r="C305" s="176" t="str">
        <f t="shared" si="413"/>
        <v>BUSINESS CLASS2104</v>
      </c>
      <c r="D305" s="172"/>
      <c r="E305" s="305">
        <v>1171</v>
      </c>
      <c r="F305" s="310">
        <v>104</v>
      </c>
      <c r="G305" t="str">
        <f>VLOOKUP(E305,'FG MASTER'!$A:$AB,2,0)</f>
        <v>BC C2 DINNER ENTREE 4 SOUP AND SANDWICH</v>
      </c>
      <c r="H305" s="285">
        <v>1</v>
      </c>
      <c r="I305" s="173">
        <v>0.2</v>
      </c>
      <c r="J305" s="291">
        <f>IFERROR(IF(I305="std",H305,HLOOKUP(A305,'FlightConfig '!$B$34:$G$35,2,0)*I305),"")</f>
        <v>6</v>
      </c>
      <c r="K305" s="244">
        <f>VLOOKUP(Food!E305,'FG MASTER'!$A$1:$AC$536,16,0)</f>
        <v>2.6020222328068328</v>
      </c>
      <c r="L305" s="245">
        <f>VLOOKUP(Food!E305,'FG MASTER'!$A$10:$AC$536,17,0)</f>
        <v>1</v>
      </c>
      <c r="M305" s="132">
        <f t="shared" si="398"/>
        <v>0.4</v>
      </c>
      <c r="N305" s="132">
        <f t="shared" si="399"/>
        <v>3.0020222328068327</v>
      </c>
      <c r="O305" s="418">
        <f>IFERROR($K305*(1+8%)-$K305,0)</f>
        <v>0.20816177862454666</v>
      </c>
      <c r="P305" s="132">
        <f t="shared" si="401"/>
        <v>7.999999999999996E-2</v>
      </c>
      <c r="Q305" s="132">
        <f t="shared" si="415"/>
        <v>3.2901840114313794</v>
      </c>
      <c r="R305" s="418">
        <f>K305*(1+8%)</f>
        <v>2.8101840114313794</v>
      </c>
      <c r="S305" s="402">
        <f t="shared" si="404"/>
        <v>0.48</v>
      </c>
      <c r="T305" s="402">
        <f t="shared" si="405"/>
        <v>3.2901840114313794</v>
      </c>
      <c r="U305" s="127"/>
      <c r="V305" s="127"/>
      <c r="W305" t="str">
        <f>IFERROR(#REF!*J305,"")</f>
        <v/>
      </c>
      <c r="X305">
        <f t="shared" si="406"/>
        <v>15.612133396840996</v>
      </c>
      <c r="Y305">
        <f t="shared" si="407"/>
        <v>6</v>
      </c>
      <c r="Z305" s="127">
        <f t="shared" si="408"/>
        <v>2.4000000000000004</v>
      </c>
      <c r="AA305" s="127">
        <f t="shared" si="409"/>
        <v>18.012133396840994</v>
      </c>
      <c r="AB305" s="127">
        <f t="shared" si="410"/>
        <v>1.2489706717472799</v>
      </c>
      <c r="AC305" s="127">
        <f t="shared" si="411"/>
        <v>0.47999999999999976</v>
      </c>
      <c r="AD305" s="127">
        <f t="shared" si="412"/>
        <v>19.741104068588278</v>
      </c>
      <c r="AF305" s="127" t="str">
        <f>IFERROR(W305*'FlightConfig '!$K$3,"")</f>
        <v/>
      </c>
      <c r="AG305" s="127">
        <f>IFERROR(X305*'FlightConfig '!$K$23,"")</f>
        <v>5682.8165564501223</v>
      </c>
      <c r="AH305" s="127">
        <f>IFERROR(Y305*'FlightConfig '!$K$23,"")</f>
        <v>2184</v>
      </c>
      <c r="AI305" s="127">
        <f>IFERROR(Z305*'FlightConfig '!$K$23,"")</f>
        <v>873.60000000000014</v>
      </c>
      <c r="AJ305" s="127">
        <f>IFERROR(AA305*'FlightConfig '!$K$23,"")</f>
        <v>6556.4165564501218</v>
      </c>
      <c r="AK305" s="127">
        <f>IFERROR(AB305*'FlightConfig '!$K$23,"")</f>
        <v>454.62532451600987</v>
      </c>
    </row>
    <row r="306" spans="1:37" ht="18.75" customHeight="1">
      <c r="A306" t="s">
        <v>156</v>
      </c>
      <c r="B306" s="171">
        <v>2</v>
      </c>
      <c r="C306" s="176" t="str">
        <f t="shared" si="413"/>
        <v>BUSINESS CLASS2104</v>
      </c>
      <c r="D306" s="172"/>
      <c r="E306" s="303">
        <v>1092</v>
      </c>
      <c r="F306" s="310">
        <v>104</v>
      </c>
      <c r="G306" t="str">
        <f>VLOOKUP(E306,'FG MASTER'!$A:$AB,2,0)</f>
        <v>BC C1 DINNER GARNISH ARUGULA</v>
      </c>
      <c r="H306" s="285">
        <v>1</v>
      </c>
      <c r="I306" s="173">
        <v>0</v>
      </c>
      <c r="J306" s="291">
        <f>IFERROR(IF(I306="std",H306,HLOOKUP(A306,'FlightConfig '!$B$34:$G$35,2,0)*I306),"")</f>
        <v>0</v>
      </c>
      <c r="K306" s="244">
        <f>VLOOKUP(Food!E306,'FG MASTER'!$A$1:$AC$536,16,0)</f>
        <v>3</v>
      </c>
      <c r="L306" s="245">
        <f>VLOOKUP(Food!E306,'FG MASTER'!$A$10:$AC$536,17,0)</f>
        <v>1</v>
      </c>
      <c r="M306" s="132">
        <f t="shared" si="398"/>
        <v>0.4</v>
      </c>
      <c r="N306" s="132">
        <f t="shared" si="399"/>
        <v>3.4</v>
      </c>
      <c r="O306" s="132">
        <f t="shared" si="400"/>
        <v>0.66000000000000014</v>
      </c>
      <c r="P306" s="132">
        <f t="shared" si="401"/>
        <v>7.999999999999996E-2</v>
      </c>
      <c r="Q306" s="132">
        <f>SUM(N306:P306)</f>
        <v>4.1400000000000006</v>
      </c>
      <c r="R306" s="402">
        <f t="shared" ref="R306:R355" si="416">K306*(1+$O$2)</f>
        <v>3.66</v>
      </c>
      <c r="S306" s="402">
        <f t="shared" si="404"/>
        <v>0.48</v>
      </c>
      <c r="T306" s="402">
        <f t="shared" si="405"/>
        <v>4.1400000000000006</v>
      </c>
      <c r="U306" s="127"/>
      <c r="W306" t="str">
        <f>IFERROR(#REF!*J306,"")</f>
        <v/>
      </c>
      <c r="X306">
        <f t="shared" si="406"/>
        <v>0</v>
      </c>
      <c r="Y306">
        <f t="shared" si="407"/>
        <v>0</v>
      </c>
      <c r="Z306" s="127">
        <f t="shared" si="408"/>
        <v>0</v>
      </c>
      <c r="AA306" s="127">
        <f t="shared" si="409"/>
        <v>0</v>
      </c>
      <c r="AB306" s="127">
        <f t="shared" si="410"/>
        <v>0</v>
      </c>
      <c r="AC306" s="127">
        <f t="shared" si="411"/>
        <v>0</v>
      </c>
      <c r="AD306" s="127">
        <f t="shared" si="412"/>
        <v>0</v>
      </c>
      <c r="AF306" s="127" t="str">
        <f>IFERROR(W306*'FlightConfig '!$K$3,"")</f>
        <v/>
      </c>
      <c r="AG306" s="127">
        <f>IFERROR(X306*'FlightConfig '!$K$23,"")</f>
        <v>0</v>
      </c>
      <c r="AH306" s="127">
        <f>IFERROR(Y306*'FlightConfig '!$K$23,"")</f>
        <v>0</v>
      </c>
      <c r="AI306" s="127">
        <f>IFERROR(Z306*'FlightConfig '!$K$23,"")</f>
        <v>0</v>
      </c>
      <c r="AJ306" s="127">
        <f>IFERROR(AA306*'FlightConfig '!$K$23,"")</f>
        <v>0</v>
      </c>
      <c r="AK306" s="127">
        <f>IFERROR(AB306*'FlightConfig '!$K$23,"")</f>
        <v>0</v>
      </c>
    </row>
    <row r="307" spans="1:37" ht="18.75" customHeight="1">
      <c r="A307" t="s">
        <v>156</v>
      </c>
      <c r="B307" s="171">
        <v>2</v>
      </c>
      <c r="C307" s="176" t="str">
        <f t="shared" si="413"/>
        <v>BUSINESS CLASS2104</v>
      </c>
      <c r="D307" s="172"/>
      <c r="E307" s="305">
        <v>1163</v>
      </c>
      <c r="F307" s="310">
        <v>104</v>
      </c>
      <c r="G307" t="str">
        <f>VLOOKUP(E307,'FG MASTER'!$A:$AB,2,0)</f>
        <v>BC C2 DINNER DUBAI CHOCOLATE CRUCH BAR, CHANTILLY CREAM, PISTACHIO</v>
      </c>
      <c r="H307" s="285">
        <v>1</v>
      </c>
      <c r="I307" s="173">
        <v>0.5</v>
      </c>
      <c r="J307" s="291">
        <f>IFERROR(IF(I307="std",H307,HLOOKUP(A307,'FlightConfig '!$B$34:$G$35,2,0)*I307),"")</f>
        <v>15</v>
      </c>
      <c r="K307" s="420">
        <f>VLOOKUP(Food!E307,'FG MASTER'!$A$1:$AC$536,16,0)</f>
        <v>2.8274375903683375</v>
      </c>
      <c r="L307" s="421">
        <f>VLOOKUP(Food!E307,'FG MASTER'!$A$10:$AC$536,17,0)</f>
        <v>1.5</v>
      </c>
      <c r="M307" s="132">
        <f>IFERROR(L307*$M$2,"")</f>
        <v>0.60000000000000009</v>
      </c>
      <c r="N307" s="132">
        <f t="shared" si="399"/>
        <v>3.4274375903683376</v>
      </c>
      <c r="O307" s="132">
        <f t="shared" si="400"/>
        <v>0.622036269881034</v>
      </c>
      <c r="P307" s="132">
        <f t="shared" si="401"/>
        <v>0.12</v>
      </c>
      <c r="Q307" s="418">
        <f t="shared" ref="Q307:Q312" si="417">SUM(N307:P307)</f>
        <v>4.1694738602493713</v>
      </c>
      <c r="R307" s="402">
        <f t="shared" si="416"/>
        <v>3.4494738602493715</v>
      </c>
      <c r="S307" s="402">
        <f t="shared" si="404"/>
        <v>0.72000000000000008</v>
      </c>
      <c r="T307" s="402">
        <f t="shared" si="405"/>
        <v>4.1694738602493713</v>
      </c>
      <c r="U307" s="127"/>
      <c r="V307" s="127"/>
      <c r="W307" t="str">
        <f>IFERROR(#REF!*J307,"")</f>
        <v/>
      </c>
      <c r="X307">
        <f t="shared" si="406"/>
        <v>42.41156385552506</v>
      </c>
      <c r="Y307">
        <f t="shared" si="407"/>
        <v>22.5</v>
      </c>
      <c r="Z307" s="127">
        <f t="shared" si="408"/>
        <v>9.0000000000000018</v>
      </c>
      <c r="AA307" s="127">
        <f t="shared" si="409"/>
        <v>51.411563855525067</v>
      </c>
      <c r="AB307" s="127">
        <f t="shared" si="410"/>
        <v>9.3305440482155095</v>
      </c>
      <c r="AC307" s="127">
        <f t="shared" si="411"/>
        <v>1.7999999999999998</v>
      </c>
      <c r="AD307" s="127">
        <f t="shared" si="412"/>
        <v>62.542107903740572</v>
      </c>
      <c r="AF307" s="127" t="str">
        <f>IFERROR(W307*'FlightConfig '!$K$3,"")</f>
        <v/>
      </c>
      <c r="AG307" s="127">
        <f>IFERROR(X307*'FlightConfig '!$K$23,"")</f>
        <v>15437.809243411122</v>
      </c>
      <c r="AH307" s="127">
        <f>IFERROR(Y307*'FlightConfig '!$K$23,"")</f>
        <v>8190</v>
      </c>
      <c r="AI307" s="127">
        <f>IFERROR(Z307*'FlightConfig '!$K$23,"")</f>
        <v>3276.0000000000005</v>
      </c>
      <c r="AJ307" s="127">
        <f>IFERROR(AA307*'FlightConfig '!$K$23,"")</f>
        <v>18713.809243411124</v>
      </c>
      <c r="AK307" s="127">
        <f>IFERROR(AB307*'FlightConfig '!$K$23,"")</f>
        <v>3396.3180335504453</v>
      </c>
    </row>
    <row r="308" spans="1:37" ht="18.75" customHeight="1">
      <c r="A308" t="s">
        <v>156</v>
      </c>
      <c r="B308" s="171">
        <v>2</v>
      </c>
      <c r="C308" s="176" t="str">
        <f t="shared" si="413"/>
        <v>BUSINESS CLASS2104</v>
      </c>
      <c r="D308" s="172"/>
      <c r="E308" s="303">
        <v>1164</v>
      </c>
      <c r="F308" s="310">
        <v>104</v>
      </c>
      <c r="G308" t="str">
        <f>VLOOKUP(E308,'FG MASTER'!$A:$AB,2,0)</f>
        <v>BC C2 DINNER EARL GREY CAKE WITH BLACK TEA ANGLAISE, CITRUS PEEL AND ROFFEE CRUNCH</v>
      </c>
      <c r="H308" s="285">
        <v>1</v>
      </c>
      <c r="I308" s="173">
        <v>0.5</v>
      </c>
      <c r="J308" s="291">
        <f>IFERROR(IF(I308="std",H308,HLOOKUP(A308,'FlightConfig '!$B$34:$G$35,2,0)*I308),"")</f>
        <v>15</v>
      </c>
      <c r="K308" s="244">
        <f>VLOOKUP(Food!E308,'FG MASTER'!$A$1:$AC$536,16,0)</f>
        <v>1.1600000000000001</v>
      </c>
      <c r="L308" s="245">
        <f>VLOOKUP(Food!E308,'FG MASTER'!$A$10:$AC$536,17,0)</f>
        <v>1.75</v>
      </c>
      <c r="M308" s="132">
        <f t="shared" ref="M308:M319" si="418">IFERROR(L308*$M$2,"")</f>
        <v>0.70000000000000007</v>
      </c>
      <c r="N308" s="132">
        <f t="shared" si="399"/>
        <v>1.8600000000000003</v>
      </c>
      <c r="O308" s="132">
        <f t="shared" si="400"/>
        <v>0.25520000000000009</v>
      </c>
      <c r="P308" s="132">
        <f t="shared" si="401"/>
        <v>0.14000000000000001</v>
      </c>
      <c r="Q308" s="132">
        <f t="shared" si="417"/>
        <v>2.2552000000000008</v>
      </c>
      <c r="R308" s="402">
        <f t="shared" si="416"/>
        <v>1.4152000000000002</v>
      </c>
      <c r="S308" s="402">
        <f t="shared" si="404"/>
        <v>0.84000000000000008</v>
      </c>
      <c r="T308" s="402">
        <f t="shared" si="405"/>
        <v>2.2552000000000003</v>
      </c>
      <c r="U308" s="127"/>
      <c r="V308" s="127"/>
      <c r="W308" t="str">
        <f>IFERROR(#REF!*J308,"")</f>
        <v/>
      </c>
      <c r="X308">
        <f t="shared" si="406"/>
        <v>17.400000000000002</v>
      </c>
      <c r="Y308">
        <f t="shared" si="407"/>
        <v>26.25</v>
      </c>
      <c r="Z308" s="127">
        <f t="shared" si="408"/>
        <v>10.500000000000002</v>
      </c>
      <c r="AA308" s="127">
        <f t="shared" si="409"/>
        <v>27.900000000000006</v>
      </c>
      <c r="AB308" s="127">
        <f t="shared" si="410"/>
        <v>3.8280000000000012</v>
      </c>
      <c r="AC308" s="127">
        <f t="shared" si="411"/>
        <v>2.1</v>
      </c>
      <c r="AD308" s="127">
        <f t="shared" si="412"/>
        <v>33.82800000000001</v>
      </c>
      <c r="AF308" s="127" t="str">
        <f>IFERROR(W308*'FlightConfig '!$K$3,"")</f>
        <v/>
      </c>
      <c r="AG308" s="127">
        <f>IFERROR(X308*'FlightConfig '!$K$23,"")</f>
        <v>6333.6</v>
      </c>
      <c r="AH308" s="127">
        <f>IFERROR(Y308*'FlightConfig '!$K$23,"")</f>
        <v>9555</v>
      </c>
      <c r="AI308" s="127">
        <f>IFERROR(Z308*'FlightConfig '!$K$23,"")</f>
        <v>3822.0000000000005</v>
      </c>
      <c r="AJ308" s="127">
        <f>IFERROR(AA308*'FlightConfig '!$K$23,"")</f>
        <v>10155.600000000002</v>
      </c>
      <c r="AK308" s="127">
        <f>IFERROR(AB308*'FlightConfig '!$K$23,"")</f>
        <v>1393.3920000000005</v>
      </c>
    </row>
    <row r="309" spans="1:37" ht="18.75" customHeight="1">
      <c r="A309" t="s">
        <v>156</v>
      </c>
      <c r="B309" s="171">
        <v>2</v>
      </c>
      <c r="C309" s="176" t="str">
        <f t="shared" si="413"/>
        <v>BUSINESS CLASS2104</v>
      </c>
      <c r="D309" s="172"/>
      <c r="E309" s="303">
        <v>1165</v>
      </c>
      <c r="F309" s="310">
        <v>104</v>
      </c>
      <c r="G309" t="str">
        <f>VLOOKUP(E309,'FG MASTER'!$A:$AB,2,0)</f>
        <v>BC C2 DINNER RED HEAD MOUSSE CAKE WITH WHIPPED BERRY CREAM, STRAWBERRY AND CROQUANT</v>
      </c>
      <c r="H309" s="285">
        <v>1</v>
      </c>
      <c r="I309" s="173">
        <v>0</v>
      </c>
      <c r="J309" s="291">
        <f>IFERROR(IF(I309="std",H309,HLOOKUP(A309,'FlightConfig '!$B$34:$G$35,2,0)*I309),"")</f>
        <v>0</v>
      </c>
      <c r="K309" s="244">
        <f>VLOOKUP(Food!E309,'FG MASTER'!$A$1:$AC$536,16,0)</f>
        <v>1.01</v>
      </c>
      <c r="L309" s="245">
        <f>VLOOKUP(Food!E309,'FG MASTER'!$A$10:$AC$536,17,0)</f>
        <v>1.75</v>
      </c>
      <c r="M309" s="132">
        <f t="shared" si="418"/>
        <v>0.70000000000000007</v>
      </c>
      <c r="N309" s="132">
        <f t="shared" si="399"/>
        <v>1.71</v>
      </c>
      <c r="O309" s="132">
        <f t="shared" si="400"/>
        <v>0.22219999999999995</v>
      </c>
      <c r="P309" s="132">
        <f t="shared" si="401"/>
        <v>0.14000000000000001</v>
      </c>
      <c r="Q309" s="132">
        <f t="shared" si="417"/>
        <v>2.0722</v>
      </c>
      <c r="R309" s="402">
        <f t="shared" si="416"/>
        <v>1.2322</v>
      </c>
      <c r="S309" s="402">
        <f t="shared" si="404"/>
        <v>0.84000000000000008</v>
      </c>
      <c r="T309" s="402">
        <f t="shared" si="405"/>
        <v>2.0722</v>
      </c>
      <c r="U309" s="127"/>
      <c r="V309" s="127"/>
      <c r="W309" t="str">
        <f>IFERROR(#REF!*J309,"")</f>
        <v/>
      </c>
      <c r="X309">
        <f t="shared" si="406"/>
        <v>0</v>
      </c>
      <c r="Y309">
        <f t="shared" si="407"/>
        <v>0</v>
      </c>
      <c r="Z309" s="127">
        <f t="shared" si="408"/>
        <v>0</v>
      </c>
      <c r="AA309" s="127">
        <f t="shared" si="409"/>
        <v>0</v>
      </c>
      <c r="AB309" s="127">
        <f t="shared" si="410"/>
        <v>0</v>
      </c>
      <c r="AC309" s="127">
        <f t="shared" si="411"/>
        <v>0</v>
      </c>
      <c r="AD309" s="127">
        <f t="shared" si="412"/>
        <v>0</v>
      </c>
      <c r="AF309" s="127" t="str">
        <f>IFERROR(W309*'FlightConfig '!$K$3,"")</f>
        <v/>
      </c>
      <c r="AG309" s="127">
        <f>IFERROR(X309*'FlightConfig '!$K$23,"")</f>
        <v>0</v>
      </c>
      <c r="AH309" s="127">
        <f>IFERROR(Y309*'FlightConfig '!$K$23,"")</f>
        <v>0</v>
      </c>
      <c r="AI309" s="127">
        <f>IFERROR(Z309*'FlightConfig '!$K$23,"")</f>
        <v>0</v>
      </c>
      <c r="AJ309" s="127">
        <f>IFERROR(AA309*'FlightConfig '!$K$23,"")</f>
        <v>0</v>
      </c>
      <c r="AK309" s="127">
        <f>IFERROR(AB309*'FlightConfig '!$K$23,"")</f>
        <v>0</v>
      </c>
    </row>
    <row r="310" spans="1:37" ht="18.75" customHeight="1">
      <c r="A310" t="s">
        <v>156</v>
      </c>
      <c r="B310" s="171">
        <v>2</v>
      </c>
      <c r="C310" s="176" t="str">
        <f t="shared" si="413"/>
        <v>BUSINESS CLASS2104</v>
      </c>
      <c r="D310" s="172"/>
      <c r="E310" s="303">
        <v>1166</v>
      </c>
      <c r="F310" s="310">
        <v>104</v>
      </c>
      <c r="G310" t="str">
        <f>VLOOKUP(E310,'FG MASTER'!$A:$AB,2,0)</f>
        <v>BC C2 DINNER WARMED APPLE TART</v>
      </c>
      <c r="H310" s="285">
        <v>1</v>
      </c>
      <c r="I310" s="173">
        <v>0</v>
      </c>
      <c r="J310" s="291">
        <f>IFERROR(IF(I310="std",H310,HLOOKUP(A310,'FlightConfig '!$B$34:$G$35,2,0)*I310),"")</f>
        <v>0</v>
      </c>
      <c r="K310" s="244">
        <f>VLOOKUP(Food!E310,'FG MASTER'!$A$1:$AC$536,16,0)</f>
        <v>1.25540233190124</v>
      </c>
      <c r="L310" s="245">
        <f>VLOOKUP(Food!E310,'FG MASTER'!$A$10:$AC$536,17,0)</f>
        <v>1</v>
      </c>
      <c r="M310" s="132">
        <f t="shared" si="418"/>
        <v>0.4</v>
      </c>
      <c r="N310" s="132">
        <f t="shared" si="399"/>
        <v>1.6554023319012399</v>
      </c>
      <c r="O310" s="132">
        <f t="shared" si="400"/>
        <v>0.27618851301827285</v>
      </c>
      <c r="P310" s="132">
        <f t="shared" si="401"/>
        <v>7.999999999999996E-2</v>
      </c>
      <c r="Q310" s="132">
        <f t="shared" si="417"/>
        <v>2.0115908449195126</v>
      </c>
      <c r="R310" s="402">
        <f t="shared" si="416"/>
        <v>1.5315908449195128</v>
      </c>
      <c r="S310" s="402">
        <f t="shared" si="404"/>
        <v>0.48</v>
      </c>
      <c r="T310" s="402">
        <f t="shared" si="405"/>
        <v>2.011590844919513</v>
      </c>
      <c r="U310" s="127"/>
      <c r="V310" s="127"/>
      <c r="W310" t="str">
        <f>IFERROR(#REF!*J310,"")</f>
        <v/>
      </c>
      <c r="X310">
        <f t="shared" si="406"/>
        <v>0</v>
      </c>
      <c r="Y310">
        <f t="shared" si="407"/>
        <v>0</v>
      </c>
      <c r="Z310" s="127">
        <f t="shared" si="408"/>
        <v>0</v>
      </c>
      <c r="AA310" s="127">
        <f t="shared" si="409"/>
        <v>0</v>
      </c>
      <c r="AB310" s="127">
        <f t="shared" si="410"/>
        <v>0</v>
      </c>
      <c r="AC310" s="127">
        <f t="shared" si="411"/>
        <v>0</v>
      </c>
      <c r="AD310" s="127">
        <f t="shared" si="412"/>
        <v>0</v>
      </c>
      <c r="AF310" s="127" t="str">
        <f>IFERROR(W310*'FlightConfig '!$K$3,"")</f>
        <v/>
      </c>
      <c r="AG310" s="127">
        <f>IFERROR(X310*'FlightConfig '!$K$23,"")</f>
        <v>0</v>
      </c>
      <c r="AH310" s="127">
        <f>IFERROR(Y310*'FlightConfig '!$K$23,"")</f>
        <v>0</v>
      </c>
      <c r="AI310" s="127">
        <f>IFERROR(Z310*'FlightConfig '!$K$23,"")</f>
        <v>0</v>
      </c>
      <c r="AJ310" s="127">
        <f>IFERROR(AA310*'FlightConfig '!$K$23,"")</f>
        <v>0</v>
      </c>
      <c r="AK310" s="127">
        <f>IFERROR(AB310*'FlightConfig '!$K$23,"")</f>
        <v>0</v>
      </c>
    </row>
    <row r="311" spans="1:37" ht="18.75" customHeight="1">
      <c r="A311" t="s">
        <v>156</v>
      </c>
      <c r="B311" s="171">
        <v>2</v>
      </c>
      <c r="C311" s="176" t="str">
        <f t="shared" si="413"/>
        <v>BUSINESS CLASS2104</v>
      </c>
      <c r="D311" s="172"/>
      <c r="E311" s="303">
        <v>1167</v>
      </c>
      <c r="F311" s="310">
        <v>104</v>
      </c>
      <c r="G311" t="str">
        <f>VLOOKUP(E311,'FG MASTER'!$A:$AB,2,0)</f>
        <v>BC C2 DINNER DESSERT GARNISH VANILLA ICE CREAM BULK (WITH CRY ICE)</v>
      </c>
      <c r="H311" s="285">
        <v>1</v>
      </c>
      <c r="I311" s="173">
        <v>0</v>
      </c>
      <c r="J311" s="291">
        <f>IFERROR(IF(I311="std",H311,HLOOKUP(A311,'FlightConfig '!$B$34:$G$35,2,0)*I311),"")</f>
        <v>0</v>
      </c>
      <c r="K311" s="244">
        <f>VLOOKUP(Food!E311,'FG MASTER'!$A$1:$AC$536,16,0)</f>
        <v>9.9600000000000009</v>
      </c>
      <c r="L311" s="245">
        <f>VLOOKUP(Food!E311,'FG MASTER'!$A$10:$AC$536,17,0)</f>
        <v>1</v>
      </c>
      <c r="M311" s="132">
        <f t="shared" si="418"/>
        <v>0.4</v>
      </c>
      <c r="N311" s="132">
        <f t="shared" si="399"/>
        <v>10.360000000000001</v>
      </c>
      <c r="O311" s="132">
        <f t="shared" si="400"/>
        <v>2.1912000000000003</v>
      </c>
      <c r="P311" s="132">
        <f t="shared" si="401"/>
        <v>7.999999999999996E-2</v>
      </c>
      <c r="Q311" s="132">
        <f t="shared" ref="Q311" si="419">SUM(N311:P311)</f>
        <v>12.631200000000002</v>
      </c>
      <c r="R311" s="402">
        <f t="shared" si="416"/>
        <v>12.151200000000001</v>
      </c>
      <c r="S311" s="402">
        <f t="shared" si="404"/>
        <v>0.48</v>
      </c>
      <c r="T311" s="402">
        <f t="shared" si="405"/>
        <v>12.631200000000002</v>
      </c>
      <c r="U311" s="127"/>
      <c r="V311" s="127"/>
      <c r="W311" t="str">
        <f>IFERROR(#REF!*J311,"")</f>
        <v/>
      </c>
      <c r="X311">
        <f t="shared" si="406"/>
        <v>0</v>
      </c>
      <c r="Y311">
        <f t="shared" si="407"/>
        <v>0</v>
      </c>
      <c r="Z311" s="127">
        <f t="shared" si="408"/>
        <v>0</v>
      </c>
      <c r="AA311" s="127">
        <f t="shared" si="409"/>
        <v>0</v>
      </c>
      <c r="AB311" s="127">
        <f t="shared" si="410"/>
        <v>0</v>
      </c>
      <c r="AC311" s="127">
        <f t="shared" si="411"/>
        <v>0</v>
      </c>
      <c r="AD311" s="127">
        <f t="shared" si="412"/>
        <v>0</v>
      </c>
      <c r="AF311" s="127" t="str">
        <f>IFERROR(W311*'FlightConfig '!$K$3,"")</f>
        <v/>
      </c>
      <c r="AG311" s="127">
        <f>IFERROR(X311*'FlightConfig '!$K$23,"")</f>
        <v>0</v>
      </c>
      <c r="AH311" s="127">
        <f>IFERROR(Y311*'FlightConfig '!$K$23,"")</f>
        <v>0</v>
      </c>
      <c r="AI311" s="127">
        <f>IFERROR(Z311*'FlightConfig '!$K$23,"")</f>
        <v>0</v>
      </c>
      <c r="AJ311" s="127">
        <f>IFERROR(AA311*'FlightConfig '!$K$23,"")</f>
        <v>0</v>
      </c>
      <c r="AK311" s="127">
        <f>IFERROR(AB311*'FlightConfig '!$K$23,"")</f>
        <v>0</v>
      </c>
    </row>
    <row r="312" spans="1:37" ht="18.75" customHeight="1">
      <c r="A312" t="s">
        <v>156</v>
      </c>
      <c r="B312" s="171">
        <v>2</v>
      </c>
      <c r="C312" s="176" t="str">
        <f t="shared" si="413"/>
        <v>BUSINESS CLASS2104</v>
      </c>
      <c r="D312" s="172"/>
      <c r="E312" s="303">
        <v>1102</v>
      </c>
      <c r="F312" s="310">
        <v>104</v>
      </c>
      <c r="G312" t="str">
        <f>VLOOKUP(E312,'FG MASTER'!$A:$AB,2,0)</f>
        <v>BC C1 DINNER CHEESE PLATE HUMBOLT GOF, LAMB CHOPPER, CHEDDAR, SOULSHINE CUCUMBERS, MUSCADINE JELLY, GRAPE, CRACKER</v>
      </c>
      <c r="H312" s="285">
        <v>1</v>
      </c>
      <c r="I312" s="173">
        <v>0.5</v>
      </c>
      <c r="J312" s="291">
        <f>IFERROR(IF(I312="std",H312,HLOOKUP(A312,'FlightConfig '!$B$34:$G$35,2,0)*I312),"")</f>
        <v>15</v>
      </c>
      <c r="K312" s="244">
        <f>VLOOKUP(Food!E312,'FG MASTER'!$A$1:$AC$536,16,0)</f>
        <v>4.42</v>
      </c>
      <c r="L312" s="245">
        <f>VLOOKUP(Food!E312,'FG MASTER'!$A$10:$AC$536,17,0)</f>
        <v>2.5</v>
      </c>
      <c r="M312" s="132">
        <f t="shared" si="418"/>
        <v>1</v>
      </c>
      <c r="N312" s="132">
        <f t="shared" si="399"/>
        <v>5.42</v>
      </c>
      <c r="O312" s="132">
        <f t="shared" si="400"/>
        <v>0.97239999999999949</v>
      </c>
      <c r="P312" s="132">
        <f t="shared" si="401"/>
        <v>0.19999999999999996</v>
      </c>
      <c r="Q312" s="132">
        <f t="shared" ref="Q312:Q317" si="420">SUM(N312:P312)</f>
        <v>6.5923999999999996</v>
      </c>
      <c r="R312" s="402">
        <f t="shared" si="416"/>
        <v>5.3923999999999994</v>
      </c>
      <c r="S312" s="402">
        <f t="shared" si="404"/>
        <v>1.2</v>
      </c>
      <c r="T312" s="402">
        <f t="shared" si="405"/>
        <v>6.5923999999999996</v>
      </c>
      <c r="U312" s="127"/>
      <c r="V312" s="127"/>
      <c r="W312" t="str">
        <f>IFERROR(#REF!*J312,"")</f>
        <v/>
      </c>
      <c r="X312">
        <f t="shared" si="406"/>
        <v>66.3</v>
      </c>
      <c r="Y312">
        <f t="shared" si="407"/>
        <v>37.5</v>
      </c>
      <c r="Z312" s="127">
        <f t="shared" si="408"/>
        <v>15</v>
      </c>
      <c r="AA312" s="127">
        <f t="shared" si="409"/>
        <v>81.3</v>
      </c>
      <c r="AB312" s="127">
        <f t="shared" si="410"/>
        <v>14.585999999999991</v>
      </c>
      <c r="AC312" s="127">
        <f t="shared" si="411"/>
        <v>2.9999999999999991</v>
      </c>
      <c r="AD312" s="127">
        <f t="shared" si="412"/>
        <v>98.885999999999996</v>
      </c>
      <c r="AF312" s="127" t="str">
        <f>IFERROR(W312*'FlightConfig '!$K$3,"")</f>
        <v/>
      </c>
      <c r="AG312" s="127">
        <f>IFERROR(X312*'FlightConfig '!$K$23,"")</f>
        <v>24133.200000000001</v>
      </c>
      <c r="AH312" s="127">
        <f>IFERROR(Y312*'FlightConfig '!$K$23,"")</f>
        <v>13650</v>
      </c>
      <c r="AI312" s="127">
        <f>IFERROR(Z312*'FlightConfig '!$K$23,"")</f>
        <v>5460</v>
      </c>
      <c r="AJ312" s="127">
        <f>IFERROR(AA312*'FlightConfig '!$K$23,"")</f>
        <v>29593.200000000001</v>
      </c>
      <c r="AK312" s="127">
        <f>IFERROR(AB312*'FlightConfig '!$K$23,"")</f>
        <v>5309.3039999999964</v>
      </c>
    </row>
    <row r="313" spans="1:37" ht="18.75" customHeight="1">
      <c r="A313" t="s">
        <v>156</v>
      </c>
      <c r="B313" s="171">
        <v>2</v>
      </c>
      <c r="C313" s="176" t="str">
        <f t="shared" si="413"/>
        <v>BUSINESS CLASS2104</v>
      </c>
      <c r="D313" s="172"/>
      <c r="E313" s="303">
        <v>1209</v>
      </c>
      <c r="F313" s="310">
        <v>104</v>
      </c>
      <c r="G313" t="str">
        <f>VLOOKUP(E313,'FG MASTER'!$A:$AB,2,0)</f>
        <v>BC C2 CRACKER BULK LOAD</v>
      </c>
      <c r="H313" s="285">
        <v>1</v>
      </c>
      <c r="I313" s="173">
        <f>1/12</f>
        <v>8.3333333333333329E-2</v>
      </c>
      <c r="J313" s="291">
        <f>IFERROR(IF(I313="std",H313,HLOOKUP(A313,'FlightConfig '!$B$34:$G$35,2,0)*I313),"")</f>
        <v>2.5</v>
      </c>
      <c r="K313" s="244">
        <f>VLOOKUP(Food!E313,'FG MASTER'!$A$1:$AC$536,16,0)</f>
        <v>1.5333000000000001</v>
      </c>
      <c r="L313" s="245">
        <f>VLOOKUP(Food!E313,'FG MASTER'!$A$10:$AC$536,17,0)</f>
        <v>0.25</v>
      </c>
      <c r="M313" s="132">
        <f t="shared" si="418"/>
        <v>0.1</v>
      </c>
      <c r="N313" s="132">
        <f t="shared" si="399"/>
        <v>1.6333000000000002</v>
      </c>
      <c r="O313" s="132">
        <f t="shared" si="400"/>
        <v>0.33732600000000001</v>
      </c>
      <c r="P313" s="132">
        <f t="shared" si="401"/>
        <v>1.999999999999999E-2</v>
      </c>
      <c r="Q313" s="132">
        <f t="shared" ref="Q313" si="421">SUM(N313:P313)</f>
        <v>1.9906260000000002</v>
      </c>
      <c r="R313" s="402">
        <f t="shared" si="416"/>
        <v>1.8706260000000001</v>
      </c>
      <c r="S313" s="402">
        <f t="shared" si="404"/>
        <v>0.12</v>
      </c>
      <c r="T313" s="402">
        <f t="shared" si="405"/>
        <v>1.9906260000000002</v>
      </c>
      <c r="U313" s="127"/>
      <c r="V313" s="127"/>
      <c r="W313" t="str">
        <f>IFERROR(#REF!*J313,"")</f>
        <v/>
      </c>
      <c r="X313">
        <f t="shared" si="406"/>
        <v>3.8332500000000005</v>
      </c>
      <c r="Y313">
        <f t="shared" si="407"/>
        <v>0.625</v>
      </c>
      <c r="Z313" s="127">
        <f t="shared" si="408"/>
        <v>0.25</v>
      </c>
      <c r="AA313" s="127">
        <f t="shared" si="409"/>
        <v>4.0832500000000005</v>
      </c>
      <c r="AB313" s="127">
        <f t="shared" si="410"/>
        <v>0.84331500000000004</v>
      </c>
      <c r="AC313" s="127">
        <f t="shared" si="411"/>
        <v>4.9999999999999975E-2</v>
      </c>
      <c r="AD313" s="127">
        <f t="shared" si="412"/>
        <v>4.9765650000000008</v>
      </c>
      <c r="AF313" s="127" t="str">
        <f>IFERROR(W313*'FlightConfig '!$K$3,"")</f>
        <v/>
      </c>
      <c r="AG313" s="127">
        <f>IFERROR(X313*'FlightConfig '!$K$23,"")</f>
        <v>1395.3030000000001</v>
      </c>
      <c r="AH313" s="127">
        <f>IFERROR(Y313*'FlightConfig '!$K$23,"")</f>
        <v>227.5</v>
      </c>
      <c r="AI313" s="127">
        <f>IFERROR(Z313*'FlightConfig '!$K$23,"")</f>
        <v>91</v>
      </c>
      <c r="AJ313" s="127">
        <f>IFERROR(AA313*'FlightConfig '!$K$23,"")</f>
        <v>1486.3030000000001</v>
      </c>
      <c r="AK313" s="127">
        <f>IFERROR(AB313*'FlightConfig '!$K$23,"")</f>
        <v>306.96665999999999</v>
      </c>
    </row>
    <row r="314" spans="1:37" ht="18.75" customHeight="1">
      <c r="A314" t="s">
        <v>156</v>
      </c>
      <c r="B314" s="171">
        <v>2</v>
      </c>
      <c r="C314" s="176" t="str">
        <f t="shared" si="413"/>
        <v>BUSINESS CLASS2104</v>
      </c>
      <c r="D314" s="172"/>
      <c r="E314" s="303">
        <v>1206</v>
      </c>
      <c r="F314" s="310">
        <v>104</v>
      </c>
      <c r="G314" t="str">
        <f>VLOOKUP(E314,'FG MASTER'!$A:$AB,2,0)</f>
        <v>BC BREAKFAST TRAY SET UP</v>
      </c>
      <c r="H314" s="285">
        <v>1</v>
      </c>
      <c r="I314" s="173">
        <v>0.7</v>
      </c>
      <c r="J314" s="291">
        <f>IFERROR(IF(I314="std",H314,HLOOKUP(A314,'FlightConfig '!$B$34:$G$35,2,0)*I314),"")</f>
        <v>21</v>
      </c>
      <c r="K314" s="244">
        <f>VLOOKUP(Food!E314,'FG MASTER'!$A$1:$AC$536,16,0)</f>
        <v>0</v>
      </c>
      <c r="L314" s="245">
        <f>VLOOKUP(Food!E314,'FG MASTER'!$A$10:$AC$536,17,0)</f>
        <v>1.65</v>
      </c>
      <c r="M314" s="132">
        <f t="shared" si="418"/>
        <v>0.66</v>
      </c>
      <c r="N314" s="132">
        <f t="shared" si="399"/>
        <v>0.66</v>
      </c>
      <c r="O314" s="132">
        <f t="shared" si="400"/>
        <v>0</v>
      </c>
      <c r="P314" s="132">
        <f t="shared" si="401"/>
        <v>0.13200000000000001</v>
      </c>
      <c r="Q314" s="132">
        <f>SUM(N314:P314)</f>
        <v>0.79200000000000004</v>
      </c>
      <c r="R314" s="402">
        <f t="shared" si="416"/>
        <v>0</v>
      </c>
      <c r="S314" s="402">
        <f t="shared" si="404"/>
        <v>0.79200000000000004</v>
      </c>
      <c r="T314" s="402">
        <f t="shared" si="405"/>
        <v>0.79200000000000004</v>
      </c>
      <c r="U314" s="127"/>
      <c r="V314" s="127"/>
      <c r="W314" t="str">
        <f>IFERROR(#REF!*J314,"")</f>
        <v/>
      </c>
      <c r="X314">
        <f t="shared" si="406"/>
        <v>0</v>
      </c>
      <c r="Y314">
        <f t="shared" si="407"/>
        <v>34.65</v>
      </c>
      <c r="Z314" s="127">
        <f t="shared" si="408"/>
        <v>13.860000000000001</v>
      </c>
      <c r="AA314" s="127">
        <f t="shared" si="409"/>
        <v>13.860000000000001</v>
      </c>
      <c r="AB314" s="127">
        <f t="shared" si="410"/>
        <v>0</v>
      </c>
      <c r="AC314" s="127">
        <f t="shared" si="411"/>
        <v>2.7720000000000002</v>
      </c>
      <c r="AD314" s="127">
        <f t="shared" si="412"/>
        <v>16.632000000000001</v>
      </c>
      <c r="AF314" s="127" t="str">
        <f>IFERROR(W314*'FlightConfig '!$K$3,"")</f>
        <v/>
      </c>
      <c r="AG314" s="127">
        <f>IFERROR(X314*'FlightConfig '!$K$23,"")</f>
        <v>0</v>
      </c>
      <c r="AH314" s="127">
        <f>IFERROR(Y314*'FlightConfig '!$K$23,"")</f>
        <v>12612.6</v>
      </c>
      <c r="AI314" s="127">
        <f>IFERROR(Z314*'FlightConfig '!$K$23,"")</f>
        <v>5045.0400000000009</v>
      </c>
      <c r="AJ314" s="127">
        <f>IFERROR(AA314*'FlightConfig '!$K$23,"")</f>
        <v>5045.0400000000009</v>
      </c>
      <c r="AK314" s="127">
        <f>IFERROR(AB314*'FlightConfig '!$K$23,"")</f>
        <v>0</v>
      </c>
    </row>
    <row r="315" spans="1:37" ht="18.75" customHeight="1">
      <c r="A315" t="s">
        <v>156</v>
      </c>
      <c r="B315" s="171">
        <v>2</v>
      </c>
      <c r="C315" s="176" t="str">
        <f>CONCATENATE(A315&amp;B315&amp;F315)</f>
        <v>BUSINESS CLASS2104</v>
      </c>
      <c r="D315" s="172"/>
      <c r="E315" s="303">
        <v>1206</v>
      </c>
      <c r="F315" s="310">
        <v>104</v>
      </c>
      <c r="G315" t="str">
        <f>VLOOKUP(E315,'FG MASTER'!$A:$AB,2,0)</f>
        <v>BC BREAKFAST TRAY SET UP</v>
      </c>
      <c r="H315" s="285">
        <v>1</v>
      </c>
      <c r="I315" s="173">
        <v>0.3</v>
      </c>
      <c r="J315" s="291">
        <f>IFERROR(IF(I315="std",H315,HLOOKUP(A315,'FlightConfig '!$B$34:$G$35,2,0)*I315),"")</f>
        <v>9</v>
      </c>
      <c r="K315" s="244">
        <f>VLOOKUP(Food!E315,'FG MASTER'!$A$1:$AC$536,16,0)</f>
        <v>0</v>
      </c>
      <c r="L315" s="245">
        <f>VLOOKUP(Food!E315,'FG MASTER'!$A$10:$AC$536,17,0)</f>
        <v>1.65</v>
      </c>
      <c r="M315" s="132">
        <f t="shared" si="418"/>
        <v>0.66</v>
      </c>
      <c r="N315" s="132">
        <f t="shared" si="399"/>
        <v>0.66</v>
      </c>
      <c r="O315" s="132">
        <f t="shared" si="400"/>
        <v>0</v>
      </c>
      <c r="P315" s="132">
        <f t="shared" si="401"/>
        <v>0.13200000000000001</v>
      </c>
      <c r="Q315" s="132">
        <f>SUM(N315:P315)</f>
        <v>0.79200000000000004</v>
      </c>
      <c r="R315" s="402">
        <f t="shared" si="416"/>
        <v>0</v>
      </c>
      <c r="S315" s="402">
        <f t="shared" si="404"/>
        <v>0.79200000000000004</v>
      </c>
      <c r="T315" s="402">
        <f t="shared" si="405"/>
        <v>0.79200000000000004</v>
      </c>
      <c r="U315" s="127"/>
      <c r="V315" s="127"/>
      <c r="W315" t="str">
        <f>IFERROR(#REF!*J315,"")</f>
        <v/>
      </c>
      <c r="X315">
        <f t="shared" si="406"/>
        <v>0</v>
      </c>
      <c r="Y315">
        <f t="shared" si="407"/>
        <v>14.85</v>
      </c>
      <c r="Z315" s="127">
        <f t="shared" si="408"/>
        <v>5.94</v>
      </c>
      <c r="AA315" s="127">
        <f t="shared" si="409"/>
        <v>5.94</v>
      </c>
      <c r="AB315" s="127">
        <f t="shared" si="410"/>
        <v>0</v>
      </c>
      <c r="AC315" s="127">
        <f t="shared" si="411"/>
        <v>1.1880000000000002</v>
      </c>
      <c r="AD315" s="127">
        <f t="shared" si="412"/>
        <v>7.1280000000000001</v>
      </c>
      <c r="AF315" s="127" t="str">
        <f>IFERROR(W315*'FlightConfig '!$K$3,"")</f>
        <v/>
      </c>
      <c r="AG315" s="127">
        <f>IFERROR(X315*'FlightConfig '!$K$23,"")</f>
        <v>0</v>
      </c>
      <c r="AH315" s="127">
        <f>IFERROR(Y315*'FlightConfig '!$K$23,"")</f>
        <v>5405.4</v>
      </c>
      <c r="AI315" s="127">
        <f>IFERROR(Z315*'FlightConfig '!$K$23,"")</f>
        <v>2162.1600000000003</v>
      </c>
      <c r="AJ315" s="127">
        <f>IFERROR(AA315*'FlightConfig '!$K$23,"")</f>
        <v>2162.1600000000003</v>
      </c>
      <c r="AK315" s="127">
        <f>IFERROR(AB315*'FlightConfig '!$K$23,"")</f>
        <v>0</v>
      </c>
    </row>
    <row r="316" spans="1:37" ht="18.75" customHeight="1">
      <c r="A316" t="s">
        <v>156</v>
      </c>
      <c r="B316" s="171">
        <v>2</v>
      </c>
      <c r="C316" s="176" t="str">
        <f t="shared" ref="C316" si="422">CONCATENATE(A316&amp;B316&amp;F316)</f>
        <v>BUSINESS CLASS2104</v>
      </c>
      <c r="D316" s="172"/>
      <c r="E316" s="303">
        <v>1175</v>
      </c>
      <c r="F316" s="310">
        <v>104</v>
      </c>
      <c r="G316" t="str">
        <f>VLOOKUP(E316,'FG MASTER'!$A:$AB,2,0)</f>
        <v>BC C2 BRK NOVA CURED SALMON, CREAM CHEESE, EGG, RED ONION,</v>
      </c>
      <c r="H316" s="285">
        <v>1</v>
      </c>
      <c r="I316" s="173">
        <v>0.3</v>
      </c>
      <c r="J316" s="291">
        <f>IFERROR(IF(I316="std",H316,HLOOKUP(A316,'FlightConfig '!$B$34:$G$35,2,0)*I316),"")</f>
        <v>9</v>
      </c>
      <c r="K316" s="244">
        <f>VLOOKUP(Food!E316,'FG MASTER'!$A$1:$AC$536,16,0)</f>
        <v>2.8971130117173667</v>
      </c>
      <c r="L316" s="245">
        <f>VLOOKUP(Food!E316,'FG MASTER'!$A$10:$AC$536,17,0)</f>
        <v>3.45</v>
      </c>
      <c r="M316" s="132">
        <f t="shared" si="418"/>
        <v>1.3800000000000001</v>
      </c>
      <c r="N316" s="132">
        <f t="shared" si="399"/>
        <v>4.2771130117173666</v>
      </c>
      <c r="O316" s="132">
        <f t="shared" si="400"/>
        <v>0.63736486257782055</v>
      </c>
      <c r="P316" s="132">
        <f t="shared" si="401"/>
        <v>0.27600000000000002</v>
      </c>
      <c r="Q316" s="132">
        <f>SUM(N316:P316)</f>
        <v>5.1904778742951869</v>
      </c>
      <c r="R316" s="402">
        <f t="shared" si="416"/>
        <v>3.5344778742951872</v>
      </c>
      <c r="S316" s="402">
        <f t="shared" si="404"/>
        <v>1.6560000000000001</v>
      </c>
      <c r="T316" s="402">
        <f t="shared" si="405"/>
        <v>5.1904778742951869</v>
      </c>
      <c r="U316" s="127"/>
      <c r="V316" s="127"/>
      <c r="W316" t="str">
        <f>IFERROR(#REF!*J316,"")</f>
        <v/>
      </c>
      <c r="X316">
        <f t="shared" si="406"/>
        <v>26.074017105456299</v>
      </c>
      <c r="Y316">
        <f t="shared" si="407"/>
        <v>31.05</v>
      </c>
      <c r="Z316" s="127">
        <f t="shared" si="408"/>
        <v>12.420000000000002</v>
      </c>
      <c r="AA316" s="127">
        <f t="shared" si="409"/>
        <v>38.494017105456301</v>
      </c>
      <c r="AB316" s="127">
        <f t="shared" si="410"/>
        <v>5.7362837632003849</v>
      </c>
      <c r="AC316" s="127">
        <f t="shared" si="411"/>
        <v>2.484</v>
      </c>
      <c r="AD316" s="127">
        <f t="shared" si="412"/>
        <v>46.714300868656679</v>
      </c>
      <c r="AF316" s="127" t="str">
        <f>IFERROR(W316*'FlightConfig '!$K$3,"")</f>
        <v/>
      </c>
      <c r="AG316" s="127">
        <f>IFERROR(X316*'FlightConfig '!$K$23,"")</f>
        <v>9490.9422263860924</v>
      </c>
      <c r="AH316" s="127">
        <f>IFERROR(Y316*'FlightConfig '!$K$23,"")</f>
        <v>11302.2</v>
      </c>
      <c r="AI316" s="127">
        <f>IFERROR(Z316*'FlightConfig '!$K$23,"")</f>
        <v>4520.880000000001</v>
      </c>
      <c r="AJ316" s="127">
        <f>IFERROR(AA316*'FlightConfig '!$K$23,"")</f>
        <v>14011.822226386093</v>
      </c>
      <c r="AK316" s="127">
        <f>IFERROR(AB316*'FlightConfig '!$K$23,"")</f>
        <v>2088.0072898049402</v>
      </c>
    </row>
    <row r="317" spans="1:37" ht="18.75" customHeight="1">
      <c r="A317" t="s">
        <v>156</v>
      </c>
      <c r="B317" s="171">
        <v>2</v>
      </c>
      <c r="C317" s="176" t="str">
        <f>CONCATENATE(A317&amp;B317&amp;F317)</f>
        <v>BUSINESS CLASS2104</v>
      </c>
      <c r="D317" s="172"/>
      <c r="E317" s="303">
        <v>1210</v>
      </c>
      <c r="F317" s="310">
        <v>104</v>
      </c>
      <c r="G317" t="str">
        <f>VLOOKUP(E317,'FG MASTER'!$A:$AB,2,0)</f>
        <v>BC C2 BRK HHH1 BAGEL WITH GRIED EGG AND CHEESE</v>
      </c>
      <c r="H317" s="285">
        <v>1</v>
      </c>
      <c r="I317" s="173">
        <v>0.6</v>
      </c>
      <c r="J317" s="291">
        <f>IFERROR(IF(I317="std",H317,HLOOKUP(A317,'FlightConfig '!$B$34:$G$35,2,0)*I317),"")</f>
        <v>18</v>
      </c>
      <c r="K317" s="244">
        <f>VLOOKUP(Food!E317,'FG MASTER'!$A$1:$AC$536,16,0)</f>
        <v>0.83</v>
      </c>
      <c r="L317" s="245">
        <f>VLOOKUP(Food!E317,'FG MASTER'!$A$10:$AC$536,17,0)</f>
        <v>2.25</v>
      </c>
      <c r="M317" s="132">
        <f t="shared" si="418"/>
        <v>0.9</v>
      </c>
      <c r="N317" s="132">
        <f t="shared" si="399"/>
        <v>1.73</v>
      </c>
      <c r="O317" s="132">
        <f t="shared" si="400"/>
        <v>0.18259999999999998</v>
      </c>
      <c r="P317" s="132">
        <f t="shared" si="401"/>
        <v>0.18000000000000005</v>
      </c>
      <c r="Q317" s="132">
        <f>SUM(N317:P317)</f>
        <v>2.0926</v>
      </c>
      <c r="R317" s="402">
        <f t="shared" si="416"/>
        <v>1.0125999999999999</v>
      </c>
      <c r="S317" s="402">
        <f t="shared" si="404"/>
        <v>1.08</v>
      </c>
      <c r="T317" s="402">
        <f t="shared" si="405"/>
        <v>2.0926</v>
      </c>
      <c r="U317" s="127"/>
      <c r="V317" s="127"/>
      <c r="W317" t="str">
        <f>IFERROR(#REF!*J317,"")</f>
        <v/>
      </c>
      <c r="X317">
        <f t="shared" si="406"/>
        <v>14.94</v>
      </c>
      <c r="Y317">
        <f t="shared" si="407"/>
        <v>40.5</v>
      </c>
      <c r="Z317" s="127">
        <f t="shared" si="408"/>
        <v>16.2</v>
      </c>
      <c r="AA317" s="127">
        <f t="shared" si="409"/>
        <v>31.14</v>
      </c>
      <c r="AB317" s="127">
        <f t="shared" si="410"/>
        <v>3.2867999999999995</v>
      </c>
      <c r="AC317" s="127">
        <f t="shared" si="411"/>
        <v>3.2400000000000011</v>
      </c>
      <c r="AD317" s="127">
        <f t="shared" si="412"/>
        <v>37.666800000000002</v>
      </c>
      <c r="AF317" s="127" t="str">
        <f>IFERROR(W317*'FlightConfig '!$K$3,"")</f>
        <v/>
      </c>
      <c r="AG317" s="127">
        <f>IFERROR(X317*'FlightConfig '!$K$23,"")</f>
        <v>5438.16</v>
      </c>
      <c r="AH317" s="127">
        <f>IFERROR(Y317*'FlightConfig '!$K$23,"")</f>
        <v>14742</v>
      </c>
      <c r="AI317" s="127">
        <f>IFERROR(Z317*'FlightConfig '!$K$23,"")</f>
        <v>5896.8</v>
      </c>
      <c r="AJ317" s="127">
        <f>IFERROR(AA317*'FlightConfig '!$K$23,"")</f>
        <v>11334.960000000001</v>
      </c>
      <c r="AK317" s="127">
        <f>IFERROR(AB317*'FlightConfig '!$K$23,"")</f>
        <v>1196.3951999999999</v>
      </c>
    </row>
    <row r="318" spans="1:37" ht="18.75" customHeight="1">
      <c r="A318" t="s">
        <v>156</v>
      </c>
      <c r="B318" s="171">
        <v>2</v>
      </c>
      <c r="C318" s="176" t="str">
        <f t="shared" ref="C318:C319" si="423">CONCATENATE(A318&amp;B318&amp;F318)</f>
        <v>BUSINESS CLASS2104</v>
      </c>
      <c r="D318" s="172"/>
      <c r="E318" s="303">
        <v>1106</v>
      </c>
      <c r="F318" s="310">
        <v>104</v>
      </c>
      <c r="G318" t="str">
        <f>VLOOKUP(E318,'FG MASTER'!$A:$AB,2,0)</f>
        <v>BC C1 BREAKFAST ENTRÉE 4 ENGLEMANS ROLL, SPOTTED TROTTER - BACON, HP SAUCE</v>
      </c>
      <c r="H318" s="285">
        <v>1</v>
      </c>
      <c r="I318" s="173">
        <v>0.6</v>
      </c>
      <c r="J318" s="291">
        <f>IFERROR(IF(I318="std",H318,HLOOKUP(A318,'FlightConfig '!$B$34:$G$35,2,0)*I318),"")</f>
        <v>18</v>
      </c>
      <c r="K318" s="244">
        <f>VLOOKUP(Food!E318,'FG MASTER'!$A$1:$AC$536,16,0)</f>
        <v>1.97</v>
      </c>
      <c r="L318" s="245">
        <f>VLOOKUP(Food!E318,'FG MASTER'!$A$10:$AC$536,17,0)</f>
        <v>2.5</v>
      </c>
      <c r="M318" s="132">
        <f t="shared" si="418"/>
        <v>1</v>
      </c>
      <c r="N318" s="132">
        <f t="shared" si="399"/>
        <v>2.9699999999999998</v>
      </c>
      <c r="O318" s="132">
        <f t="shared" si="400"/>
        <v>0.43340000000000001</v>
      </c>
      <c r="P318" s="132">
        <f t="shared" si="401"/>
        <v>0.19999999999999996</v>
      </c>
      <c r="Q318" s="132">
        <f t="shared" ref="Q318:Q319" si="424">SUM(N318:P318)</f>
        <v>3.6033999999999997</v>
      </c>
      <c r="R318" s="402">
        <f t="shared" si="416"/>
        <v>2.4034</v>
      </c>
      <c r="S318" s="402">
        <f t="shared" si="404"/>
        <v>1.2</v>
      </c>
      <c r="T318" s="402">
        <f t="shared" si="405"/>
        <v>3.6033999999999997</v>
      </c>
      <c r="U318" s="127"/>
      <c r="V318" s="127"/>
      <c r="W318" t="str">
        <f>IFERROR(#REF!*J318,"")</f>
        <v/>
      </c>
      <c r="X318">
        <f t="shared" si="406"/>
        <v>35.46</v>
      </c>
      <c r="Y318">
        <f t="shared" si="407"/>
        <v>45</v>
      </c>
      <c r="Z318" s="127">
        <f t="shared" si="408"/>
        <v>18</v>
      </c>
      <c r="AA318" s="127">
        <f t="shared" si="409"/>
        <v>53.459999999999994</v>
      </c>
      <c r="AB318" s="127">
        <f t="shared" si="410"/>
        <v>7.8011999999999997</v>
      </c>
      <c r="AC318" s="127">
        <f t="shared" si="411"/>
        <v>3.5999999999999992</v>
      </c>
      <c r="AD318" s="127">
        <f t="shared" si="412"/>
        <v>64.861199999999997</v>
      </c>
      <c r="AF318" s="127" t="str">
        <f>IFERROR(W318*'FlightConfig '!$K$3,"")</f>
        <v/>
      </c>
      <c r="AG318" s="127">
        <f>IFERROR(X318*'FlightConfig '!$K$23,"")</f>
        <v>12907.44</v>
      </c>
      <c r="AH318" s="127">
        <f>IFERROR(Y318*'FlightConfig '!$K$23,"")</f>
        <v>16380</v>
      </c>
      <c r="AI318" s="127">
        <f>IFERROR(Z318*'FlightConfig '!$K$23,"")</f>
        <v>6552</v>
      </c>
      <c r="AJ318" s="127">
        <f>IFERROR(AA318*'FlightConfig '!$K$23,"")</f>
        <v>19459.439999999999</v>
      </c>
      <c r="AK318" s="127">
        <f>IFERROR(AB318*'FlightConfig '!$K$23,"")</f>
        <v>2839.6367999999998</v>
      </c>
    </row>
    <row r="319" spans="1:37" ht="18.75" customHeight="1">
      <c r="A319" t="s">
        <v>156</v>
      </c>
      <c r="B319" s="171">
        <v>2</v>
      </c>
      <c r="C319" s="176" t="str">
        <f t="shared" si="423"/>
        <v>BUSINESS CLASS2104</v>
      </c>
      <c r="D319" s="172"/>
      <c r="E319" s="303">
        <v>1178</v>
      </c>
      <c r="F319" s="310">
        <v>104</v>
      </c>
      <c r="G319" t="str">
        <f>VLOOKUP(E319,'FG MASTER'!$A:$AB,2,0)</f>
        <v>BC C2 BRK SIDE ITEM LAYED YOGURT</v>
      </c>
      <c r="H319" s="285">
        <v>1</v>
      </c>
      <c r="I319" s="173">
        <v>1</v>
      </c>
      <c r="J319" s="291">
        <f>IFERROR(IF(I319="std",H319,HLOOKUP(A319,'FlightConfig '!$B$34:$G$35,2,0)*I319),"")</f>
        <v>30</v>
      </c>
      <c r="K319" s="244">
        <f>VLOOKUP(Food!E319,'FG MASTER'!$A$1:$AC$536,16,0)</f>
        <v>1.0548240215786746</v>
      </c>
      <c r="L319" s="245">
        <f>VLOOKUP(Food!E319,'FG MASTER'!$A$10:$AC$536,17,0)</f>
        <v>1.25</v>
      </c>
      <c r="M319" s="132">
        <f t="shared" si="418"/>
        <v>0.5</v>
      </c>
      <c r="N319" s="132">
        <f t="shared" si="399"/>
        <v>1.5548240215786746</v>
      </c>
      <c r="O319" s="132">
        <f t="shared" si="400"/>
        <v>0.23206128474730847</v>
      </c>
      <c r="P319" s="132">
        <f t="shared" si="401"/>
        <v>9.9999999999999978E-2</v>
      </c>
      <c r="Q319" s="132">
        <f t="shared" si="424"/>
        <v>1.8868853063259832</v>
      </c>
      <c r="R319" s="402">
        <f t="shared" si="416"/>
        <v>1.2868853063259831</v>
      </c>
      <c r="S319" s="402">
        <f t="shared" si="404"/>
        <v>0.6</v>
      </c>
      <c r="T319" s="402">
        <f t="shared" si="405"/>
        <v>1.8868853063259832</v>
      </c>
      <c r="U319" s="127"/>
      <c r="V319" s="127"/>
      <c r="W319" t="str">
        <f>IFERROR(#REF!*J319,"")</f>
        <v/>
      </c>
      <c r="X319">
        <f t="shared" si="406"/>
        <v>31.644720647360238</v>
      </c>
      <c r="Y319">
        <f t="shared" si="407"/>
        <v>37.5</v>
      </c>
      <c r="Z319" s="127">
        <f t="shared" si="408"/>
        <v>15</v>
      </c>
      <c r="AA319" s="127">
        <f t="shared" si="409"/>
        <v>46.644720647360238</v>
      </c>
      <c r="AB319" s="127">
        <f t="shared" si="410"/>
        <v>6.9618385424192546</v>
      </c>
      <c r="AC319" s="127">
        <f t="shared" si="411"/>
        <v>2.9999999999999991</v>
      </c>
      <c r="AD319" s="127">
        <f t="shared" si="412"/>
        <v>56.606559189779496</v>
      </c>
      <c r="AF319" s="127" t="str">
        <f>IFERROR(W319*'FlightConfig '!$K$3,"")</f>
        <v/>
      </c>
      <c r="AG319" s="127">
        <f>IFERROR(X319*'FlightConfig '!$K$23,"")</f>
        <v>11518.678315639127</v>
      </c>
      <c r="AH319" s="127">
        <f>IFERROR(Y319*'FlightConfig '!$K$23,"")</f>
        <v>13650</v>
      </c>
      <c r="AI319" s="127">
        <f>IFERROR(Z319*'FlightConfig '!$K$23,"")</f>
        <v>5460</v>
      </c>
      <c r="AJ319" s="127">
        <f>IFERROR(AA319*'FlightConfig '!$K$23,"")</f>
        <v>16978.678315639125</v>
      </c>
      <c r="AK319" s="127">
        <f>IFERROR(AB319*'FlightConfig '!$K$23,"")</f>
        <v>2534.1092294406085</v>
      </c>
    </row>
    <row r="320" spans="1:37" ht="18.75" customHeight="1">
      <c r="A320" t="s">
        <v>156</v>
      </c>
      <c r="B320" s="171">
        <v>2</v>
      </c>
      <c r="C320" s="176" t="str">
        <f>CONCATENATE(A320&amp;B320&amp;F320)</f>
        <v>BUSINESS CLASS2104</v>
      </c>
      <c r="D320" s="172"/>
      <c r="E320" s="303">
        <v>1179</v>
      </c>
      <c r="F320" s="310">
        <v>104</v>
      </c>
      <c r="G320" t="str">
        <f>VLOOKUP(E320,'FG MASTER'!$A:$AB,2,0)</f>
        <v>BC C2 BRK SIDE ITEM MINI JAM JAR</v>
      </c>
      <c r="H320" s="285">
        <v>1</v>
      </c>
      <c r="I320" s="173">
        <v>1</v>
      </c>
      <c r="J320" s="291">
        <f>IFERROR(IF(I320="std",H320,HLOOKUP(A320,'FlightConfig '!$B$34:$G$35,2,0)*I320),"")</f>
        <v>30</v>
      </c>
      <c r="K320" s="244">
        <f>VLOOKUP(Food!E320,'FG MASTER'!$A$1:$AC$536,16,0)</f>
        <v>0.42724489795918363</v>
      </c>
      <c r="L320" s="245">
        <f>VLOOKUP(Food!E320,'FG MASTER'!$A$10:$AC$536,17,0)</f>
        <v>0.25</v>
      </c>
      <c r="M320" s="132">
        <f>IFERROR(L320*$M$2,"")</f>
        <v>0.1</v>
      </c>
      <c r="N320" s="132">
        <f>IFERROR((K320)+M320,"")</f>
        <v>0.52724489795918361</v>
      </c>
      <c r="O320" s="132">
        <f t="shared" si="400"/>
        <v>9.3993877551020399E-2</v>
      </c>
      <c r="P320" s="132">
        <f t="shared" si="401"/>
        <v>1.999999999999999E-2</v>
      </c>
      <c r="Q320" s="132">
        <f>SUM(N320:P320)</f>
        <v>0.64123877551020403</v>
      </c>
      <c r="R320" s="402">
        <f t="shared" si="416"/>
        <v>0.52123877551020403</v>
      </c>
      <c r="S320" s="402">
        <f t="shared" si="404"/>
        <v>0.12</v>
      </c>
      <c r="T320" s="402">
        <f t="shared" si="405"/>
        <v>0.64123877551020403</v>
      </c>
      <c r="U320" s="127"/>
      <c r="V320" s="127"/>
      <c r="W320" t="str">
        <f>IFERROR(#REF!*J320,"")</f>
        <v/>
      </c>
      <c r="X320">
        <f t="shared" si="406"/>
        <v>12.817346938775509</v>
      </c>
      <c r="Y320">
        <f t="shared" si="407"/>
        <v>7.5</v>
      </c>
      <c r="Z320" s="127">
        <f t="shared" si="408"/>
        <v>3</v>
      </c>
      <c r="AA320" s="127">
        <f t="shared" si="409"/>
        <v>15.817346938775508</v>
      </c>
      <c r="AB320" s="127">
        <f t="shared" si="410"/>
        <v>2.8198163265306118</v>
      </c>
      <c r="AC320" s="127">
        <f t="shared" si="411"/>
        <v>0.59999999999999964</v>
      </c>
      <c r="AD320" s="127">
        <f t="shared" si="412"/>
        <v>19.237163265306123</v>
      </c>
      <c r="AF320" s="127" t="str">
        <f>IFERROR(W320*'FlightConfig '!$K$3,"")</f>
        <v/>
      </c>
      <c r="AG320" s="127">
        <f>IFERROR(X320*'FlightConfig '!$K$23,"")</f>
        <v>4665.5142857142855</v>
      </c>
      <c r="AH320" s="127">
        <f>IFERROR(Y320*'FlightConfig '!$K$23,"")</f>
        <v>2730</v>
      </c>
      <c r="AI320" s="127">
        <f>IFERROR(Z320*'FlightConfig '!$K$23,"")</f>
        <v>1092</v>
      </c>
      <c r="AJ320" s="127">
        <f>IFERROR(AA320*'FlightConfig '!$K$23,"")</f>
        <v>5757.5142857142846</v>
      </c>
      <c r="AK320" s="127">
        <f>IFERROR(AB320*'FlightConfig '!$K$23,"")</f>
        <v>1026.4131428571427</v>
      </c>
    </row>
    <row r="321" spans="1:37" ht="18.75" customHeight="1">
      <c r="A321" t="s">
        <v>156</v>
      </c>
      <c r="B321" s="171">
        <v>2</v>
      </c>
      <c r="C321" s="176" t="str">
        <f t="shared" ref="C321:C335" si="425">CONCATENATE(A321&amp;B321&amp;F321)</f>
        <v>BUSINESS CLASS2104</v>
      </c>
      <c r="D321" s="172"/>
      <c r="E321" s="303">
        <v>1174</v>
      </c>
      <c r="F321" s="310">
        <v>104</v>
      </c>
      <c r="G321" t="str">
        <f>VLOOKUP(E321,'FG MASTER'!$A:$AB,2,0)</f>
        <v>BC C2 BRK PASTRIES - CROISSANT</v>
      </c>
      <c r="H321" s="285">
        <v>1</v>
      </c>
      <c r="I321" s="173">
        <v>1</v>
      </c>
      <c r="J321" s="291">
        <f>IFERROR(IF(I321="std",H321,HLOOKUP(A321,'FlightConfig '!$B$34:$G$35,2,0)*I321),"")</f>
        <v>30</v>
      </c>
      <c r="K321" s="244">
        <f>VLOOKUP(Food!E321,'FG MASTER'!$A$1:$AC$536,16,0)</f>
        <v>1.2553338435374155</v>
      </c>
      <c r="L321" s="245">
        <f>VLOOKUP(Food!E321,'FG MASTER'!$A$10:$AC$536,17,0)</f>
        <v>0.5</v>
      </c>
      <c r="M321" s="132">
        <f t="shared" ref="M321:M347" si="426">IFERROR(L321*$M$2,"")</f>
        <v>0.2</v>
      </c>
      <c r="N321" s="132">
        <f t="shared" ref="N321:N335" si="427">IFERROR((K321)+M321,"")</f>
        <v>1.4553338435374155</v>
      </c>
      <c r="O321" s="132">
        <f t="shared" si="400"/>
        <v>0.27617344557823142</v>
      </c>
      <c r="P321" s="132">
        <f t="shared" si="401"/>
        <v>3.999999999999998E-2</v>
      </c>
      <c r="Q321" s="132">
        <f t="shared" ref="Q321:Q323" si="428">SUM(N321:P321)</f>
        <v>1.7715072891156469</v>
      </c>
      <c r="R321" s="402">
        <f t="shared" si="416"/>
        <v>1.5315072891156469</v>
      </c>
      <c r="S321" s="402">
        <f t="shared" si="404"/>
        <v>0.24</v>
      </c>
      <c r="T321" s="402">
        <f t="shared" si="405"/>
        <v>1.7715072891156469</v>
      </c>
      <c r="U321" s="127"/>
      <c r="V321" s="127"/>
      <c r="W321" t="str">
        <f>IFERROR(#REF!*J321,"")</f>
        <v/>
      </c>
      <c r="X321">
        <f t="shared" si="406"/>
        <v>37.660015306122467</v>
      </c>
      <c r="Y321">
        <f t="shared" si="407"/>
        <v>15</v>
      </c>
      <c r="Z321" s="127">
        <f t="shared" si="408"/>
        <v>6</v>
      </c>
      <c r="AA321" s="127">
        <f t="shared" si="409"/>
        <v>43.66001530612246</v>
      </c>
      <c r="AB321" s="127">
        <f t="shared" si="410"/>
        <v>8.2852033673469432</v>
      </c>
      <c r="AC321" s="127">
        <f t="shared" si="411"/>
        <v>1.1999999999999993</v>
      </c>
      <c r="AD321" s="127">
        <f t="shared" si="412"/>
        <v>53.145218673469408</v>
      </c>
      <c r="AF321" s="127" t="str">
        <f>IFERROR(W321*'FlightConfig '!$K$3,"")</f>
        <v/>
      </c>
      <c r="AG321" s="127">
        <f>IFERROR(X321*'FlightConfig '!$K$23,"")</f>
        <v>13708.245571428579</v>
      </c>
      <c r="AH321" s="127">
        <f>IFERROR(Y321*'FlightConfig '!$K$23,"")</f>
        <v>5460</v>
      </c>
      <c r="AI321" s="127">
        <f>IFERROR(Z321*'FlightConfig '!$K$23,"")</f>
        <v>2184</v>
      </c>
      <c r="AJ321" s="127">
        <f>IFERROR(AA321*'FlightConfig '!$K$23,"")</f>
        <v>15892.245571428575</v>
      </c>
      <c r="AK321" s="127">
        <f>IFERROR(AB321*'FlightConfig '!$K$23,"")</f>
        <v>3015.8140257142873</v>
      </c>
    </row>
    <row r="322" spans="1:37" ht="18.75" customHeight="1">
      <c r="A322" t="s">
        <v>156</v>
      </c>
      <c r="B322" s="171">
        <v>2</v>
      </c>
      <c r="C322" s="176" t="str">
        <f t="shared" si="425"/>
        <v>BUSINESS CLASS2104</v>
      </c>
      <c r="D322" s="172"/>
      <c r="E322" s="303">
        <v>1204</v>
      </c>
      <c r="F322" s="310">
        <v>104</v>
      </c>
      <c r="G322" t="str">
        <f>VLOOKUP(E322,'FG MASTER'!$A:$AB,2,0)</f>
        <v>BC C2 GARNISH GRAPEFRUIT SEGMENT 20CT</v>
      </c>
      <c r="H322" s="285">
        <v>1</v>
      </c>
      <c r="I322" s="173" t="s">
        <v>356</v>
      </c>
      <c r="J322" s="291">
        <f>IFERROR(IF(I322="std",H322,HLOOKUP(A322,'FlightConfig '!$B$34:$G$35,2,0)*I322),"")</f>
        <v>1</v>
      </c>
      <c r="K322" s="244">
        <f>VLOOKUP(Food!E322,'FG MASTER'!$A$1:$AC$536,16,0)</f>
        <v>4.9882500000000007</v>
      </c>
      <c r="L322" s="245">
        <f>VLOOKUP(Food!E322,'FG MASTER'!$A$10:$AC$536,17,0)</f>
        <v>0.5</v>
      </c>
      <c r="M322" s="132">
        <f t="shared" si="426"/>
        <v>0.2</v>
      </c>
      <c r="N322" s="132">
        <f t="shared" si="427"/>
        <v>5.1882500000000009</v>
      </c>
      <c r="O322" s="132">
        <f t="shared" si="400"/>
        <v>1.0974149999999998</v>
      </c>
      <c r="P322" s="132">
        <f t="shared" si="401"/>
        <v>3.999999999999998E-2</v>
      </c>
      <c r="Q322" s="132">
        <f t="shared" si="428"/>
        <v>6.3256650000000008</v>
      </c>
      <c r="R322" s="402">
        <f t="shared" si="416"/>
        <v>6.0856650000000005</v>
      </c>
      <c r="S322" s="402">
        <f t="shared" si="404"/>
        <v>0.24</v>
      </c>
      <c r="T322" s="402">
        <f t="shared" si="405"/>
        <v>6.3256650000000008</v>
      </c>
      <c r="U322" s="127"/>
      <c r="V322" s="127"/>
      <c r="W322" t="str">
        <f>IFERROR(#REF!*J322,"")</f>
        <v/>
      </c>
      <c r="X322">
        <f t="shared" si="406"/>
        <v>4.9882500000000007</v>
      </c>
      <c r="Y322">
        <f t="shared" si="407"/>
        <v>0.5</v>
      </c>
      <c r="Z322" s="127">
        <f t="shared" si="408"/>
        <v>0.2</v>
      </c>
      <c r="AA322" s="127">
        <f t="shared" si="409"/>
        <v>5.1882500000000009</v>
      </c>
      <c r="AB322" s="127">
        <f t="shared" si="410"/>
        <v>1.0974149999999998</v>
      </c>
      <c r="AC322" s="127">
        <f t="shared" si="411"/>
        <v>3.999999999999998E-2</v>
      </c>
      <c r="AD322" s="127">
        <f t="shared" si="412"/>
        <v>6.3256650000000008</v>
      </c>
      <c r="AF322" s="127" t="str">
        <f>IFERROR(W322*'FlightConfig '!$K$3,"")</f>
        <v/>
      </c>
      <c r="AG322" s="127">
        <f>IFERROR(X322*'FlightConfig '!$K$23,"")</f>
        <v>1815.7230000000002</v>
      </c>
      <c r="AH322" s="127">
        <f>IFERROR(Y322*'FlightConfig '!$K$23,"")</f>
        <v>182</v>
      </c>
      <c r="AI322" s="127">
        <f>IFERROR(Z322*'FlightConfig '!$K$23,"")</f>
        <v>72.8</v>
      </c>
      <c r="AJ322" s="127">
        <f>IFERROR(AA322*'FlightConfig '!$K$23,"")</f>
        <v>1888.5230000000004</v>
      </c>
      <c r="AK322" s="127">
        <f>IFERROR(AB322*'FlightConfig '!$K$23,"")</f>
        <v>399.45905999999991</v>
      </c>
    </row>
    <row r="323" spans="1:37" ht="18.75" customHeight="1">
      <c r="A323" t="s">
        <v>157</v>
      </c>
      <c r="B323" s="171">
        <v>2</v>
      </c>
      <c r="C323" s="176" t="str">
        <f t="shared" si="425"/>
        <v>PREMIUM ECONOMY CLASS2104</v>
      </c>
      <c r="D323" s="311"/>
      <c r="E323" s="304">
        <v>1111</v>
      </c>
      <c r="F323" s="310">
        <v>104</v>
      </c>
      <c r="G323" t="str">
        <f>VLOOKUP(E323,'FG MASTER'!$A:$AB,2,0)</f>
        <v>PY C1 DINNER TSU</v>
      </c>
      <c r="H323" s="285">
        <v>1</v>
      </c>
      <c r="I323" s="173">
        <v>1</v>
      </c>
      <c r="J323" s="291">
        <f>IFERROR(IF(I323="std",H323,HLOOKUP(A323,'FlightConfig '!$B$34:$G$35,2,0)*I323),"")</f>
        <v>44</v>
      </c>
      <c r="K323" s="244">
        <f>VLOOKUP(Food!E323,'FG MASTER'!$A$1:$AC$536,16,0)</f>
        <v>0</v>
      </c>
      <c r="L323" s="245">
        <f>VLOOKUP(Food!E323,'FG MASTER'!$A$10:$AC$536,17,0)</f>
        <v>1.5</v>
      </c>
      <c r="M323" s="132">
        <f t="shared" si="426"/>
        <v>0.60000000000000009</v>
      </c>
      <c r="N323" s="132">
        <f t="shared" si="427"/>
        <v>0.60000000000000009</v>
      </c>
      <c r="O323" s="132">
        <f t="shared" si="400"/>
        <v>0</v>
      </c>
      <c r="P323" s="132">
        <f t="shared" si="401"/>
        <v>0.12</v>
      </c>
      <c r="Q323" s="132">
        <f t="shared" si="428"/>
        <v>0.72000000000000008</v>
      </c>
      <c r="R323" s="402">
        <f t="shared" si="416"/>
        <v>0</v>
      </c>
      <c r="S323" s="402">
        <f t="shared" si="404"/>
        <v>0.72000000000000008</v>
      </c>
      <c r="T323" s="402">
        <f t="shared" si="405"/>
        <v>0.72000000000000008</v>
      </c>
      <c r="U323" s="127"/>
      <c r="V323" s="127"/>
      <c r="W323" t="str">
        <f>IFERROR(#REF!*J323,"")</f>
        <v/>
      </c>
      <c r="X323">
        <f t="shared" si="406"/>
        <v>0</v>
      </c>
      <c r="Y323">
        <f t="shared" si="407"/>
        <v>66</v>
      </c>
      <c r="Z323" s="127">
        <f t="shared" si="408"/>
        <v>26.400000000000006</v>
      </c>
      <c r="AA323" s="127">
        <f t="shared" si="409"/>
        <v>26.400000000000006</v>
      </c>
      <c r="AB323" s="127">
        <f t="shared" si="410"/>
        <v>0</v>
      </c>
      <c r="AC323" s="127">
        <f t="shared" si="411"/>
        <v>5.2799999999999994</v>
      </c>
      <c r="AD323" s="127">
        <f t="shared" si="412"/>
        <v>31.680000000000003</v>
      </c>
      <c r="AF323" s="127" t="str">
        <f>IFERROR(W323*'FlightConfig '!$K$3,"")</f>
        <v/>
      </c>
      <c r="AG323" s="127">
        <f>IFERROR(X323*'FlightConfig '!$K$23,"")</f>
        <v>0</v>
      </c>
      <c r="AH323" s="127">
        <f>IFERROR(Y323*'FlightConfig '!$K$23,"")</f>
        <v>24024</v>
      </c>
      <c r="AI323" s="127">
        <f>IFERROR(Z323*'FlightConfig '!$K$23,"")</f>
        <v>9609.6000000000022</v>
      </c>
      <c r="AJ323" s="127">
        <f>IFERROR(AA323*'FlightConfig '!$K$23,"")</f>
        <v>9609.6000000000022</v>
      </c>
      <c r="AK323" s="127">
        <f>IFERROR(AB323*'FlightConfig '!$K$23,"")</f>
        <v>0</v>
      </c>
    </row>
    <row r="324" spans="1:37" ht="18.75" customHeight="1">
      <c r="A324" t="s">
        <v>157</v>
      </c>
      <c r="B324" s="171">
        <v>2</v>
      </c>
      <c r="C324" s="176" t="str">
        <f t="shared" si="425"/>
        <v>PREMIUM ECONOMY CLASS2104</v>
      </c>
      <c r="D324" s="311"/>
      <c r="E324" s="304">
        <v>1112</v>
      </c>
      <c r="F324" s="310">
        <v>104</v>
      </c>
      <c r="G324" t="str">
        <f>VLOOKUP(E324,'FG MASTER'!$A:$AB,2,0)</f>
        <v>PY C1 DINNER BREAD HOUSEMADE SWEETWATER BEER AND CHEESE ROLL</v>
      </c>
      <c r="H324" s="285">
        <v>1</v>
      </c>
      <c r="I324" s="173">
        <v>1</v>
      </c>
      <c r="J324" s="291">
        <f>IFERROR(IF(I324="std",H324,HLOOKUP(A324,'FlightConfig '!$B$34:$G$35,2,0)*I324),"")</f>
        <v>44</v>
      </c>
      <c r="K324" s="244">
        <f>VLOOKUP(Food!E324,'FG MASTER'!$A$1:$AC$536,16,0)</f>
        <v>0.29738124999999999</v>
      </c>
      <c r="L324" s="245">
        <f>VLOOKUP(Food!E324,'FG MASTER'!$A$10:$AC$536,17,0)</f>
        <v>0.25</v>
      </c>
      <c r="M324" s="132">
        <f t="shared" si="426"/>
        <v>0.1</v>
      </c>
      <c r="N324" s="132">
        <f t="shared" si="427"/>
        <v>0.39738125000000002</v>
      </c>
      <c r="O324" s="132">
        <f t="shared" si="400"/>
        <v>6.5423874999999965E-2</v>
      </c>
      <c r="P324" s="132">
        <f t="shared" si="401"/>
        <v>1.999999999999999E-2</v>
      </c>
      <c r="Q324" s="132">
        <f t="shared" ref="Q324:Q336" si="429">SUM(N324:P324)</f>
        <v>0.48280512499999995</v>
      </c>
      <c r="R324" s="402">
        <f t="shared" si="416"/>
        <v>0.36280512499999995</v>
      </c>
      <c r="S324" s="402">
        <f t="shared" si="404"/>
        <v>0.12</v>
      </c>
      <c r="T324" s="402">
        <f t="shared" si="405"/>
        <v>0.48280512499999995</v>
      </c>
      <c r="U324" s="127"/>
      <c r="V324" s="127"/>
      <c r="W324" t="str">
        <f>IFERROR(#REF!*J324,"")</f>
        <v/>
      </c>
      <c r="X324">
        <f t="shared" si="406"/>
        <v>13.084774999999999</v>
      </c>
      <c r="Y324">
        <f t="shared" si="407"/>
        <v>11</v>
      </c>
      <c r="Z324" s="127">
        <f t="shared" si="408"/>
        <v>4.4000000000000004</v>
      </c>
      <c r="AA324" s="127">
        <f t="shared" si="409"/>
        <v>17.484774999999999</v>
      </c>
      <c r="AB324" s="127">
        <f t="shared" si="410"/>
        <v>2.8786504999999982</v>
      </c>
      <c r="AC324" s="127">
        <f t="shared" si="411"/>
        <v>0.87999999999999956</v>
      </c>
      <c r="AD324" s="127">
        <f t="shared" si="412"/>
        <v>21.243425499999997</v>
      </c>
      <c r="AF324" s="127" t="str">
        <f>IFERROR(W324*'FlightConfig '!$K$3,"")</f>
        <v/>
      </c>
      <c r="AG324" s="127">
        <f>IFERROR(X324*'FlightConfig '!$K$23,"")</f>
        <v>4762.8580999999995</v>
      </c>
      <c r="AH324" s="127">
        <f>IFERROR(Y324*'FlightConfig '!$K$23,"")</f>
        <v>4004</v>
      </c>
      <c r="AI324" s="127">
        <f>IFERROR(Z324*'FlightConfig '!$K$23,"")</f>
        <v>1601.6000000000001</v>
      </c>
      <c r="AJ324" s="127">
        <f>IFERROR(AA324*'FlightConfig '!$K$23,"")</f>
        <v>6364.4580999999998</v>
      </c>
      <c r="AK324" s="127">
        <f>IFERROR(AB324*'FlightConfig '!$K$23,"")</f>
        <v>1047.8287819999994</v>
      </c>
    </row>
    <row r="325" spans="1:37" ht="18.75" customHeight="1">
      <c r="A325" t="s">
        <v>157</v>
      </c>
      <c r="B325" s="171">
        <v>2</v>
      </c>
      <c r="C325" s="176" t="str">
        <f t="shared" si="425"/>
        <v>PREMIUM ECONOMY CLASS2104</v>
      </c>
      <c r="D325" s="311"/>
      <c r="E325" s="304">
        <v>1113</v>
      </c>
      <c r="F325" s="310">
        <v>104</v>
      </c>
      <c r="G325" t="str">
        <f>VLOOKUP(E325,'FG MASTER'!$A:$AB,2,0)</f>
        <v>PY C1 DINNER BUTTER</v>
      </c>
      <c r="H325" s="285">
        <v>1</v>
      </c>
      <c r="I325" s="173">
        <v>1</v>
      </c>
      <c r="J325" s="291">
        <f>IFERROR(IF(I325="std",H325,HLOOKUP(A325,'FlightConfig '!$B$34:$G$35,2,0)*I325),"")</f>
        <v>44</v>
      </c>
      <c r="K325" s="244">
        <f>VLOOKUP(Food!E325,'FG MASTER'!$A$1:$AC$536,16,0)</f>
        <v>0.3</v>
      </c>
      <c r="L325" s="245">
        <f>VLOOKUP(Food!E325,'FG MASTER'!$A$10:$AC$536,17,0)</f>
        <v>0.25</v>
      </c>
      <c r="M325" s="132">
        <f t="shared" si="426"/>
        <v>0.1</v>
      </c>
      <c r="N325" s="132">
        <f t="shared" si="427"/>
        <v>0.4</v>
      </c>
      <c r="O325" s="132">
        <f t="shared" si="400"/>
        <v>6.6000000000000003E-2</v>
      </c>
      <c r="P325" s="132">
        <f t="shared" si="401"/>
        <v>1.999999999999999E-2</v>
      </c>
      <c r="Q325" s="132">
        <f t="shared" si="429"/>
        <v>0.48599999999999999</v>
      </c>
      <c r="R325" s="402">
        <f t="shared" si="416"/>
        <v>0.36599999999999999</v>
      </c>
      <c r="S325" s="402">
        <f t="shared" si="404"/>
        <v>0.12</v>
      </c>
      <c r="T325" s="402">
        <f t="shared" si="405"/>
        <v>0.48599999999999999</v>
      </c>
      <c r="U325" s="127"/>
      <c r="V325" s="127"/>
      <c r="W325" t="str">
        <f>IFERROR(#REF!*J325,"")</f>
        <v/>
      </c>
      <c r="X325">
        <f t="shared" si="406"/>
        <v>13.2</v>
      </c>
      <c r="Y325">
        <f t="shared" si="407"/>
        <v>11</v>
      </c>
      <c r="Z325" s="127">
        <f t="shared" si="408"/>
        <v>4.4000000000000004</v>
      </c>
      <c r="AA325" s="127">
        <f t="shared" si="409"/>
        <v>17.600000000000001</v>
      </c>
      <c r="AB325" s="127">
        <f t="shared" si="410"/>
        <v>2.9039999999999999</v>
      </c>
      <c r="AC325" s="127">
        <f t="shared" si="411"/>
        <v>0.87999999999999956</v>
      </c>
      <c r="AD325" s="127">
        <f t="shared" si="412"/>
        <v>21.384</v>
      </c>
      <c r="AF325" s="127" t="str">
        <f>IFERROR(W325*'FlightConfig '!$K$3,"")</f>
        <v/>
      </c>
      <c r="AG325" s="127">
        <f>IFERROR(X325*'FlightConfig '!$K$23,"")</f>
        <v>4804.8</v>
      </c>
      <c r="AH325" s="127">
        <f>IFERROR(Y325*'FlightConfig '!$K$23,"")</f>
        <v>4004</v>
      </c>
      <c r="AI325" s="127">
        <f>IFERROR(Z325*'FlightConfig '!$K$23,"")</f>
        <v>1601.6000000000001</v>
      </c>
      <c r="AJ325" s="127">
        <f>IFERROR(AA325*'FlightConfig '!$K$23,"")</f>
        <v>6406.4000000000005</v>
      </c>
      <c r="AK325" s="127">
        <f>IFERROR(AB325*'FlightConfig '!$K$23,"")</f>
        <v>1057.056</v>
      </c>
    </row>
    <row r="326" spans="1:37" ht="18.75" customHeight="1">
      <c r="A326" t="s">
        <v>157</v>
      </c>
      <c r="B326" s="171">
        <v>2</v>
      </c>
      <c r="C326" s="176" t="str">
        <f t="shared" si="425"/>
        <v>PREMIUM ECONOMY CLASS2104</v>
      </c>
      <c r="D326" s="311"/>
      <c r="E326" s="304">
        <v>1180</v>
      </c>
      <c r="F326" s="310">
        <v>104</v>
      </c>
      <c r="G326" t="str">
        <f>VLOOKUP(E326,'FG MASTER'!$A:$AB,2,0)</f>
        <v>PY C2 DINNER SALAD TOMAT SLICE, MOZZARELLA, BASIL, BALSAMIC DRESSING</v>
      </c>
      <c r="H326" s="285">
        <v>1</v>
      </c>
      <c r="I326" s="173">
        <v>1</v>
      </c>
      <c r="J326" s="291">
        <f>IFERROR(IF(I326="std",H326,HLOOKUP(A326,'FlightConfig '!$B$34:$G$35,2,0)*I326),"")</f>
        <v>44</v>
      </c>
      <c r="K326" s="244">
        <f>VLOOKUP(Food!E326,'FG MASTER'!$A$1:$AC$536,16,0)</f>
        <v>0.96647029431380793</v>
      </c>
      <c r="L326" s="245">
        <f>VLOOKUP(Food!E326,'FG MASTER'!$A$10:$AC$536,17,0)</f>
        <v>1</v>
      </c>
      <c r="M326" s="132">
        <f t="shared" si="426"/>
        <v>0.4</v>
      </c>
      <c r="N326" s="132">
        <f t="shared" si="427"/>
        <v>1.3664702943138081</v>
      </c>
      <c r="O326" s="132">
        <f t="shared" si="400"/>
        <v>0.2126234647490377</v>
      </c>
      <c r="P326" s="132">
        <f t="shared" si="401"/>
        <v>7.999999999999996E-2</v>
      </c>
      <c r="Q326" s="132">
        <f t="shared" si="429"/>
        <v>1.6590937590628458</v>
      </c>
      <c r="R326" s="402">
        <f t="shared" si="416"/>
        <v>1.1790937590628456</v>
      </c>
      <c r="S326" s="402">
        <f t="shared" si="404"/>
        <v>0.48</v>
      </c>
      <c r="T326" s="402">
        <f t="shared" si="405"/>
        <v>1.6590937590628456</v>
      </c>
      <c r="U326" s="127"/>
      <c r="V326" s="127"/>
      <c r="W326" t="str">
        <f>IFERROR(#REF!*J326,"")</f>
        <v/>
      </c>
      <c r="X326">
        <f t="shared" si="406"/>
        <v>42.524692949807552</v>
      </c>
      <c r="Y326">
        <f t="shared" si="407"/>
        <v>44</v>
      </c>
      <c r="Z326" s="127">
        <f t="shared" si="408"/>
        <v>17.600000000000001</v>
      </c>
      <c r="AA326" s="127">
        <f t="shared" si="409"/>
        <v>60.124692949807553</v>
      </c>
      <c r="AB326" s="127">
        <f t="shared" si="410"/>
        <v>9.355432448957659</v>
      </c>
      <c r="AC326" s="127">
        <f t="shared" si="411"/>
        <v>3.5199999999999982</v>
      </c>
      <c r="AD326" s="127">
        <f t="shared" si="412"/>
        <v>73.000125398765221</v>
      </c>
      <c r="AF326" s="127" t="str">
        <f>IFERROR(W326*'FlightConfig '!$K$3,"")</f>
        <v/>
      </c>
      <c r="AG326" s="127">
        <f>IFERROR(X326*'FlightConfig '!$K$23,"")</f>
        <v>15478.98823372995</v>
      </c>
      <c r="AH326" s="127">
        <f>IFERROR(Y326*'FlightConfig '!$K$23,"")</f>
        <v>16016</v>
      </c>
      <c r="AI326" s="127">
        <f>IFERROR(Z326*'FlightConfig '!$K$23,"")</f>
        <v>6406.4000000000005</v>
      </c>
      <c r="AJ326" s="127">
        <f>IFERROR(AA326*'FlightConfig '!$K$23,"")</f>
        <v>21885.388233729951</v>
      </c>
      <c r="AK326" s="127">
        <f>IFERROR(AB326*'FlightConfig '!$K$23,"")</f>
        <v>3405.377411420588</v>
      </c>
    </row>
    <row r="327" spans="1:37" ht="18.75" customHeight="1">
      <c r="A327" t="s">
        <v>157</v>
      </c>
      <c r="B327" s="171">
        <v>2</v>
      </c>
      <c r="C327" s="176" t="str">
        <f t="shared" si="425"/>
        <v>PREMIUM ECONOMY CLASS2104</v>
      </c>
      <c r="D327" s="311"/>
      <c r="E327" s="304">
        <v>1181</v>
      </c>
      <c r="F327" s="310">
        <v>104</v>
      </c>
      <c r="G327" t="str">
        <f>VLOOKUP(E327,'FG MASTER'!$A:$AB,2,0)</f>
        <v>PY C2 DINNER ENTRÉE 1 ROAST CHICKEN BREAST, WILD RICE, BROCCOLI, SNAP PEA, THYME JUS</v>
      </c>
      <c r="H327" s="285">
        <v>1</v>
      </c>
      <c r="I327" s="173">
        <v>0.3</v>
      </c>
      <c r="J327" s="291">
        <f>IFERROR(IF(I327="std",H327,HLOOKUP(A327,'FlightConfig '!$B$34:$G$35,2,0)*I327),"")</f>
        <v>13.2</v>
      </c>
      <c r="K327" s="244">
        <f>VLOOKUP(Food!E327,'FG MASTER'!$A$1:$AC$536,16,0)</f>
        <v>2.16759712519206</v>
      </c>
      <c r="L327" s="245">
        <f>VLOOKUP(Food!E327,'FG MASTER'!$A$10:$AC$536,17,0)</f>
        <v>4</v>
      </c>
      <c r="M327" s="132">
        <f t="shared" si="426"/>
        <v>1.6</v>
      </c>
      <c r="N327" s="132">
        <f t="shared" si="427"/>
        <v>3.7675971251920601</v>
      </c>
      <c r="O327" s="132">
        <f t="shared" si="400"/>
        <v>0.47687136754225312</v>
      </c>
      <c r="P327" s="132">
        <f t="shared" si="401"/>
        <v>0.31999999999999984</v>
      </c>
      <c r="Q327" s="132">
        <f t="shared" si="429"/>
        <v>4.5644684927343135</v>
      </c>
      <c r="R327" s="402">
        <f t="shared" si="416"/>
        <v>2.6444684927343132</v>
      </c>
      <c r="S327" s="402">
        <f t="shared" si="404"/>
        <v>1.92</v>
      </c>
      <c r="T327" s="402">
        <f t="shared" si="405"/>
        <v>4.5644684927343135</v>
      </c>
      <c r="U327" s="127"/>
      <c r="V327" s="127"/>
      <c r="W327" t="str">
        <f>IFERROR(#REF!*J327,"")</f>
        <v/>
      </c>
      <c r="X327">
        <f t="shared" si="406"/>
        <v>28.612282052535193</v>
      </c>
      <c r="Y327">
        <f t="shared" si="407"/>
        <v>52.8</v>
      </c>
      <c r="Z327" s="127">
        <f t="shared" si="408"/>
        <v>21.12</v>
      </c>
      <c r="AA327" s="127">
        <f t="shared" si="409"/>
        <v>49.73228205253519</v>
      </c>
      <c r="AB327" s="127">
        <f t="shared" si="410"/>
        <v>6.2947020515577412</v>
      </c>
      <c r="AC327" s="127">
        <f t="shared" si="411"/>
        <v>4.2239999999999975</v>
      </c>
      <c r="AD327" s="127">
        <f t="shared" si="412"/>
        <v>60.250984104092936</v>
      </c>
      <c r="AF327" s="127" t="str">
        <f>IFERROR(W327*'FlightConfig '!$K$3,"")</f>
        <v/>
      </c>
      <c r="AG327" s="127">
        <f>IFERROR(X327*'FlightConfig '!$K$23,"")</f>
        <v>10414.87066712281</v>
      </c>
      <c r="AH327" s="127">
        <f>IFERROR(Y327*'FlightConfig '!$K$23,"")</f>
        <v>19219.2</v>
      </c>
      <c r="AI327" s="127">
        <f>IFERROR(Z327*'FlightConfig '!$K$23,"")</f>
        <v>7687.68</v>
      </c>
      <c r="AJ327" s="127">
        <f>IFERROR(AA327*'FlightConfig '!$K$23,"")</f>
        <v>18102.55066712281</v>
      </c>
      <c r="AK327" s="127">
        <f>IFERROR(AB327*'FlightConfig '!$K$23,"")</f>
        <v>2291.2715467670178</v>
      </c>
    </row>
    <row r="328" spans="1:37" ht="18.75" customHeight="1">
      <c r="A328" t="s">
        <v>157</v>
      </c>
      <c r="B328" s="171">
        <v>2</v>
      </c>
      <c r="C328" s="176" t="str">
        <f t="shared" si="425"/>
        <v>PREMIUM ECONOMY CLASS2104</v>
      </c>
      <c r="D328" s="311"/>
      <c r="E328" s="304">
        <v>1182</v>
      </c>
      <c r="F328" s="310">
        <v>104</v>
      </c>
      <c r="G328" t="str">
        <f>VLOOKUP(E328,'FG MASTER'!$A:$AB,2,0)</f>
        <v>PY C2 DINNER ENTRÉE 2 SEARED SALMON, SMOKED CORN CREAM, POTATO, SUCCOTASH, SPINACH</v>
      </c>
      <c r="H328" s="285">
        <v>1</v>
      </c>
      <c r="I328" s="173">
        <v>0.5</v>
      </c>
      <c r="J328" s="291">
        <f>IFERROR(IF(I328="std",H328,HLOOKUP(A328,'FlightConfig '!$B$34:$G$35,2,0)*I328),"")</f>
        <v>22</v>
      </c>
      <c r="K328" s="420">
        <f>VLOOKUP(Food!E328,'FG MASTER'!$A$1:$AC$536,16,0)</f>
        <v>4.3841277028163308</v>
      </c>
      <c r="L328" s="245">
        <f>VLOOKUP(Food!E328,'FG MASTER'!$A$10:$AC$536,17,0)</f>
        <v>4</v>
      </c>
      <c r="M328" s="132">
        <f t="shared" si="426"/>
        <v>1.6</v>
      </c>
      <c r="N328" s="132">
        <f t="shared" si="427"/>
        <v>5.9841277028163304</v>
      </c>
      <c r="O328" s="418">
        <f>IFERROR($K328*(1+12%)-$K328,0)</f>
        <v>0.5260953243379598</v>
      </c>
      <c r="P328" s="132">
        <f t="shared" si="401"/>
        <v>0.31999999999999984</v>
      </c>
      <c r="Q328" s="132">
        <f t="shared" si="429"/>
        <v>6.8302230271542896</v>
      </c>
      <c r="R328" s="418">
        <f>K328*(1+12%)</f>
        <v>4.9102230271542906</v>
      </c>
      <c r="S328" s="402">
        <f t="shared" si="404"/>
        <v>1.92</v>
      </c>
      <c r="T328" s="402">
        <f t="shared" si="405"/>
        <v>6.8302230271542905</v>
      </c>
      <c r="U328" s="127"/>
      <c r="V328" s="127"/>
      <c r="W328" t="str">
        <f>IFERROR(#REF!*J328,"")</f>
        <v/>
      </c>
      <c r="X328">
        <f t="shared" si="406"/>
        <v>96.450809461959281</v>
      </c>
      <c r="Y328">
        <f t="shared" si="407"/>
        <v>88</v>
      </c>
      <c r="Z328" s="127">
        <f t="shared" si="408"/>
        <v>35.200000000000003</v>
      </c>
      <c r="AA328" s="127">
        <f t="shared" si="409"/>
        <v>131.65080946195928</v>
      </c>
      <c r="AB328" s="127">
        <f t="shared" si="410"/>
        <v>11.574097135435116</v>
      </c>
      <c r="AC328" s="127">
        <f t="shared" si="411"/>
        <v>7.0399999999999965</v>
      </c>
      <c r="AD328" s="127">
        <f t="shared" si="412"/>
        <v>150.26490659739437</v>
      </c>
      <c r="AF328" s="127" t="str">
        <f>IFERROR(W328*'FlightConfig '!$K$3,"")</f>
        <v/>
      </c>
      <c r="AG328" s="127">
        <f>IFERROR(X328*'FlightConfig '!$K$23,"")</f>
        <v>35108.094644153178</v>
      </c>
      <c r="AH328" s="127">
        <f>IFERROR(Y328*'FlightConfig '!$K$23,"")</f>
        <v>32032</v>
      </c>
      <c r="AI328" s="127">
        <f>IFERROR(Z328*'FlightConfig '!$K$23,"")</f>
        <v>12812.800000000001</v>
      </c>
      <c r="AJ328" s="127">
        <f>IFERROR(AA328*'FlightConfig '!$K$23,"")</f>
        <v>47920.894644153181</v>
      </c>
      <c r="AK328" s="127">
        <f>IFERROR(AB328*'FlightConfig '!$K$23,"")</f>
        <v>4212.9713572983819</v>
      </c>
    </row>
    <row r="329" spans="1:37" ht="18.75" customHeight="1">
      <c r="A329" t="s">
        <v>157</v>
      </c>
      <c r="B329" s="171">
        <v>2</v>
      </c>
      <c r="C329" s="176" t="str">
        <f t="shared" si="425"/>
        <v>PREMIUM ECONOMY CLASS2104</v>
      </c>
      <c r="D329" s="311"/>
      <c r="E329" s="304">
        <v>1183</v>
      </c>
      <c r="F329" s="310">
        <v>104</v>
      </c>
      <c r="G329" t="str">
        <f>VLOOKUP(E329,'FG MASTER'!$A:$AB,2,0)</f>
        <v>PY C2 DINNER ENTRÉE 3 MUSHROOM RAVIOLI, PANA CREAM SAUCE, WILD MUSHROOM CONSERVA</v>
      </c>
      <c r="H329" s="285">
        <v>1</v>
      </c>
      <c r="I329" s="173">
        <v>0.35</v>
      </c>
      <c r="J329" s="291">
        <f>IFERROR(IF(I329="std",H329,HLOOKUP(A329,'FlightConfig '!$B$34:$G$35,2,0)*I329),"")</f>
        <v>15.399999999999999</v>
      </c>
      <c r="K329" s="244">
        <f>VLOOKUP(Food!E329,'FG MASTER'!$A$1:$AC$536,16,0)</f>
        <v>2.4194278165369911</v>
      </c>
      <c r="L329" s="245">
        <f>VLOOKUP(Food!E329,'FG MASTER'!$A$10:$AC$536,17,0)</f>
        <v>3.25</v>
      </c>
      <c r="M329" s="132">
        <f t="shared" si="426"/>
        <v>1.3</v>
      </c>
      <c r="N329" s="132">
        <f t="shared" si="427"/>
        <v>3.7194278165369914</v>
      </c>
      <c r="O329" s="132">
        <f t="shared" si="400"/>
        <v>0.5322741196381382</v>
      </c>
      <c r="P329" s="132">
        <f t="shared" si="401"/>
        <v>0.26</v>
      </c>
      <c r="Q329" s="132">
        <f t="shared" si="429"/>
        <v>4.5117019361751289</v>
      </c>
      <c r="R329" s="402">
        <f t="shared" ref="R329:R355" si="430">K329*(1+$O$2)</f>
        <v>2.9517019361751293</v>
      </c>
      <c r="S329" s="402">
        <f t="shared" si="404"/>
        <v>1.56</v>
      </c>
      <c r="T329" s="402">
        <f t="shared" si="405"/>
        <v>4.5117019361751289</v>
      </c>
      <c r="U329" s="127">
        <v>4.54</v>
      </c>
      <c r="V329" s="127"/>
      <c r="W329" t="str">
        <f>IFERROR(#REF!*J329,"")</f>
        <v/>
      </c>
      <c r="X329">
        <f t="shared" si="406"/>
        <v>37.259188374669662</v>
      </c>
      <c r="Y329">
        <f t="shared" si="407"/>
        <v>50.05</v>
      </c>
      <c r="Z329" s="127">
        <f t="shared" si="408"/>
        <v>20.02</v>
      </c>
      <c r="AA329" s="127">
        <f t="shared" si="409"/>
        <v>57.279188374669666</v>
      </c>
      <c r="AB329" s="127">
        <f t="shared" si="410"/>
        <v>8.197021442427328</v>
      </c>
      <c r="AC329" s="127">
        <f t="shared" si="411"/>
        <v>4.0039999999999996</v>
      </c>
      <c r="AD329" s="127">
        <f t="shared" si="412"/>
        <v>69.480209817096977</v>
      </c>
      <c r="AF329" s="127" t="str">
        <f>IFERROR(W329*'FlightConfig '!$K$3,"")</f>
        <v/>
      </c>
      <c r="AG329" s="127">
        <f>IFERROR(X329*'FlightConfig '!$K$23,"")</f>
        <v>13562.344568379756</v>
      </c>
      <c r="AH329" s="127">
        <f>IFERROR(Y329*'FlightConfig '!$K$23,"")</f>
        <v>18218.2</v>
      </c>
      <c r="AI329" s="127">
        <f>IFERROR(Z329*'FlightConfig '!$K$23,"")</f>
        <v>7287.28</v>
      </c>
      <c r="AJ329" s="127">
        <f>IFERROR(AA329*'FlightConfig '!$K$23,"")</f>
        <v>20849.624568379757</v>
      </c>
      <c r="AK329" s="127">
        <f>IFERROR(AB329*'FlightConfig '!$K$23,"")</f>
        <v>2983.7158050435473</v>
      </c>
    </row>
    <row r="330" spans="1:37" ht="18.75" customHeight="1">
      <c r="A330" t="s">
        <v>157</v>
      </c>
      <c r="B330" s="171">
        <v>2</v>
      </c>
      <c r="C330" s="176" t="str">
        <f t="shared" si="425"/>
        <v>PREMIUM ECONOMY CLASS2104</v>
      </c>
      <c r="D330" s="311"/>
      <c r="E330" s="304">
        <v>1184</v>
      </c>
      <c r="F330" s="310">
        <v>104</v>
      </c>
      <c r="G330" t="str">
        <f>VLOOKUP(E330,'FG MASTER'!$A:$AB,2,0)</f>
        <v>PY C2 DINNER CHOCOLATE FLAN</v>
      </c>
      <c r="H330" s="285">
        <v>1</v>
      </c>
      <c r="I330" s="173">
        <v>1</v>
      </c>
      <c r="J330" s="291">
        <f>IFERROR(IF(I330="std",H330,HLOOKUP(A330,'FlightConfig '!$B$34:$G$35,2,0)*I330),"")</f>
        <v>44</v>
      </c>
      <c r="K330" s="244">
        <f>VLOOKUP(Food!E330,'FG MASTER'!$A$1:$AC$536,16,0)</f>
        <v>0.91614285714285737</v>
      </c>
      <c r="L330" s="245">
        <f>VLOOKUP(Food!E330,'FG MASTER'!$A$10:$AC$536,17,0)</f>
        <v>1</v>
      </c>
      <c r="M330" s="132">
        <f t="shared" si="426"/>
        <v>0.4</v>
      </c>
      <c r="N330" s="132">
        <f t="shared" si="427"/>
        <v>1.3161428571428573</v>
      </c>
      <c r="O330" s="132">
        <f t="shared" si="400"/>
        <v>0.2015514285714286</v>
      </c>
      <c r="P330" s="132">
        <f t="shared" si="401"/>
        <v>7.999999999999996E-2</v>
      </c>
      <c r="Q330" s="132">
        <f t="shared" si="429"/>
        <v>1.5976942857142857</v>
      </c>
      <c r="R330" s="402">
        <f t="shared" si="430"/>
        <v>1.117694285714286</v>
      </c>
      <c r="S330" s="402">
        <f t="shared" si="404"/>
        <v>0.48</v>
      </c>
      <c r="T330" s="402">
        <f t="shared" si="405"/>
        <v>1.597694285714286</v>
      </c>
      <c r="U330" s="127"/>
      <c r="V330" s="127"/>
      <c r="W330" t="str">
        <f>IFERROR(#REF!*J330,"")</f>
        <v/>
      </c>
      <c r="X330">
        <f t="shared" si="406"/>
        <v>40.310285714285726</v>
      </c>
      <c r="Y330">
        <f t="shared" si="407"/>
        <v>44</v>
      </c>
      <c r="Z330" s="127">
        <f t="shared" si="408"/>
        <v>17.600000000000001</v>
      </c>
      <c r="AA330" s="127">
        <f t="shared" si="409"/>
        <v>57.91028571428572</v>
      </c>
      <c r="AB330" s="127">
        <f t="shared" si="410"/>
        <v>8.8682628571428594</v>
      </c>
      <c r="AC330" s="127">
        <f t="shared" si="411"/>
        <v>3.5199999999999982</v>
      </c>
      <c r="AD330" s="127">
        <f t="shared" si="412"/>
        <v>70.298548571428569</v>
      </c>
      <c r="AF330" s="127" t="str">
        <f>IFERROR(W330*'FlightConfig '!$K$3,"")</f>
        <v/>
      </c>
      <c r="AG330" s="127">
        <f>IFERROR(X330*'FlightConfig '!$K$23,"")</f>
        <v>14672.944000000005</v>
      </c>
      <c r="AH330" s="127">
        <f>IFERROR(Y330*'FlightConfig '!$K$23,"")</f>
        <v>16016</v>
      </c>
      <c r="AI330" s="127">
        <f>IFERROR(Z330*'FlightConfig '!$K$23,"")</f>
        <v>6406.4000000000005</v>
      </c>
      <c r="AJ330" s="127">
        <f>IFERROR(AA330*'FlightConfig '!$K$23,"")</f>
        <v>21079.344000000001</v>
      </c>
      <c r="AK330" s="127">
        <f>IFERROR(AB330*'FlightConfig '!$K$23,"")</f>
        <v>3228.047680000001</v>
      </c>
    </row>
    <row r="331" spans="1:37" ht="18.75" customHeight="1">
      <c r="A331" t="s">
        <v>157</v>
      </c>
      <c r="B331" s="171">
        <v>2</v>
      </c>
      <c r="C331" s="176" t="str">
        <f t="shared" si="425"/>
        <v>PREMIUM ECONOMY CLASS2104</v>
      </c>
      <c r="D331" s="311"/>
      <c r="E331" s="304">
        <v>1119</v>
      </c>
      <c r="F331" s="310">
        <v>104</v>
      </c>
      <c r="G331" t="str">
        <f>VLOOKUP(E331,'FG MASTER'!$A:$AB,2,0)</f>
        <v>PY C1 DINENR CHEESE PLATE - CHEDDAR, MUENSTER CHEESE, DRIED APROCIT, JAM, CRACKER</v>
      </c>
      <c r="H331" s="285">
        <v>1</v>
      </c>
      <c r="I331" s="173">
        <v>1</v>
      </c>
      <c r="J331" s="291">
        <f>IFERROR(IF(I331="std",H331,HLOOKUP(A331,'FlightConfig '!$B$34:$G$35,2,0)*I331),"")</f>
        <v>44</v>
      </c>
      <c r="K331" s="244">
        <f>VLOOKUP(Food!E331,'FG MASTER'!$A$1:$AC$536,16,0)</f>
        <v>1.2</v>
      </c>
      <c r="L331" s="245">
        <f>VLOOKUP(Food!E331,'FG MASTER'!$A$10:$AC$536,17,0)</f>
        <v>1.75</v>
      </c>
      <c r="M331" s="132">
        <f t="shared" si="426"/>
        <v>0.70000000000000007</v>
      </c>
      <c r="N331" s="132">
        <f t="shared" si="427"/>
        <v>1.9</v>
      </c>
      <c r="O331" s="132">
        <f t="shared" si="400"/>
        <v>0.26400000000000001</v>
      </c>
      <c r="P331" s="132">
        <f t="shared" si="401"/>
        <v>0.14000000000000001</v>
      </c>
      <c r="Q331" s="132">
        <f t="shared" si="429"/>
        <v>2.3039999999999998</v>
      </c>
      <c r="R331" s="402">
        <f t="shared" si="430"/>
        <v>1.464</v>
      </c>
      <c r="S331" s="402">
        <f t="shared" si="404"/>
        <v>0.84000000000000008</v>
      </c>
      <c r="T331" s="402">
        <f t="shared" si="405"/>
        <v>2.3040000000000003</v>
      </c>
      <c r="U331" s="127"/>
      <c r="V331" s="127"/>
      <c r="W331" t="str">
        <f>IFERROR(#REF!*J331,"")</f>
        <v/>
      </c>
      <c r="X331">
        <f t="shared" si="406"/>
        <v>52.8</v>
      </c>
      <c r="Y331">
        <f t="shared" si="407"/>
        <v>77</v>
      </c>
      <c r="Z331" s="127">
        <f t="shared" si="408"/>
        <v>30.800000000000004</v>
      </c>
      <c r="AA331" s="127">
        <f t="shared" si="409"/>
        <v>83.6</v>
      </c>
      <c r="AB331" s="127">
        <f t="shared" si="410"/>
        <v>11.616</v>
      </c>
      <c r="AC331" s="127">
        <f t="shared" si="411"/>
        <v>6.16</v>
      </c>
      <c r="AD331" s="127">
        <f t="shared" si="412"/>
        <v>101.37599999999999</v>
      </c>
      <c r="AF331" s="127" t="str">
        <f>IFERROR(W331*'FlightConfig '!$K$3,"")</f>
        <v/>
      </c>
      <c r="AG331" s="127">
        <f>IFERROR(X331*'FlightConfig '!$K$23,"")</f>
        <v>19219.2</v>
      </c>
      <c r="AH331" s="127">
        <f>IFERROR(Y331*'FlightConfig '!$K$23,"")</f>
        <v>28028</v>
      </c>
      <c r="AI331" s="127">
        <f>IFERROR(Z331*'FlightConfig '!$K$23,"")</f>
        <v>11211.2</v>
      </c>
      <c r="AJ331" s="127">
        <f>IFERROR(AA331*'FlightConfig '!$K$23,"")</f>
        <v>30430.399999999998</v>
      </c>
      <c r="AK331" s="127">
        <f>IFERROR(AB331*'FlightConfig '!$K$23,"")</f>
        <v>4228.2240000000002</v>
      </c>
    </row>
    <row r="332" spans="1:37" ht="18.75" customHeight="1">
      <c r="A332" t="s">
        <v>157</v>
      </c>
      <c r="B332" s="171">
        <v>2</v>
      </c>
      <c r="C332" s="176" t="str">
        <f t="shared" si="425"/>
        <v>PREMIUM ECONOMY CLASS2104</v>
      </c>
      <c r="D332" s="311"/>
      <c r="E332" s="304">
        <v>1120</v>
      </c>
      <c r="F332" s="310">
        <v>104</v>
      </c>
      <c r="G332" t="str">
        <f>VLOOKUP(E332,'FG MASTER'!$A:$AB,2,0)</f>
        <v>PY C1 BREAKFAST TSU</v>
      </c>
      <c r="H332" s="285">
        <v>1</v>
      </c>
      <c r="I332" s="173">
        <v>1</v>
      </c>
      <c r="J332" s="291">
        <f>IFERROR(IF(I332="std",H332,HLOOKUP(A332,'FlightConfig '!$B$34:$G$35,2,0)*I332),"")</f>
        <v>44</v>
      </c>
      <c r="K332" s="244">
        <f>VLOOKUP(Food!E332,'FG MASTER'!$A$1:$AC$536,16,0)</f>
        <v>0</v>
      </c>
      <c r="L332" s="245">
        <f>VLOOKUP(Food!E332,'FG MASTER'!$A$10:$AC$536,17,0)</f>
        <v>1.25</v>
      </c>
      <c r="M332" s="132">
        <f t="shared" si="426"/>
        <v>0.5</v>
      </c>
      <c r="N332" s="132">
        <f t="shared" si="427"/>
        <v>0.5</v>
      </c>
      <c r="O332" s="132">
        <f t="shared" si="400"/>
        <v>0</v>
      </c>
      <c r="P332" s="132">
        <f t="shared" si="401"/>
        <v>9.9999999999999978E-2</v>
      </c>
      <c r="Q332" s="132">
        <f t="shared" si="429"/>
        <v>0.6</v>
      </c>
      <c r="R332" s="402">
        <f t="shared" si="430"/>
        <v>0</v>
      </c>
      <c r="S332" s="402">
        <f t="shared" si="404"/>
        <v>0.6</v>
      </c>
      <c r="T332" s="402">
        <f t="shared" si="405"/>
        <v>0.6</v>
      </c>
      <c r="U332" s="127"/>
      <c r="V332" s="127"/>
      <c r="W332" t="str">
        <f>IFERROR(#REF!*J332,"")</f>
        <v/>
      </c>
      <c r="X332">
        <f t="shared" si="406"/>
        <v>0</v>
      </c>
      <c r="Y332">
        <f t="shared" si="407"/>
        <v>55</v>
      </c>
      <c r="Z332" s="127">
        <f t="shared" si="408"/>
        <v>22</v>
      </c>
      <c r="AA332" s="127">
        <f t="shared" si="409"/>
        <v>22</v>
      </c>
      <c r="AB332" s="127">
        <f t="shared" si="410"/>
        <v>0</v>
      </c>
      <c r="AC332" s="127">
        <f t="shared" si="411"/>
        <v>4.3999999999999986</v>
      </c>
      <c r="AD332" s="127">
        <f t="shared" si="412"/>
        <v>26.4</v>
      </c>
      <c r="AF332" s="127" t="str">
        <f>IFERROR(W332*'FlightConfig '!$K$3,"")</f>
        <v/>
      </c>
      <c r="AG332" s="127">
        <f>IFERROR(X332*'FlightConfig '!$K$23,"")</f>
        <v>0</v>
      </c>
      <c r="AH332" s="127">
        <f>IFERROR(Y332*'FlightConfig '!$K$23,"")</f>
        <v>20020</v>
      </c>
      <c r="AI332" s="127">
        <f>IFERROR(Z332*'FlightConfig '!$K$23,"")</f>
        <v>8008</v>
      </c>
      <c r="AJ332" s="127">
        <f>IFERROR(AA332*'FlightConfig '!$K$23,"")</f>
        <v>8008</v>
      </c>
      <c r="AK332" s="127">
        <f>IFERROR(AB332*'FlightConfig '!$K$23,"")</f>
        <v>0</v>
      </c>
    </row>
    <row r="333" spans="1:37" ht="18.75" customHeight="1">
      <c r="A333" t="s">
        <v>157</v>
      </c>
      <c r="B333" s="171">
        <v>2</v>
      </c>
      <c r="C333" s="176" t="str">
        <f t="shared" si="425"/>
        <v>PREMIUM ECONOMY CLASS2104</v>
      </c>
      <c r="D333" s="311"/>
      <c r="E333" s="304">
        <v>1210</v>
      </c>
      <c r="F333" s="310">
        <v>104</v>
      </c>
      <c r="G333" t="str">
        <f>VLOOKUP(E333,'FG MASTER'!$A:$AB,2,0)</f>
        <v>BC C2 BRK HHH1 BAGEL WITH GRIED EGG AND CHEESE</v>
      </c>
      <c r="H333" s="285">
        <v>1</v>
      </c>
      <c r="I333" s="173">
        <v>0.5</v>
      </c>
      <c r="J333" s="291">
        <f>IFERROR(IF(I333="std",H333,HLOOKUP(A333,'FlightConfig '!$B$34:$G$35,2,0)*I333),"")</f>
        <v>22</v>
      </c>
      <c r="K333" s="244">
        <f>VLOOKUP(Food!E333,'FG MASTER'!$A$1:$AC$536,16,0)</f>
        <v>0.83</v>
      </c>
      <c r="L333" s="245">
        <f>VLOOKUP(Food!E333,'FG MASTER'!$A$10:$AC$536,17,0)</f>
        <v>2.25</v>
      </c>
      <c r="M333" s="132">
        <f t="shared" si="426"/>
        <v>0.9</v>
      </c>
      <c r="N333" s="132">
        <f t="shared" si="427"/>
        <v>1.73</v>
      </c>
      <c r="O333" s="132">
        <f t="shared" si="400"/>
        <v>0.18259999999999998</v>
      </c>
      <c r="P333" s="132">
        <f t="shared" si="401"/>
        <v>0.18000000000000005</v>
      </c>
      <c r="Q333" s="132">
        <f t="shared" si="429"/>
        <v>2.0926</v>
      </c>
      <c r="R333" s="402">
        <f t="shared" si="430"/>
        <v>1.0125999999999999</v>
      </c>
      <c r="S333" s="402">
        <f t="shared" si="404"/>
        <v>1.08</v>
      </c>
      <c r="T333" s="402">
        <f t="shared" si="405"/>
        <v>2.0926</v>
      </c>
      <c r="U333" s="127"/>
      <c r="V333" s="127"/>
      <c r="W333" t="str">
        <f>IFERROR(#REF!*J333,"")</f>
        <v/>
      </c>
      <c r="X333">
        <f t="shared" si="406"/>
        <v>18.259999999999998</v>
      </c>
      <c r="Y333">
        <f t="shared" si="407"/>
        <v>49.5</v>
      </c>
      <c r="Z333" s="127">
        <f t="shared" si="408"/>
        <v>19.8</v>
      </c>
      <c r="AA333" s="127">
        <f t="shared" si="409"/>
        <v>38.06</v>
      </c>
      <c r="AB333" s="127">
        <f t="shared" si="410"/>
        <v>4.0171999999999999</v>
      </c>
      <c r="AC333" s="127">
        <f t="shared" si="411"/>
        <v>3.9600000000000009</v>
      </c>
      <c r="AD333" s="127">
        <f t="shared" si="412"/>
        <v>46.037199999999999</v>
      </c>
      <c r="AF333" s="127" t="str">
        <f>IFERROR(W333*'FlightConfig '!$K$3,"")</f>
        <v/>
      </c>
      <c r="AG333" s="127">
        <f>IFERROR(X333*'FlightConfig '!$K$23,"")</f>
        <v>6646.6399999999994</v>
      </c>
      <c r="AH333" s="127">
        <f>IFERROR(Y333*'FlightConfig '!$K$23,"")</f>
        <v>18018</v>
      </c>
      <c r="AI333" s="127">
        <f>IFERROR(Z333*'FlightConfig '!$K$23,"")</f>
        <v>7207.2</v>
      </c>
      <c r="AJ333" s="127">
        <f>IFERROR(AA333*'FlightConfig '!$K$23,"")</f>
        <v>13853.84</v>
      </c>
      <c r="AK333" s="127">
        <f>IFERROR(AB333*'FlightConfig '!$K$23,"")</f>
        <v>1462.2608</v>
      </c>
    </row>
    <row r="334" spans="1:37" ht="18.75" customHeight="1">
      <c r="A334" t="s">
        <v>157</v>
      </c>
      <c r="B334" s="171">
        <v>2</v>
      </c>
      <c r="C334" s="176" t="str">
        <f t="shared" si="425"/>
        <v>PREMIUM ECONOMY CLASS2104</v>
      </c>
      <c r="D334" s="311"/>
      <c r="E334" s="304">
        <v>1211</v>
      </c>
      <c r="F334" s="310">
        <v>104</v>
      </c>
      <c r="G334" t="str">
        <f>VLOOKUP(E334,'FG MASTER'!$A:$AB,2,0)</f>
        <v>PY C2 BRK HHH1 ENGLISH MUGGIN WITH FRIED EGG AND TURKEY SAUSAGE</v>
      </c>
      <c r="H334" s="285">
        <v>1</v>
      </c>
      <c r="I334" s="173">
        <v>0.5</v>
      </c>
      <c r="J334" s="291">
        <f>IFERROR(IF(I334="std",H334,HLOOKUP(A334,'FlightConfig '!$B$34:$G$35,2,0)*I334),"")</f>
        <v>22</v>
      </c>
      <c r="K334" s="244">
        <f>VLOOKUP(Food!E334,'FG MASTER'!$A$1:$AC$536,16,0)</f>
        <v>1.1499999999999999</v>
      </c>
      <c r="L334" s="245">
        <f>VLOOKUP(Food!E334,'FG MASTER'!$A$10:$AC$536,17,0)</f>
        <v>2.25</v>
      </c>
      <c r="M334" s="132">
        <f t="shared" si="426"/>
        <v>0.9</v>
      </c>
      <c r="N334" s="132">
        <f t="shared" si="427"/>
        <v>2.0499999999999998</v>
      </c>
      <c r="O334" s="132">
        <f t="shared" si="400"/>
        <v>0.25299999999999989</v>
      </c>
      <c r="P334" s="132">
        <f t="shared" si="401"/>
        <v>0.18000000000000005</v>
      </c>
      <c r="Q334" s="132">
        <f t="shared" si="429"/>
        <v>2.4830000000000001</v>
      </c>
      <c r="R334" s="402">
        <f t="shared" si="430"/>
        <v>1.4029999999999998</v>
      </c>
      <c r="S334" s="402">
        <f t="shared" si="404"/>
        <v>1.08</v>
      </c>
      <c r="T334" s="402">
        <f t="shared" si="405"/>
        <v>2.4829999999999997</v>
      </c>
      <c r="U334" s="127"/>
      <c r="V334" s="127"/>
      <c r="W334" t="str">
        <f>IFERROR(#REF!*J334,"")</f>
        <v/>
      </c>
      <c r="X334">
        <f t="shared" si="406"/>
        <v>25.299999999999997</v>
      </c>
      <c r="Y334">
        <f t="shared" si="407"/>
        <v>49.5</v>
      </c>
      <c r="Z334" s="127">
        <f t="shared" si="408"/>
        <v>19.8</v>
      </c>
      <c r="AA334" s="127">
        <f t="shared" si="409"/>
        <v>45.099999999999994</v>
      </c>
      <c r="AB334" s="127">
        <f t="shared" si="410"/>
        <v>5.5659999999999972</v>
      </c>
      <c r="AC334" s="127">
        <f t="shared" si="411"/>
        <v>3.9600000000000009</v>
      </c>
      <c r="AD334" s="127">
        <f t="shared" si="412"/>
        <v>54.626000000000005</v>
      </c>
      <c r="AF334" s="127" t="str">
        <f>IFERROR(W334*'FlightConfig '!$K$3,"")</f>
        <v/>
      </c>
      <c r="AG334" s="127">
        <f>IFERROR(X334*'FlightConfig '!$K$23,"")</f>
        <v>9209.1999999999989</v>
      </c>
      <c r="AH334" s="127">
        <f>IFERROR(Y334*'FlightConfig '!$K$23,"")</f>
        <v>18018</v>
      </c>
      <c r="AI334" s="127">
        <f>IFERROR(Z334*'FlightConfig '!$K$23,"")</f>
        <v>7207.2</v>
      </c>
      <c r="AJ334" s="127">
        <f>IFERROR(AA334*'FlightConfig '!$K$23,"")</f>
        <v>16416.399999999998</v>
      </c>
      <c r="AK334" s="127">
        <f>IFERROR(AB334*'FlightConfig '!$K$23,"")</f>
        <v>2026.023999999999</v>
      </c>
    </row>
    <row r="335" spans="1:37" ht="18.75" customHeight="1">
      <c r="A335" t="s">
        <v>157</v>
      </c>
      <c r="B335" s="171">
        <v>2</v>
      </c>
      <c r="C335" s="176" t="str">
        <f t="shared" si="425"/>
        <v>PREMIUM ECONOMY CLASS2104</v>
      </c>
      <c r="D335" s="311"/>
      <c r="E335" s="304">
        <v>1188</v>
      </c>
      <c r="F335" s="310">
        <v>104</v>
      </c>
      <c r="G335" t="str">
        <f>VLOOKUP(E335,'FG MASTER'!$A:$AB,2,0)</f>
        <v>PY C2 BRK SIDE ITEM LAYERED YOGURT</v>
      </c>
      <c r="H335" s="285">
        <v>1</v>
      </c>
      <c r="I335" s="173">
        <v>1</v>
      </c>
      <c r="J335" s="291">
        <f>IFERROR(IF(I335="std",H335,HLOOKUP(A335,'FlightConfig '!$B$34:$G$35,2,0)*I335),"")</f>
        <v>44</v>
      </c>
      <c r="K335" s="244">
        <f>VLOOKUP(Food!E335,'FG MASTER'!$A$1:$AC$536,16,0)</f>
        <v>1.0548240215786746</v>
      </c>
      <c r="L335" s="245">
        <f>VLOOKUP(Food!E335,'FG MASTER'!$A$10:$AC$536,17,0)</f>
        <v>1.25</v>
      </c>
      <c r="M335" s="132">
        <f t="shared" si="426"/>
        <v>0.5</v>
      </c>
      <c r="N335" s="132">
        <f t="shared" si="427"/>
        <v>1.5548240215786746</v>
      </c>
      <c r="O335" s="132">
        <f t="shared" si="400"/>
        <v>0.23206128474730847</v>
      </c>
      <c r="P335" s="132">
        <f t="shared" si="401"/>
        <v>9.9999999999999978E-2</v>
      </c>
      <c r="Q335" s="132">
        <f t="shared" si="429"/>
        <v>1.8868853063259832</v>
      </c>
      <c r="R335" s="402">
        <f t="shared" si="430"/>
        <v>1.2868853063259831</v>
      </c>
      <c r="S335" s="402">
        <f t="shared" si="404"/>
        <v>0.6</v>
      </c>
      <c r="T335" s="402">
        <f t="shared" si="405"/>
        <v>1.8868853063259832</v>
      </c>
      <c r="U335" s="127"/>
      <c r="V335" s="127"/>
      <c r="W335" t="str">
        <f>IFERROR(#REF!*J335,"")</f>
        <v/>
      </c>
      <c r="X335">
        <f t="shared" si="406"/>
        <v>46.412256949461685</v>
      </c>
      <c r="Y335">
        <f t="shared" si="407"/>
        <v>55</v>
      </c>
      <c r="Z335" s="127">
        <f t="shared" si="408"/>
        <v>22</v>
      </c>
      <c r="AA335" s="127">
        <f t="shared" si="409"/>
        <v>68.412256949461678</v>
      </c>
      <c r="AB335" s="127">
        <f t="shared" si="410"/>
        <v>10.210696528881574</v>
      </c>
      <c r="AC335" s="127">
        <f t="shared" si="411"/>
        <v>4.3999999999999986</v>
      </c>
      <c r="AD335" s="127">
        <f t="shared" si="412"/>
        <v>83.022953478343254</v>
      </c>
      <c r="AF335" s="127" t="str">
        <f>IFERROR(W335*'FlightConfig '!$K$3,"")</f>
        <v/>
      </c>
      <c r="AG335" s="127">
        <f>IFERROR(X335*'FlightConfig '!$K$23,"")</f>
        <v>16894.061529604052</v>
      </c>
      <c r="AH335" s="127">
        <f>IFERROR(Y335*'FlightConfig '!$K$23,"")</f>
        <v>20020</v>
      </c>
      <c r="AI335" s="127">
        <f>IFERROR(Z335*'FlightConfig '!$K$23,"")</f>
        <v>8008</v>
      </c>
      <c r="AJ335" s="127">
        <f>IFERROR(AA335*'FlightConfig '!$K$23,"")</f>
        <v>24902.061529604052</v>
      </c>
      <c r="AK335" s="127">
        <f>IFERROR(AB335*'FlightConfig '!$K$23,"")</f>
        <v>3716.6935365128929</v>
      </c>
    </row>
    <row r="336" spans="1:37" ht="18.75" customHeight="1">
      <c r="A336" t="s">
        <v>158</v>
      </c>
      <c r="B336" s="171">
        <v>2</v>
      </c>
      <c r="C336" s="176" t="str">
        <f>CONCATENATE(A336&amp;B336&amp;F336)</f>
        <v>ECONOMY CLASS2104</v>
      </c>
      <c r="D336" s="311"/>
      <c r="E336" s="304">
        <v>1127</v>
      </c>
      <c r="F336" s="310">
        <v>104</v>
      </c>
      <c r="G336" t="str">
        <f>VLOOKUP(E336,'FG MASTER'!$A:$AB,2,0)</f>
        <v>YC C1 DINNER TSU</v>
      </c>
      <c r="H336" s="285">
        <v>1</v>
      </c>
      <c r="I336" s="173">
        <v>1</v>
      </c>
      <c r="J336" s="291">
        <f>IFERROR(IF(I336="std",H336,HLOOKUP(A336,'FlightConfig '!$B$34:$G$35,2,0)*I336),"")</f>
        <v>184</v>
      </c>
      <c r="K336" s="244">
        <f>VLOOKUP(Food!E336,'FG MASTER'!$A$1:$AC$536,16,0)</f>
        <v>0</v>
      </c>
      <c r="L336" s="245">
        <f>VLOOKUP(Food!E336,'FG MASTER'!$A$10:$AC$536,17,0)</f>
        <v>0.5</v>
      </c>
      <c r="M336" s="132">
        <f t="shared" si="426"/>
        <v>0.2</v>
      </c>
      <c r="N336" s="132">
        <f>IFERROR((K336)+M336,"")</f>
        <v>0.2</v>
      </c>
      <c r="O336" s="132">
        <f t="shared" si="400"/>
        <v>0</v>
      </c>
      <c r="P336" s="132">
        <f t="shared" si="401"/>
        <v>3.999999999999998E-2</v>
      </c>
      <c r="Q336" s="132">
        <f t="shared" si="429"/>
        <v>0.24</v>
      </c>
      <c r="R336" s="402">
        <f t="shared" si="430"/>
        <v>0</v>
      </c>
      <c r="S336" s="402">
        <f t="shared" si="404"/>
        <v>0.24</v>
      </c>
      <c r="T336" s="402">
        <f t="shared" si="405"/>
        <v>0.24</v>
      </c>
      <c r="U336" s="127"/>
      <c r="V336" s="127"/>
      <c r="W336" t="str">
        <f>IFERROR(#REF!*J336,"")</f>
        <v/>
      </c>
      <c r="X336">
        <f t="shared" si="406"/>
        <v>0</v>
      </c>
      <c r="Y336">
        <f t="shared" si="407"/>
        <v>92</v>
      </c>
      <c r="Z336" s="127">
        <f t="shared" si="408"/>
        <v>36.800000000000004</v>
      </c>
      <c r="AA336" s="127">
        <f t="shared" si="409"/>
        <v>36.800000000000004</v>
      </c>
      <c r="AB336" s="127">
        <f t="shared" si="410"/>
        <v>0</v>
      </c>
      <c r="AC336" s="127">
        <f t="shared" si="411"/>
        <v>7.3599999999999959</v>
      </c>
      <c r="AD336" s="127">
        <f t="shared" si="412"/>
        <v>44.16</v>
      </c>
      <c r="AF336" s="127" t="str">
        <f>IFERROR(W336*'FlightConfig '!$K$3,"")</f>
        <v/>
      </c>
      <c r="AG336" s="127">
        <f>IFERROR(X336*'FlightConfig '!$K$23,"")</f>
        <v>0</v>
      </c>
      <c r="AH336" s="127">
        <f>IFERROR(Y336*'FlightConfig '!$K$23,"")</f>
        <v>33488</v>
      </c>
      <c r="AI336" s="127">
        <f>IFERROR(Z336*'FlightConfig '!$K$23,"")</f>
        <v>13395.2</v>
      </c>
      <c r="AJ336" s="127">
        <f>IFERROR(AA336*'FlightConfig '!$K$23,"")</f>
        <v>13395.2</v>
      </c>
      <c r="AK336" s="127">
        <f>IFERROR(AB336*'FlightConfig '!$K$23,"")</f>
        <v>0</v>
      </c>
    </row>
    <row r="337" spans="1:37" ht="18.75" customHeight="1">
      <c r="A337" t="s">
        <v>158</v>
      </c>
      <c r="B337" s="171">
        <v>2</v>
      </c>
      <c r="C337" s="176" t="str">
        <f>CONCATENATE(A337&amp;B337&amp;F337)</f>
        <v>ECONOMY CLASS2104</v>
      </c>
      <c r="D337" s="311"/>
      <c r="E337" s="304">
        <v>1189</v>
      </c>
      <c r="F337" s="310">
        <v>104</v>
      </c>
      <c r="G337" t="str">
        <f>VLOOKUP(E337,'FG MASTER'!$A:$AB,2,0)</f>
        <v>YC C2 DINNER BREAD HONEY WHEAT</v>
      </c>
      <c r="H337" s="285">
        <v>1</v>
      </c>
      <c r="I337" s="173">
        <v>1</v>
      </c>
      <c r="J337" s="291">
        <f>IFERROR(IF(I337="std",H337,HLOOKUP(A337,'FlightConfig '!$B$34:$G$35,2,0)*I337),"")</f>
        <v>184</v>
      </c>
      <c r="K337" s="244">
        <f>VLOOKUP(Food!E337,'FG MASTER'!$A$1:$AC$536,16,0)</f>
        <v>0.3</v>
      </c>
      <c r="L337" s="245">
        <f>VLOOKUP(Food!E337,'FG MASTER'!$A$10:$AC$536,17,0)</f>
        <v>0.25</v>
      </c>
      <c r="M337" s="132">
        <f t="shared" si="426"/>
        <v>0.1</v>
      </c>
      <c r="N337" s="132">
        <f>IFERROR((K337)+M337,"")</f>
        <v>0.4</v>
      </c>
      <c r="O337" s="132">
        <f t="shared" si="400"/>
        <v>6.6000000000000003E-2</v>
      </c>
      <c r="P337" s="132">
        <f t="shared" si="401"/>
        <v>1.999999999999999E-2</v>
      </c>
      <c r="Q337" s="132">
        <f t="shared" ref="Q337:Q355" si="431">SUM(N337:P337)</f>
        <v>0.48599999999999999</v>
      </c>
      <c r="R337" s="402">
        <f t="shared" si="430"/>
        <v>0.36599999999999999</v>
      </c>
      <c r="S337" s="402">
        <f t="shared" si="404"/>
        <v>0.12</v>
      </c>
      <c r="T337" s="402">
        <f t="shared" si="405"/>
        <v>0.48599999999999999</v>
      </c>
      <c r="U337" s="127"/>
      <c r="V337" s="127"/>
      <c r="W337" t="str">
        <f>IFERROR(#REF!*J337,"")</f>
        <v/>
      </c>
      <c r="X337">
        <f t="shared" si="406"/>
        <v>55.199999999999996</v>
      </c>
      <c r="Y337">
        <f t="shared" si="407"/>
        <v>46</v>
      </c>
      <c r="Z337" s="127">
        <f t="shared" si="408"/>
        <v>18.400000000000002</v>
      </c>
      <c r="AA337" s="127">
        <f t="shared" si="409"/>
        <v>73.600000000000009</v>
      </c>
      <c r="AB337" s="127">
        <f t="shared" si="410"/>
        <v>12.144</v>
      </c>
      <c r="AC337" s="127">
        <f t="shared" si="411"/>
        <v>3.6799999999999979</v>
      </c>
      <c r="AD337" s="127">
        <f t="shared" si="412"/>
        <v>89.423999999999992</v>
      </c>
      <c r="AF337" s="127" t="str">
        <f>IFERROR(W337*'FlightConfig '!$K$3,"")</f>
        <v/>
      </c>
      <c r="AG337" s="127">
        <f>IFERROR(X337*'FlightConfig '!$K$23,"")</f>
        <v>20092.8</v>
      </c>
      <c r="AH337" s="127">
        <f>IFERROR(Y337*'FlightConfig '!$K$23,"")</f>
        <v>16744</v>
      </c>
      <c r="AI337" s="127">
        <f>IFERROR(Z337*'FlightConfig '!$K$23,"")</f>
        <v>6697.6</v>
      </c>
      <c r="AJ337" s="127">
        <f>IFERROR(AA337*'FlightConfig '!$K$23,"")</f>
        <v>26790.400000000001</v>
      </c>
      <c r="AK337" s="127">
        <f>IFERROR(AB337*'FlightConfig '!$K$23,"")</f>
        <v>4420.4160000000002</v>
      </c>
    </row>
    <row r="338" spans="1:37" ht="18.75" customHeight="1">
      <c r="A338" t="s">
        <v>158</v>
      </c>
      <c r="B338" s="171">
        <v>2</v>
      </c>
      <c r="C338" s="176" t="str">
        <f>CONCATENATE(A338&amp;B338&amp;F338)</f>
        <v>ECONOMY CLASS2104</v>
      </c>
      <c r="D338" s="311"/>
      <c r="E338" s="304">
        <v>1129</v>
      </c>
      <c r="F338" s="310">
        <v>104</v>
      </c>
      <c r="G338" t="str">
        <f>VLOOKUP(E338,'FG MASTER'!$A:$AB,2,0)</f>
        <v>YC C1 DINNER BUTTER</v>
      </c>
      <c r="H338" s="285">
        <v>1</v>
      </c>
      <c r="I338" s="173">
        <v>1</v>
      </c>
      <c r="J338" s="291">
        <f>IFERROR(IF(I338="std",H338,HLOOKUP(A338,'FlightConfig '!$B$34:$G$35,2,0)*I338),"")</f>
        <v>184</v>
      </c>
      <c r="K338" s="244">
        <f>VLOOKUP(Food!E338,'FG MASTER'!$A$1:$AC$536,16,0)</f>
        <v>0.3</v>
      </c>
      <c r="L338" s="245">
        <f>VLOOKUP(Food!E338,'FG MASTER'!$A$10:$AC$536,17,0)</f>
        <v>0.25</v>
      </c>
      <c r="M338" s="132">
        <f t="shared" si="426"/>
        <v>0.1</v>
      </c>
      <c r="N338" s="132">
        <f>IFERROR((K338)+M338,"")</f>
        <v>0.4</v>
      </c>
      <c r="O338" s="132">
        <f t="shared" si="400"/>
        <v>6.6000000000000003E-2</v>
      </c>
      <c r="P338" s="132">
        <f t="shared" si="401"/>
        <v>1.999999999999999E-2</v>
      </c>
      <c r="Q338" s="132">
        <f t="shared" si="431"/>
        <v>0.48599999999999999</v>
      </c>
      <c r="R338" s="402">
        <f t="shared" si="430"/>
        <v>0.36599999999999999</v>
      </c>
      <c r="S338" s="402">
        <f t="shared" si="404"/>
        <v>0.12</v>
      </c>
      <c r="T338" s="402">
        <f t="shared" si="405"/>
        <v>0.48599999999999999</v>
      </c>
      <c r="U338" s="127"/>
      <c r="V338" s="127"/>
      <c r="W338" t="str">
        <f>IFERROR(#REF!*J338,"")</f>
        <v/>
      </c>
      <c r="X338">
        <f t="shared" si="406"/>
        <v>55.199999999999996</v>
      </c>
      <c r="Y338">
        <f t="shared" si="407"/>
        <v>46</v>
      </c>
      <c r="Z338" s="127">
        <f t="shared" si="408"/>
        <v>18.400000000000002</v>
      </c>
      <c r="AA338" s="127">
        <f t="shared" si="409"/>
        <v>73.600000000000009</v>
      </c>
      <c r="AB338" s="127">
        <f t="shared" si="410"/>
        <v>12.144</v>
      </c>
      <c r="AC338" s="127">
        <f t="shared" si="411"/>
        <v>3.6799999999999979</v>
      </c>
      <c r="AD338" s="127">
        <f t="shared" si="412"/>
        <v>89.423999999999992</v>
      </c>
      <c r="AF338" s="127" t="str">
        <f>IFERROR(W338*'FlightConfig '!$K$3,"")</f>
        <v/>
      </c>
      <c r="AG338" s="127">
        <f>IFERROR(X338*'FlightConfig '!$K$23,"")</f>
        <v>20092.8</v>
      </c>
      <c r="AH338" s="127">
        <f>IFERROR(Y338*'FlightConfig '!$K$23,"")</f>
        <v>16744</v>
      </c>
      <c r="AI338" s="127">
        <f>IFERROR(Z338*'FlightConfig '!$K$23,"")</f>
        <v>6697.6</v>
      </c>
      <c r="AJ338" s="127">
        <f>IFERROR(AA338*'FlightConfig '!$K$23,"")</f>
        <v>26790.400000000001</v>
      </c>
      <c r="AK338" s="127">
        <f>IFERROR(AB338*'FlightConfig '!$K$23,"")</f>
        <v>4420.4160000000002</v>
      </c>
    </row>
    <row r="339" spans="1:37" ht="18.75" customHeight="1">
      <c r="A339" t="s">
        <v>158</v>
      </c>
      <c r="B339" s="171">
        <v>2</v>
      </c>
      <c r="C339" s="176" t="str">
        <f>CONCATENATE(A339&amp;B339&amp;F339)</f>
        <v>ECONOMY CLASS2104</v>
      </c>
      <c r="D339" s="311"/>
      <c r="E339" s="304">
        <v>1208</v>
      </c>
      <c r="F339" s="310">
        <v>104</v>
      </c>
      <c r="G339" t="str">
        <f>VLOOKUP(E339,'FG MASTER'!$A:$AB,2,0)</f>
        <v>YC CRACKER</v>
      </c>
      <c r="H339" s="285">
        <v>1</v>
      </c>
      <c r="I339" s="173">
        <v>1</v>
      </c>
      <c r="J339" s="291">
        <f>IFERROR(IF(I339="std",H339,HLOOKUP(A339,'FlightConfig '!$B$34:$G$35,2,0)*I339),"")</f>
        <v>184</v>
      </c>
      <c r="K339" s="244">
        <f>VLOOKUP(Food!E339,'FG MASTER'!$A$1:$AC$536,16,0)</f>
        <v>0.16500000000000001</v>
      </c>
      <c r="L339" s="245">
        <f>VLOOKUP(Food!E339,'FG MASTER'!$A$10:$AC$536,17,0)</f>
        <v>0.25</v>
      </c>
      <c r="M339" s="132">
        <f t="shared" si="426"/>
        <v>0.1</v>
      </c>
      <c r="N339" s="132">
        <f>IFERROR((K339)+M339,"")</f>
        <v>0.26500000000000001</v>
      </c>
      <c r="O339" s="132">
        <f t="shared" si="400"/>
        <v>3.6299999999999999E-2</v>
      </c>
      <c r="P339" s="132">
        <f t="shared" si="401"/>
        <v>1.999999999999999E-2</v>
      </c>
      <c r="Q339" s="132">
        <f t="shared" si="431"/>
        <v>0.32130000000000003</v>
      </c>
      <c r="R339" s="402">
        <f t="shared" si="430"/>
        <v>0.20130000000000001</v>
      </c>
      <c r="S339" s="402">
        <f t="shared" si="404"/>
        <v>0.12</v>
      </c>
      <c r="T339" s="402">
        <f t="shared" si="405"/>
        <v>0.32130000000000003</v>
      </c>
      <c r="U339" s="127"/>
      <c r="V339" s="127"/>
      <c r="W339" t="str">
        <f>IFERROR(#REF!*J339,"")</f>
        <v/>
      </c>
      <c r="X339">
        <f t="shared" si="406"/>
        <v>30.360000000000003</v>
      </c>
      <c r="Y339">
        <f t="shared" si="407"/>
        <v>46</v>
      </c>
      <c r="Z339" s="127">
        <f t="shared" si="408"/>
        <v>18.400000000000002</v>
      </c>
      <c r="AA339" s="127">
        <f t="shared" si="409"/>
        <v>48.760000000000005</v>
      </c>
      <c r="AB339" s="127">
        <f t="shared" si="410"/>
        <v>6.6791999999999998</v>
      </c>
      <c r="AC339" s="127">
        <f t="shared" si="411"/>
        <v>3.6799999999999979</v>
      </c>
      <c r="AD339" s="127">
        <f t="shared" si="412"/>
        <v>59.119200000000006</v>
      </c>
      <c r="AF339" s="127" t="str">
        <f>IFERROR(W339*'FlightConfig '!$K$3,"")</f>
        <v/>
      </c>
      <c r="AG339" s="127">
        <f>IFERROR(X339*'FlightConfig '!$K$23,"")</f>
        <v>11051.04</v>
      </c>
      <c r="AH339" s="127">
        <f>IFERROR(Y339*'FlightConfig '!$K$23,"")</f>
        <v>16744</v>
      </c>
      <c r="AI339" s="127">
        <f>IFERROR(Z339*'FlightConfig '!$K$23,"")</f>
        <v>6697.6</v>
      </c>
      <c r="AJ339" s="127">
        <f>IFERROR(AA339*'FlightConfig '!$K$23,"")</f>
        <v>17748.640000000003</v>
      </c>
      <c r="AK339" s="127">
        <f>IFERROR(AB339*'FlightConfig '!$K$23,"")</f>
        <v>2431.2287999999999</v>
      </c>
    </row>
    <row r="340" spans="1:37" ht="18.75" customHeight="1">
      <c r="A340" t="s">
        <v>158</v>
      </c>
      <c r="B340" s="171">
        <v>2</v>
      </c>
      <c r="C340" s="176" t="str">
        <f>CONCATENATE(A340&amp;B340&amp;F340)</f>
        <v>ECONOMY CLASS2104</v>
      </c>
      <c r="D340" s="311"/>
      <c r="E340" s="304">
        <v>1153</v>
      </c>
      <c r="F340" s="310">
        <v>104</v>
      </c>
      <c r="G340" t="str">
        <f>VLOOKUP(E340,'FG MASTER'!$A:$AB,2,0)</f>
        <v>YC C1 DINNER TILLAMOOK CHEESE</v>
      </c>
      <c r="H340" s="285">
        <v>1</v>
      </c>
      <c r="I340" s="173">
        <v>1</v>
      </c>
      <c r="J340" s="291">
        <f>IFERROR(IF(I340="std",H340,HLOOKUP(A340,'FlightConfig '!$B$34:$G$35,2,0)*I340),"")</f>
        <v>184</v>
      </c>
      <c r="K340" s="244">
        <f>VLOOKUP(Food!E340,'FG MASTER'!$A$1:$AC$536,16,0)</f>
        <v>0.5</v>
      </c>
      <c r="L340" s="245">
        <f>VLOOKUP(Food!E340,'FG MASTER'!$A$10:$AC$536,17,0)</f>
        <v>0.25</v>
      </c>
      <c r="M340" s="132">
        <f t="shared" si="426"/>
        <v>0.1</v>
      </c>
      <c r="N340" s="132">
        <f>IFERROR((K340)+M340,"")</f>
        <v>0.6</v>
      </c>
      <c r="O340" s="132">
        <f t="shared" si="400"/>
        <v>0.10999999999999999</v>
      </c>
      <c r="P340" s="132">
        <f t="shared" si="401"/>
        <v>1.999999999999999E-2</v>
      </c>
      <c r="Q340" s="132">
        <f t="shared" si="431"/>
        <v>0.73</v>
      </c>
      <c r="R340" s="402">
        <f t="shared" si="430"/>
        <v>0.61</v>
      </c>
      <c r="S340" s="402">
        <f t="shared" si="404"/>
        <v>0.12</v>
      </c>
      <c r="T340" s="402">
        <f t="shared" si="405"/>
        <v>0.73</v>
      </c>
      <c r="U340" s="127"/>
      <c r="V340" s="127"/>
      <c r="W340" t="str">
        <f>IFERROR(#REF!*J340,"")</f>
        <v/>
      </c>
      <c r="X340">
        <f t="shared" si="406"/>
        <v>92</v>
      </c>
      <c r="Y340">
        <f t="shared" si="407"/>
        <v>46</v>
      </c>
      <c r="Z340" s="127">
        <f t="shared" si="408"/>
        <v>18.400000000000002</v>
      </c>
      <c r="AA340" s="127">
        <f t="shared" si="409"/>
        <v>110.39999999999999</v>
      </c>
      <c r="AB340" s="127">
        <f t="shared" si="410"/>
        <v>20.239999999999998</v>
      </c>
      <c r="AC340" s="127">
        <f t="shared" si="411"/>
        <v>3.6799999999999979</v>
      </c>
      <c r="AD340" s="127">
        <f t="shared" si="412"/>
        <v>134.32</v>
      </c>
      <c r="AF340" s="127" t="str">
        <f>IFERROR(W340*'FlightConfig '!$K$3,"")</f>
        <v/>
      </c>
      <c r="AG340" s="127">
        <f>IFERROR(X340*'FlightConfig '!$K$23,"")</f>
        <v>33488</v>
      </c>
      <c r="AH340" s="127">
        <f>IFERROR(Y340*'FlightConfig '!$K$23,"")</f>
        <v>16744</v>
      </c>
      <c r="AI340" s="127">
        <f>IFERROR(Z340*'FlightConfig '!$K$23,"")</f>
        <v>6697.6</v>
      </c>
      <c r="AJ340" s="127">
        <f>IFERROR(AA340*'FlightConfig '!$K$23,"")</f>
        <v>40185.599999999999</v>
      </c>
      <c r="AK340" s="127">
        <f>IFERROR(AB340*'FlightConfig '!$K$23,"")</f>
        <v>7367.36</v>
      </c>
    </row>
    <row r="341" spans="1:37" ht="18.75" customHeight="1">
      <c r="A341" t="s">
        <v>158</v>
      </c>
      <c r="B341" s="171">
        <v>2</v>
      </c>
      <c r="C341" s="176" t="str">
        <f t="shared" ref="C341:C357" si="432">CONCATENATE(A341&amp;B341&amp;F341)</f>
        <v>ECONOMY CLASS2104</v>
      </c>
      <c r="D341" s="311"/>
      <c r="E341" s="304">
        <v>1190</v>
      </c>
      <c r="F341" s="310">
        <v>104</v>
      </c>
      <c r="G341" t="str">
        <f>VLOOKUP(E341,'FG MASTER'!$A:$AB,2,0)</f>
        <v xml:space="preserve">YC C2 DINNER SALAD MIXED GREEN, CUCUMBER, SHREDDED CARROT WITH ITALIAN DRESSING </v>
      </c>
      <c r="H341" s="285">
        <v>1</v>
      </c>
      <c r="I341" s="173">
        <v>1</v>
      </c>
      <c r="J341" s="291">
        <f>IFERROR(IF(I341="std",H341,HLOOKUP(A341,'FlightConfig '!$B$34:$G$35,2,0)*I341),"")</f>
        <v>184</v>
      </c>
      <c r="K341" s="244">
        <f>VLOOKUP(Food!E341,'FG MASTER'!$A$1:$AC$536,16,0)</f>
        <v>0.42412345437619003</v>
      </c>
      <c r="L341" s="245">
        <f>VLOOKUP(Food!E341,'FG MASTER'!$A$10:$AC$536,17,0)</f>
        <v>1</v>
      </c>
      <c r="M341" s="132">
        <f t="shared" si="426"/>
        <v>0.4</v>
      </c>
      <c r="N341" s="132">
        <f t="shared" ref="N341:N355" si="433">IFERROR((K341)+M341,"")</f>
        <v>0.82412345437619006</v>
      </c>
      <c r="O341" s="132">
        <f t="shared" si="400"/>
        <v>9.3307159962761843E-2</v>
      </c>
      <c r="P341" s="132">
        <f t="shared" si="401"/>
        <v>7.999999999999996E-2</v>
      </c>
      <c r="Q341" s="132">
        <f t="shared" si="431"/>
        <v>0.99743061433895186</v>
      </c>
      <c r="R341" s="402">
        <f t="shared" si="430"/>
        <v>0.51743061433895188</v>
      </c>
      <c r="S341" s="402">
        <f t="shared" si="404"/>
        <v>0.48</v>
      </c>
      <c r="T341" s="402">
        <f t="shared" si="405"/>
        <v>0.99743061433895186</v>
      </c>
      <c r="U341" s="127"/>
      <c r="V341" s="127"/>
      <c r="W341" t="str">
        <f>IFERROR(#REF!*J341,"")</f>
        <v/>
      </c>
      <c r="X341">
        <f t="shared" si="406"/>
        <v>78.038715605218968</v>
      </c>
      <c r="Y341">
        <f t="shared" si="407"/>
        <v>184</v>
      </c>
      <c r="Z341" s="127">
        <f t="shared" si="408"/>
        <v>73.600000000000009</v>
      </c>
      <c r="AA341" s="127">
        <f t="shared" si="409"/>
        <v>151.63871560521898</v>
      </c>
      <c r="AB341" s="127">
        <f t="shared" si="410"/>
        <v>17.168517433148178</v>
      </c>
      <c r="AC341" s="127">
        <f t="shared" si="411"/>
        <v>14.719999999999992</v>
      </c>
      <c r="AD341" s="127">
        <f t="shared" si="412"/>
        <v>183.52723303836714</v>
      </c>
      <c r="AF341" s="127" t="str">
        <f>IFERROR(W341*'FlightConfig '!$K$3,"")</f>
        <v/>
      </c>
      <c r="AG341" s="127">
        <f>IFERROR(X341*'FlightConfig '!$K$23,"")</f>
        <v>28406.092480299703</v>
      </c>
      <c r="AH341" s="127">
        <f>IFERROR(Y341*'FlightConfig '!$K$23,"")</f>
        <v>66976</v>
      </c>
      <c r="AI341" s="127">
        <f>IFERROR(Z341*'FlightConfig '!$K$23,"")</f>
        <v>26790.400000000001</v>
      </c>
      <c r="AJ341" s="127">
        <f>IFERROR(AA341*'FlightConfig '!$K$23,"")</f>
        <v>55196.492480299705</v>
      </c>
      <c r="AK341" s="127">
        <f>IFERROR(AB341*'FlightConfig '!$K$23,"")</f>
        <v>6249.3403456659371</v>
      </c>
    </row>
    <row r="342" spans="1:37" ht="18.75" customHeight="1">
      <c r="A342" t="s">
        <v>158</v>
      </c>
      <c r="B342" s="171">
        <v>2</v>
      </c>
      <c r="C342" s="176" t="str">
        <f t="shared" si="432"/>
        <v>ECONOMY CLASS2104</v>
      </c>
      <c r="D342" s="311"/>
      <c r="E342" s="304">
        <v>1191</v>
      </c>
      <c r="F342" s="310">
        <v>104</v>
      </c>
      <c r="G342" t="str">
        <f>VLOOKUP(E342,'FG MASTER'!$A:$AB,2,0)</f>
        <v>YC C2 DINNER ENTRÉE 1 TERIYAKI CHICKEN, BULGOLGO SAUCE, SCALLION, FRIED RICE, SIR FRIED VEGETABLE</v>
      </c>
      <c r="H342" s="285">
        <v>1</v>
      </c>
      <c r="I342" s="173">
        <v>0.7</v>
      </c>
      <c r="J342" s="291">
        <f>IFERROR(IF(I342="std",H342,HLOOKUP(A342,'FlightConfig '!$B$34:$G$35,2,0)*I342),"")</f>
        <v>128.79999999999998</v>
      </c>
      <c r="K342" s="244">
        <f>VLOOKUP(Food!E342,'FG MASTER'!$A$1:$AC$536,16,0)</f>
        <v>2.2438681420503181</v>
      </c>
      <c r="L342" s="245">
        <f>VLOOKUP(Food!E342,'FG MASTER'!$A$10:$AC$536,17,0)</f>
        <v>3.25</v>
      </c>
      <c r="M342" s="132">
        <f t="shared" si="426"/>
        <v>1.3</v>
      </c>
      <c r="N342" s="132">
        <f t="shared" si="433"/>
        <v>3.543868142050318</v>
      </c>
      <c r="O342" s="132">
        <f t="shared" si="400"/>
        <v>0.49365099125106982</v>
      </c>
      <c r="P342" s="132">
        <f t="shared" si="401"/>
        <v>0.26</v>
      </c>
      <c r="Q342" s="132">
        <f t="shared" si="431"/>
        <v>4.2975191333013871</v>
      </c>
      <c r="R342" s="402">
        <f t="shared" si="430"/>
        <v>2.737519133301388</v>
      </c>
      <c r="S342" s="402">
        <f t="shared" si="404"/>
        <v>1.56</v>
      </c>
      <c r="T342" s="402">
        <f t="shared" si="405"/>
        <v>4.297519133301388</v>
      </c>
      <c r="U342" s="127"/>
      <c r="V342" s="127"/>
      <c r="W342" t="str">
        <f>IFERROR(#REF!*J342,"")</f>
        <v/>
      </c>
      <c r="X342">
        <f t="shared" si="406"/>
        <v>289.01021669608093</v>
      </c>
      <c r="Y342">
        <f t="shared" si="407"/>
        <v>418.59999999999997</v>
      </c>
      <c r="Z342" s="127">
        <f t="shared" si="408"/>
        <v>167.44</v>
      </c>
      <c r="AA342" s="127">
        <f t="shared" si="409"/>
        <v>456.45021669608087</v>
      </c>
      <c r="AB342" s="127">
        <f t="shared" si="410"/>
        <v>63.582247673137786</v>
      </c>
      <c r="AC342" s="127">
        <f t="shared" si="411"/>
        <v>33.488</v>
      </c>
      <c r="AD342" s="127">
        <f t="shared" si="412"/>
        <v>553.52046436921864</v>
      </c>
      <c r="AF342" s="127" t="str">
        <f>IFERROR(W342*'FlightConfig '!$K$3,"")</f>
        <v/>
      </c>
      <c r="AG342" s="127">
        <f>IFERROR(X342*'FlightConfig '!$K$23,"")</f>
        <v>105199.71887737345</v>
      </c>
      <c r="AH342" s="127">
        <f>IFERROR(Y342*'FlightConfig '!$K$23,"")</f>
        <v>152370.4</v>
      </c>
      <c r="AI342" s="127">
        <f>IFERROR(Z342*'FlightConfig '!$K$23,"")</f>
        <v>60948.159999999996</v>
      </c>
      <c r="AJ342" s="127">
        <f>IFERROR(AA342*'FlightConfig '!$K$23,"")</f>
        <v>166147.87887737344</v>
      </c>
      <c r="AK342" s="127">
        <f>IFERROR(AB342*'FlightConfig '!$K$23,"")</f>
        <v>23143.938153022154</v>
      </c>
    </row>
    <row r="343" spans="1:37" ht="18.75" customHeight="1">
      <c r="A343" t="s">
        <v>158</v>
      </c>
      <c r="B343" s="171">
        <v>2</v>
      </c>
      <c r="C343" s="176" t="str">
        <f t="shared" si="432"/>
        <v>ECONOMY CLASS2104</v>
      </c>
      <c r="D343" s="311"/>
      <c r="E343" s="304">
        <v>1192</v>
      </c>
      <c r="F343" s="310">
        <v>104</v>
      </c>
      <c r="G343" t="str">
        <f>VLOOKUP(E343,'FG MASTER'!$A:$AB,2,0)</f>
        <v>YC C2 DINNER ENTRÉE 2 CANNELLONI, MARINARA SAUCE, JULIENCE VEG, PECORINNO CHEESE</v>
      </c>
      <c r="H343" s="285">
        <v>1</v>
      </c>
      <c r="I343" s="173">
        <v>0.3</v>
      </c>
      <c r="J343" s="291">
        <f>IFERROR(IF(I343="std",H343,HLOOKUP(A343,'FlightConfig '!$B$34:$G$35,2,0)*I343),"")</f>
        <v>55.199999999999996</v>
      </c>
      <c r="K343" s="420">
        <f>VLOOKUP(Food!E343,'FG MASTER'!$A$1:$AC$536,16,0)</f>
        <v>1.8338973880755325</v>
      </c>
      <c r="L343" s="245">
        <f>VLOOKUP(Food!E343,'FG MASTER'!$A$10:$AC$536,17,0)</f>
        <v>2.5</v>
      </c>
      <c r="M343" s="132">
        <f t="shared" si="426"/>
        <v>1</v>
      </c>
      <c r="N343" s="132">
        <f t="shared" si="433"/>
        <v>2.8338973880755325</v>
      </c>
      <c r="O343" s="132">
        <f t="shared" si="400"/>
        <v>0.403457425376617</v>
      </c>
      <c r="P343" s="132">
        <f t="shared" si="401"/>
        <v>0.19999999999999996</v>
      </c>
      <c r="Q343" s="132">
        <f t="shared" si="431"/>
        <v>3.4373548134521492</v>
      </c>
      <c r="R343" s="402">
        <f t="shared" si="430"/>
        <v>2.2373548134521495</v>
      </c>
      <c r="S343" s="402">
        <f t="shared" si="404"/>
        <v>1.2</v>
      </c>
      <c r="T343" s="402">
        <f t="shared" si="405"/>
        <v>3.4373548134521492</v>
      </c>
      <c r="U343" s="127"/>
      <c r="V343" s="127"/>
      <c r="W343" t="str">
        <f>IFERROR(#REF!*J343,"")</f>
        <v/>
      </c>
      <c r="X343">
        <f t="shared" si="406"/>
        <v>101.23113582176939</v>
      </c>
      <c r="Y343">
        <f t="shared" si="407"/>
        <v>138</v>
      </c>
      <c r="Z343" s="127">
        <f t="shared" si="408"/>
        <v>55.199999999999996</v>
      </c>
      <c r="AA343" s="127">
        <f t="shared" si="409"/>
        <v>156.43113582176937</v>
      </c>
      <c r="AB343" s="127">
        <f t="shared" si="410"/>
        <v>22.270849880789257</v>
      </c>
      <c r="AC343" s="127">
        <f t="shared" si="411"/>
        <v>11.039999999999997</v>
      </c>
      <c r="AD343" s="127">
        <f t="shared" si="412"/>
        <v>189.74198570255862</v>
      </c>
      <c r="AF343" s="127" t="str">
        <f>IFERROR(W343*'FlightConfig '!$K$3,"")</f>
        <v/>
      </c>
      <c r="AG343" s="127">
        <f>IFERROR(X343*'FlightConfig '!$K$23,"")</f>
        <v>36848.133439124053</v>
      </c>
      <c r="AH343" s="127">
        <f>IFERROR(Y343*'FlightConfig '!$K$23,"")</f>
        <v>50232</v>
      </c>
      <c r="AI343" s="127">
        <f>IFERROR(Z343*'FlightConfig '!$K$23,"")</f>
        <v>20092.8</v>
      </c>
      <c r="AJ343" s="127">
        <f>IFERROR(AA343*'FlightConfig '!$K$23,"")</f>
        <v>56940.933439124055</v>
      </c>
      <c r="AK343" s="127">
        <f>IFERROR(AB343*'FlightConfig '!$K$23,"")</f>
        <v>8106.5893566072891</v>
      </c>
    </row>
    <row r="344" spans="1:37" ht="18.75" customHeight="1">
      <c r="A344" t="s">
        <v>158</v>
      </c>
      <c r="B344" s="171">
        <v>2</v>
      </c>
      <c r="C344" s="176" t="str">
        <f t="shared" si="432"/>
        <v>ECONOMY CLASS2104</v>
      </c>
      <c r="D344" s="311"/>
      <c r="E344" s="304">
        <v>1193</v>
      </c>
      <c r="F344" s="310">
        <v>104</v>
      </c>
      <c r="G344" t="str">
        <f>VLOOKUP(E344,'FG MASTER'!$A:$AB,2,0)</f>
        <v>YC C2 DINNER DESSERT BROWNIE BAR</v>
      </c>
      <c r="H344" s="285">
        <v>1</v>
      </c>
      <c r="I344" s="173">
        <v>1</v>
      </c>
      <c r="J344" s="291">
        <f>IFERROR(IF(I344="std",H344,HLOOKUP(A344,'FlightConfig '!$B$34:$G$35,2,0)*I344),"")</f>
        <v>184</v>
      </c>
      <c r="K344" s="244">
        <f>VLOOKUP(Food!E344,'FG MASTER'!$A$1:$AC$536,16,0)</f>
        <v>0.51442500408163294</v>
      </c>
      <c r="L344" s="245">
        <f>VLOOKUP(Food!E344,'FG MASTER'!$A$10:$AC$536,17,0)</f>
        <v>1</v>
      </c>
      <c r="M344" s="132">
        <f t="shared" si="426"/>
        <v>0.4</v>
      </c>
      <c r="N344" s="132">
        <f t="shared" si="433"/>
        <v>0.91442500408163296</v>
      </c>
      <c r="O344" s="132">
        <f t="shared" si="400"/>
        <v>0.11317350089795919</v>
      </c>
      <c r="P344" s="132">
        <f t="shared" si="401"/>
        <v>7.999999999999996E-2</v>
      </c>
      <c r="Q344" s="132">
        <f t="shared" si="431"/>
        <v>1.1075985049795922</v>
      </c>
      <c r="R344" s="402">
        <f t="shared" si="430"/>
        <v>0.62759850497959213</v>
      </c>
      <c r="S344" s="402">
        <f t="shared" si="404"/>
        <v>0.48</v>
      </c>
      <c r="T344" s="402">
        <f t="shared" si="405"/>
        <v>1.1075985049795922</v>
      </c>
      <c r="U344" s="127"/>
      <c r="V344" s="127"/>
      <c r="W344" t="str">
        <f>IFERROR(#REF!*J344,"")</f>
        <v/>
      </c>
      <c r="X344">
        <f t="shared" si="406"/>
        <v>94.654200751020454</v>
      </c>
      <c r="Y344">
        <f t="shared" si="407"/>
        <v>184</v>
      </c>
      <c r="Z344" s="127">
        <f t="shared" si="408"/>
        <v>73.600000000000009</v>
      </c>
      <c r="AA344" s="127">
        <f t="shared" si="409"/>
        <v>168.25420075102048</v>
      </c>
      <c r="AB344" s="127">
        <f t="shared" si="410"/>
        <v>20.82392416522449</v>
      </c>
      <c r="AC344" s="127">
        <f t="shared" si="411"/>
        <v>14.719999999999992</v>
      </c>
      <c r="AD344" s="127">
        <f t="shared" si="412"/>
        <v>203.79812491624497</v>
      </c>
      <c r="AF344" s="127" t="str">
        <f>IFERROR(W344*'FlightConfig '!$K$3,"")</f>
        <v/>
      </c>
      <c r="AG344" s="127">
        <f>IFERROR(X344*'FlightConfig '!$K$23,"")</f>
        <v>34454.129073371449</v>
      </c>
      <c r="AH344" s="127">
        <f>IFERROR(Y344*'FlightConfig '!$K$23,"")</f>
        <v>66976</v>
      </c>
      <c r="AI344" s="127">
        <f>IFERROR(Z344*'FlightConfig '!$K$23,"")</f>
        <v>26790.400000000001</v>
      </c>
      <c r="AJ344" s="127">
        <f>IFERROR(AA344*'FlightConfig '!$K$23,"")</f>
        <v>61244.52907337145</v>
      </c>
      <c r="AK344" s="127">
        <f>IFERROR(AB344*'FlightConfig '!$K$23,"")</f>
        <v>7579.9083961417145</v>
      </c>
    </row>
    <row r="345" spans="1:37" ht="18.75" customHeight="1">
      <c r="A345" t="s">
        <v>158</v>
      </c>
      <c r="B345" s="171">
        <v>2</v>
      </c>
      <c r="C345" s="176" t="str">
        <f t="shared" si="432"/>
        <v>ECONOMY CLASS2104</v>
      </c>
      <c r="D345" s="311"/>
      <c r="E345" s="304">
        <v>1134</v>
      </c>
      <c r="F345" s="310">
        <v>104</v>
      </c>
      <c r="G345" t="str">
        <f>VLOOKUP(E345,'FG MASTER'!$A:$AB,2,0)</f>
        <v>YC C1 BREAKFAST TSU</v>
      </c>
      <c r="H345" s="285">
        <v>1</v>
      </c>
      <c r="I345" s="173">
        <v>1</v>
      </c>
      <c r="J345" s="291">
        <f>IFERROR(IF(I345="std",H345,HLOOKUP(A345,'FlightConfig '!$B$34:$G$35,2,0)*I345),"")</f>
        <v>184</v>
      </c>
      <c r="K345" s="244">
        <f>VLOOKUP(Food!E345,'FG MASTER'!$A$1:$AC$536,16,0)</f>
        <v>0</v>
      </c>
      <c r="L345" s="245">
        <f>VLOOKUP(Food!E345,'FG MASTER'!$A$10:$AC$536,17,0)</f>
        <v>0.5</v>
      </c>
      <c r="M345" s="132">
        <f t="shared" si="426"/>
        <v>0.2</v>
      </c>
      <c r="N345" s="132">
        <f t="shared" si="433"/>
        <v>0.2</v>
      </c>
      <c r="O345" s="132">
        <f t="shared" si="400"/>
        <v>0</v>
      </c>
      <c r="P345" s="132">
        <f t="shared" si="401"/>
        <v>3.999999999999998E-2</v>
      </c>
      <c r="Q345" s="132">
        <f t="shared" si="431"/>
        <v>0.24</v>
      </c>
      <c r="R345" s="402">
        <f t="shared" si="430"/>
        <v>0</v>
      </c>
      <c r="S345" s="402">
        <f t="shared" si="404"/>
        <v>0.24</v>
      </c>
      <c r="T345" s="402">
        <f t="shared" si="405"/>
        <v>0.24</v>
      </c>
      <c r="U345" s="127"/>
      <c r="V345" s="127"/>
      <c r="W345" t="str">
        <f>IFERROR(#REF!*J345,"")</f>
        <v/>
      </c>
      <c r="X345">
        <f t="shared" si="406"/>
        <v>0</v>
      </c>
      <c r="Y345">
        <f t="shared" si="407"/>
        <v>92</v>
      </c>
      <c r="Z345" s="127">
        <f t="shared" si="408"/>
        <v>36.800000000000004</v>
      </c>
      <c r="AA345" s="127">
        <f t="shared" si="409"/>
        <v>36.800000000000004</v>
      </c>
      <c r="AB345" s="127">
        <f t="shared" si="410"/>
        <v>0</v>
      </c>
      <c r="AC345" s="127">
        <f t="shared" si="411"/>
        <v>7.3599999999999959</v>
      </c>
      <c r="AD345" s="127">
        <f t="shared" si="412"/>
        <v>44.16</v>
      </c>
      <c r="AF345" s="127" t="str">
        <f>IFERROR(W345*'FlightConfig '!$K$3,"")</f>
        <v/>
      </c>
      <c r="AG345" s="127">
        <f>IFERROR(X345*'FlightConfig '!$K$23,"")</f>
        <v>0</v>
      </c>
      <c r="AH345" s="127">
        <f>IFERROR(Y345*'FlightConfig '!$K$23,"")</f>
        <v>33488</v>
      </c>
      <c r="AI345" s="127">
        <f>IFERROR(Z345*'FlightConfig '!$K$23,"")</f>
        <v>13395.2</v>
      </c>
      <c r="AJ345" s="127">
        <f>IFERROR(AA345*'FlightConfig '!$K$23,"")</f>
        <v>13395.2</v>
      </c>
      <c r="AK345" s="127">
        <f>IFERROR(AB345*'FlightConfig '!$K$23,"")</f>
        <v>0</v>
      </c>
    </row>
    <row r="346" spans="1:37" ht="18.75" customHeight="1">
      <c r="A346" t="s">
        <v>158</v>
      </c>
      <c r="B346" s="171">
        <v>2</v>
      </c>
      <c r="C346" s="176" t="str">
        <f t="shared" si="432"/>
        <v>ECONOMY CLASS2104</v>
      </c>
      <c r="D346" s="311"/>
      <c r="E346" s="304">
        <v>1194</v>
      </c>
      <c r="F346" s="310">
        <v>104</v>
      </c>
      <c r="G346" t="str">
        <f>VLOOKUP(E346,'FG MASTER'!$A:$AB,2,0)</f>
        <v>YC C2 BRK CINNAMON OAT MUFFIN</v>
      </c>
      <c r="H346" s="285">
        <v>1</v>
      </c>
      <c r="I346" s="173">
        <v>1</v>
      </c>
      <c r="J346" s="291">
        <f>IFERROR(IF(I346="std",H346,HLOOKUP(A346,'FlightConfig '!$B$34:$G$35,2,0)*I346),"")</f>
        <v>184</v>
      </c>
      <c r="K346" s="244">
        <f>VLOOKUP(Food!E346,'FG MASTER'!$A$1:$AC$536,16,0)</f>
        <v>0.71633198282139499</v>
      </c>
      <c r="L346" s="245">
        <f>VLOOKUP(Food!E346,'FG MASTER'!$A$10:$AC$536,17,0)</f>
        <v>0.5</v>
      </c>
      <c r="M346" s="132">
        <f t="shared" si="426"/>
        <v>0.2</v>
      </c>
      <c r="N346" s="132">
        <f t="shared" si="433"/>
        <v>0.91633198282139494</v>
      </c>
      <c r="O346" s="418">
        <f>IFERROR($K346*(1+10%)-$K346,0)</f>
        <v>7.1633198282139543E-2</v>
      </c>
      <c r="P346" s="132">
        <f t="shared" si="401"/>
        <v>3.999999999999998E-2</v>
      </c>
      <c r="Q346" s="132">
        <f t="shared" ref="Q346:Q347" si="434">SUM(N346:P346)</f>
        <v>1.0279651811035344</v>
      </c>
      <c r="R346" s="418">
        <f>K346*(1+10%)</f>
        <v>0.78796518110353453</v>
      </c>
      <c r="S346" s="402">
        <f t="shared" si="404"/>
        <v>0.24</v>
      </c>
      <c r="T346" s="402">
        <f t="shared" si="405"/>
        <v>1.0279651811035344</v>
      </c>
      <c r="U346" s="127"/>
      <c r="V346" s="127"/>
      <c r="W346" t="str">
        <f>IFERROR(#REF!*J346,"")</f>
        <v/>
      </c>
      <c r="X346">
        <f t="shared" si="406"/>
        <v>131.80508483913667</v>
      </c>
      <c r="Y346">
        <f t="shared" si="407"/>
        <v>92</v>
      </c>
      <c r="Z346" s="127">
        <f t="shared" si="408"/>
        <v>36.800000000000004</v>
      </c>
      <c r="AA346" s="127">
        <f t="shared" si="409"/>
        <v>168.60508483913668</v>
      </c>
      <c r="AB346" s="127">
        <f t="shared" si="410"/>
        <v>13.180508483913677</v>
      </c>
      <c r="AC346" s="127">
        <f t="shared" si="411"/>
        <v>7.3599999999999959</v>
      </c>
      <c r="AD346" s="127">
        <f t="shared" si="412"/>
        <v>189.14559332305032</v>
      </c>
      <c r="AF346" s="127" t="str">
        <f>IFERROR(W346*'FlightConfig '!$K$3,"")</f>
        <v/>
      </c>
      <c r="AG346" s="127">
        <f>IFERROR(X346*'FlightConfig '!$K$23,"")</f>
        <v>47977.05088144575</v>
      </c>
      <c r="AH346" s="127">
        <f>IFERROR(Y346*'FlightConfig '!$K$23,"")</f>
        <v>33488</v>
      </c>
      <c r="AI346" s="127">
        <f>IFERROR(Z346*'FlightConfig '!$K$23,"")</f>
        <v>13395.2</v>
      </c>
      <c r="AJ346" s="127">
        <f>IFERROR(AA346*'FlightConfig '!$K$23,"")</f>
        <v>61372.250881445754</v>
      </c>
      <c r="AK346" s="127">
        <f>IFERROR(AB346*'FlightConfig '!$K$23,"")</f>
        <v>4797.7050881445784</v>
      </c>
    </row>
    <row r="347" spans="1:37" ht="18.75" customHeight="1">
      <c r="A347" t="s">
        <v>158</v>
      </c>
      <c r="B347" s="171">
        <v>2</v>
      </c>
      <c r="C347" s="176" t="str">
        <f t="shared" si="432"/>
        <v>ECONOMY CLASS2104</v>
      </c>
      <c r="D347" s="311"/>
      <c r="E347" s="304">
        <v>1195</v>
      </c>
      <c r="F347" s="310">
        <v>104</v>
      </c>
      <c r="G347" t="str">
        <f>VLOOKUP(E347,'FG MASTER'!$A:$AB,2,0)</f>
        <v>YC C2 BRK VANILLA YOGURT, BLUEBERRY COMPOTE</v>
      </c>
      <c r="H347" s="285">
        <v>1</v>
      </c>
      <c r="I347" s="173">
        <v>1</v>
      </c>
      <c r="J347" s="291">
        <f>IFERROR(IF(I347="std",H347,HLOOKUP(A347,'FlightConfig '!$B$34:$G$35,2,0)*I347),"")</f>
        <v>184</v>
      </c>
      <c r="K347" s="244">
        <f>VLOOKUP(Food!E347,'FG MASTER'!$A$1:$AC$536,16,0)</f>
        <v>0.62750710665381648</v>
      </c>
      <c r="L347" s="245">
        <f>VLOOKUP(Food!E347,'FG MASTER'!$A$10:$AC$536,17,0)</f>
        <v>0.75</v>
      </c>
      <c r="M347" s="132">
        <f t="shared" si="426"/>
        <v>0.30000000000000004</v>
      </c>
      <c r="N347" s="132">
        <f t="shared" si="433"/>
        <v>0.92750710665381653</v>
      </c>
      <c r="O347" s="418">
        <f>IFERROR($K347*(1+10%)-$K347,0)</f>
        <v>6.2750710665381737E-2</v>
      </c>
      <c r="P347" s="132">
        <f t="shared" si="401"/>
        <v>0.06</v>
      </c>
      <c r="Q347" s="132">
        <f t="shared" si="434"/>
        <v>1.0502578173191983</v>
      </c>
      <c r="R347" s="418">
        <f>K347*(1+10%)</f>
        <v>0.69025781731919822</v>
      </c>
      <c r="S347" s="402">
        <f t="shared" si="404"/>
        <v>0.36000000000000004</v>
      </c>
      <c r="T347" s="402">
        <f t="shared" si="405"/>
        <v>1.0502578173191983</v>
      </c>
      <c r="U347" s="127"/>
      <c r="V347" s="127"/>
      <c r="W347" t="str">
        <f>IFERROR(#REF!*J347,"")</f>
        <v/>
      </c>
      <c r="X347">
        <f t="shared" si="406"/>
        <v>115.46130762430224</v>
      </c>
      <c r="Y347">
        <f t="shared" si="407"/>
        <v>138</v>
      </c>
      <c r="Z347" s="127">
        <f t="shared" si="408"/>
        <v>55.20000000000001</v>
      </c>
      <c r="AA347" s="127">
        <f t="shared" si="409"/>
        <v>170.66130762430225</v>
      </c>
      <c r="AB347" s="127">
        <f t="shared" si="410"/>
        <v>11.54613076243024</v>
      </c>
      <c r="AC347" s="127">
        <f t="shared" si="411"/>
        <v>11.04</v>
      </c>
      <c r="AD347" s="127">
        <f t="shared" si="412"/>
        <v>193.24743838673248</v>
      </c>
      <c r="AF347" s="127" t="str">
        <f>IFERROR(W347*'FlightConfig '!$K$3,"")</f>
        <v/>
      </c>
      <c r="AG347" s="127">
        <f>IFERROR(X347*'FlightConfig '!$K$23,"")</f>
        <v>42027.915975246011</v>
      </c>
      <c r="AH347" s="127">
        <f>IFERROR(Y347*'FlightConfig '!$K$23,"")</f>
        <v>50232</v>
      </c>
      <c r="AI347" s="127">
        <f>IFERROR(Z347*'FlightConfig '!$K$23,"")</f>
        <v>20092.800000000003</v>
      </c>
      <c r="AJ347" s="127">
        <f>IFERROR(AA347*'FlightConfig '!$K$23,"")</f>
        <v>62120.715975246021</v>
      </c>
      <c r="AK347" s="127">
        <f>IFERROR(AB347*'FlightConfig '!$K$23,"")</f>
        <v>4202.7915975246069</v>
      </c>
    </row>
    <row r="348" spans="1:37" ht="18.75" customHeight="1">
      <c r="A348" t="s">
        <v>189</v>
      </c>
      <c r="B348" s="171">
        <v>2</v>
      </c>
      <c r="C348" s="176" t="str">
        <f t="shared" si="432"/>
        <v>CABIN CREW CLASS2104</v>
      </c>
      <c r="D348" s="293"/>
      <c r="E348" s="305">
        <v>1137</v>
      </c>
      <c r="F348" s="310">
        <v>104</v>
      </c>
      <c r="G348" t="str">
        <f>VLOOKUP(E348,'FG MASTER'!$A:$AB,2,0)</f>
        <v>CREW C1 DINNER CHEESE &amp; CRACKER, CELERY STICK, CARROT, HUMMUS</v>
      </c>
      <c r="H348" s="285">
        <v>1</v>
      </c>
      <c r="I348" s="173">
        <v>1</v>
      </c>
      <c r="J348" s="291">
        <f>IFERROR(IF(I348="std",H348,HLOOKUP(A348,'FlightConfig '!$B$34:$G$35,2,0)*I348),"")</f>
        <v>6</v>
      </c>
      <c r="K348" s="244">
        <f>VLOOKUP(Food!E348,'FG MASTER'!$A$1:$AC$536,16,0)</f>
        <v>1.23</v>
      </c>
      <c r="L348" s="245">
        <f>VLOOKUP(Food!E348,'FG MASTER'!$A$10:$AC$536,17,0)</f>
        <v>1.5</v>
      </c>
      <c r="M348" s="132">
        <f>IFERROR(L348*$M$2,"")</f>
        <v>0.60000000000000009</v>
      </c>
      <c r="N348" s="132">
        <f t="shared" si="433"/>
        <v>1.83</v>
      </c>
      <c r="O348" s="132">
        <f t="shared" si="400"/>
        <v>0.27059999999999995</v>
      </c>
      <c r="P348" s="132">
        <f t="shared" si="401"/>
        <v>0.12</v>
      </c>
      <c r="Q348" s="132">
        <f t="shared" ref="Q348:Q355" si="435">SUM(N348:P348)</f>
        <v>2.2206000000000001</v>
      </c>
      <c r="R348" s="402">
        <f t="shared" ref="R348:R355" si="436">K348*(1+$O$2)</f>
        <v>1.5005999999999999</v>
      </c>
      <c r="S348" s="402">
        <f t="shared" si="404"/>
        <v>0.72000000000000008</v>
      </c>
      <c r="T348" s="402">
        <f t="shared" si="405"/>
        <v>2.2206000000000001</v>
      </c>
      <c r="U348" s="127"/>
      <c r="V348" s="127"/>
      <c r="W348" t="str">
        <f>IFERROR(#REF!*J348,"")</f>
        <v/>
      </c>
      <c r="X348">
        <f t="shared" si="406"/>
        <v>7.38</v>
      </c>
      <c r="Y348">
        <f t="shared" si="407"/>
        <v>9</v>
      </c>
      <c r="Z348" s="127">
        <f t="shared" si="408"/>
        <v>3.6000000000000005</v>
      </c>
      <c r="AA348" s="127">
        <f t="shared" si="409"/>
        <v>10.98</v>
      </c>
      <c r="AB348" s="127">
        <f t="shared" si="410"/>
        <v>1.6235999999999997</v>
      </c>
      <c r="AC348" s="127">
        <f t="shared" si="411"/>
        <v>0.72</v>
      </c>
      <c r="AD348" s="127">
        <f t="shared" si="412"/>
        <v>13.323600000000001</v>
      </c>
      <c r="AF348" s="127" t="str">
        <f>IFERROR(W348*'FlightConfig '!$K$3,"")</f>
        <v/>
      </c>
      <c r="AG348" s="127">
        <f>IFERROR(X348*'FlightConfig '!$K$23,"")</f>
        <v>2686.32</v>
      </c>
      <c r="AH348" s="127">
        <f>IFERROR(Y348*'FlightConfig '!$K$23,"")</f>
        <v>3276</v>
      </c>
      <c r="AI348" s="127">
        <f>IFERROR(Z348*'FlightConfig '!$K$23,"")</f>
        <v>1310.4000000000001</v>
      </c>
      <c r="AJ348" s="127">
        <f>IFERROR(AA348*'FlightConfig '!$K$23,"")</f>
        <v>3996.7200000000003</v>
      </c>
      <c r="AK348" s="127">
        <f>IFERROR(AB348*'FlightConfig '!$K$23,"")</f>
        <v>590.99039999999991</v>
      </c>
    </row>
    <row r="349" spans="1:37" ht="18.75" customHeight="1">
      <c r="A349" t="s">
        <v>189</v>
      </c>
      <c r="B349" s="171">
        <v>2</v>
      </c>
      <c r="C349" s="176" t="str">
        <f t="shared" si="432"/>
        <v>CABIN CREW CLASS2104</v>
      </c>
      <c r="D349" s="293"/>
      <c r="E349" s="305">
        <v>1138</v>
      </c>
      <c r="F349" s="310">
        <v>104</v>
      </c>
      <c r="G349" t="str">
        <f>VLOOKUP(E349,'FG MASTER'!$A:$AB,2,0)</f>
        <v>CREW C1 DINNER HARD BOILED EGG WITH TURKEY CUBES AND CHEDDAR</v>
      </c>
      <c r="H349" s="285">
        <v>1</v>
      </c>
      <c r="I349" s="173">
        <v>1</v>
      </c>
      <c r="J349" s="291">
        <f>IFERROR(IF(I349="std",H349,HLOOKUP(A349,'FlightConfig '!$B$34:$G$35,2,0)*I349),"")</f>
        <v>6</v>
      </c>
      <c r="K349" s="244">
        <f>VLOOKUP(Food!E349,'FG MASTER'!$A$1:$AC$536,16,0)</f>
        <v>2.08</v>
      </c>
      <c r="L349" s="245">
        <f>VLOOKUP(Food!E349,'FG MASTER'!$A$10:$AC$536,17,0)</f>
        <v>1</v>
      </c>
      <c r="M349" s="132">
        <f t="shared" ref="M349:M355" si="437">IFERROR(L349*$M$2,"")</f>
        <v>0.4</v>
      </c>
      <c r="N349" s="132">
        <f t="shared" si="433"/>
        <v>2.48</v>
      </c>
      <c r="O349" s="132">
        <f t="shared" si="400"/>
        <v>0.45759999999999978</v>
      </c>
      <c r="P349" s="132">
        <f t="shared" si="401"/>
        <v>7.999999999999996E-2</v>
      </c>
      <c r="Q349" s="132">
        <f t="shared" si="435"/>
        <v>3.0175999999999998</v>
      </c>
      <c r="R349" s="402">
        <f t="shared" si="436"/>
        <v>2.5375999999999999</v>
      </c>
      <c r="S349" s="402">
        <f t="shared" si="404"/>
        <v>0.48</v>
      </c>
      <c r="T349" s="402">
        <f t="shared" si="405"/>
        <v>3.0175999999999998</v>
      </c>
      <c r="U349" s="127"/>
      <c r="V349" s="127"/>
      <c r="W349" t="str">
        <f>IFERROR(#REF!*J349,"")</f>
        <v/>
      </c>
      <c r="X349">
        <f t="shared" si="406"/>
        <v>12.48</v>
      </c>
      <c r="Y349">
        <f t="shared" si="407"/>
        <v>6</v>
      </c>
      <c r="Z349" s="127">
        <f t="shared" si="408"/>
        <v>2.4000000000000004</v>
      </c>
      <c r="AA349" s="127">
        <f t="shared" si="409"/>
        <v>14.879999999999999</v>
      </c>
      <c r="AB349" s="127">
        <f t="shared" si="410"/>
        <v>2.7455999999999987</v>
      </c>
      <c r="AC349" s="127">
        <f t="shared" si="411"/>
        <v>0.47999999999999976</v>
      </c>
      <c r="AD349" s="127">
        <f t="shared" si="412"/>
        <v>18.105599999999999</v>
      </c>
      <c r="AF349" s="127" t="str">
        <f>IFERROR(W349*'FlightConfig '!$K$3,"")</f>
        <v/>
      </c>
      <c r="AG349" s="127">
        <f>IFERROR(X349*'FlightConfig '!$K$23,"")</f>
        <v>4542.72</v>
      </c>
      <c r="AH349" s="127">
        <f>IFERROR(Y349*'FlightConfig '!$K$23,"")</f>
        <v>2184</v>
      </c>
      <c r="AI349" s="127">
        <f>IFERROR(Z349*'FlightConfig '!$K$23,"")</f>
        <v>873.60000000000014</v>
      </c>
      <c r="AJ349" s="127">
        <f>IFERROR(AA349*'FlightConfig '!$K$23,"")</f>
        <v>5416.32</v>
      </c>
      <c r="AK349" s="127">
        <f>IFERROR(AB349*'FlightConfig '!$K$23,"")</f>
        <v>999.39839999999958</v>
      </c>
    </row>
    <row r="350" spans="1:37" ht="18.75" customHeight="1">
      <c r="A350" t="s">
        <v>189</v>
      </c>
      <c r="B350" s="171">
        <v>2</v>
      </c>
      <c r="C350" s="176" t="str">
        <f t="shared" si="432"/>
        <v>CABIN CREW CLASS2104</v>
      </c>
      <c r="D350" s="293"/>
      <c r="E350" s="303">
        <v>1139</v>
      </c>
      <c r="F350" s="310">
        <v>104</v>
      </c>
      <c r="G350" t="str">
        <f>VLOOKUP(E350,'FG MASTER'!$A:$AB,2,0)</f>
        <v xml:space="preserve">CREW C1 DINNER WHOLE FRUIT APPLE AND ORANGE </v>
      </c>
      <c r="H350" s="285">
        <v>1</v>
      </c>
      <c r="I350" s="173">
        <v>1</v>
      </c>
      <c r="J350" s="291">
        <f>IFERROR(IF(I350="std",H350,HLOOKUP(A350,'FlightConfig '!$B$34:$G$35,2,0)*I350),"")</f>
        <v>6</v>
      </c>
      <c r="K350" s="244">
        <f>VLOOKUP(Food!E350,'FG MASTER'!$A$1:$AC$536,16,0)</f>
        <v>1.323</v>
      </c>
      <c r="L350" s="245">
        <f>VLOOKUP(Food!E350,'FG MASTER'!$A$10:$AC$536,17,0)</f>
        <v>1</v>
      </c>
      <c r="M350" s="132">
        <f t="shared" si="437"/>
        <v>0.4</v>
      </c>
      <c r="N350" s="132">
        <f t="shared" si="433"/>
        <v>1.7229999999999999</v>
      </c>
      <c r="O350" s="132">
        <f t="shared" si="400"/>
        <v>0.29105999999999987</v>
      </c>
      <c r="P350" s="132">
        <f t="shared" si="401"/>
        <v>7.999999999999996E-2</v>
      </c>
      <c r="Q350" s="132">
        <f t="shared" si="435"/>
        <v>2.0940599999999998</v>
      </c>
      <c r="R350" s="402">
        <f t="shared" si="436"/>
        <v>1.6140599999999998</v>
      </c>
      <c r="S350" s="402">
        <f t="shared" si="404"/>
        <v>0.48</v>
      </c>
      <c r="T350" s="402">
        <f t="shared" si="405"/>
        <v>2.0940599999999998</v>
      </c>
      <c r="U350" s="127"/>
      <c r="V350" s="127"/>
      <c r="W350" t="str">
        <f>IFERROR(#REF!*J350,"")</f>
        <v/>
      </c>
      <c r="X350">
        <f t="shared" si="406"/>
        <v>7.9379999999999997</v>
      </c>
      <c r="Y350">
        <f t="shared" si="407"/>
        <v>6</v>
      </c>
      <c r="Z350" s="127">
        <f t="shared" si="408"/>
        <v>2.4000000000000004</v>
      </c>
      <c r="AA350" s="127">
        <f t="shared" si="409"/>
        <v>10.337999999999999</v>
      </c>
      <c r="AB350" s="127">
        <f t="shared" si="410"/>
        <v>1.7463599999999992</v>
      </c>
      <c r="AC350" s="127">
        <f t="shared" si="411"/>
        <v>0.47999999999999976</v>
      </c>
      <c r="AD350" s="127">
        <f t="shared" si="412"/>
        <v>12.564359999999999</v>
      </c>
      <c r="AF350" s="127" t="str">
        <f>IFERROR(W350*'FlightConfig '!$K$3,"")</f>
        <v/>
      </c>
      <c r="AG350" s="127">
        <f>IFERROR(X350*'FlightConfig '!$K$23,"")</f>
        <v>2889.4319999999998</v>
      </c>
      <c r="AH350" s="127">
        <f>IFERROR(Y350*'FlightConfig '!$K$23,"")</f>
        <v>2184</v>
      </c>
      <c r="AI350" s="127">
        <f>IFERROR(Z350*'FlightConfig '!$K$23,"")</f>
        <v>873.60000000000014</v>
      </c>
      <c r="AJ350" s="127">
        <f>IFERROR(AA350*'FlightConfig '!$K$23,"")</f>
        <v>3763.0319999999997</v>
      </c>
      <c r="AK350" s="127">
        <f>IFERROR(AB350*'FlightConfig '!$K$23,"")</f>
        <v>635.67503999999974</v>
      </c>
    </row>
    <row r="351" spans="1:37" ht="18.75" customHeight="1">
      <c r="A351" t="s">
        <v>189</v>
      </c>
      <c r="B351" s="171">
        <v>2</v>
      </c>
      <c r="C351" s="176" t="str">
        <f t="shared" si="432"/>
        <v>CABIN CREW CLASS2104</v>
      </c>
      <c r="D351" s="293"/>
      <c r="E351" s="304">
        <v>1168</v>
      </c>
      <c r="F351" s="310">
        <v>104</v>
      </c>
      <c r="G351" t="str">
        <f>VLOOKUP(E351,'FG MASTER'!$A:$AB,2,0)</f>
        <v>BC C2 DINNER ENTREE 1 PERI PERI CHICKEN</v>
      </c>
      <c r="H351" s="285">
        <v>1</v>
      </c>
      <c r="I351" s="173">
        <v>0.25</v>
      </c>
      <c r="J351" s="291">
        <f>IFERROR(IF(I351="std",H351,HLOOKUP(A351,'FlightConfig '!$B$34:$G$35,2,0)*I351),"")</f>
        <v>1.5</v>
      </c>
      <c r="K351" s="420">
        <f>VLOOKUP(Food!E351,'FG MASTER'!$A$1:$AC$536,16,0)</f>
        <v>4.3790533643228997</v>
      </c>
      <c r="L351" s="245">
        <f>VLOOKUP(Food!E351,'FG MASTER'!$A$10:$AC$536,17,0)</f>
        <v>4.75</v>
      </c>
      <c r="M351" s="132">
        <f t="shared" si="437"/>
        <v>1.9000000000000001</v>
      </c>
      <c r="N351" s="132">
        <f t="shared" si="433"/>
        <v>6.2790533643229001</v>
      </c>
      <c r="O351" s="132">
        <f t="shared" si="400"/>
        <v>0.9633917401510379</v>
      </c>
      <c r="P351" s="132">
        <f t="shared" si="401"/>
        <v>0.38000000000000012</v>
      </c>
      <c r="Q351" s="418">
        <f>SUM(N351:P351)</f>
        <v>7.6224451044739379</v>
      </c>
      <c r="R351" s="402">
        <f t="shared" si="436"/>
        <v>5.3424451044739376</v>
      </c>
      <c r="S351" s="402">
        <f t="shared" si="404"/>
        <v>2.2800000000000002</v>
      </c>
      <c r="T351" s="402">
        <f t="shared" si="405"/>
        <v>7.6224451044739379</v>
      </c>
      <c r="U351" s="127"/>
      <c r="V351" s="127"/>
      <c r="W351" t="str">
        <f>IFERROR(#REF!*J351,"")</f>
        <v/>
      </c>
      <c r="X351">
        <f t="shared" si="406"/>
        <v>6.5685800464843496</v>
      </c>
      <c r="Y351">
        <f t="shared" si="407"/>
        <v>7.125</v>
      </c>
      <c r="Z351" s="127">
        <f t="shared" si="408"/>
        <v>2.85</v>
      </c>
      <c r="AA351" s="127">
        <f t="shared" si="409"/>
        <v>9.418580046484351</v>
      </c>
      <c r="AB351" s="127">
        <f t="shared" si="410"/>
        <v>1.4450876102265569</v>
      </c>
      <c r="AC351" s="127">
        <f t="shared" si="411"/>
        <v>0.57000000000000017</v>
      </c>
      <c r="AD351" s="127">
        <f t="shared" si="412"/>
        <v>11.433667656710906</v>
      </c>
      <c r="AF351" s="127" t="str">
        <f>IFERROR(W351*'FlightConfig '!$K$3,"")</f>
        <v/>
      </c>
      <c r="AG351" s="127">
        <f>IFERROR(X351*'FlightConfig '!$K$23,"")</f>
        <v>2390.9631369203034</v>
      </c>
      <c r="AH351" s="127">
        <f>IFERROR(Y351*'FlightConfig '!$K$23,"")</f>
        <v>2593.5</v>
      </c>
      <c r="AI351" s="127">
        <f>IFERROR(Z351*'FlightConfig '!$K$23,"")</f>
        <v>1037.4000000000001</v>
      </c>
      <c r="AJ351" s="127">
        <f>IFERROR(AA351*'FlightConfig '!$K$23,"")</f>
        <v>3428.363136920304</v>
      </c>
      <c r="AK351" s="127">
        <f>IFERROR(AB351*'FlightConfig '!$K$23,"")</f>
        <v>526.01189012246664</v>
      </c>
    </row>
    <row r="352" spans="1:37" ht="18.75" customHeight="1">
      <c r="A352" t="s">
        <v>189</v>
      </c>
      <c r="B352" s="171">
        <v>2</v>
      </c>
      <c r="C352" s="176" t="str">
        <f t="shared" si="432"/>
        <v>CABIN CREW CLASS2104</v>
      </c>
      <c r="D352" s="293"/>
      <c r="E352" s="304">
        <v>1169</v>
      </c>
      <c r="F352" s="310">
        <v>104</v>
      </c>
      <c r="G352" t="str">
        <f>VLOOKUP(E352,'FG MASTER'!$A:$AB,2,0)</f>
        <v>BC C2 DINNER ENTREE 2 CRAB CAKE</v>
      </c>
      <c r="H352" s="285">
        <v>1</v>
      </c>
      <c r="I352" s="173">
        <v>0.25</v>
      </c>
      <c r="J352" s="291">
        <f>IFERROR(IF(I352="std",H352,HLOOKUP(A352,'FlightConfig '!$B$34:$G$35,2,0)*I352),"")</f>
        <v>1.5</v>
      </c>
      <c r="K352" s="244">
        <f>VLOOKUP(Food!E352,'FG MASTER'!$A$1:$AC$536,16,0)</f>
        <v>9.1210635770385107</v>
      </c>
      <c r="L352" s="245">
        <f>VLOOKUP(Food!E352,'FG MASTER'!$A$10:$AC$536,17,0)</f>
        <v>4.75</v>
      </c>
      <c r="M352" s="132">
        <f t="shared" si="437"/>
        <v>1.9000000000000001</v>
      </c>
      <c r="N352" s="132">
        <f t="shared" si="433"/>
        <v>11.021063577038511</v>
      </c>
      <c r="O352" s="132">
        <f t="shared" si="400"/>
        <v>2.0066339869484722</v>
      </c>
      <c r="P352" s="132">
        <f t="shared" si="401"/>
        <v>0.38000000000000012</v>
      </c>
      <c r="Q352" s="132">
        <f t="shared" ref="Q352:Q355" si="438">SUM(N352:P352)</f>
        <v>13.407697563986984</v>
      </c>
      <c r="R352" s="402">
        <f t="shared" si="436"/>
        <v>11.127697563986983</v>
      </c>
      <c r="S352" s="402">
        <f t="shared" si="404"/>
        <v>2.2800000000000002</v>
      </c>
      <c r="T352" s="402">
        <f t="shared" si="405"/>
        <v>13.407697563986982</v>
      </c>
      <c r="U352" s="127"/>
      <c r="V352" s="127"/>
      <c r="W352" t="str">
        <f>IFERROR(#REF!*J352,"")</f>
        <v/>
      </c>
      <c r="X352">
        <f t="shared" si="406"/>
        <v>13.681595365557765</v>
      </c>
      <c r="Y352">
        <f t="shared" si="407"/>
        <v>7.125</v>
      </c>
      <c r="Z352" s="127">
        <f t="shared" si="408"/>
        <v>2.85</v>
      </c>
      <c r="AA352" s="127">
        <f t="shared" si="409"/>
        <v>16.531595365557767</v>
      </c>
      <c r="AB352" s="127">
        <f t="shared" si="410"/>
        <v>3.0099509804227083</v>
      </c>
      <c r="AC352" s="127">
        <f t="shared" si="411"/>
        <v>0.57000000000000017</v>
      </c>
      <c r="AD352" s="127">
        <f t="shared" si="412"/>
        <v>20.111546345980475</v>
      </c>
      <c r="AF352" s="127" t="str">
        <f>IFERROR(W352*'FlightConfig '!$K$3,"")</f>
        <v/>
      </c>
      <c r="AG352" s="127">
        <f>IFERROR(X352*'FlightConfig '!$K$23,"")</f>
        <v>4980.1007130630269</v>
      </c>
      <c r="AH352" s="127">
        <f>IFERROR(Y352*'FlightConfig '!$K$23,"")</f>
        <v>2593.5</v>
      </c>
      <c r="AI352" s="127">
        <f>IFERROR(Z352*'FlightConfig '!$K$23,"")</f>
        <v>1037.4000000000001</v>
      </c>
      <c r="AJ352" s="127">
        <f>IFERROR(AA352*'FlightConfig '!$K$23,"")</f>
        <v>6017.5007130630274</v>
      </c>
      <c r="AK352" s="127">
        <f>IFERROR(AB352*'FlightConfig '!$K$23,"")</f>
        <v>1095.6221568738658</v>
      </c>
    </row>
    <row r="353" spans="1:37" ht="18.75" customHeight="1">
      <c r="A353" t="s">
        <v>189</v>
      </c>
      <c r="B353" s="171">
        <v>2</v>
      </c>
      <c r="C353" s="176" t="str">
        <f t="shared" si="432"/>
        <v>CABIN CREW CLASS2104</v>
      </c>
      <c r="D353" s="293"/>
      <c r="E353" s="305">
        <v>1170</v>
      </c>
      <c r="F353" s="310">
        <v>104</v>
      </c>
      <c r="G353" t="str">
        <f>VLOOKUP(E353,'FG MASTER'!$A:$AB,2,0)</f>
        <v>BC C2 DINNER ENTREE 3  PASTA CAPPELLETTI</v>
      </c>
      <c r="H353" s="285">
        <v>1</v>
      </c>
      <c r="I353" s="173">
        <v>0.25</v>
      </c>
      <c r="J353" s="291">
        <f>IFERROR(IF(I353="std",H353,HLOOKUP(A353,'FlightConfig '!$B$34:$G$35,2,0)*I353),"")</f>
        <v>1.5</v>
      </c>
      <c r="K353" s="244">
        <f>VLOOKUP(Food!E353,'FG MASTER'!$A$1:$AC$536,16,0)</f>
        <v>3.9642833494277454</v>
      </c>
      <c r="L353" s="245">
        <f>VLOOKUP(Food!E353,'FG MASTER'!$A$10:$AC$536,17,0)</f>
        <v>3.75</v>
      </c>
      <c r="M353" s="132">
        <f t="shared" si="437"/>
        <v>1.5</v>
      </c>
      <c r="N353" s="132">
        <f t="shared" si="433"/>
        <v>5.4642833494277454</v>
      </c>
      <c r="O353" s="132">
        <f t="shared" si="400"/>
        <v>0.87214233687410392</v>
      </c>
      <c r="P353" s="132">
        <f t="shared" si="401"/>
        <v>0.29999999999999982</v>
      </c>
      <c r="Q353" s="132">
        <f t="shared" si="438"/>
        <v>6.6364256863018491</v>
      </c>
      <c r="R353" s="402">
        <f t="shared" si="436"/>
        <v>4.8364256863018493</v>
      </c>
      <c r="S353" s="402">
        <f t="shared" si="404"/>
        <v>1.7999999999999998</v>
      </c>
      <c r="T353" s="402">
        <f t="shared" si="405"/>
        <v>6.6364256863018491</v>
      </c>
      <c r="U353" s="127"/>
      <c r="V353" s="127"/>
      <c r="W353" t="str">
        <f>IFERROR(#REF!*J353,"")</f>
        <v/>
      </c>
      <c r="X353">
        <f t="shared" si="406"/>
        <v>5.9464250241416181</v>
      </c>
      <c r="Y353">
        <f t="shared" si="407"/>
        <v>5.625</v>
      </c>
      <c r="Z353" s="127">
        <f t="shared" si="408"/>
        <v>2.25</v>
      </c>
      <c r="AA353" s="127">
        <f t="shared" si="409"/>
        <v>8.1964250241416181</v>
      </c>
      <c r="AB353" s="127">
        <f t="shared" si="410"/>
        <v>1.3082135053111559</v>
      </c>
      <c r="AC353" s="127">
        <f t="shared" si="411"/>
        <v>0.44999999999999973</v>
      </c>
      <c r="AD353" s="127">
        <f t="shared" si="412"/>
        <v>9.9546385294527742</v>
      </c>
      <c r="AF353" s="127" t="str">
        <f>IFERROR(W353*'FlightConfig '!$K$3,"")</f>
        <v/>
      </c>
      <c r="AG353" s="127">
        <f>IFERROR(X353*'FlightConfig '!$K$23,"")</f>
        <v>2164.4987087875488</v>
      </c>
      <c r="AH353" s="127">
        <f>IFERROR(Y353*'FlightConfig '!$K$23,"")</f>
        <v>2047.5</v>
      </c>
      <c r="AI353" s="127">
        <f>IFERROR(Z353*'FlightConfig '!$K$23,"")</f>
        <v>819</v>
      </c>
      <c r="AJ353" s="127">
        <f>IFERROR(AA353*'FlightConfig '!$K$23,"")</f>
        <v>2983.4987087875488</v>
      </c>
      <c r="AK353" s="127">
        <f>IFERROR(AB353*'FlightConfig '!$K$23,"")</f>
        <v>476.18971593326074</v>
      </c>
    </row>
    <row r="354" spans="1:37" ht="18.75" customHeight="1">
      <c r="A354" t="s">
        <v>189</v>
      </c>
      <c r="B354" s="171">
        <v>2</v>
      </c>
      <c r="C354" s="176" t="str">
        <f t="shared" si="432"/>
        <v>CABIN CREW CLASS2104</v>
      </c>
      <c r="D354" s="293"/>
      <c r="E354" s="305">
        <v>1171</v>
      </c>
      <c r="F354" s="310">
        <v>104</v>
      </c>
      <c r="G354" t="str">
        <f>VLOOKUP(E354,'FG MASTER'!$A:$AB,2,0)</f>
        <v>BC C2 DINNER ENTREE 4 SOUP AND SANDWICH</v>
      </c>
      <c r="H354" s="285">
        <v>1</v>
      </c>
      <c r="I354" s="173">
        <v>0.25</v>
      </c>
      <c r="J354" s="291">
        <f>IFERROR(IF(I354="std",H354,HLOOKUP(A354,'FlightConfig '!$B$34:$G$35,2,0)*I354),"")</f>
        <v>1.5</v>
      </c>
      <c r="K354" s="244">
        <f>VLOOKUP(Food!E354,'FG MASTER'!$A$1:$AC$536,16,0)</f>
        <v>2.6020222328068328</v>
      </c>
      <c r="L354" s="245">
        <f>VLOOKUP(Food!E354,'FG MASTER'!$A$10:$AC$536,17,0)</f>
        <v>1</v>
      </c>
      <c r="M354" s="132">
        <f t="shared" si="437"/>
        <v>0.4</v>
      </c>
      <c r="N354" s="132">
        <f t="shared" si="433"/>
        <v>3.0020222328068327</v>
      </c>
      <c r="O354" s="418">
        <f>IFERROR($K354*(1+8%)-$K354,0)</f>
        <v>0.20816177862454666</v>
      </c>
      <c r="P354" s="132">
        <f t="shared" si="401"/>
        <v>7.999999999999996E-2</v>
      </c>
      <c r="Q354" s="132">
        <f t="shared" si="438"/>
        <v>3.2901840114313794</v>
      </c>
      <c r="R354" s="418">
        <f>K354*(1+8%)</f>
        <v>2.8101840114313794</v>
      </c>
      <c r="S354" s="402">
        <f t="shared" si="404"/>
        <v>0.48</v>
      </c>
      <c r="T354" s="402">
        <f t="shared" si="405"/>
        <v>3.2901840114313794</v>
      </c>
      <c r="U354" s="127"/>
      <c r="V354" s="127"/>
      <c r="W354" t="str">
        <f>IFERROR(#REF!*J354,"")</f>
        <v/>
      </c>
      <c r="X354">
        <f t="shared" si="406"/>
        <v>3.9030333492102489</v>
      </c>
      <c r="Y354">
        <f t="shared" si="407"/>
        <v>1.5</v>
      </c>
      <c r="Z354" s="127">
        <f t="shared" si="408"/>
        <v>0.60000000000000009</v>
      </c>
      <c r="AA354" s="127">
        <f t="shared" si="409"/>
        <v>4.5030333492102486</v>
      </c>
      <c r="AB354" s="127">
        <f t="shared" si="410"/>
        <v>0.31224266793681998</v>
      </c>
      <c r="AC354" s="127">
        <f t="shared" si="411"/>
        <v>0.11999999999999994</v>
      </c>
      <c r="AD354" s="127">
        <f t="shared" si="412"/>
        <v>4.9352760171470695</v>
      </c>
      <c r="AF354" s="127" t="str">
        <f>IFERROR(W354*'FlightConfig '!$K$3,"")</f>
        <v/>
      </c>
      <c r="AG354" s="127">
        <f>IFERROR(X354*'FlightConfig '!$K$23,"")</f>
        <v>1420.7041391125306</v>
      </c>
      <c r="AH354" s="127">
        <f>IFERROR(Y354*'FlightConfig '!$K$23,"")</f>
        <v>546</v>
      </c>
      <c r="AI354" s="127">
        <f>IFERROR(Z354*'FlightConfig '!$K$23,"")</f>
        <v>218.40000000000003</v>
      </c>
      <c r="AJ354" s="127">
        <f>IFERROR(AA354*'FlightConfig '!$K$23,"")</f>
        <v>1639.1041391125304</v>
      </c>
      <c r="AK354" s="127">
        <f>IFERROR(AB354*'FlightConfig '!$K$23,"")</f>
        <v>113.65633112900247</v>
      </c>
    </row>
    <row r="355" spans="1:37" ht="18.75" customHeight="1">
      <c r="A355" t="s">
        <v>189</v>
      </c>
      <c r="B355" s="171">
        <v>2</v>
      </c>
      <c r="C355" s="176" t="str">
        <f t="shared" si="432"/>
        <v>CABIN CREW CLASS2104</v>
      </c>
      <c r="D355" s="293"/>
      <c r="E355" s="304">
        <v>1182</v>
      </c>
      <c r="F355" s="310">
        <v>104</v>
      </c>
      <c r="G355" t="str">
        <f>VLOOKUP(E355,'FG MASTER'!$A:$AB,2,0)</f>
        <v>PY C2 DINNER ENTRÉE 2 SEARED SALMON, SMOKED CORN CREAM, POTATO, SUCCOTASH, SPINACH</v>
      </c>
      <c r="H355" s="285">
        <v>1</v>
      </c>
      <c r="I355" s="173">
        <v>0.25</v>
      </c>
      <c r="J355" s="291">
        <f>IFERROR(IF(I355="std",H355,HLOOKUP(A355,'FlightConfig '!$B$34:$G$35,2,0)*I355),"")</f>
        <v>1.5</v>
      </c>
      <c r="K355" s="420">
        <f>VLOOKUP(Food!E355,'FG MASTER'!$A$1:$AC$536,16,0)</f>
        <v>4.3841277028163308</v>
      </c>
      <c r="L355" s="245">
        <f>VLOOKUP(Food!E355,'FG MASTER'!$A$10:$AC$536,17,0)</f>
        <v>4</v>
      </c>
      <c r="M355" s="132">
        <f t="shared" si="437"/>
        <v>1.6</v>
      </c>
      <c r="N355" s="132">
        <f t="shared" si="433"/>
        <v>5.9841277028163304</v>
      </c>
      <c r="O355" s="418">
        <f>IFERROR($K355*(1+12%)-$K355,0)</f>
        <v>0.5260953243379598</v>
      </c>
      <c r="P355" s="132">
        <f t="shared" si="401"/>
        <v>0.31999999999999984</v>
      </c>
      <c r="Q355" s="132">
        <f t="shared" si="438"/>
        <v>6.8302230271542896</v>
      </c>
      <c r="R355" s="418">
        <f>K355*(1+12%)</f>
        <v>4.9102230271542906</v>
      </c>
      <c r="S355" s="402">
        <f t="shared" si="404"/>
        <v>1.92</v>
      </c>
      <c r="T355" s="402">
        <f t="shared" si="405"/>
        <v>6.8302230271542905</v>
      </c>
      <c r="U355" s="127"/>
      <c r="V355" s="127"/>
      <c r="W355" t="str">
        <f>IFERROR(#REF!*J355,"")</f>
        <v/>
      </c>
      <c r="X355">
        <f t="shared" si="406"/>
        <v>6.5761915542244962</v>
      </c>
      <c r="Y355">
        <f t="shared" si="407"/>
        <v>6</v>
      </c>
      <c r="Z355" s="127">
        <f t="shared" si="408"/>
        <v>2.4000000000000004</v>
      </c>
      <c r="AA355" s="127">
        <f t="shared" si="409"/>
        <v>8.9761915542244957</v>
      </c>
      <c r="AB355" s="127">
        <f t="shared" si="410"/>
        <v>0.7891429865069397</v>
      </c>
      <c r="AC355" s="127">
        <f t="shared" si="411"/>
        <v>0.47999999999999976</v>
      </c>
      <c r="AD355" s="127">
        <f t="shared" si="412"/>
        <v>10.245334540731434</v>
      </c>
      <c r="AF355" s="127" t="str">
        <f>IFERROR(W355*'FlightConfig '!$K$3,"")</f>
        <v/>
      </c>
      <c r="AG355" s="127">
        <f>IFERROR(X355*'FlightConfig '!$K$23,"")</f>
        <v>2393.7337257377167</v>
      </c>
      <c r="AH355" s="127">
        <f>IFERROR(Y355*'FlightConfig '!$K$23,"")</f>
        <v>2184</v>
      </c>
      <c r="AI355" s="127">
        <f>IFERROR(Z355*'FlightConfig '!$K$23,"")</f>
        <v>873.60000000000014</v>
      </c>
      <c r="AJ355" s="127">
        <f>IFERROR(AA355*'FlightConfig '!$K$23,"")</f>
        <v>3267.3337257377166</v>
      </c>
      <c r="AK355" s="127">
        <f>IFERROR(AB355*'FlightConfig '!$K$23,"")</f>
        <v>287.24804708852605</v>
      </c>
    </row>
    <row r="356" spans="1:37" ht="18.75" customHeight="1">
      <c r="A356" t="s">
        <v>189</v>
      </c>
      <c r="B356" s="171">
        <v>2</v>
      </c>
      <c r="C356" s="176" t="str">
        <f t="shared" si="432"/>
        <v>CABIN CREW CLASS2104</v>
      </c>
      <c r="D356" s="293"/>
      <c r="E356" s="304">
        <v>1196</v>
      </c>
      <c r="F356" s="310">
        <v>104</v>
      </c>
      <c r="G356" t="str">
        <f>VLOOKUP(E356,'FG MASTER'!$A:$AB,2,0)</f>
        <v>CC C2 SANDWICH TOFU BANH MI</v>
      </c>
      <c r="H356" s="285">
        <v>1</v>
      </c>
      <c r="I356" s="173">
        <v>0.16</v>
      </c>
      <c r="J356" s="291">
        <f>IFERROR(IF(I356="std",H356,HLOOKUP(A356,'FlightConfig '!$B$34:$G$35,2,0)*I356),"")</f>
        <v>0.96</v>
      </c>
      <c r="K356" s="244">
        <f>VLOOKUP(Food!E356,'FG MASTER'!$A$1:$AC$536,16,0)</f>
        <v>1.96</v>
      </c>
      <c r="L356" s="245">
        <f>VLOOKUP(Food!E356,'FG MASTER'!$A$10:$AC$536,17,0)</f>
        <v>1.5</v>
      </c>
      <c r="M356" s="132">
        <f t="shared" ref="M349:M363" si="439">IFERROR(L356*$M$2,"")</f>
        <v>0.60000000000000009</v>
      </c>
      <c r="N356" s="132">
        <f t="shared" ref="N355:N363" si="440">IFERROR((K356)+M356,"")</f>
        <v>2.56</v>
      </c>
      <c r="O356" s="132">
        <f t="shared" ref="O356:O363" si="441">IFERROR($K356*(1+$O$2)-$K356,0)</f>
        <v>0.43120000000000003</v>
      </c>
      <c r="P356" s="132">
        <f t="shared" ref="P356:P363" si="442">IFERROR($M356*(1+$P$2)-$M356,0)</f>
        <v>0.12</v>
      </c>
      <c r="Q356" s="132">
        <f t="shared" ref="Q337:Q363" si="443">SUM(N356:P356)</f>
        <v>3.1112000000000002</v>
      </c>
      <c r="R356" s="402">
        <f t="shared" ref="R356:R363" si="444">K356*(1+$O$2)</f>
        <v>2.3912</v>
      </c>
      <c r="S356" s="402">
        <f t="shared" ref="S356:S363" si="445">M356*(1+$P$2)</f>
        <v>0.72000000000000008</v>
      </c>
      <c r="T356" s="402">
        <f t="shared" ref="T356:T363" si="446">R356+S356</f>
        <v>3.1112000000000002</v>
      </c>
      <c r="U356" s="127"/>
      <c r="V356" s="127"/>
      <c r="W356" t="str">
        <f>IFERROR(#REF!*J356,"")</f>
        <v/>
      </c>
      <c r="X356">
        <f t="shared" si="406"/>
        <v>1.8815999999999999</v>
      </c>
      <c r="Y356">
        <f t="shared" si="407"/>
        <v>1.44</v>
      </c>
      <c r="Z356" s="127">
        <f t="shared" si="408"/>
        <v>0.57600000000000007</v>
      </c>
      <c r="AA356" s="127">
        <f t="shared" si="409"/>
        <v>2.4575999999999998</v>
      </c>
      <c r="AB356" s="127">
        <f t="shared" si="410"/>
        <v>0.41395199999999999</v>
      </c>
      <c r="AC356" s="127">
        <f t="shared" si="411"/>
        <v>0.1152</v>
      </c>
      <c r="AD356" s="127">
        <f t="shared" si="412"/>
        <v>2.9867520000000001</v>
      </c>
      <c r="AF356" s="127" t="str">
        <f>IFERROR(W356*'FlightConfig '!$K$3,"")</f>
        <v/>
      </c>
      <c r="AG356" s="127">
        <f>IFERROR(X356*'FlightConfig '!$K$23,"")</f>
        <v>684.90239999999994</v>
      </c>
      <c r="AH356" s="127">
        <f>IFERROR(Y356*'FlightConfig '!$K$23,"")</f>
        <v>524.16</v>
      </c>
      <c r="AI356" s="127">
        <f>IFERROR(Z356*'FlightConfig '!$K$23,"")</f>
        <v>209.66400000000002</v>
      </c>
      <c r="AJ356" s="127">
        <f>IFERROR(AA356*'FlightConfig '!$K$23,"")</f>
        <v>894.56639999999993</v>
      </c>
      <c r="AK356" s="127">
        <f>IFERROR(AB356*'FlightConfig '!$K$23,"")</f>
        <v>150.678528</v>
      </c>
    </row>
    <row r="357" spans="1:37" ht="18.75" customHeight="1">
      <c r="A357" t="s">
        <v>189</v>
      </c>
      <c r="B357" s="171">
        <v>2</v>
      </c>
      <c r="C357" s="176" t="str">
        <f t="shared" si="432"/>
        <v>CABIN CREW CLASS2104</v>
      </c>
      <c r="D357" s="293"/>
      <c r="E357" s="304">
        <v>1197</v>
      </c>
      <c r="F357" s="310">
        <v>104</v>
      </c>
      <c r="G357" t="str">
        <f>VLOOKUP(E357,'FG MASTER'!$A:$AB,2,0)</f>
        <v>CC C2 SANDWICH TURKEY SWISS HOAGIE</v>
      </c>
      <c r="H357" s="285">
        <v>1</v>
      </c>
      <c r="I357" s="173">
        <v>0.16</v>
      </c>
      <c r="J357" s="291">
        <f>IFERROR(IF(I357="std",H357,HLOOKUP(A357,'FlightConfig '!$B$34:$G$35,2,0)*I357),"")</f>
        <v>0.96</v>
      </c>
      <c r="K357" s="244">
        <f>VLOOKUP(Food!E357,'FG MASTER'!$A$1:$AC$536,16,0)</f>
        <v>1.68</v>
      </c>
      <c r="L357" s="245">
        <f>VLOOKUP(Food!E357,'FG MASTER'!$A$10:$AC$536,17,0)</f>
        <v>1.5</v>
      </c>
      <c r="M357" s="132">
        <f t="shared" si="439"/>
        <v>0.60000000000000009</v>
      </c>
      <c r="N357" s="132">
        <f t="shared" si="440"/>
        <v>2.2800000000000002</v>
      </c>
      <c r="O357" s="132">
        <f t="shared" si="441"/>
        <v>0.36959999999999993</v>
      </c>
      <c r="P357" s="132">
        <f t="shared" si="442"/>
        <v>0.12</v>
      </c>
      <c r="Q357" s="132">
        <f t="shared" si="443"/>
        <v>2.7696000000000005</v>
      </c>
      <c r="R357" s="402">
        <f t="shared" si="444"/>
        <v>2.0495999999999999</v>
      </c>
      <c r="S357" s="402">
        <f t="shared" si="445"/>
        <v>0.72000000000000008</v>
      </c>
      <c r="T357" s="402">
        <f t="shared" si="446"/>
        <v>2.7696000000000001</v>
      </c>
      <c r="U357" s="127"/>
      <c r="V357" s="127"/>
      <c r="W357" t="str">
        <f>IFERROR(#REF!*J357,"")</f>
        <v/>
      </c>
      <c r="X357">
        <f t="shared" ref="X357:X363" si="447">IFERROR(K357*J357,"")</f>
        <v>1.6127999999999998</v>
      </c>
      <c r="Y357">
        <f t="shared" ref="Y357:Y363" si="448">IFERROR(+L357*J357,"")</f>
        <v>1.44</v>
      </c>
      <c r="Z357" s="127">
        <f t="shared" ref="Z357:Z363" si="449">IFERROR(+M357*J357,"")</f>
        <v>0.57600000000000007</v>
      </c>
      <c r="AA357" s="127">
        <f t="shared" ref="AA357:AA363" si="450">IFERROR(+N357*J357,"")</f>
        <v>2.1888000000000001</v>
      </c>
      <c r="AB357" s="127">
        <f t="shared" ref="AB357:AB363" si="451">IFERROR(O357*$J357,"")</f>
        <v>0.35481599999999991</v>
      </c>
      <c r="AC357" s="127">
        <f t="shared" ref="AC357:AC363" si="452">IFERROR(P357*$J357,"")</f>
        <v>0.1152</v>
      </c>
      <c r="AD357" s="127">
        <f t="shared" ref="AD357:AD363" si="453">IFERROR(+Q357*J357,"")</f>
        <v>2.6588160000000003</v>
      </c>
      <c r="AF357" s="127" t="str">
        <f>IFERROR(W357*'FlightConfig '!$K$3,"")</f>
        <v/>
      </c>
      <c r="AG357" s="127">
        <f>IFERROR(X357*'FlightConfig '!$K$23,"")</f>
        <v>587.05919999999992</v>
      </c>
      <c r="AH357" s="127">
        <f>IFERROR(Y357*'FlightConfig '!$K$23,"")</f>
        <v>524.16</v>
      </c>
      <c r="AI357" s="127">
        <f>IFERROR(Z357*'FlightConfig '!$K$23,"")</f>
        <v>209.66400000000002</v>
      </c>
      <c r="AJ357" s="127">
        <f>IFERROR(AA357*'FlightConfig '!$K$23,"")</f>
        <v>796.72320000000002</v>
      </c>
      <c r="AK357" s="127">
        <f>IFERROR(AB357*'FlightConfig '!$K$23,"")</f>
        <v>129.15302399999996</v>
      </c>
    </row>
    <row r="358" spans="1:37" ht="18.75" customHeight="1">
      <c r="A358" t="s">
        <v>189</v>
      </c>
      <c r="B358" s="171">
        <v>2</v>
      </c>
      <c r="C358" s="176" t="str">
        <f>CONCATENATE(A358&amp;B358&amp;F358)</f>
        <v>CABIN CREW CLASS2104</v>
      </c>
      <c r="D358" s="293"/>
      <c r="E358" s="304">
        <v>1198</v>
      </c>
      <c r="F358" s="310">
        <v>104</v>
      </c>
      <c r="G358" t="str">
        <f>VLOOKUP(E358,'FG MASTER'!$A:$AB,2,0)</f>
        <v>CC C2 SANDWICH BLT WHOLE WHEAT</v>
      </c>
      <c r="H358" s="285">
        <v>1</v>
      </c>
      <c r="I358" s="173">
        <v>0.16</v>
      </c>
      <c r="J358" s="291">
        <f>IFERROR(IF(I358="std",H358,HLOOKUP(A358,'FlightConfig '!$B$34:$G$35,2,0)*I358),"")</f>
        <v>0.96</v>
      </c>
      <c r="K358" s="244">
        <f>VLOOKUP(Food!E358,'FG MASTER'!$A$1:$AC$536,16,0)</f>
        <v>1.93</v>
      </c>
      <c r="L358" s="245">
        <f>VLOOKUP(Food!E358,'FG MASTER'!$A$10:$AC$536,17,0)</f>
        <v>1.5</v>
      </c>
      <c r="M358" s="132">
        <f t="shared" si="439"/>
        <v>0.60000000000000009</v>
      </c>
      <c r="N358" s="132">
        <f t="shared" si="440"/>
        <v>2.5300000000000002</v>
      </c>
      <c r="O358" s="132">
        <f t="shared" si="441"/>
        <v>0.42460000000000009</v>
      </c>
      <c r="P358" s="132">
        <f t="shared" si="442"/>
        <v>0.12</v>
      </c>
      <c r="Q358" s="132">
        <f t="shared" si="443"/>
        <v>3.0746000000000002</v>
      </c>
      <c r="R358" s="402">
        <f t="shared" si="444"/>
        <v>2.3546</v>
      </c>
      <c r="S358" s="402">
        <f t="shared" si="445"/>
        <v>0.72000000000000008</v>
      </c>
      <c r="T358" s="402">
        <f t="shared" si="446"/>
        <v>3.0746000000000002</v>
      </c>
      <c r="U358" s="127"/>
      <c r="V358" s="127"/>
      <c r="W358" t="str">
        <f>IFERROR(#REF!*J358,"")</f>
        <v/>
      </c>
      <c r="X358">
        <f t="shared" si="447"/>
        <v>1.8527999999999998</v>
      </c>
      <c r="Y358">
        <f t="shared" si="448"/>
        <v>1.44</v>
      </c>
      <c r="Z358" s="127">
        <f t="shared" si="449"/>
        <v>0.57600000000000007</v>
      </c>
      <c r="AA358" s="127">
        <f t="shared" si="450"/>
        <v>2.4288000000000003</v>
      </c>
      <c r="AB358" s="127">
        <f t="shared" si="451"/>
        <v>0.40761600000000009</v>
      </c>
      <c r="AC358" s="127">
        <f t="shared" si="452"/>
        <v>0.1152</v>
      </c>
      <c r="AD358" s="127">
        <f t="shared" si="453"/>
        <v>2.951616</v>
      </c>
      <c r="AF358" s="127" t="str">
        <f>IFERROR(W358*'FlightConfig '!$K$3,"")</f>
        <v/>
      </c>
      <c r="AG358" s="127">
        <f>IFERROR(X358*'FlightConfig '!$K$23,"")</f>
        <v>674.41919999999993</v>
      </c>
      <c r="AH358" s="127">
        <f>IFERROR(Y358*'FlightConfig '!$K$23,"")</f>
        <v>524.16</v>
      </c>
      <c r="AI358" s="127">
        <f>IFERROR(Z358*'FlightConfig '!$K$23,"")</f>
        <v>209.66400000000002</v>
      </c>
      <c r="AJ358" s="127">
        <f>IFERROR(AA358*'FlightConfig '!$K$23,"")</f>
        <v>884.08320000000015</v>
      </c>
      <c r="AK358" s="127">
        <f>IFERROR(AB358*'FlightConfig '!$K$23,"")</f>
        <v>148.37222400000005</v>
      </c>
    </row>
    <row r="359" spans="1:37" ht="18.75" customHeight="1">
      <c r="A359" t="s">
        <v>189</v>
      </c>
      <c r="B359" s="171">
        <v>2</v>
      </c>
      <c r="C359" s="176" t="str">
        <f t="shared" ref="C359:C363" si="454">CONCATENATE(A359&amp;B359&amp;F359)</f>
        <v>CABIN CREW CLASS2104</v>
      </c>
      <c r="D359" s="293"/>
      <c r="E359" s="304">
        <v>1199</v>
      </c>
      <c r="F359" s="310">
        <v>104</v>
      </c>
      <c r="G359" t="str">
        <f>VLOOKUP(E359,'FG MASTER'!$A:$AB,2,0)</f>
        <v>CC C2 SANDWICH VEGETABLE ON CIABATTA</v>
      </c>
      <c r="H359" s="285">
        <v>1</v>
      </c>
      <c r="I359" s="173">
        <v>0.16</v>
      </c>
      <c r="J359" s="291">
        <f>IFERROR(IF(I359="std",H359,HLOOKUP(A359,'FlightConfig '!$B$34:$G$35,2,0)*I359),"")</f>
        <v>0.96</v>
      </c>
      <c r="K359" s="244">
        <f>VLOOKUP(Food!E359,'FG MASTER'!$A$1:$AC$536,16,0)</f>
        <v>1.63</v>
      </c>
      <c r="L359" s="245">
        <f>VLOOKUP(Food!E359,'FG MASTER'!$A$10:$AC$536,17,0)</f>
        <v>1.5</v>
      </c>
      <c r="M359" s="132">
        <f t="shared" si="439"/>
        <v>0.60000000000000009</v>
      </c>
      <c r="N359" s="132">
        <f t="shared" si="440"/>
        <v>2.23</v>
      </c>
      <c r="O359" s="132">
        <f t="shared" si="441"/>
        <v>0.35860000000000003</v>
      </c>
      <c r="P359" s="132">
        <f t="shared" si="442"/>
        <v>0.12</v>
      </c>
      <c r="Q359" s="132">
        <f t="shared" si="443"/>
        <v>2.7086000000000001</v>
      </c>
      <c r="R359" s="402">
        <f t="shared" si="444"/>
        <v>1.9885999999999999</v>
      </c>
      <c r="S359" s="402">
        <f t="shared" si="445"/>
        <v>0.72000000000000008</v>
      </c>
      <c r="T359" s="402">
        <f t="shared" si="446"/>
        <v>2.7086000000000001</v>
      </c>
      <c r="U359" s="127"/>
      <c r="V359" s="127"/>
      <c r="W359" t="str">
        <f>IFERROR(#REF!*J359,"")</f>
        <v/>
      </c>
      <c r="X359">
        <f t="shared" si="447"/>
        <v>1.5647999999999997</v>
      </c>
      <c r="Y359">
        <f t="shared" si="448"/>
        <v>1.44</v>
      </c>
      <c r="Z359" s="127">
        <f t="shared" si="449"/>
        <v>0.57600000000000007</v>
      </c>
      <c r="AA359" s="127">
        <f t="shared" si="450"/>
        <v>2.1408</v>
      </c>
      <c r="AB359" s="127">
        <f t="shared" si="451"/>
        <v>0.34425600000000001</v>
      </c>
      <c r="AC359" s="127">
        <f t="shared" si="452"/>
        <v>0.1152</v>
      </c>
      <c r="AD359" s="127">
        <f t="shared" si="453"/>
        <v>2.6002559999999999</v>
      </c>
      <c r="AF359" s="127" t="str">
        <f>IFERROR(W359*'FlightConfig '!$K$3,"")</f>
        <v/>
      </c>
      <c r="AG359" s="127">
        <f>IFERROR(X359*'FlightConfig '!$K$23,"")</f>
        <v>569.58719999999994</v>
      </c>
      <c r="AH359" s="127">
        <f>IFERROR(Y359*'FlightConfig '!$K$23,"")</f>
        <v>524.16</v>
      </c>
      <c r="AI359" s="127">
        <f>IFERROR(Z359*'FlightConfig '!$K$23,"")</f>
        <v>209.66400000000002</v>
      </c>
      <c r="AJ359" s="127">
        <f>IFERROR(AA359*'FlightConfig '!$K$23,"")</f>
        <v>779.25120000000004</v>
      </c>
      <c r="AK359" s="127">
        <f>IFERROR(AB359*'FlightConfig '!$K$23,"")</f>
        <v>125.309184</v>
      </c>
    </row>
    <row r="360" spans="1:37" ht="18.75" customHeight="1">
      <c r="A360" t="s">
        <v>189</v>
      </c>
      <c r="B360" s="171">
        <v>2</v>
      </c>
      <c r="C360" s="176" t="str">
        <f t="shared" si="454"/>
        <v>CABIN CREW CLASS2104</v>
      </c>
      <c r="D360" s="293"/>
      <c r="E360" s="304">
        <v>1200</v>
      </c>
      <c r="F360" s="310">
        <v>104</v>
      </c>
      <c r="G360" t="str">
        <f>VLOOKUP(E360,'FG MASTER'!$A:$AB,2,0)</f>
        <v xml:space="preserve">CC C2 SANDWICH CHICKEN SALAD CROISSANT </v>
      </c>
      <c r="H360" s="285">
        <v>1</v>
      </c>
      <c r="I360" s="173">
        <v>0.16</v>
      </c>
      <c r="J360" s="291">
        <f>IFERROR(IF(I360="std",H360,HLOOKUP(A360,'FlightConfig '!$B$34:$G$35,2,0)*I360),"")</f>
        <v>0.96</v>
      </c>
      <c r="K360" s="244">
        <f>VLOOKUP(Food!E360,'FG MASTER'!$A$1:$AC$536,16,0)</f>
        <v>1.99</v>
      </c>
      <c r="L360" s="245">
        <f>VLOOKUP(Food!E360,'FG MASTER'!$A$10:$AC$536,17,0)</f>
        <v>1.5</v>
      </c>
      <c r="M360" s="132">
        <f t="shared" si="439"/>
        <v>0.60000000000000009</v>
      </c>
      <c r="N360" s="132">
        <f t="shared" si="440"/>
        <v>2.59</v>
      </c>
      <c r="O360" s="132">
        <f t="shared" si="441"/>
        <v>0.43779999999999997</v>
      </c>
      <c r="P360" s="132">
        <f t="shared" si="442"/>
        <v>0.12</v>
      </c>
      <c r="Q360" s="132">
        <f t="shared" si="443"/>
        <v>3.1478000000000002</v>
      </c>
      <c r="R360" s="402">
        <f t="shared" si="444"/>
        <v>2.4278</v>
      </c>
      <c r="S360" s="402">
        <f t="shared" si="445"/>
        <v>0.72000000000000008</v>
      </c>
      <c r="T360" s="402">
        <f t="shared" si="446"/>
        <v>3.1478000000000002</v>
      </c>
      <c r="U360" s="127"/>
      <c r="V360" s="127"/>
      <c r="W360" t="str">
        <f>IFERROR(#REF!*J360,"")</f>
        <v/>
      </c>
      <c r="X360">
        <f t="shared" si="447"/>
        <v>1.9103999999999999</v>
      </c>
      <c r="Y360">
        <f t="shared" si="448"/>
        <v>1.44</v>
      </c>
      <c r="Z360" s="127">
        <f t="shared" si="449"/>
        <v>0.57600000000000007</v>
      </c>
      <c r="AA360" s="127">
        <f t="shared" si="450"/>
        <v>2.4863999999999997</v>
      </c>
      <c r="AB360" s="127">
        <f t="shared" si="451"/>
        <v>0.42028799999999994</v>
      </c>
      <c r="AC360" s="127">
        <f t="shared" si="452"/>
        <v>0.1152</v>
      </c>
      <c r="AD360" s="127">
        <f t="shared" si="453"/>
        <v>3.0218880000000001</v>
      </c>
      <c r="AF360" s="127" t="str">
        <f>IFERROR(W360*'FlightConfig '!$K$3,"")</f>
        <v/>
      </c>
      <c r="AG360" s="127">
        <f>IFERROR(X360*'FlightConfig '!$K$23,"")</f>
        <v>695.38559999999995</v>
      </c>
      <c r="AH360" s="127">
        <f>IFERROR(Y360*'FlightConfig '!$K$23,"")</f>
        <v>524.16</v>
      </c>
      <c r="AI360" s="127">
        <f>IFERROR(Z360*'FlightConfig '!$K$23,"")</f>
        <v>209.66400000000002</v>
      </c>
      <c r="AJ360" s="127">
        <f>IFERROR(AA360*'FlightConfig '!$K$23,"")</f>
        <v>905.04959999999994</v>
      </c>
      <c r="AK360" s="127">
        <f>IFERROR(AB360*'FlightConfig '!$K$23,"")</f>
        <v>152.98483199999998</v>
      </c>
    </row>
    <row r="361" spans="1:37" ht="18.75" customHeight="1">
      <c r="A361" t="s">
        <v>189</v>
      </c>
      <c r="B361" s="171">
        <v>2</v>
      </c>
      <c r="C361" s="176" t="str">
        <f t="shared" si="454"/>
        <v>CABIN CREW CLASS2104</v>
      </c>
      <c r="D361" s="293"/>
      <c r="E361" s="304">
        <v>1201</v>
      </c>
      <c r="F361" s="310">
        <v>104</v>
      </c>
      <c r="G361" t="str">
        <f>VLOOKUP(E361,'FG MASTER'!$A:$AB,2,0)</f>
        <v>CC C2 SANDWICH CROISSANT AND AGED CHEDDAR</v>
      </c>
      <c r="H361" s="285">
        <v>1</v>
      </c>
      <c r="I361" s="173">
        <v>0.16</v>
      </c>
      <c r="J361" s="291">
        <f>IFERROR(IF(I361="std",H361,HLOOKUP(A361,'FlightConfig '!$B$34:$G$35,2,0)*I361),"")</f>
        <v>0.96</v>
      </c>
      <c r="K361" s="244">
        <f>VLOOKUP(Food!E361,'FG MASTER'!$A$1:$AC$536,16,0)</f>
        <v>1.45</v>
      </c>
      <c r="L361" s="245">
        <f>VLOOKUP(Food!E361,'FG MASTER'!$A$10:$AC$536,17,0)</f>
        <v>1.5</v>
      </c>
      <c r="M361" s="132">
        <f t="shared" si="439"/>
        <v>0.60000000000000009</v>
      </c>
      <c r="N361" s="132">
        <f t="shared" si="440"/>
        <v>2.0499999999999998</v>
      </c>
      <c r="O361" s="132">
        <f t="shared" si="441"/>
        <v>0.31899999999999995</v>
      </c>
      <c r="P361" s="132">
        <f t="shared" si="442"/>
        <v>0.12</v>
      </c>
      <c r="Q361" s="132">
        <f t="shared" si="443"/>
        <v>2.4889999999999999</v>
      </c>
      <c r="R361" s="402">
        <f t="shared" si="444"/>
        <v>1.7689999999999999</v>
      </c>
      <c r="S361" s="402">
        <f t="shared" si="445"/>
        <v>0.72000000000000008</v>
      </c>
      <c r="T361" s="402">
        <f t="shared" si="446"/>
        <v>2.4889999999999999</v>
      </c>
      <c r="U361" s="127"/>
      <c r="V361" s="127"/>
      <c r="W361" t="str">
        <f>IFERROR(#REF!*J361,"")</f>
        <v/>
      </c>
      <c r="X361">
        <f t="shared" si="447"/>
        <v>1.3919999999999999</v>
      </c>
      <c r="Y361">
        <f t="shared" si="448"/>
        <v>1.44</v>
      </c>
      <c r="Z361" s="127">
        <f t="shared" si="449"/>
        <v>0.57600000000000007</v>
      </c>
      <c r="AA361" s="127">
        <f t="shared" si="450"/>
        <v>1.9679999999999997</v>
      </c>
      <c r="AB361" s="127">
        <f t="shared" si="451"/>
        <v>0.30623999999999996</v>
      </c>
      <c r="AC361" s="127">
        <f t="shared" si="452"/>
        <v>0.1152</v>
      </c>
      <c r="AD361" s="127">
        <f t="shared" si="453"/>
        <v>2.38944</v>
      </c>
      <c r="AF361" s="127" t="str">
        <f>IFERROR(W361*'FlightConfig '!$K$3,"")</f>
        <v/>
      </c>
      <c r="AG361" s="127">
        <f>IFERROR(X361*'FlightConfig '!$K$23,"")</f>
        <v>506.68799999999999</v>
      </c>
      <c r="AH361" s="127">
        <f>IFERROR(Y361*'FlightConfig '!$K$23,"")</f>
        <v>524.16</v>
      </c>
      <c r="AI361" s="127">
        <f>IFERROR(Z361*'FlightConfig '!$K$23,"")</f>
        <v>209.66400000000002</v>
      </c>
      <c r="AJ361" s="127">
        <f>IFERROR(AA361*'FlightConfig '!$K$23,"")</f>
        <v>716.35199999999986</v>
      </c>
      <c r="AK361" s="127">
        <f>IFERROR(AB361*'FlightConfig '!$K$23,"")</f>
        <v>111.47135999999999</v>
      </c>
    </row>
    <row r="362" spans="1:37" ht="18.75" customHeight="1">
      <c r="A362" t="s">
        <v>189</v>
      </c>
      <c r="B362" s="171">
        <v>2</v>
      </c>
      <c r="C362" s="176" t="str">
        <f t="shared" si="454"/>
        <v>CABIN CREW CLASS2104</v>
      </c>
      <c r="D362" s="293"/>
      <c r="E362" s="304">
        <v>1202</v>
      </c>
      <c r="F362" s="310">
        <v>104</v>
      </c>
      <c r="G362" t="str">
        <f>VLOOKUP(E362,'FG MASTER'!$A:$AB,2,0)</f>
        <v>CC C2 SANDWICH CHICKEN SAUSAGE, BISCUIT</v>
      </c>
      <c r="H362" s="285">
        <v>1</v>
      </c>
      <c r="I362" s="173">
        <v>0.16</v>
      </c>
      <c r="J362" s="291">
        <f>IFERROR(IF(I362="std",H362,HLOOKUP(A362,'FlightConfig '!$B$34:$G$35,2,0)*I362),"")</f>
        <v>0.96</v>
      </c>
      <c r="K362" s="244">
        <f>VLOOKUP(Food!E362,'FG MASTER'!$A$1:$AC$536,16,0)</f>
        <v>1.99</v>
      </c>
      <c r="L362" s="245">
        <f>VLOOKUP(Food!E362,'FG MASTER'!$A$10:$AC$536,17,0)</f>
        <v>1.5</v>
      </c>
      <c r="M362" s="132">
        <f t="shared" si="439"/>
        <v>0.60000000000000009</v>
      </c>
      <c r="N362" s="132">
        <f t="shared" si="440"/>
        <v>2.59</v>
      </c>
      <c r="O362" s="132">
        <f t="shared" si="441"/>
        <v>0.43779999999999997</v>
      </c>
      <c r="P362" s="132">
        <f t="shared" si="442"/>
        <v>0.12</v>
      </c>
      <c r="Q362" s="132">
        <f t="shared" si="443"/>
        <v>3.1478000000000002</v>
      </c>
      <c r="R362" s="402">
        <f t="shared" si="444"/>
        <v>2.4278</v>
      </c>
      <c r="S362" s="402">
        <f t="shared" si="445"/>
        <v>0.72000000000000008</v>
      </c>
      <c r="T362" s="402">
        <f t="shared" si="446"/>
        <v>3.1478000000000002</v>
      </c>
      <c r="U362" s="127"/>
      <c r="V362" s="127"/>
      <c r="W362" t="str">
        <f>IFERROR(#REF!*J362,"")</f>
        <v/>
      </c>
      <c r="X362">
        <f t="shared" si="447"/>
        <v>1.9103999999999999</v>
      </c>
      <c r="Y362">
        <f t="shared" si="448"/>
        <v>1.44</v>
      </c>
      <c r="Z362" s="127">
        <f t="shared" si="449"/>
        <v>0.57600000000000007</v>
      </c>
      <c r="AA362" s="127">
        <f t="shared" si="450"/>
        <v>2.4863999999999997</v>
      </c>
      <c r="AB362" s="127">
        <f t="shared" si="451"/>
        <v>0.42028799999999994</v>
      </c>
      <c r="AC362" s="127">
        <f t="shared" si="452"/>
        <v>0.1152</v>
      </c>
      <c r="AD362" s="127">
        <f t="shared" si="453"/>
        <v>3.0218880000000001</v>
      </c>
      <c r="AF362" s="127" t="str">
        <f>IFERROR(W362*'FlightConfig '!$K$3,"")</f>
        <v/>
      </c>
      <c r="AG362" s="127">
        <f>IFERROR(X362*'FlightConfig '!$K$23,"")</f>
        <v>695.38559999999995</v>
      </c>
      <c r="AH362" s="127">
        <f>IFERROR(Y362*'FlightConfig '!$K$23,"")</f>
        <v>524.16</v>
      </c>
      <c r="AI362" s="127">
        <f>IFERROR(Z362*'FlightConfig '!$K$23,"")</f>
        <v>209.66400000000002</v>
      </c>
      <c r="AJ362" s="127">
        <f>IFERROR(AA362*'FlightConfig '!$K$23,"")</f>
        <v>905.04959999999994</v>
      </c>
      <c r="AK362" s="127">
        <f>IFERROR(AB362*'FlightConfig '!$K$23,"")</f>
        <v>152.98483199999998</v>
      </c>
    </row>
    <row r="363" spans="1:37" ht="18.75" customHeight="1">
      <c r="A363" t="s">
        <v>189</v>
      </c>
      <c r="B363" s="171">
        <v>2</v>
      </c>
      <c r="C363" s="176" t="str">
        <f t="shared" si="454"/>
        <v>CABIN CREW CLASS2104</v>
      </c>
      <c r="D363" s="293"/>
      <c r="E363" s="303">
        <v>1106</v>
      </c>
      <c r="F363" s="310">
        <v>104</v>
      </c>
      <c r="G363" t="str">
        <f>VLOOKUP(E363,'FG MASTER'!$A:$AB,2,0)</f>
        <v>BC C1 BREAKFAST ENTRÉE 4 ENGLEMANS ROLL, SPOTTED TROTTER - BACON, HP SAUCE</v>
      </c>
      <c r="H363" s="285">
        <v>1</v>
      </c>
      <c r="I363" s="173">
        <v>0.16</v>
      </c>
      <c r="J363" s="291">
        <f>IFERROR(IF(I363="std",H363,HLOOKUP(A363,'FlightConfig '!$B$34:$G$35,2,0)*I363),"")</f>
        <v>0.96</v>
      </c>
      <c r="K363" s="244">
        <f>VLOOKUP(Food!E363,'FG MASTER'!$A$1:$AC$536,16,0)</f>
        <v>1.97</v>
      </c>
      <c r="L363" s="245">
        <f>VLOOKUP(Food!E363,'FG MASTER'!$A$10:$AC$536,17,0)</f>
        <v>2.5</v>
      </c>
      <c r="M363" s="132">
        <f t="shared" si="439"/>
        <v>1</v>
      </c>
      <c r="N363" s="132">
        <f t="shared" si="440"/>
        <v>2.9699999999999998</v>
      </c>
      <c r="O363" s="132">
        <f t="shared" si="441"/>
        <v>0.43340000000000001</v>
      </c>
      <c r="P363" s="132">
        <f t="shared" si="442"/>
        <v>0.19999999999999996</v>
      </c>
      <c r="Q363" s="132">
        <f t="shared" si="443"/>
        <v>3.6033999999999997</v>
      </c>
      <c r="R363" s="402">
        <f t="shared" si="444"/>
        <v>2.4034</v>
      </c>
      <c r="S363" s="402">
        <f t="shared" si="445"/>
        <v>1.2</v>
      </c>
      <c r="T363" s="402">
        <f t="shared" si="446"/>
        <v>3.6033999999999997</v>
      </c>
      <c r="U363" s="127"/>
      <c r="V363" s="127"/>
      <c r="W363" t="str">
        <f>IFERROR(#REF!*J363,"")</f>
        <v/>
      </c>
      <c r="X363">
        <f t="shared" si="447"/>
        <v>1.8912</v>
      </c>
      <c r="Y363">
        <f t="shared" si="448"/>
        <v>2.4</v>
      </c>
      <c r="Z363" s="127">
        <f t="shared" si="449"/>
        <v>0.96</v>
      </c>
      <c r="AA363" s="127">
        <f t="shared" si="450"/>
        <v>2.8511999999999995</v>
      </c>
      <c r="AB363" s="127">
        <f t="shared" si="451"/>
        <v>0.41606399999999999</v>
      </c>
      <c r="AC363" s="127">
        <f t="shared" si="452"/>
        <v>0.19199999999999995</v>
      </c>
      <c r="AD363" s="127">
        <f t="shared" si="453"/>
        <v>3.4592639999999997</v>
      </c>
      <c r="AF363" s="127" t="str">
        <f>IFERROR(W363*'FlightConfig '!$K$3,"")</f>
        <v/>
      </c>
      <c r="AG363" s="127">
        <f>IFERROR(X363*'FlightConfig '!$K$23,"")</f>
        <v>688.39679999999998</v>
      </c>
      <c r="AH363" s="127">
        <f>IFERROR(Y363*'FlightConfig '!$K$23,"")</f>
        <v>873.6</v>
      </c>
      <c r="AI363" s="127">
        <f>IFERROR(Z363*'FlightConfig '!$K$23,"")</f>
        <v>349.44</v>
      </c>
      <c r="AJ363" s="127">
        <f>IFERROR(AA363*'FlightConfig '!$K$23,"")</f>
        <v>1037.8367999999998</v>
      </c>
      <c r="AK363" s="127">
        <f>IFERROR(AB363*'FlightConfig '!$K$23,"")</f>
        <v>151.44729599999999</v>
      </c>
    </row>
  </sheetData>
  <autoFilter ref="A3:AK342" xr:uid="{D3C12567-11D1-4E03-BF3A-C3241947D3F1}"/>
  <mergeCells count="2">
    <mergeCell ref="X1:AD1"/>
    <mergeCell ref="AG1:AK1"/>
  </mergeCells>
  <phoneticPr fontId="16" type="noConversion"/>
  <conditionalFormatting sqref="E146">
    <cfRule type="duplicateValues" dxfId="78" priority="1"/>
    <cfRule type="duplicateValues" dxfId="77" priority="2"/>
    <cfRule type="duplicateValues" dxfId="76" priority="3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>
      <c r="A1" s="33" t="s">
        <v>329</v>
      </c>
      <c r="B1" s="33" t="s">
        <v>358</v>
      </c>
      <c r="C1" s="33" t="s">
        <v>359</v>
      </c>
      <c r="D1" s="33" t="s">
        <v>360</v>
      </c>
      <c r="E1" s="33" t="s">
        <v>361</v>
      </c>
      <c r="F1" s="33" t="s">
        <v>362</v>
      </c>
      <c r="G1" s="33" t="s">
        <v>363</v>
      </c>
      <c r="H1" s="33" t="s">
        <v>364</v>
      </c>
    </row>
    <row r="2" spans="1:8">
      <c r="A2" s="33" t="s">
        <v>155</v>
      </c>
      <c r="B2" s="33">
        <v>8</v>
      </c>
      <c r="C2" s="131">
        <f>IFERROR(SUMIF(Food!A:A,A2,Food!AD:AD),"")</f>
        <v>0</v>
      </c>
      <c r="D2" s="133">
        <f>+'FlightConfig '!B5</f>
        <v>0</v>
      </c>
      <c r="E2" s="131" t="str">
        <f t="shared" ref="E2:E7" si="0">IFERROR(C2/D2,"")</f>
        <v/>
      </c>
      <c r="F2" s="130">
        <f>'FlightConfig '!$K$3</f>
        <v>0</v>
      </c>
      <c r="G2" s="33">
        <f>F2*'FlightConfig '!B3</f>
        <v>0</v>
      </c>
      <c r="H2" s="131">
        <f>SUMIF(Food!A:A,A2,Food!AK:AK)</f>
        <v>0</v>
      </c>
    </row>
    <row r="3" spans="1:8">
      <c r="A3" s="33" t="s">
        <v>156</v>
      </c>
      <c r="B3" s="33">
        <v>8</v>
      </c>
      <c r="C3" s="131">
        <f>IFERROR(SUMIF(Food!A:A,A3,Food!AD:AD),"")</f>
        <v>5477.222697272704</v>
      </c>
      <c r="D3" s="133">
        <f>+'FlightConfig '!C5</f>
        <v>28</v>
      </c>
      <c r="E3" s="131">
        <f t="shared" si="0"/>
        <v>195.61509633116799</v>
      </c>
      <c r="F3" s="130">
        <f>'FlightConfig '!$K$3</f>
        <v>0</v>
      </c>
      <c r="G3" s="33">
        <f>'FlightConfig '!C3*'Avg Per Flight'!F3</f>
        <v>0</v>
      </c>
      <c r="H3" s="131">
        <f>SUMIF(Food!A:A,A3,Food!AK:AK)</f>
        <v>257830.03602507536</v>
      </c>
    </row>
    <row r="4" spans="1:8">
      <c r="A4" s="33" t="s">
        <v>158</v>
      </c>
      <c r="B4" s="33">
        <v>8</v>
      </c>
      <c r="C4" s="131">
        <f>IFERROR(SUMIF(Food!A:A,A4,Food!AD:AD),"")</f>
        <v>10455.206839472341</v>
      </c>
      <c r="D4" s="133">
        <f>+'FlightConfig '!E5</f>
        <v>159</v>
      </c>
      <c r="E4" s="131">
        <f t="shared" si="0"/>
        <v>65.756017858316611</v>
      </c>
      <c r="F4" s="130">
        <f>'FlightConfig '!$K$3</f>
        <v>0</v>
      </c>
      <c r="G4" s="33">
        <f>F4*'FlightConfig '!E3</f>
        <v>0</v>
      </c>
      <c r="H4" s="131">
        <f>SUMIF(Food!A:A,A4,Food!AK:AK)</f>
        <v>397792.12811421254</v>
      </c>
    </row>
    <row r="5" spans="1:8">
      <c r="A5" s="33" t="s">
        <v>189</v>
      </c>
      <c r="B5" s="33">
        <v>8</v>
      </c>
      <c r="C5" s="131">
        <f>IFERROR(SUMIF(Food!A:A,A5,Food!AD:AD),"")</f>
        <v>1120.0040861800453</v>
      </c>
      <c r="D5" s="133">
        <f>+'FlightConfig '!G5</f>
        <v>5</v>
      </c>
      <c r="E5" s="131">
        <f t="shared" si="0"/>
        <v>224.00081723600906</v>
      </c>
      <c r="F5" s="130">
        <f>'FlightConfig '!$K$3</f>
        <v>0</v>
      </c>
      <c r="G5" s="33">
        <f>F5*'FlightConfig '!G3</f>
        <v>0</v>
      </c>
      <c r="H5" s="131">
        <f>SUMIF(Food!A:A,A5,Food!AK:AK)</f>
        <v>52696.14732229423</v>
      </c>
    </row>
    <row r="6" spans="1:8">
      <c r="A6" s="33" t="s">
        <v>157</v>
      </c>
      <c r="B6" s="33">
        <v>8</v>
      </c>
      <c r="C6" s="131">
        <f>IFERROR(SUMIF(Food!A:A,A6,Food!AD:AD),"")</f>
        <v>4395.9701384342425</v>
      </c>
      <c r="D6" s="133">
        <f>+'FlightConfig '!D5</f>
        <v>39</v>
      </c>
      <c r="E6" s="131">
        <f t="shared" si="0"/>
        <v>112.71718303677545</v>
      </c>
      <c r="F6" s="130">
        <f>'FlightConfig '!$K$3</f>
        <v>0</v>
      </c>
      <c r="G6" s="33">
        <f>F6*'FlightConfig '!D3</f>
        <v>0</v>
      </c>
      <c r="H6" s="131">
        <f>SUMIF(Food!A:A,A6,Food!AK:AK)</f>
        <v>176113.94616408477</v>
      </c>
    </row>
    <row r="7" spans="1:8">
      <c r="A7" s="33" t="s">
        <v>159</v>
      </c>
      <c r="B7" s="33">
        <v>8</v>
      </c>
      <c r="C7" s="131">
        <f>IFERROR(SUMIF(Food!A:A,A7,Food!AD:AD),"")</f>
        <v>0</v>
      </c>
      <c r="D7" s="133">
        <f>+'FlightConfig '!F5</f>
        <v>0</v>
      </c>
      <c r="E7" s="131" t="str">
        <f t="shared" si="0"/>
        <v/>
      </c>
      <c r="F7" s="130">
        <f>'FlightConfig '!$K$3</f>
        <v>0</v>
      </c>
      <c r="G7" s="33">
        <f>F7*2</f>
        <v>0</v>
      </c>
      <c r="H7" s="131">
        <f>SUMIF(Food!A:A,A7,Food!AK:AK)</f>
        <v>0</v>
      </c>
    </row>
    <row r="8" spans="1:8">
      <c r="A8" s="33" t="s">
        <v>365</v>
      </c>
      <c r="B8" s="33">
        <v>8</v>
      </c>
      <c r="C8" s="33">
        <f>IFERROR(SUMIF(Food!A:A,A8,Food!AD:AD),"")</f>
        <v>0</v>
      </c>
      <c r="D8" s="134">
        <v>1</v>
      </c>
      <c r="E8" s="33">
        <f>IFERROR(C8*D8,"")</f>
        <v>0</v>
      </c>
      <c r="F8" s="130">
        <f>'FlightConfig '!$K$3</f>
        <v>0</v>
      </c>
      <c r="G8" s="33">
        <v>312</v>
      </c>
      <c r="H8" s="131">
        <f>SUMIF(Food!A:A,A8,Food!AK:AK)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457"/>
  <sheetViews>
    <sheetView topLeftCell="A167" zoomScale="115" zoomScaleNormal="115" workbookViewId="0">
      <selection activeCell="O179" sqref="O179"/>
    </sheetView>
  </sheetViews>
  <sheetFormatPr defaultColWidth="9.28515625" defaultRowHeight="15" outlineLevelCol="1"/>
  <cols>
    <col min="1" max="1" width="12.28515625" customWidth="1"/>
    <col min="2" max="2" width="77.5703125" customWidth="1"/>
    <col min="3" max="3" width="14.7109375" hidden="1" customWidth="1"/>
    <col min="4" max="4" width="20.28515625" style="188" hidden="1" customWidth="1" outlineLevel="1"/>
    <col min="5" max="8" width="20.7109375" style="188" hidden="1" customWidth="1" outlineLevel="1"/>
    <col min="9" max="9" width="13.28515625" hidden="1" customWidth="1" outlineLevel="1"/>
    <col min="10" max="10" width="7.7109375" hidden="1" customWidth="1" outlineLevel="1"/>
    <col min="11" max="11" width="19.28515625" hidden="1" customWidth="1" outlineLevel="1"/>
    <col min="12" max="12" width="28" style="188" hidden="1" customWidth="1" outlineLevel="1"/>
    <col min="13" max="13" width="8.28515625" hidden="1" customWidth="1" outlineLevel="1"/>
    <col min="14" max="14" width="3.28515625" hidden="1" customWidth="1" outlineLevel="1"/>
    <col min="15" max="15" width="12" customWidth="1" collapsed="1"/>
    <col min="16" max="16" width="16" customWidth="1" outlineLevel="1"/>
    <col min="17" max="17" width="14" style="187" customWidth="1" outlineLevel="1"/>
    <col min="18" max="18" width="13.28515625" style="188" hidden="1" customWidth="1" outlineLevel="1"/>
    <col min="19" max="20" width="11.7109375" hidden="1" customWidth="1" outlineLevel="1"/>
    <col min="21" max="21" width="11.28515625" hidden="1" customWidth="1" outlineLevel="1"/>
    <col min="22" max="22" width="13.28515625" style="189" hidden="1" customWidth="1" outlineLevel="1"/>
    <col min="23" max="23" width="11.7109375" style="190" hidden="1" customWidth="1" outlineLevel="1"/>
    <col min="24" max="24" width="16.28515625" hidden="1" customWidth="1" outlineLevel="1"/>
    <col min="25" max="25" width="16.5703125" hidden="1" customWidth="1" outlineLevel="1"/>
    <col min="26" max="26" width="13.5703125" hidden="1" customWidth="1"/>
    <col min="27" max="27" width="11.7109375" style="175" hidden="1" customWidth="1"/>
    <col min="28" max="28" width="11.42578125" hidden="1" customWidth="1"/>
    <col min="29" max="29" width="2.7109375" hidden="1" customWidth="1"/>
  </cols>
  <sheetData>
    <row r="1" spans="1:29" ht="29.45" customHeight="1">
      <c r="A1">
        <v>1</v>
      </c>
      <c r="B1">
        <v>2</v>
      </c>
      <c r="C1" s="183">
        <v>3</v>
      </c>
      <c r="D1" s="186">
        <v>4</v>
      </c>
      <c r="E1" s="186">
        <v>5</v>
      </c>
      <c r="F1" s="186">
        <v>6</v>
      </c>
      <c r="G1" s="186">
        <v>7</v>
      </c>
      <c r="H1" s="186">
        <v>8</v>
      </c>
      <c r="I1" s="183">
        <v>9</v>
      </c>
      <c r="J1" s="183">
        <v>10</v>
      </c>
      <c r="K1" s="183">
        <v>11</v>
      </c>
      <c r="L1" s="183">
        <v>12</v>
      </c>
      <c r="M1" s="183">
        <v>13</v>
      </c>
      <c r="N1" s="183">
        <v>14</v>
      </c>
      <c r="O1" s="183">
        <v>15</v>
      </c>
      <c r="P1" s="183">
        <v>16</v>
      </c>
      <c r="Q1" s="187">
        <v>17</v>
      </c>
      <c r="R1" s="188">
        <v>18</v>
      </c>
      <c r="S1" s="183">
        <v>19</v>
      </c>
      <c r="T1" s="183">
        <v>20</v>
      </c>
    </row>
    <row r="2" spans="1:29" ht="21" customHeight="1">
      <c r="A2" s="183" t="s">
        <v>366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4"/>
      <c r="R2" s="183"/>
      <c r="S2" s="183">
        <v>0.42</v>
      </c>
      <c r="T2" s="183"/>
      <c r="U2" s="183"/>
      <c r="V2" s="239">
        <f>'P&amp;L'!R8</f>
        <v>0.22</v>
      </c>
      <c r="W2" s="239">
        <f>'P&amp;L'!R9</f>
        <v>0.2</v>
      </c>
      <c r="X2" s="183"/>
      <c r="Y2" s="183"/>
      <c r="Z2" s="183"/>
      <c r="AA2" s="183"/>
      <c r="AB2" s="183"/>
      <c r="AC2" s="183"/>
    </row>
    <row r="3" spans="1:29" ht="1.1499999999999999" customHeight="1">
      <c r="A3" s="185"/>
      <c r="B3" s="185"/>
      <c r="C3" s="183"/>
      <c r="D3" s="186"/>
      <c r="E3" s="186"/>
      <c r="F3" s="186"/>
      <c r="G3" s="186"/>
      <c r="H3" s="186"/>
      <c r="I3" s="183"/>
      <c r="J3" s="183"/>
      <c r="K3" s="183"/>
      <c r="L3" s="183"/>
      <c r="M3" s="183"/>
      <c r="N3" s="183"/>
    </row>
    <row r="4" spans="1:29" ht="1.1499999999999999" customHeight="1">
      <c r="A4" s="185"/>
      <c r="B4" s="185"/>
      <c r="C4" s="183"/>
      <c r="D4" s="186"/>
      <c r="E4" s="186"/>
      <c r="F4" s="186"/>
      <c r="G4" s="186"/>
      <c r="H4" s="186"/>
      <c r="I4" s="183"/>
      <c r="J4" s="183"/>
      <c r="K4" s="183"/>
      <c r="L4" s="183"/>
      <c r="M4" s="183"/>
      <c r="N4" s="183"/>
    </row>
    <row r="5" spans="1:29" ht="1.1499999999999999" customHeight="1">
      <c r="A5" s="185"/>
      <c r="B5" s="185"/>
      <c r="C5" s="183"/>
      <c r="D5" s="186"/>
      <c r="E5" s="186"/>
      <c r="F5" s="186"/>
      <c r="G5" s="186"/>
      <c r="H5" s="186"/>
      <c r="I5" s="183"/>
      <c r="J5" s="183"/>
      <c r="K5" s="183"/>
      <c r="L5" s="183"/>
      <c r="M5" s="183"/>
      <c r="N5" s="183"/>
    </row>
    <row r="6" spans="1:29" ht="1.1499999999999999" customHeight="1">
      <c r="A6" s="185"/>
      <c r="B6" s="185"/>
      <c r="C6" s="183"/>
      <c r="D6" s="186"/>
      <c r="E6" s="186"/>
      <c r="F6" s="186"/>
      <c r="G6" s="186"/>
      <c r="H6" s="186"/>
      <c r="I6" s="183"/>
      <c r="J6" s="183"/>
      <c r="K6" s="183"/>
      <c r="L6" s="183"/>
      <c r="M6" s="183"/>
      <c r="N6" s="183"/>
    </row>
    <row r="7" spans="1:29" ht="1.1499999999999999" customHeight="1">
      <c r="A7" s="185"/>
      <c r="B7" s="185"/>
      <c r="C7" s="183"/>
      <c r="D7" s="186"/>
      <c r="E7" s="186"/>
      <c r="F7" s="186"/>
      <c r="G7" s="186"/>
      <c r="H7" s="186"/>
      <c r="I7" s="183"/>
      <c r="J7" s="183"/>
      <c r="K7" s="183"/>
      <c r="L7" s="183"/>
      <c r="M7" s="183"/>
      <c r="N7" s="183"/>
    </row>
    <row r="8" spans="1:29" ht="28.5">
      <c r="A8" s="487" t="s">
        <v>367</v>
      </c>
      <c r="B8" s="487"/>
      <c r="C8" s="487"/>
      <c r="D8" s="487"/>
      <c r="E8" s="487"/>
      <c r="F8" s="487"/>
      <c r="G8" s="487"/>
      <c r="H8" s="487"/>
      <c r="I8" s="487"/>
      <c r="J8" s="487"/>
      <c r="K8" s="487"/>
      <c r="L8" s="487"/>
      <c r="M8" s="487"/>
      <c r="N8" s="487"/>
      <c r="O8" s="487"/>
      <c r="P8" s="487"/>
      <c r="Q8" s="487"/>
      <c r="R8" s="487"/>
      <c r="S8" s="487"/>
      <c r="T8" s="487"/>
      <c r="U8" s="487"/>
      <c r="V8" s="487"/>
      <c r="W8" s="487"/>
      <c r="X8" s="487"/>
      <c r="Y8" s="487"/>
      <c r="Z8" s="487"/>
      <c r="AA8" s="487"/>
      <c r="AB8" s="487"/>
      <c r="AC8" s="191"/>
    </row>
    <row r="9" spans="1:29" s="188" customFormat="1" ht="30">
      <c r="A9" s="34" t="s">
        <v>331</v>
      </c>
      <c r="B9" s="34" t="s">
        <v>368</v>
      </c>
      <c r="C9" s="192" t="s">
        <v>369</v>
      </c>
      <c r="D9" s="192" t="s">
        <v>370</v>
      </c>
      <c r="E9" s="192" t="s">
        <v>371</v>
      </c>
      <c r="F9" s="192" t="s">
        <v>372</v>
      </c>
      <c r="G9" s="192" t="s">
        <v>373</v>
      </c>
      <c r="H9" s="192" t="s">
        <v>374</v>
      </c>
      <c r="I9" s="193" t="s">
        <v>375</v>
      </c>
      <c r="J9" s="194" t="s">
        <v>376</v>
      </c>
      <c r="K9" s="192" t="s">
        <v>377</v>
      </c>
      <c r="L9" s="192" t="s">
        <v>378</v>
      </c>
      <c r="M9" s="192" t="s">
        <v>379</v>
      </c>
      <c r="N9" s="188" t="s">
        <v>380</v>
      </c>
      <c r="O9" s="188" t="s">
        <v>381</v>
      </c>
      <c r="P9" s="195" t="s">
        <v>382</v>
      </c>
      <c r="Q9" s="196" t="s">
        <v>383</v>
      </c>
      <c r="R9" s="195" t="s">
        <v>384</v>
      </c>
      <c r="S9" s="195" t="s">
        <v>385</v>
      </c>
      <c r="T9" s="195" t="s">
        <v>386</v>
      </c>
      <c r="U9" s="195" t="s">
        <v>387</v>
      </c>
      <c r="V9" s="197" t="s">
        <v>388</v>
      </c>
      <c r="W9" s="198" t="s">
        <v>389</v>
      </c>
      <c r="X9" s="195" t="s">
        <v>390</v>
      </c>
      <c r="Y9" s="195" t="s">
        <v>391</v>
      </c>
      <c r="Z9" s="195" t="s">
        <v>392</v>
      </c>
      <c r="AA9" s="192" t="s">
        <v>393</v>
      </c>
      <c r="AB9" s="195" t="s">
        <v>394</v>
      </c>
      <c r="AC9" s="188" t="s">
        <v>395</v>
      </c>
    </row>
    <row r="10" spans="1:29">
      <c r="A10" s="188">
        <v>1001</v>
      </c>
      <c r="B10" t="s">
        <v>396</v>
      </c>
      <c r="C10" s="188">
        <v>1</v>
      </c>
      <c r="I10" s="188"/>
      <c r="J10" s="188"/>
      <c r="K10" s="188"/>
      <c r="L10" s="199"/>
      <c r="M10" s="188"/>
      <c r="N10" s="200"/>
      <c r="O10" s="201">
        <v>0.33</v>
      </c>
      <c r="P10" s="201">
        <f>Table1[[#This Row],[unit cost]]</f>
        <v>0.33</v>
      </c>
      <c r="Q10" s="416">
        <v>0.5</v>
      </c>
      <c r="R10" s="188">
        <v>1</v>
      </c>
      <c r="S10" s="251">
        <f t="shared" ref="S10:S60" si="0">$S$2</f>
        <v>0.42</v>
      </c>
      <c r="T10" s="203">
        <f>Table1[[#This Row],[man minutes]]*Table1[[#This Row],[labor rate]]</f>
        <v>0.21</v>
      </c>
      <c r="U10" s="203">
        <f t="shared" ref="U10:U15" si="1">P10+T10</f>
        <v>0.54</v>
      </c>
      <c r="V10" s="189">
        <f t="shared" ref="V10:V15" si="2">$V$2</f>
        <v>0.22</v>
      </c>
      <c r="W10" s="252">
        <f t="shared" ref="W10:W61" si="3">$W$2</f>
        <v>0.2</v>
      </c>
      <c r="X10" s="203">
        <f t="shared" ref="X10:X23" si="4">P10*(1+V10)</f>
        <v>0.40260000000000001</v>
      </c>
      <c r="Y10" s="203">
        <f>T10+(T10*W10)</f>
        <v>0.252</v>
      </c>
      <c r="Z10" s="203">
        <f t="shared" ref="Z10:Z15" si="5">IFERROR(ROUNDUP(X10+Y10,2)," ")</f>
        <v>0.66</v>
      </c>
      <c r="AA10" s="205">
        <f>+Table1[[#This Row],[calculated sale price]]</f>
        <v>0.66</v>
      </c>
      <c r="AB10" s="204"/>
      <c r="AC10" s="208"/>
    </row>
    <row r="11" spans="1:29">
      <c r="A11" s="188">
        <v>1002</v>
      </c>
      <c r="B11" t="s">
        <v>397</v>
      </c>
      <c r="C11" s="188">
        <v>1</v>
      </c>
      <c r="I11" s="188"/>
      <c r="J11" s="188"/>
      <c r="K11" s="188"/>
      <c r="L11" s="199"/>
      <c r="M11" s="188"/>
      <c r="N11" s="200"/>
      <c r="O11" s="201">
        <v>0.3</v>
      </c>
      <c r="P11" s="201">
        <f>Table1[[#This Row],[unit cost]]</f>
        <v>0.3</v>
      </c>
      <c r="Q11" s="416">
        <v>0.25</v>
      </c>
      <c r="R11" s="188">
        <v>1</v>
      </c>
      <c r="S11" s="251">
        <f t="shared" si="0"/>
        <v>0.42</v>
      </c>
      <c r="T11" s="203">
        <f>Table1[[#This Row],[man minutes]]*Table1[[#This Row],[labor rate]]</f>
        <v>0.105</v>
      </c>
      <c r="U11" s="203">
        <f t="shared" si="1"/>
        <v>0.40499999999999997</v>
      </c>
      <c r="V11" s="189">
        <f t="shared" si="2"/>
        <v>0.22</v>
      </c>
      <c r="W11" s="252">
        <f t="shared" si="3"/>
        <v>0.2</v>
      </c>
      <c r="X11" s="203">
        <f t="shared" si="4"/>
        <v>0.36599999999999999</v>
      </c>
      <c r="Y11" s="203">
        <f t="shared" ref="Y11:Y15" si="6">T11+(T11*W11)</f>
        <v>0.126</v>
      </c>
      <c r="Z11" s="203">
        <f t="shared" si="5"/>
        <v>0.5</v>
      </c>
      <c r="AA11" s="205">
        <f>+Table1[[#This Row],[calculated sale price]]</f>
        <v>0.5</v>
      </c>
      <c r="AB11" s="204"/>
      <c r="AC11" s="208"/>
    </row>
    <row r="12" spans="1:29">
      <c r="A12" s="188">
        <v>1003</v>
      </c>
      <c r="B12" t="s">
        <v>398</v>
      </c>
      <c r="C12" s="188">
        <v>1</v>
      </c>
      <c r="I12" s="188"/>
      <c r="J12" s="188"/>
      <c r="K12" s="188"/>
      <c r="L12" s="199"/>
      <c r="M12" s="188"/>
      <c r="N12" s="200"/>
      <c r="O12" s="201">
        <v>0.14000000000000001</v>
      </c>
      <c r="P12" s="201">
        <f>Table1[[#This Row],[unit cost]]</f>
        <v>0.14000000000000001</v>
      </c>
      <c r="Q12" s="416">
        <v>0.25</v>
      </c>
      <c r="R12" s="188">
        <v>1</v>
      </c>
      <c r="S12" s="251">
        <f t="shared" si="0"/>
        <v>0.42</v>
      </c>
      <c r="T12" s="203">
        <f>Table1[[#This Row],[man minutes]]*Table1[[#This Row],[labor rate]]</f>
        <v>0.105</v>
      </c>
      <c r="U12" s="203">
        <f t="shared" si="1"/>
        <v>0.245</v>
      </c>
      <c r="V12" s="189">
        <f t="shared" si="2"/>
        <v>0.22</v>
      </c>
      <c r="W12" s="252">
        <f t="shared" si="3"/>
        <v>0.2</v>
      </c>
      <c r="X12" s="203">
        <f t="shared" si="4"/>
        <v>0.17080000000000001</v>
      </c>
      <c r="Y12" s="203">
        <f t="shared" si="6"/>
        <v>0.126</v>
      </c>
      <c r="Z12" s="203">
        <f t="shared" si="5"/>
        <v>0.3</v>
      </c>
      <c r="AA12" s="205">
        <f>+Table1[[#This Row],[calculated sale price]]</f>
        <v>0.3</v>
      </c>
      <c r="AB12" s="204"/>
      <c r="AC12" s="208"/>
    </row>
    <row r="13" spans="1:29">
      <c r="A13" s="188">
        <v>1004</v>
      </c>
      <c r="B13" t="s">
        <v>399</v>
      </c>
      <c r="C13" s="188">
        <v>1</v>
      </c>
      <c r="I13" s="188"/>
      <c r="J13" s="188"/>
      <c r="K13" s="188"/>
      <c r="L13" s="199"/>
      <c r="M13" s="188"/>
      <c r="N13" s="200"/>
      <c r="O13" s="201">
        <v>0.25</v>
      </c>
      <c r="P13" s="201">
        <f>Table1[[#This Row],[unit cost]]</f>
        <v>0.25</v>
      </c>
      <c r="Q13" s="416">
        <v>0.25</v>
      </c>
      <c r="R13" s="188">
        <v>1</v>
      </c>
      <c r="S13" s="251">
        <f t="shared" si="0"/>
        <v>0.42</v>
      </c>
      <c r="T13" s="203">
        <f>Table1[[#This Row],[man minutes]]*Table1[[#This Row],[labor rate]]</f>
        <v>0.105</v>
      </c>
      <c r="U13" s="203">
        <f t="shared" si="1"/>
        <v>0.35499999999999998</v>
      </c>
      <c r="V13" s="189">
        <f t="shared" si="2"/>
        <v>0.22</v>
      </c>
      <c r="W13" s="252">
        <f t="shared" si="3"/>
        <v>0.2</v>
      </c>
      <c r="X13" s="203">
        <f t="shared" si="4"/>
        <v>0.30499999999999999</v>
      </c>
      <c r="Y13" s="203">
        <f t="shared" si="6"/>
        <v>0.126</v>
      </c>
      <c r="Z13" s="203">
        <f t="shared" si="5"/>
        <v>0.44</v>
      </c>
      <c r="AA13" s="205">
        <f>+Table1[[#This Row],[calculated sale price]]</f>
        <v>0.44</v>
      </c>
      <c r="AB13" s="204"/>
      <c r="AC13" s="208"/>
    </row>
    <row r="14" spans="1:29">
      <c r="A14" s="188">
        <v>1005</v>
      </c>
      <c r="B14" t="s">
        <v>400</v>
      </c>
      <c r="C14" s="188">
        <v>1</v>
      </c>
      <c r="I14" s="188"/>
      <c r="J14" s="188"/>
      <c r="K14" s="188"/>
      <c r="L14" s="199"/>
      <c r="M14" s="188"/>
      <c r="N14" s="200"/>
      <c r="O14" s="201">
        <v>2.87</v>
      </c>
      <c r="P14" s="201">
        <f>Table1[[#This Row],[unit cost]]</f>
        <v>2.87</v>
      </c>
      <c r="Q14" s="416">
        <v>4.25</v>
      </c>
      <c r="R14" s="188">
        <v>1</v>
      </c>
      <c r="S14" s="251">
        <f t="shared" si="0"/>
        <v>0.42</v>
      </c>
      <c r="T14" s="203">
        <f>Table1[[#This Row],[man minutes]]*Table1[[#This Row],[labor rate]]</f>
        <v>1.7849999999999999</v>
      </c>
      <c r="U14" s="203">
        <f t="shared" si="1"/>
        <v>4.6550000000000002</v>
      </c>
      <c r="V14" s="189">
        <f t="shared" si="2"/>
        <v>0.22</v>
      </c>
      <c r="W14" s="252">
        <f t="shared" si="3"/>
        <v>0.2</v>
      </c>
      <c r="X14" s="203">
        <f t="shared" si="4"/>
        <v>3.5013999999999998</v>
      </c>
      <c r="Y14" s="203">
        <f t="shared" si="6"/>
        <v>2.1419999999999999</v>
      </c>
      <c r="Z14" s="203">
        <f t="shared" si="5"/>
        <v>5.6499999999999995</v>
      </c>
      <c r="AA14" s="205">
        <f>+Table1[[#This Row],[calculated sale price]]</f>
        <v>5.6499999999999995</v>
      </c>
      <c r="AB14" s="204"/>
      <c r="AC14" s="208"/>
    </row>
    <row r="15" spans="1:29">
      <c r="A15" s="188">
        <v>1006</v>
      </c>
      <c r="B15" t="s">
        <v>401</v>
      </c>
      <c r="C15" s="188">
        <v>1</v>
      </c>
      <c r="I15" s="188"/>
      <c r="J15" s="188"/>
      <c r="K15" s="188"/>
      <c r="L15" s="199"/>
      <c r="M15" s="188"/>
      <c r="N15" s="200"/>
      <c r="O15" s="201">
        <v>5.0599999999999996</v>
      </c>
      <c r="P15" s="201">
        <f>Table1[[#This Row],[unit cost]]</f>
        <v>5.0599999999999996</v>
      </c>
      <c r="Q15" s="416">
        <v>2.7</v>
      </c>
      <c r="R15" s="188">
        <v>1</v>
      </c>
      <c r="S15" s="251">
        <f t="shared" si="0"/>
        <v>0.42</v>
      </c>
      <c r="T15" s="203">
        <f>Table1[[#This Row],[man minutes]]*Table1[[#This Row],[labor rate]]</f>
        <v>1.1340000000000001</v>
      </c>
      <c r="U15" s="203">
        <f t="shared" si="1"/>
        <v>6.194</v>
      </c>
      <c r="V15" s="189">
        <f t="shared" si="2"/>
        <v>0.22</v>
      </c>
      <c r="W15" s="252">
        <f t="shared" si="3"/>
        <v>0.2</v>
      </c>
      <c r="X15" s="203">
        <f t="shared" si="4"/>
        <v>6.1731999999999996</v>
      </c>
      <c r="Y15" s="203">
        <f t="shared" si="6"/>
        <v>1.3608000000000002</v>
      </c>
      <c r="Z15" s="203">
        <f t="shared" si="5"/>
        <v>7.54</v>
      </c>
      <c r="AA15" s="205">
        <f>+Table1[[#This Row],[calculated sale price]]</f>
        <v>7.54</v>
      </c>
      <c r="AB15" s="204"/>
      <c r="AC15" s="208"/>
    </row>
    <row r="16" spans="1:29">
      <c r="A16" s="188">
        <v>1007</v>
      </c>
      <c r="B16" t="s">
        <v>402</v>
      </c>
      <c r="C16" s="188">
        <v>1</v>
      </c>
      <c r="I16" s="188"/>
      <c r="J16" s="188"/>
      <c r="K16" s="188"/>
      <c r="L16" s="199"/>
      <c r="M16" s="188"/>
      <c r="N16" s="200"/>
      <c r="O16" s="201">
        <v>2.95</v>
      </c>
      <c r="P16" s="201">
        <f>Table1[[#This Row],[unit cost]]</f>
        <v>2.95</v>
      </c>
      <c r="Q16" s="416">
        <v>3.75</v>
      </c>
      <c r="R16" s="188">
        <v>1</v>
      </c>
      <c r="S16" s="251">
        <f t="shared" si="0"/>
        <v>0.42</v>
      </c>
      <c r="T16" s="203">
        <f>Table1[[#This Row],[man minutes]]*Table1[[#This Row],[labor rate]]</f>
        <v>1.575</v>
      </c>
      <c r="U16" s="203">
        <f t="shared" ref="U16:U23" si="7">P16+T16</f>
        <v>4.5250000000000004</v>
      </c>
      <c r="V16" s="189">
        <f t="shared" ref="V16:V79" si="8">$V$2</f>
        <v>0.22</v>
      </c>
      <c r="W16" s="252">
        <f t="shared" si="3"/>
        <v>0.2</v>
      </c>
      <c r="X16" s="203">
        <f t="shared" si="4"/>
        <v>3.5990000000000002</v>
      </c>
      <c r="Y16" s="203">
        <f t="shared" ref="Y16:Y23" si="9">T16+(T16*W16)</f>
        <v>1.89</v>
      </c>
      <c r="Z16" s="203">
        <f t="shared" ref="Z16:Z23" si="10">IFERROR(ROUNDUP(X16+Y16,2)," ")</f>
        <v>5.49</v>
      </c>
      <c r="AA16" s="205">
        <f>+Table1[[#This Row],[calculated sale price]]</f>
        <v>5.49</v>
      </c>
      <c r="AB16" s="204"/>
      <c r="AC16" s="208"/>
    </row>
    <row r="17" spans="1:29">
      <c r="A17" s="188">
        <v>1008</v>
      </c>
      <c r="B17" t="s">
        <v>403</v>
      </c>
      <c r="C17" s="188">
        <v>1</v>
      </c>
      <c r="I17" s="188"/>
      <c r="J17" s="188"/>
      <c r="K17" s="188"/>
      <c r="L17" s="199"/>
      <c r="M17" s="188"/>
      <c r="N17" s="200"/>
      <c r="O17" s="201">
        <v>1.59</v>
      </c>
      <c r="P17" s="201">
        <f>Table1[[#This Row],[unit cost]]</f>
        <v>1.59</v>
      </c>
      <c r="Q17" s="416">
        <v>4</v>
      </c>
      <c r="R17" s="188">
        <v>1</v>
      </c>
      <c r="S17" s="251">
        <f t="shared" si="0"/>
        <v>0.42</v>
      </c>
      <c r="T17" s="203">
        <f>Table1[[#This Row],[man minutes]]*Table1[[#This Row],[labor rate]]</f>
        <v>1.68</v>
      </c>
      <c r="U17" s="203">
        <f t="shared" si="7"/>
        <v>3.27</v>
      </c>
      <c r="V17" s="189">
        <f t="shared" si="8"/>
        <v>0.22</v>
      </c>
      <c r="W17" s="252">
        <f t="shared" si="3"/>
        <v>0.2</v>
      </c>
      <c r="X17" s="203">
        <f t="shared" si="4"/>
        <v>1.9398</v>
      </c>
      <c r="Y17" s="203">
        <f t="shared" si="9"/>
        <v>2.016</v>
      </c>
      <c r="Z17" s="203">
        <f t="shared" si="10"/>
        <v>3.96</v>
      </c>
      <c r="AA17" s="205">
        <f>+Table1[[#This Row],[calculated sale price]]</f>
        <v>3.96</v>
      </c>
      <c r="AB17" s="204"/>
      <c r="AC17" s="208"/>
    </row>
    <row r="18" spans="1:29">
      <c r="A18" s="188">
        <v>1009</v>
      </c>
      <c r="B18" t="s">
        <v>404</v>
      </c>
      <c r="C18" s="188">
        <v>1</v>
      </c>
      <c r="I18" s="188"/>
      <c r="J18" s="188"/>
      <c r="K18" s="188"/>
      <c r="L18" s="199"/>
      <c r="M18" s="188"/>
      <c r="N18" s="200"/>
      <c r="O18" s="201">
        <v>4.28</v>
      </c>
      <c r="P18" s="201">
        <f>Table1[[#This Row],[unit cost]]</f>
        <v>4.28</v>
      </c>
      <c r="Q18" s="416">
        <v>4.25</v>
      </c>
      <c r="R18" s="188">
        <v>1</v>
      </c>
      <c r="S18" s="251">
        <f t="shared" si="0"/>
        <v>0.42</v>
      </c>
      <c r="T18" s="203">
        <f>Table1[[#This Row],[man minutes]]*Table1[[#This Row],[labor rate]]</f>
        <v>1.7849999999999999</v>
      </c>
      <c r="U18" s="203">
        <f t="shared" si="7"/>
        <v>6.0650000000000004</v>
      </c>
      <c r="V18" s="189">
        <f t="shared" si="8"/>
        <v>0.22</v>
      </c>
      <c r="W18" s="252">
        <f t="shared" si="3"/>
        <v>0.2</v>
      </c>
      <c r="X18" s="203">
        <f t="shared" si="4"/>
        <v>5.2216000000000005</v>
      </c>
      <c r="Y18" s="203">
        <f t="shared" si="9"/>
        <v>2.1419999999999999</v>
      </c>
      <c r="Z18" s="203">
        <f t="shared" si="10"/>
        <v>7.37</v>
      </c>
      <c r="AA18" s="205">
        <f>+Table1[[#This Row],[calculated sale price]]</f>
        <v>7.37</v>
      </c>
      <c r="AB18" s="204"/>
      <c r="AC18" s="208"/>
    </row>
    <row r="19" spans="1:29">
      <c r="A19" s="188">
        <v>1010</v>
      </c>
      <c r="B19" t="s">
        <v>405</v>
      </c>
      <c r="C19" s="188">
        <v>1</v>
      </c>
      <c r="I19" s="188"/>
      <c r="J19" s="188"/>
      <c r="K19" s="188"/>
      <c r="L19" s="199"/>
      <c r="M19" s="188"/>
      <c r="N19" s="200"/>
      <c r="O19" s="201">
        <v>9.3000000000000007</v>
      </c>
      <c r="P19" s="201">
        <f>Table1[[#This Row],[unit cost]]</f>
        <v>9.3000000000000007</v>
      </c>
      <c r="Q19" s="416">
        <v>7.5</v>
      </c>
      <c r="R19" s="188">
        <v>1</v>
      </c>
      <c r="S19" s="251">
        <f t="shared" si="0"/>
        <v>0.42</v>
      </c>
      <c r="T19" s="203">
        <f>Table1[[#This Row],[man minutes]]*Table1[[#This Row],[labor rate]]</f>
        <v>3.15</v>
      </c>
      <c r="U19" s="203">
        <f t="shared" si="7"/>
        <v>12.450000000000001</v>
      </c>
      <c r="V19" s="189">
        <f t="shared" si="8"/>
        <v>0.22</v>
      </c>
      <c r="W19" s="252">
        <f t="shared" si="3"/>
        <v>0.2</v>
      </c>
      <c r="X19" s="203">
        <f t="shared" si="4"/>
        <v>11.346</v>
      </c>
      <c r="Y19" s="203">
        <f t="shared" si="9"/>
        <v>3.78</v>
      </c>
      <c r="Z19" s="203">
        <f t="shared" si="10"/>
        <v>15.129999999999999</v>
      </c>
      <c r="AA19" s="205">
        <f>+Table1[[#This Row],[calculated sale price]]</f>
        <v>15.129999999999999</v>
      </c>
      <c r="AB19" s="204"/>
      <c r="AC19" s="208"/>
    </row>
    <row r="20" spans="1:29">
      <c r="A20" s="188">
        <v>1011</v>
      </c>
      <c r="B20" t="s">
        <v>406</v>
      </c>
      <c r="C20" s="188">
        <v>1</v>
      </c>
      <c r="I20" s="188"/>
      <c r="J20" s="188"/>
      <c r="K20" s="188"/>
      <c r="L20" s="199"/>
      <c r="M20" s="188"/>
      <c r="N20" s="200"/>
      <c r="O20" s="201">
        <v>3.41</v>
      </c>
      <c r="P20" s="201">
        <f>Table1[[#This Row],[unit cost]]</f>
        <v>3.41</v>
      </c>
      <c r="Q20" s="416">
        <v>4.25</v>
      </c>
      <c r="R20" s="188">
        <v>1</v>
      </c>
      <c r="S20" s="251">
        <f t="shared" si="0"/>
        <v>0.42</v>
      </c>
      <c r="T20" s="203">
        <f>Table1[[#This Row],[man minutes]]*Table1[[#This Row],[labor rate]]</f>
        <v>1.7849999999999999</v>
      </c>
      <c r="U20" s="203">
        <f t="shared" si="7"/>
        <v>5.1950000000000003</v>
      </c>
      <c r="V20" s="189">
        <f t="shared" si="8"/>
        <v>0.22</v>
      </c>
      <c r="W20" s="252">
        <f t="shared" si="3"/>
        <v>0.2</v>
      </c>
      <c r="X20" s="203">
        <f t="shared" si="4"/>
        <v>4.1601999999999997</v>
      </c>
      <c r="Y20" s="203">
        <f t="shared" si="9"/>
        <v>2.1419999999999999</v>
      </c>
      <c r="Z20" s="203">
        <f t="shared" si="10"/>
        <v>6.31</v>
      </c>
      <c r="AA20" s="205">
        <f>+Table1[[#This Row],[calculated sale price]]</f>
        <v>6.31</v>
      </c>
      <c r="AB20" s="204"/>
      <c r="AC20" s="208"/>
    </row>
    <row r="21" spans="1:29">
      <c r="A21" s="188">
        <v>1012</v>
      </c>
      <c r="B21" t="s">
        <v>407</v>
      </c>
      <c r="C21" s="188">
        <v>1</v>
      </c>
      <c r="I21" s="188"/>
      <c r="J21" s="188"/>
      <c r="K21" s="188"/>
      <c r="L21" s="199"/>
      <c r="M21" s="188"/>
      <c r="N21" s="200"/>
      <c r="O21" s="201">
        <v>0.98</v>
      </c>
      <c r="P21" s="201">
        <f>Table1[[#This Row],[unit cost]]</f>
        <v>0.98</v>
      </c>
      <c r="Q21" s="416">
        <v>2</v>
      </c>
      <c r="R21" s="188">
        <v>1</v>
      </c>
      <c r="S21" s="251">
        <f t="shared" si="0"/>
        <v>0.42</v>
      </c>
      <c r="T21" s="203">
        <f>Table1[[#This Row],[man minutes]]*Table1[[#This Row],[labor rate]]</f>
        <v>0.84</v>
      </c>
      <c r="U21" s="203">
        <f t="shared" si="7"/>
        <v>1.8199999999999998</v>
      </c>
      <c r="V21" s="189">
        <f t="shared" si="8"/>
        <v>0.22</v>
      </c>
      <c r="W21" s="252">
        <f t="shared" si="3"/>
        <v>0.2</v>
      </c>
      <c r="X21" s="203">
        <f t="shared" si="4"/>
        <v>1.1956</v>
      </c>
      <c r="Y21" s="203">
        <f t="shared" si="9"/>
        <v>1.008</v>
      </c>
      <c r="Z21" s="203">
        <f t="shared" si="10"/>
        <v>2.21</v>
      </c>
      <c r="AA21" s="205">
        <f>+Table1[[#This Row],[calculated sale price]]</f>
        <v>2.21</v>
      </c>
      <c r="AB21" s="204"/>
      <c r="AC21" s="208"/>
    </row>
    <row r="22" spans="1:29">
      <c r="A22" s="188">
        <v>1013</v>
      </c>
      <c r="B22" t="s">
        <v>408</v>
      </c>
      <c r="C22" s="188">
        <v>1</v>
      </c>
      <c r="I22" s="188"/>
      <c r="J22" s="188"/>
      <c r="K22" s="188"/>
      <c r="L22" s="199"/>
      <c r="M22" s="188"/>
      <c r="N22" s="200"/>
      <c r="O22" s="201">
        <v>1.1599999999999999</v>
      </c>
      <c r="P22" s="201">
        <f>Table1[[#This Row],[unit cost]]</f>
        <v>1.1599999999999999</v>
      </c>
      <c r="Q22" s="416">
        <v>1.5</v>
      </c>
      <c r="R22" s="188">
        <v>1</v>
      </c>
      <c r="S22" s="251">
        <f t="shared" si="0"/>
        <v>0.42</v>
      </c>
      <c r="T22" s="203">
        <f>Table1[[#This Row],[man minutes]]*Table1[[#This Row],[labor rate]]</f>
        <v>0.63</v>
      </c>
      <c r="U22" s="203">
        <f t="shared" si="7"/>
        <v>1.79</v>
      </c>
      <c r="V22" s="189">
        <f t="shared" si="8"/>
        <v>0.22</v>
      </c>
      <c r="W22" s="252">
        <f t="shared" si="3"/>
        <v>0.2</v>
      </c>
      <c r="X22" s="203">
        <f t="shared" si="4"/>
        <v>1.4151999999999998</v>
      </c>
      <c r="Y22" s="203">
        <f t="shared" si="9"/>
        <v>0.75600000000000001</v>
      </c>
      <c r="Z22" s="203">
        <f t="shared" si="10"/>
        <v>2.1799999999999997</v>
      </c>
      <c r="AA22" s="205">
        <f>+Table1[[#This Row],[calculated sale price]]</f>
        <v>2.1799999999999997</v>
      </c>
      <c r="AB22" s="204"/>
      <c r="AC22" s="208"/>
    </row>
    <row r="23" spans="1:29">
      <c r="A23" s="188">
        <v>1014</v>
      </c>
      <c r="B23" t="s">
        <v>409</v>
      </c>
      <c r="C23" s="188">
        <v>1</v>
      </c>
      <c r="I23" s="188"/>
      <c r="J23" s="188"/>
      <c r="K23" s="188"/>
      <c r="L23" s="199"/>
      <c r="M23" s="188"/>
      <c r="N23" s="200"/>
      <c r="O23" s="201">
        <v>0.88</v>
      </c>
      <c r="P23" s="201">
        <f>Table1[[#This Row],[unit cost]]</f>
        <v>0.88</v>
      </c>
      <c r="Q23" s="416">
        <v>1.5</v>
      </c>
      <c r="R23" s="188">
        <v>1</v>
      </c>
      <c r="S23" s="251">
        <f t="shared" si="0"/>
        <v>0.42</v>
      </c>
      <c r="T23" s="203">
        <f>Table1[[#This Row],[man minutes]]*Table1[[#This Row],[labor rate]]</f>
        <v>0.63</v>
      </c>
      <c r="U23" s="203">
        <f t="shared" si="7"/>
        <v>1.51</v>
      </c>
      <c r="V23" s="189">
        <f t="shared" si="8"/>
        <v>0.22</v>
      </c>
      <c r="W23" s="252">
        <f t="shared" si="3"/>
        <v>0.2</v>
      </c>
      <c r="X23" s="203">
        <f t="shared" si="4"/>
        <v>1.0735999999999999</v>
      </c>
      <c r="Y23" s="203">
        <f t="shared" si="9"/>
        <v>0.75600000000000001</v>
      </c>
      <c r="Z23" s="203">
        <f t="shared" si="10"/>
        <v>1.83</v>
      </c>
      <c r="AA23" s="205">
        <f>+Table1[[#This Row],[calculated sale price]]</f>
        <v>1.83</v>
      </c>
      <c r="AB23" s="204"/>
      <c r="AC23" s="208"/>
    </row>
    <row r="24" spans="1:29">
      <c r="A24" s="188">
        <v>1015</v>
      </c>
      <c r="B24" t="s">
        <v>410</v>
      </c>
      <c r="C24" s="188">
        <v>1</v>
      </c>
      <c r="I24" s="188"/>
      <c r="J24" s="188"/>
      <c r="K24" s="188"/>
      <c r="L24" s="199"/>
      <c r="M24" s="188"/>
      <c r="N24" s="200"/>
      <c r="O24" s="201">
        <v>2.56</v>
      </c>
      <c r="P24" s="201">
        <f>Table1[[#This Row],[unit cost]]</f>
        <v>2.56</v>
      </c>
      <c r="Q24" s="416">
        <v>1.25</v>
      </c>
      <c r="R24" s="188">
        <v>1</v>
      </c>
      <c r="S24" s="251">
        <f t="shared" si="0"/>
        <v>0.42</v>
      </c>
      <c r="T24" s="203">
        <f>Table1[[#This Row],[man minutes]]*Table1[[#This Row],[labor rate]]</f>
        <v>0.52500000000000002</v>
      </c>
      <c r="U24" s="203">
        <f t="shared" ref="U24:U87" si="11">P24+T24</f>
        <v>3.085</v>
      </c>
      <c r="V24" s="189">
        <f t="shared" si="8"/>
        <v>0.22</v>
      </c>
      <c r="W24" s="252">
        <f t="shared" si="3"/>
        <v>0.2</v>
      </c>
      <c r="X24" s="203">
        <f t="shared" ref="X24:X87" si="12">P24*(1+V24)</f>
        <v>3.1232000000000002</v>
      </c>
      <c r="Y24" s="203">
        <f t="shared" ref="Y24:Y87" si="13">T24+(T24*W24)</f>
        <v>0.63</v>
      </c>
      <c r="Z24" s="203">
        <f t="shared" ref="Z24:Z87" si="14">IFERROR(ROUNDUP(X24+Y24,2)," ")</f>
        <v>3.76</v>
      </c>
      <c r="AA24" s="205">
        <f>+Table1[[#This Row],[calculated sale price]]</f>
        <v>3.76</v>
      </c>
      <c r="AB24" s="204"/>
      <c r="AC24" s="208"/>
    </row>
    <row r="25" spans="1:29">
      <c r="A25" s="188">
        <v>1016</v>
      </c>
      <c r="B25" t="s">
        <v>411</v>
      </c>
      <c r="C25" s="188">
        <v>1</v>
      </c>
      <c r="I25" s="188"/>
      <c r="J25" s="188"/>
      <c r="K25" s="188"/>
      <c r="L25" s="199"/>
      <c r="M25" s="188"/>
      <c r="N25" s="200"/>
      <c r="O25" s="201">
        <v>2.81</v>
      </c>
      <c r="P25" s="201">
        <f>Table1[[#This Row],[unit cost]]</f>
        <v>2.81</v>
      </c>
      <c r="Q25" s="416">
        <v>2.5</v>
      </c>
      <c r="R25" s="188">
        <v>1</v>
      </c>
      <c r="S25" s="251">
        <f t="shared" si="0"/>
        <v>0.42</v>
      </c>
      <c r="T25" s="203">
        <f>Table1[[#This Row],[man minutes]]*Table1[[#This Row],[labor rate]]</f>
        <v>1.05</v>
      </c>
      <c r="U25" s="203">
        <f t="shared" si="11"/>
        <v>3.8600000000000003</v>
      </c>
      <c r="V25" s="189">
        <f t="shared" si="8"/>
        <v>0.22</v>
      </c>
      <c r="W25" s="252">
        <f t="shared" si="3"/>
        <v>0.2</v>
      </c>
      <c r="X25" s="203">
        <f t="shared" si="12"/>
        <v>3.4281999999999999</v>
      </c>
      <c r="Y25" s="203">
        <f t="shared" si="13"/>
        <v>1.26</v>
      </c>
      <c r="Z25" s="203">
        <f t="shared" si="14"/>
        <v>4.6899999999999995</v>
      </c>
      <c r="AA25" s="205">
        <f>+Table1[[#This Row],[calculated sale price]]</f>
        <v>4.6899999999999995</v>
      </c>
      <c r="AB25" s="204"/>
      <c r="AC25" s="208"/>
    </row>
    <row r="26" spans="1:29">
      <c r="A26" s="188">
        <v>1017</v>
      </c>
      <c r="B26" t="s">
        <v>412</v>
      </c>
      <c r="C26" s="188">
        <v>1</v>
      </c>
      <c r="I26" s="188"/>
      <c r="J26" s="188"/>
      <c r="K26" s="188"/>
      <c r="L26" s="199"/>
      <c r="M26" s="188"/>
      <c r="N26" s="200"/>
      <c r="O26" s="201">
        <v>4.71</v>
      </c>
      <c r="P26" s="201">
        <f>Table1[[#This Row],[unit cost]]</f>
        <v>4.71</v>
      </c>
      <c r="Q26" s="416">
        <v>4.25</v>
      </c>
      <c r="R26" s="188">
        <v>1</v>
      </c>
      <c r="S26" s="251">
        <f t="shared" si="0"/>
        <v>0.42</v>
      </c>
      <c r="T26" s="203">
        <f>Table1[[#This Row],[man minutes]]*Table1[[#This Row],[labor rate]]</f>
        <v>1.7849999999999999</v>
      </c>
      <c r="U26" s="203">
        <f t="shared" si="11"/>
        <v>6.4950000000000001</v>
      </c>
      <c r="V26" s="189">
        <f t="shared" si="8"/>
        <v>0.22</v>
      </c>
      <c r="W26" s="252">
        <f t="shared" si="3"/>
        <v>0.2</v>
      </c>
      <c r="X26" s="203">
        <f t="shared" si="12"/>
        <v>5.7462</v>
      </c>
      <c r="Y26" s="203">
        <f t="shared" si="13"/>
        <v>2.1419999999999999</v>
      </c>
      <c r="Z26" s="203">
        <f t="shared" si="14"/>
        <v>7.89</v>
      </c>
      <c r="AA26" s="205">
        <f>+Table1[[#This Row],[calculated sale price]]</f>
        <v>7.89</v>
      </c>
      <c r="AB26" s="204"/>
      <c r="AC26" s="208"/>
    </row>
    <row r="27" spans="1:29">
      <c r="A27" s="188">
        <v>1018</v>
      </c>
      <c r="B27" t="s">
        <v>413</v>
      </c>
      <c r="C27" s="188">
        <v>1</v>
      </c>
      <c r="I27" s="188"/>
      <c r="J27" s="188"/>
      <c r="K27" s="188"/>
      <c r="L27" s="199"/>
      <c r="M27" s="188"/>
      <c r="N27" s="200"/>
      <c r="O27" s="201">
        <v>2.29</v>
      </c>
      <c r="P27" s="201">
        <f>Table1[[#This Row],[unit cost]]</f>
        <v>2.29</v>
      </c>
      <c r="Q27" s="416">
        <v>4.5</v>
      </c>
      <c r="R27" s="188">
        <v>1</v>
      </c>
      <c r="S27" s="251">
        <f t="shared" si="0"/>
        <v>0.42</v>
      </c>
      <c r="T27" s="203">
        <f>Table1[[#This Row],[man minutes]]*Table1[[#This Row],[labor rate]]</f>
        <v>1.89</v>
      </c>
      <c r="U27" s="203">
        <f t="shared" si="11"/>
        <v>4.18</v>
      </c>
      <c r="V27" s="189">
        <f t="shared" si="8"/>
        <v>0.22</v>
      </c>
      <c r="W27" s="252">
        <f t="shared" si="3"/>
        <v>0.2</v>
      </c>
      <c r="X27" s="203">
        <f t="shared" si="12"/>
        <v>2.7938000000000001</v>
      </c>
      <c r="Y27" s="203">
        <f t="shared" si="13"/>
        <v>2.2679999999999998</v>
      </c>
      <c r="Z27" s="203">
        <f t="shared" si="14"/>
        <v>5.0699999999999994</v>
      </c>
      <c r="AA27" s="205">
        <f>+Table1[[#This Row],[calculated sale price]]</f>
        <v>5.0699999999999994</v>
      </c>
      <c r="AB27" s="204"/>
      <c r="AC27" s="208"/>
    </row>
    <row r="28" spans="1:29">
      <c r="A28" s="188">
        <v>1019</v>
      </c>
      <c r="B28" t="s">
        <v>414</v>
      </c>
      <c r="C28" s="188">
        <v>1</v>
      </c>
      <c r="I28" s="188"/>
      <c r="J28" s="188"/>
      <c r="K28" s="188"/>
      <c r="L28" s="199"/>
      <c r="M28" s="188"/>
      <c r="N28" s="200"/>
      <c r="O28" s="201">
        <v>2.15</v>
      </c>
      <c r="P28" s="201">
        <f>Table1[[#This Row],[unit cost]]</f>
        <v>2.15</v>
      </c>
      <c r="Q28" s="416">
        <v>3.25</v>
      </c>
      <c r="R28" s="188">
        <v>1</v>
      </c>
      <c r="S28" s="251">
        <f t="shared" si="0"/>
        <v>0.42</v>
      </c>
      <c r="T28" s="203">
        <f>Table1[[#This Row],[man minutes]]*Table1[[#This Row],[labor rate]]</f>
        <v>1.365</v>
      </c>
      <c r="U28" s="203">
        <f t="shared" si="11"/>
        <v>3.5149999999999997</v>
      </c>
      <c r="V28" s="189">
        <f t="shared" si="8"/>
        <v>0.22</v>
      </c>
      <c r="W28" s="252">
        <f t="shared" si="3"/>
        <v>0.2</v>
      </c>
      <c r="X28" s="203">
        <f t="shared" si="12"/>
        <v>2.6229999999999998</v>
      </c>
      <c r="Y28" s="203">
        <f t="shared" si="13"/>
        <v>1.6379999999999999</v>
      </c>
      <c r="Z28" s="203">
        <f t="shared" si="14"/>
        <v>4.2699999999999996</v>
      </c>
      <c r="AA28" s="205">
        <f>+Table1[[#This Row],[calculated sale price]]</f>
        <v>4.2699999999999996</v>
      </c>
      <c r="AB28" s="204"/>
      <c r="AC28" s="208"/>
    </row>
    <row r="29" spans="1:29">
      <c r="A29" s="188">
        <v>1020</v>
      </c>
      <c r="B29" t="s">
        <v>415</v>
      </c>
      <c r="C29" s="188">
        <v>1</v>
      </c>
      <c r="I29" s="188"/>
      <c r="J29" s="188"/>
      <c r="K29" s="188"/>
      <c r="L29" s="199"/>
      <c r="M29" s="188"/>
      <c r="N29" s="200"/>
      <c r="O29" s="201">
        <v>2</v>
      </c>
      <c r="P29" s="201">
        <f>Table1[[#This Row],[unit cost]]</f>
        <v>2</v>
      </c>
      <c r="Q29" s="416">
        <v>1.5</v>
      </c>
      <c r="R29" s="188">
        <v>1</v>
      </c>
      <c r="S29" s="251">
        <f t="shared" si="0"/>
        <v>0.42</v>
      </c>
      <c r="T29" s="203">
        <f>Table1[[#This Row],[man minutes]]*Table1[[#This Row],[labor rate]]</f>
        <v>0.63</v>
      </c>
      <c r="U29" s="203">
        <f t="shared" si="11"/>
        <v>2.63</v>
      </c>
      <c r="V29" s="189">
        <f t="shared" si="8"/>
        <v>0.22</v>
      </c>
      <c r="W29" s="252">
        <f t="shared" si="3"/>
        <v>0.2</v>
      </c>
      <c r="X29" s="203">
        <f t="shared" si="12"/>
        <v>2.44</v>
      </c>
      <c r="Y29" s="203">
        <f t="shared" si="13"/>
        <v>0.75600000000000001</v>
      </c>
      <c r="Z29" s="203">
        <f t="shared" si="14"/>
        <v>3.1999999999999997</v>
      </c>
      <c r="AA29" s="205">
        <f>+Table1[[#This Row],[calculated sale price]]</f>
        <v>3.1999999999999997</v>
      </c>
      <c r="AB29" s="204"/>
      <c r="AC29" s="208"/>
    </row>
    <row r="30" spans="1:29">
      <c r="A30" s="188">
        <v>1021</v>
      </c>
      <c r="B30" t="s">
        <v>416</v>
      </c>
      <c r="C30" s="188">
        <v>1</v>
      </c>
      <c r="I30" s="188"/>
      <c r="J30" s="188"/>
      <c r="K30" s="188"/>
      <c r="L30" s="199"/>
      <c r="M30" s="188"/>
      <c r="N30" s="200"/>
      <c r="O30" s="201">
        <v>1.18</v>
      </c>
      <c r="P30" s="201">
        <f>Table1[[#This Row],[unit cost]]</f>
        <v>1.18</v>
      </c>
      <c r="Q30" s="416">
        <v>2</v>
      </c>
      <c r="R30" s="188">
        <v>1</v>
      </c>
      <c r="S30" s="251">
        <f t="shared" si="0"/>
        <v>0.42</v>
      </c>
      <c r="T30" s="203">
        <f>Table1[[#This Row],[man minutes]]*Table1[[#This Row],[labor rate]]</f>
        <v>0.84</v>
      </c>
      <c r="U30" s="203">
        <f t="shared" si="11"/>
        <v>2.02</v>
      </c>
      <c r="V30" s="189">
        <f t="shared" si="8"/>
        <v>0.22</v>
      </c>
      <c r="W30" s="252">
        <f t="shared" si="3"/>
        <v>0.2</v>
      </c>
      <c r="X30" s="203">
        <f t="shared" si="12"/>
        <v>1.4396</v>
      </c>
      <c r="Y30" s="203">
        <f t="shared" si="13"/>
        <v>1.008</v>
      </c>
      <c r="Z30" s="203">
        <f t="shared" si="14"/>
        <v>2.4499999999999997</v>
      </c>
      <c r="AA30" s="205">
        <f>+Table1[[#This Row],[calculated sale price]]</f>
        <v>2.4499999999999997</v>
      </c>
      <c r="AB30" s="204"/>
      <c r="AC30" s="208"/>
    </row>
    <row r="31" spans="1:29">
      <c r="A31" s="188">
        <v>1022</v>
      </c>
      <c r="B31" t="s">
        <v>417</v>
      </c>
      <c r="C31" s="188">
        <v>1</v>
      </c>
      <c r="I31" s="188"/>
      <c r="J31" s="188"/>
      <c r="K31" s="188"/>
      <c r="L31" s="199"/>
      <c r="M31" s="188"/>
      <c r="N31" s="200"/>
      <c r="O31" s="201">
        <v>0.44</v>
      </c>
      <c r="P31" s="201">
        <f>Table1[[#This Row],[unit cost]]</f>
        <v>0.44</v>
      </c>
      <c r="Q31" s="416">
        <v>0.5</v>
      </c>
      <c r="R31" s="188">
        <v>1</v>
      </c>
      <c r="S31" s="251">
        <f t="shared" si="0"/>
        <v>0.42</v>
      </c>
      <c r="T31" s="203">
        <f>Table1[[#This Row],[man minutes]]*Table1[[#This Row],[labor rate]]</f>
        <v>0.21</v>
      </c>
      <c r="U31" s="203">
        <f t="shared" si="11"/>
        <v>0.65</v>
      </c>
      <c r="V31" s="189">
        <f t="shared" si="8"/>
        <v>0.22</v>
      </c>
      <c r="W31" s="252">
        <f t="shared" si="3"/>
        <v>0.2</v>
      </c>
      <c r="X31" s="203">
        <f t="shared" si="12"/>
        <v>0.53679999999999994</v>
      </c>
      <c r="Y31" s="203">
        <f t="shared" si="13"/>
        <v>0.252</v>
      </c>
      <c r="Z31" s="203">
        <f t="shared" si="14"/>
        <v>0.79</v>
      </c>
      <c r="AA31" s="205">
        <f>+Table1[[#This Row],[calculated sale price]]</f>
        <v>0.79</v>
      </c>
      <c r="AB31" s="204"/>
      <c r="AC31" s="208"/>
    </row>
    <row r="32" spans="1:29">
      <c r="A32" s="188">
        <v>1023</v>
      </c>
      <c r="B32" t="s">
        <v>418</v>
      </c>
      <c r="C32" s="188">
        <v>1</v>
      </c>
      <c r="I32" s="188"/>
      <c r="J32" s="188"/>
      <c r="K32" s="188"/>
      <c r="L32" s="199"/>
      <c r="M32" s="188"/>
      <c r="N32" s="200"/>
      <c r="O32" s="201">
        <v>0.78</v>
      </c>
      <c r="P32" s="201">
        <f>Table1[[#This Row],[unit cost]]</f>
        <v>0.78</v>
      </c>
      <c r="Q32" s="416">
        <v>0.75</v>
      </c>
      <c r="R32" s="188">
        <v>1</v>
      </c>
      <c r="S32" s="251">
        <f t="shared" si="0"/>
        <v>0.42</v>
      </c>
      <c r="T32" s="203">
        <f>Table1[[#This Row],[man minutes]]*Table1[[#This Row],[labor rate]]</f>
        <v>0.315</v>
      </c>
      <c r="U32" s="203">
        <f t="shared" si="11"/>
        <v>1.095</v>
      </c>
      <c r="V32" s="189">
        <f t="shared" si="8"/>
        <v>0.22</v>
      </c>
      <c r="W32" s="252">
        <f t="shared" si="3"/>
        <v>0.2</v>
      </c>
      <c r="X32" s="203">
        <f t="shared" si="12"/>
        <v>0.9516</v>
      </c>
      <c r="Y32" s="203">
        <f t="shared" si="13"/>
        <v>0.378</v>
      </c>
      <c r="Z32" s="203">
        <f t="shared" si="14"/>
        <v>1.33</v>
      </c>
      <c r="AA32" s="205">
        <f>+Table1[[#This Row],[calculated sale price]]</f>
        <v>1.33</v>
      </c>
      <c r="AB32" s="204"/>
      <c r="AC32" s="208"/>
    </row>
    <row r="33" spans="1:29">
      <c r="A33" s="188">
        <v>1024</v>
      </c>
      <c r="B33" t="s">
        <v>419</v>
      </c>
      <c r="C33" s="188">
        <v>1</v>
      </c>
      <c r="I33" s="188"/>
      <c r="J33" s="188"/>
      <c r="K33" s="188"/>
      <c r="L33" s="199"/>
      <c r="M33" s="188"/>
      <c r="N33" s="200"/>
      <c r="O33" s="201">
        <v>0.85</v>
      </c>
      <c r="P33" s="201">
        <f>Table1[[#This Row],[unit cost]]</f>
        <v>0.85</v>
      </c>
      <c r="Q33" s="416">
        <v>1</v>
      </c>
      <c r="R33" s="188">
        <v>1</v>
      </c>
      <c r="S33" s="251">
        <f t="shared" si="0"/>
        <v>0.42</v>
      </c>
      <c r="T33" s="203">
        <f>Table1[[#This Row],[man minutes]]*Table1[[#This Row],[labor rate]]</f>
        <v>0.42</v>
      </c>
      <c r="U33" s="203">
        <f t="shared" si="11"/>
        <v>1.27</v>
      </c>
      <c r="V33" s="189">
        <f t="shared" si="8"/>
        <v>0.22</v>
      </c>
      <c r="W33" s="252">
        <f t="shared" si="3"/>
        <v>0.2</v>
      </c>
      <c r="X33" s="203">
        <f t="shared" si="12"/>
        <v>1.0369999999999999</v>
      </c>
      <c r="Y33" s="203">
        <f t="shared" si="13"/>
        <v>0.504</v>
      </c>
      <c r="Z33" s="203">
        <f t="shared" si="14"/>
        <v>1.55</v>
      </c>
      <c r="AA33" s="205">
        <f>+Table1[[#This Row],[calculated sale price]]</f>
        <v>1.55</v>
      </c>
      <c r="AB33" s="204"/>
      <c r="AC33" s="208"/>
    </row>
    <row r="34" spans="1:29">
      <c r="A34" s="188">
        <v>1025</v>
      </c>
      <c r="B34" s="333" t="s">
        <v>420</v>
      </c>
      <c r="C34" s="188">
        <v>1</v>
      </c>
      <c r="I34" s="188"/>
      <c r="J34" s="188"/>
      <c r="K34" s="188"/>
      <c r="L34" s="199"/>
      <c r="M34" s="188"/>
      <c r="N34" s="200"/>
      <c r="O34" s="201">
        <v>0.69</v>
      </c>
      <c r="P34" s="201">
        <f>Table1[[#This Row],[unit cost]]</f>
        <v>0.69</v>
      </c>
      <c r="Q34" s="416">
        <v>0.25</v>
      </c>
      <c r="R34" s="188">
        <v>1</v>
      </c>
      <c r="S34" s="251">
        <f t="shared" si="0"/>
        <v>0.42</v>
      </c>
      <c r="T34" s="203">
        <f>Table1[[#This Row],[man minutes]]*Table1[[#This Row],[labor rate]]</f>
        <v>0.105</v>
      </c>
      <c r="U34" s="203">
        <f t="shared" si="11"/>
        <v>0.79499999999999993</v>
      </c>
      <c r="V34" s="189">
        <f t="shared" si="8"/>
        <v>0.22</v>
      </c>
      <c r="W34" s="252">
        <f t="shared" si="3"/>
        <v>0.2</v>
      </c>
      <c r="X34" s="203">
        <f t="shared" si="12"/>
        <v>0.84179999999999988</v>
      </c>
      <c r="Y34" s="203">
        <f t="shared" si="13"/>
        <v>0.126</v>
      </c>
      <c r="Z34" s="203">
        <f t="shared" si="14"/>
        <v>0.97</v>
      </c>
      <c r="AA34" s="205">
        <f>+Table1[[#This Row],[calculated sale price]]</f>
        <v>0.97</v>
      </c>
      <c r="AB34" s="204"/>
      <c r="AC34" s="208"/>
    </row>
    <row r="35" spans="1:29">
      <c r="A35" s="188">
        <v>1026</v>
      </c>
      <c r="B35" t="s">
        <v>421</v>
      </c>
      <c r="C35" s="188">
        <v>1</v>
      </c>
      <c r="I35" s="188"/>
      <c r="J35" s="188"/>
      <c r="K35" s="188"/>
      <c r="L35" s="199"/>
      <c r="M35" s="188"/>
      <c r="N35" s="200"/>
      <c r="O35" s="201">
        <v>1.1399999999999999</v>
      </c>
      <c r="P35" s="201">
        <f>Table1[[#This Row],[unit cost]]</f>
        <v>1.1399999999999999</v>
      </c>
      <c r="Q35" s="416">
        <v>2</v>
      </c>
      <c r="R35" s="188">
        <v>1</v>
      </c>
      <c r="S35" s="251">
        <f t="shared" si="0"/>
        <v>0.42</v>
      </c>
      <c r="T35" s="203">
        <f>Table1[[#This Row],[man minutes]]*Table1[[#This Row],[labor rate]]</f>
        <v>0.84</v>
      </c>
      <c r="U35" s="203">
        <f t="shared" si="11"/>
        <v>1.98</v>
      </c>
      <c r="V35" s="189">
        <f t="shared" si="8"/>
        <v>0.22</v>
      </c>
      <c r="W35" s="252">
        <f t="shared" si="3"/>
        <v>0.2</v>
      </c>
      <c r="X35" s="203">
        <f t="shared" si="12"/>
        <v>1.3907999999999998</v>
      </c>
      <c r="Y35" s="203">
        <f t="shared" si="13"/>
        <v>1.008</v>
      </c>
      <c r="Z35" s="203">
        <f t="shared" si="14"/>
        <v>2.4</v>
      </c>
      <c r="AA35" s="205">
        <f>+Table1[[#This Row],[calculated sale price]]</f>
        <v>2.4</v>
      </c>
      <c r="AB35" s="204"/>
      <c r="AC35" s="208"/>
    </row>
    <row r="36" spans="1:29">
      <c r="A36" s="188">
        <v>1027</v>
      </c>
      <c r="B36" t="s">
        <v>422</v>
      </c>
      <c r="C36" s="188">
        <v>1</v>
      </c>
      <c r="I36" s="188"/>
      <c r="J36" s="188"/>
      <c r="K36" s="188"/>
      <c r="L36" s="199"/>
      <c r="M36" s="188"/>
      <c r="N36" s="200"/>
      <c r="O36" s="201">
        <v>1.1599999999999999</v>
      </c>
      <c r="P36" s="201">
        <f>Table1[[#This Row],[unit cost]]</f>
        <v>1.1599999999999999</v>
      </c>
      <c r="Q36" s="416">
        <v>0.5</v>
      </c>
      <c r="R36" s="188">
        <v>1</v>
      </c>
      <c r="S36" s="251">
        <f t="shared" si="0"/>
        <v>0.42</v>
      </c>
      <c r="T36" s="203">
        <f>Table1[[#This Row],[man minutes]]*Table1[[#This Row],[labor rate]]</f>
        <v>0.21</v>
      </c>
      <c r="U36" s="203">
        <f t="shared" si="11"/>
        <v>1.3699999999999999</v>
      </c>
      <c r="V36" s="189">
        <f t="shared" si="8"/>
        <v>0.22</v>
      </c>
      <c r="W36" s="252">
        <f t="shared" si="3"/>
        <v>0.2</v>
      </c>
      <c r="X36" s="203">
        <f t="shared" si="12"/>
        <v>1.4151999999999998</v>
      </c>
      <c r="Y36" s="203">
        <f t="shared" si="13"/>
        <v>0.252</v>
      </c>
      <c r="Z36" s="203">
        <f t="shared" si="14"/>
        <v>1.67</v>
      </c>
      <c r="AA36" s="205">
        <f>+Table1[[#This Row],[calculated sale price]]</f>
        <v>1.67</v>
      </c>
      <c r="AB36" s="204"/>
      <c r="AC36" s="208"/>
    </row>
    <row r="37" spans="1:29">
      <c r="A37" s="188">
        <v>1028</v>
      </c>
      <c r="B37" t="s">
        <v>423</v>
      </c>
      <c r="C37" s="188">
        <v>1</v>
      </c>
      <c r="I37" s="188"/>
      <c r="J37" s="188"/>
      <c r="K37" s="188"/>
      <c r="L37" s="199"/>
      <c r="M37" s="188"/>
      <c r="N37" s="200"/>
      <c r="O37" s="201">
        <v>0.47</v>
      </c>
      <c r="P37" s="201">
        <f>Table1[[#This Row],[unit cost]]</f>
        <v>0.47</v>
      </c>
      <c r="Q37" s="416">
        <v>0.5</v>
      </c>
      <c r="R37" s="188">
        <v>1</v>
      </c>
      <c r="S37" s="251">
        <f t="shared" si="0"/>
        <v>0.42</v>
      </c>
      <c r="T37" s="203">
        <f>Table1[[#This Row],[man minutes]]*Table1[[#This Row],[labor rate]]</f>
        <v>0.21</v>
      </c>
      <c r="U37" s="203">
        <f t="shared" si="11"/>
        <v>0.67999999999999994</v>
      </c>
      <c r="V37" s="189">
        <f t="shared" si="8"/>
        <v>0.22</v>
      </c>
      <c r="W37" s="252">
        <f t="shared" si="3"/>
        <v>0.2</v>
      </c>
      <c r="X37" s="203">
        <f t="shared" si="12"/>
        <v>0.57339999999999991</v>
      </c>
      <c r="Y37" s="203">
        <f t="shared" si="13"/>
        <v>0.252</v>
      </c>
      <c r="Z37" s="203">
        <f t="shared" si="14"/>
        <v>0.83</v>
      </c>
      <c r="AA37" s="205">
        <f>+Table1[[#This Row],[calculated sale price]]</f>
        <v>0.83</v>
      </c>
      <c r="AB37" s="204"/>
      <c r="AC37" s="208"/>
    </row>
    <row r="38" spans="1:29">
      <c r="A38" s="188">
        <v>1029</v>
      </c>
      <c r="B38" t="s">
        <v>424</v>
      </c>
      <c r="C38" s="188">
        <v>1</v>
      </c>
      <c r="I38" s="188"/>
      <c r="J38" s="188"/>
      <c r="K38" s="188"/>
      <c r="L38" s="199"/>
      <c r="M38" s="188"/>
      <c r="N38" s="200"/>
      <c r="O38" s="201">
        <v>0.3</v>
      </c>
      <c r="P38" s="201">
        <f>Table1[[#This Row],[unit cost]]</f>
        <v>0.3</v>
      </c>
      <c r="Q38" s="416">
        <v>0.25</v>
      </c>
      <c r="R38" s="188">
        <v>1</v>
      </c>
      <c r="S38" s="251">
        <f t="shared" si="0"/>
        <v>0.42</v>
      </c>
      <c r="T38" s="203">
        <f>Table1[[#This Row],[man minutes]]*Table1[[#This Row],[labor rate]]</f>
        <v>0.105</v>
      </c>
      <c r="U38" s="203">
        <f t="shared" si="11"/>
        <v>0.40499999999999997</v>
      </c>
      <c r="V38" s="189">
        <f t="shared" si="8"/>
        <v>0.22</v>
      </c>
      <c r="W38" s="252">
        <f t="shared" si="3"/>
        <v>0.2</v>
      </c>
      <c r="X38" s="203">
        <f t="shared" si="12"/>
        <v>0.36599999999999999</v>
      </c>
      <c r="Y38" s="203">
        <f t="shared" si="13"/>
        <v>0.126</v>
      </c>
      <c r="Z38" s="203">
        <f t="shared" si="14"/>
        <v>0.5</v>
      </c>
      <c r="AA38" s="205">
        <f>+Table1[[#This Row],[calculated sale price]]</f>
        <v>0.5</v>
      </c>
      <c r="AB38" s="204"/>
      <c r="AC38" s="208"/>
    </row>
    <row r="39" spans="1:29">
      <c r="A39" s="188">
        <v>1030</v>
      </c>
      <c r="B39" t="s">
        <v>425</v>
      </c>
      <c r="C39" s="188">
        <v>1</v>
      </c>
      <c r="I39" s="188"/>
      <c r="J39" s="188"/>
      <c r="K39" s="188"/>
      <c r="L39" s="199"/>
      <c r="M39" s="188"/>
      <c r="N39" s="200"/>
      <c r="O39" s="201">
        <v>0.56000000000000005</v>
      </c>
      <c r="P39" s="201">
        <f>Table1[[#This Row],[unit cost]]</f>
        <v>0.56000000000000005</v>
      </c>
      <c r="Q39" s="416">
        <v>1.25</v>
      </c>
      <c r="R39" s="188">
        <v>1</v>
      </c>
      <c r="S39" s="251">
        <f t="shared" si="0"/>
        <v>0.42</v>
      </c>
      <c r="T39" s="203">
        <f>Table1[[#This Row],[man minutes]]*Table1[[#This Row],[labor rate]]</f>
        <v>0.52500000000000002</v>
      </c>
      <c r="U39" s="203">
        <f t="shared" si="11"/>
        <v>1.085</v>
      </c>
      <c r="V39" s="189">
        <f t="shared" si="8"/>
        <v>0.22</v>
      </c>
      <c r="W39" s="252">
        <f t="shared" si="3"/>
        <v>0.2</v>
      </c>
      <c r="X39" s="203">
        <f t="shared" si="12"/>
        <v>0.68320000000000003</v>
      </c>
      <c r="Y39" s="203">
        <f t="shared" si="13"/>
        <v>0.63</v>
      </c>
      <c r="Z39" s="203">
        <f t="shared" si="14"/>
        <v>1.32</v>
      </c>
      <c r="AA39" s="205">
        <f>+Table1[[#This Row],[calculated sale price]]</f>
        <v>1.32</v>
      </c>
      <c r="AB39" s="204"/>
      <c r="AC39" s="208"/>
    </row>
    <row r="40" spans="1:29">
      <c r="A40" s="188">
        <v>1031</v>
      </c>
      <c r="B40" t="s">
        <v>426</v>
      </c>
      <c r="C40" s="188">
        <v>1</v>
      </c>
      <c r="I40" s="188"/>
      <c r="J40" s="188"/>
      <c r="K40" s="188"/>
      <c r="L40" s="199"/>
      <c r="M40" s="188"/>
      <c r="N40" s="200"/>
      <c r="O40" s="201">
        <v>10.43</v>
      </c>
      <c r="P40" s="201">
        <f>Table1[[#This Row],[unit cost]]</f>
        <v>10.43</v>
      </c>
      <c r="Q40" s="416">
        <v>5.5</v>
      </c>
      <c r="R40" s="188">
        <v>1</v>
      </c>
      <c r="S40" s="251">
        <f t="shared" si="0"/>
        <v>0.42</v>
      </c>
      <c r="T40" s="203">
        <f>Table1[[#This Row],[man minutes]]*Table1[[#This Row],[labor rate]]</f>
        <v>2.31</v>
      </c>
      <c r="U40" s="203">
        <f t="shared" si="11"/>
        <v>12.74</v>
      </c>
      <c r="V40" s="189">
        <f t="shared" si="8"/>
        <v>0.22</v>
      </c>
      <c r="W40" s="252">
        <f t="shared" si="3"/>
        <v>0.2</v>
      </c>
      <c r="X40" s="203">
        <f t="shared" si="12"/>
        <v>12.724599999999999</v>
      </c>
      <c r="Y40" s="203">
        <f t="shared" si="13"/>
        <v>2.7720000000000002</v>
      </c>
      <c r="Z40" s="203">
        <f t="shared" si="14"/>
        <v>15.5</v>
      </c>
      <c r="AA40" s="205">
        <f>+Table1[[#This Row],[calculated sale price]]</f>
        <v>15.5</v>
      </c>
      <c r="AB40" s="204"/>
      <c r="AC40" s="208"/>
    </row>
    <row r="41" spans="1:29">
      <c r="A41" s="188">
        <v>1032</v>
      </c>
      <c r="B41" t="s">
        <v>427</v>
      </c>
      <c r="C41" s="188">
        <v>1</v>
      </c>
      <c r="I41" s="188"/>
      <c r="J41" s="188"/>
      <c r="K41" s="188"/>
      <c r="L41" s="199"/>
      <c r="M41" s="188"/>
      <c r="N41" s="200"/>
      <c r="O41" s="201">
        <v>2.19</v>
      </c>
      <c r="P41" s="201">
        <f>Table1[[#This Row],[unit cost]]</f>
        <v>2.19</v>
      </c>
      <c r="Q41" s="416">
        <v>5.5</v>
      </c>
      <c r="R41" s="188">
        <v>1</v>
      </c>
      <c r="S41" s="251">
        <f t="shared" si="0"/>
        <v>0.42</v>
      </c>
      <c r="T41" s="203">
        <f>Table1[[#This Row],[man minutes]]*Table1[[#This Row],[labor rate]]</f>
        <v>2.31</v>
      </c>
      <c r="U41" s="203">
        <f t="shared" si="11"/>
        <v>4.5</v>
      </c>
      <c r="V41" s="189">
        <f t="shared" si="8"/>
        <v>0.22</v>
      </c>
      <c r="W41" s="252">
        <f t="shared" si="3"/>
        <v>0.2</v>
      </c>
      <c r="X41" s="203">
        <f t="shared" si="12"/>
        <v>2.6717999999999997</v>
      </c>
      <c r="Y41" s="203">
        <f t="shared" si="13"/>
        <v>2.7720000000000002</v>
      </c>
      <c r="Z41" s="203">
        <f t="shared" si="14"/>
        <v>5.45</v>
      </c>
      <c r="AA41" s="205">
        <f>+Table1[[#This Row],[calculated sale price]]</f>
        <v>5.45</v>
      </c>
      <c r="AB41" s="204"/>
      <c r="AC41" s="208"/>
    </row>
    <row r="42" spans="1:29">
      <c r="A42" s="188">
        <v>1033</v>
      </c>
      <c r="B42" t="s">
        <v>428</v>
      </c>
      <c r="C42" s="188">
        <v>1</v>
      </c>
      <c r="I42" s="188"/>
      <c r="J42" s="188"/>
      <c r="K42" s="188"/>
      <c r="L42" s="199"/>
      <c r="M42" s="188"/>
      <c r="N42" s="200"/>
      <c r="O42" s="201">
        <v>4.2</v>
      </c>
      <c r="P42" s="201">
        <f>Table1[[#This Row],[unit cost]]</f>
        <v>4.2</v>
      </c>
      <c r="Q42" s="416">
        <v>3.25</v>
      </c>
      <c r="R42" s="188">
        <v>1</v>
      </c>
      <c r="S42" s="251">
        <f t="shared" si="0"/>
        <v>0.42</v>
      </c>
      <c r="T42" s="203">
        <f>Table1[[#This Row],[man minutes]]*Table1[[#This Row],[labor rate]]</f>
        <v>1.365</v>
      </c>
      <c r="U42" s="203">
        <f t="shared" si="11"/>
        <v>5.5650000000000004</v>
      </c>
      <c r="V42" s="189">
        <f t="shared" si="8"/>
        <v>0.22</v>
      </c>
      <c r="W42" s="252">
        <f t="shared" si="3"/>
        <v>0.2</v>
      </c>
      <c r="X42" s="203">
        <f t="shared" si="12"/>
        <v>5.1239999999999997</v>
      </c>
      <c r="Y42" s="203">
        <f t="shared" si="13"/>
        <v>1.6379999999999999</v>
      </c>
      <c r="Z42" s="203">
        <f t="shared" si="14"/>
        <v>6.77</v>
      </c>
      <c r="AA42" s="205">
        <f>+Table1[[#This Row],[calculated sale price]]</f>
        <v>6.77</v>
      </c>
      <c r="AB42" s="204"/>
      <c r="AC42" s="208"/>
    </row>
    <row r="43" spans="1:29">
      <c r="A43" s="188">
        <v>1034</v>
      </c>
      <c r="B43" t="s">
        <v>429</v>
      </c>
      <c r="C43" s="188">
        <v>1</v>
      </c>
      <c r="I43" s="188"/>
      <c r="J43" s="188"/>
      <c r="K43" s="188"/>
      <c r="L43" s="199"/>
      <c r="M43" s="188"/>
      <c r="N43" s="200"/>
      <c r="O43" s="201">
        <v>0.83</v>
      </c>
      <c r="P43" s="201">
        <f>Table1[[#This Row],[unit cost]]</f>
        <v>0.83</v>
      </c>
      <c r="Q43" s="416">
        <v>1.25</v>
      </c>
      <c r="R43" s="188">
        <v>1</v>
      </c>
      <c r="S43" s="251">
        <f t="shared" si="0"/>
        <v>0.42</v>
      </c>
      <c r="T43" s="203">
        <f>Table1[[#This Row],[man minutes]]*Table1[[#This Row],[labor rate]]</f>
        <v>0.52500000000000002</v>
      </c>
      <c r="U43" s="203">
        <f t="shared" si="11"/>
        <v>1.355</v>
      </c>
      <c r="V43" s="189">
        <f t="shared" si="8"/>
        <v>0.22</v>
      </c>
      <c r="W43" s="252">
        <f t="shared" si="3"/>
        <v>0.2</v>
      </c>
      <c r="X43" s="203">
        <f t="shared" si="12"/>
        <v>1.0125999999999999</v>
      </c>
      <c r="Y43" s="203">
        <f t="shared" si="13"/>
        <v>0.63</v>
      </c>
      <c r="Z43" s="203">
        <f t="shared" si="14"/>
        <v>1.65</v>
      </c>
      <c r="AA43" s="205">
        <f>+Table1[[#This Row],[calculated sale price]]</f>
        <v>1.65</v>
      </c>
      <c r="AB43" s="204"/>
      <c r="AC43" s="208"/>
    </row>
    <row r="44" spans="1:29">
      <c r="A44" s="188">
        <v>1035</v>
      </c>
      <c r="B44" t="s">
        <v>430</v>
      </c>
      <c r="C44" s="188">
        <v>1</v>
      </c>
      <c r="I44" s="188"/>
      <c r="J44" s="188"/>
      <c r="K44" s="188"/>
      <c r="L44" s="199"/>
      <c r="M44" s="188"/>
      <c r="N44" s="200"/>
      <c r="O44" s="201">
        <v>1.9</v>
      </c>
      <c r="P44" s="201">
        <f>Table1[[#This Row],[unit cost]]</f>
        <v>1.9</v>
      </c>
      <c r="Q44" s="416">
        <v>2</v>
      </c>
      <c r="R44" s="188">
        <v>1</v>
      </c>
      <c r="S44" s="251">
        <f t="shared" si="0"/>
        <v>0.42</v>
      </c>
      <c r="T44" s="203">
        <f>Table1[[#This Row],[man minutes]]*Table1[[#This Row],[labor rate]]</f>
        <v>0.84</v>
      </c>
      <c r="U44" s="203">
        <f t="shared" si="11"/>
        <v>2.7399999999999998</v>
      </c>
      <c r="V44" s="189">
        <f t="shared" si="8"/>
        <v>0.22</v>
      </c>
      <c r="W44" s="252">
        <f t="shared" si="3"/>
        <v>0.2</v>
      </c>
      <c r="X44" s="203">
        <f t="shared" si="12"/>
        <v>2.3180000000000001</v>
      </c>
      <c r="Y44" s="203">
        <f t="shared" si="13"/>
        <v>1.008</v>
      </c>
      <c r="Z44" s="203">
        <f t="shared" si="14"/>
        <v>3.3299999999999996</v>
      </c>
      <c r="AA44" s="205">
        <f>+Table1[[#This Row],[calculated sale price]]</f>
        <v>3.3299999999999996</v>
      </c>
      <c r="AB44" s="204"/>
      <c r="AC44" s="208"/>
    </row>
    <row r="45" spans="1:29">
      <c r="A45" s="188">
        <v>1036</v>
      </c>
      <c r="B45" t="s">
        <v>431</v>
      </c>
      <c r="C45" s="188">
        <v>1</v>
      </c>
      <c r="I45" s="188"/>
      <c r="J45" s="188"/>
      <c r="K45" s="188"/>
      <c r="L45" s="199"/>
      <c r="M45" s="188"/>
      <c r="N45" s="200"/>
      <c r="O45" s="201">
        <v>1.77</v>
      </c>
      <c r="P45" s="201">
        <f>Table1[[#This Row],[unit cost]]</f>
        <v>1.77</v>
      </c>
      <c r="Q45" s="416">
        <v>3.25</v>
      </c>
      <c r="R45" s="188">
        <v>1</v>
      </c>
      <c r="S45" s="251">
        <f t="shared" si="0"/>
        <v>0.42</v>
      </c>
      <c r="T45" s="203">
        <f>Table1[[#This Row],[man minutes]]*Table1[[#This Row],[labor rate]]</f>
        <v>1.365</v>
      </c>
      <c r="U45" s="203">
        <f t="shared" si="11"/>
        <v>3.1349999999999998</v>
      </c>
      <c r="V45" s="189">
        <f t="shared" si="8"/>
        <v>0.22</v>
      </c>
      <c r="W45" s="252">
        <f t="shared" si="3"/>
        <v>0.2</v>
      </c>
      <c r="X45" s="203">
        <f t="shared" si="12"/>
        <v>2.1593999999999998</v>
      </c>
      <c r="Y45" s="203">
        <f t="shared" si="13"/>
        <v>1.6379999999999999</v>
      </c>
      <c r="Z45" s="203">
        <f t="shared" si="14"/>
        <v>3.8</v>
      </c>
      <c r="AA45" s="205">
        <f>+Table1[[#This Row],[calculated sale price]]</f>
        <v>3.8</v>
      </c>
      <c r="AB45" s="204"/>
      <c r="AC45" s="208"/>
    </row>
    <row r="46" spans="1:29">
      <c r="A46" s="188">
        <v>1037</v>
      </c>
      <c r="B46" t="s">
        <v>432</v>
      </c>
      <c r="C46" s="188">
        <v>1</v>
      </c>
      <c r="I46" s="188"/>
      <c r="J46" s="188"/>
      <c r="K46" s="188"/>
      <c r="L46" s="199"/>
      <c r="M46" s="188"/>
      <c r="N46" s="200"/>
      <c r="O46" s="201">
        <v>1.77</v>
      </c>
      <c r="P46" s="201">
        <f>Table1[[#This Row],[unit cost]]</f>
        <v>1.77</v>
      </c>
      <c r="Q46" s="416">
        <v>4</v>
      </c>
      <c r="R46" s="188">
        <v>1</v>
      </c>
      <c r="S46" s="251">
        <f t="shared" si="0"/>
        <v>0.42</v>
      </c>
      <c r="T46" s="203">
        <f>Table1[[#This Row],[man minutes]]*Table1[[#This Row],[labor rate]]</f>
        <v>1.68</v>
      </c>
      <c r="U46" s="203">
        <f t="shared" si="11"/>
        <v>3.45</v>
      </c>
      <c r="V46" s="189">
        <f t="shared" si="8"/>
        <v>0.22</v>
      </c>
      <c r="W46" s="252">
        <f t="shared" si="3"/>
        <v>0.2</v>
      </c>
      <c r="X46" s="203">
        <f t="shared" si="12"/>
        <v>2.1593999999999998</v>
      </c>
      <c r="Y46" s="203">
        <f t="shared" si="13"/>
        <v>2.016</v>
      </c>
      <c r="Z46" s="203">
        <f t="shared" si="14"/>
        <v>4.18</v>
      </c>
      <c r="AA46" s="205">
        <f>+Table1[[#This Row],[calculated sale price]]</f>
        <v>4.18</v>
      </c>
      <c r="AB46" s="204"/>
      <c r="AC46" s="208"/>
    </row>
    <row r="47" spans="1:29">
      <c r="A47" s="188">
        <v>1038</v>
      </c>
      <c r="B47" s="333" t="s">
        <v>433</v>
      </c>
      <c r="C47" s="188">
        <v>1</v>
      </c>
      <c r="I47" s="188"/>
      <c r="J47" s="188"/>
      <c r="K47" s="188"/>
      <c r="L47" s="199"/>
      <c r="M47" s="188"/>
      <c r="N47" s="200"/>
      <c r="O47" s="201">
        <v>1.1100000000000001</v>
      </c>
      <c r="P47" s="201">
        <f>Table1[[#This Row],[unit cost]]</f>
        <v>1.1100000000000001</v>
      </c>
      <c r="Q47" s="416">
        <v>2.5</v>
      </c>
      <c r="R47" s="188">
        <v>1</v>
      </c>
      <c r="S47" s="251">
        <f t="shared" si="0"/>
        <v>0.42</v>
      </c>
      <c r="T47" s="203">
        <f>Table1[[#This Row],[man minutes]]*Table1[[#This Row],[labor rate]]</f>
        <v>1.05</v>
      </c>
      <c r="U47" s="203">
        <f t="shared" si="11"/>
        <v>2.16</v>
      </c>
      <c r="V47" s="189">
        <f t="shared" si="8"/>
        <v>0.22</v>
      </c>
      <c r="W47" s="252">
        <f t="shared" si="3"/>
        <v>0.2</v>
      </c>
      <c r="X47" s="203">
        <f t="shared" si="12"/>
        <v>1.3542000000000001</v>
      </c>
      <c r="Y47" s="203">
        <f t="shared" si="13"/>
        <v>1.26</v>
      </c>
      <c r="Z47" s="203">
        <f t="shared" si="14"/>
        <v>2.6199999999999997</v>
      </c>
      <c r="AA47" s="205">
        <f>+Table1[[#This Row],[calculated sale price]]</f>
        <v>2.6199999999999997</v>
      </c>
      <c r="AB47" s="204"/>
      <c r="AC47" s="208"/>
    </row>
    <row r="48" spans="1:29">
      <c r="A48" s="188">
        <v>1039</v>
      </c>
      <c r="B48" t="s">
        <v>434</v>
      </c>
      <c r="C48" s="188">
        <v>1</v>
      </c>
      <c r="I48" s="188"/>
      <c r="J48" s="188"/>
      <c r="K48" s="188"/>
      <c r="L48" s="199"/>
      <c r="M48" s="188"/>
      <c r="N48" s="200"/>
      <c r="O48" s="201">
        <v>0.61</v>
      </c>
      <c r="P48" s="201">
        <f>Table1[[#This Row],[unit cost]]</f>
        <v>0.61</v>
      </c>
      <c r="Q48" s="416">
        <v>1.5</v>
      </c>
      <c r="R48" s="188">
        <v>1</v>
      </c>
      <c r="S48" s="251">
        <f t="shared" si="0"/>
        <v>0.42</v>
      </c>
      <c r="T48" s="203">
        <f>Table1[[#This Row],[man minutes]]*Table1[[#This Row],[labor rate]]</f>
        <v>0.63</v>
      </c>
      <c r="U48" s="203">
        <f t="shared" si="11"/>
        <v>1.24</v>
      </c>
      <c r="V48" s="189">
        <f t="shared" si="8"/>
        <v>0.22</v>
      </c>
      <c r="W48" s="252">
        <f t="shared" si="3"/>
        <v>0.2</v>
      </c>
      <c r="X48" s="203">
        <f t="shared" si="12"/>
        <v>0.74419999999999997</v>
      </c>
      <c r="Y48" s="203">
        <f t="shared" si="13"/>
        <v>0.75600000000000001</v>
      </c>
      <c r="Z48" s="203">
        <f t="shared" si="14"/>
        <v>1.51</v>
      </c>
      <c r="AA48" s="205">
        <f>+Table1[[#This Row],[calculated sale price]]</f>
        <v>1.51</v>
      </c>
      <c r="AB48" s="204"/>
      <c r="AC48" s="208"/>
    </row>
    <row r="49" spans="1:29">
      <c r="A49" s="188">
        <v>1040</v>
      </c>
      <c r="B49" t="s">
        <v>435</v>
      </c>
      <c r="C49" s="188">
        <v>1</v>
      </c>
      <c r="I49" s="188"/>
      <c r="J49" s="188"/>
      <c r="K49" s="188"/>
      <c r="L49" s="199"/>
      <c r="M49" s="188"/>
      <c r="N49" s="200"/>
      <c r="O49" s="201">
        <v>0.48</v>
      </c>
      <c r="P49" s="201">
        <f>Table1[[#This Row],[unit cost]]</f>
        <v>0.48</v>
      </c>
      <c r="Q49" s="416">
        <v>0.5</v>
      </c>
      <c r="R49" s="188">
        <v>1</v>
      </c>
      <c r="S49" s="251">
        <f t="shared" si="0"/>
        <v>0.42</v>
      </c>
      <c r="T49" s="203">
        <f>Table1[[#This Row],[man minutes]]*Table1[[#This Row],[labor rate]]</f>
        <v>0.21</v>
      </c>
      <c r="U49" s="203">
        <f t="shared" si="11"/>
        <v>0.69</v>
      </c>
      <c r="V49" s="189">
        <f t="shared" si="8"/>
        <v>0.22</v>
      </c>
      <c r="W49" s="252">
        <f t="shared" si="3"/>
        <v>0.2</v>
      </c>
      <c r="X49" s="203">
        <f t="shared" si="12"/>
        <v>0.58560000000000001</v>
      </c>
      <c r="Y49" s="203">
        <f t="shared" si="13"/>
        <v>0.252</v>
      </c>
      <c r="Z49" s="203">
        <f t="shared" si="14"/>
        <v>0.84</v>
      </c>
      <c r="AA49" s="205">
        <f>+Table1[[#This Row],[calculated sale price]]</f>
        <v>0.84</v>
      </c>
      <c r="AB49" s="204"/>
      <c r="AC49" s="208"/>
    </row>
    <row r="50" spans="1:29">
      <c r="A50" s="188">
        <v>1041</v>
      </c>
      <c r="B50" t="s">
        <v>436</v>
      </c>
      <c r="C50" s="188">
        <v>1</v>
      </c>
      <c r="I50" s="188"/>
      <c r="J50" s="188"/>
      <c r="K50" s="188"/>
      <c r="L50" s="199"/>
      <c r="M50" s="188"/>
      <c r="N50" s="200"/>
      <c r="O50" s="201">
        <v>0.55000000000000004</v>
      </c>
      <c r="P50" s="201">
        <f>Table1[[#This Row],[unit cost]]</f>
        <v>0.55000000000000004</v>
      </c>
      <c r="Q50" s="416">
        <v>2.5</v>
      </c>
      <c r="R50" s="188">
        <v>1</v>
      </c>
      <c r="S50" s="251">
        <f t="shared" si="0"/>
        <v>0.42</v>
      </c>
      <c r="T50" s="203">
        <f>Table1[[#This Row],[man minutes]]*Table1[[#This Row],[labor rate]]</f>
        <v>1.05</v>
      </c>
      <c r="U50" s="203">
        <f t="shared" si="11"/>
        <v>1.6</v>
      </c>
      <c r="V50" s="189">
        <f t="shared" si="8"/>
        <v>0.22</v>
      </c>
      <c r="W50" s="252">
        <f t="shared" si="3"/>
        <v>0.2</v>
      </c>
      <c r="X50" s="203">
        <f t="shared" si="12"/>
        <v>0.67100000000000004</v>
      </c>
      <c r="Y50" s="203">
        <f t="shared" si="13"/>
        <v>1.26</v>
      </c>
      <c r="Z50" s="203">
        <f t="shared" si="14"/>
        <v>1.94</v>
      </c>
      <c r="AA50" s="205">
        <f>+Table1[[#This Row],[calculated sale price]]</f>
        <v>1.94</v>
      </c>
      <c r="AB50" s="204"/>
      <c r="AC50" s="208"/>
    </row>
    <row r="51" spans="1:29">
      <c r="A51" s="188">
        <v>1042</v>
      </c>
      <c r="B51" t="s">
        <v>437</v>
      </c>
      <c r="C51" s="188">
        <v>1</v>
      </c>
      <c r="I51" s="188"/>
      <c r="J51" s="188"/>
      <c r="K51" s="188"/>
      <c r="L51" s="199"/>
      <c r="M51" s="188"/>
      <c r="N51" s="200"/>
      <c r="O51" s="201">
        <v>0.3</v>
      </c>
      <c r="P51" s="201">
        <f>Table1[[#This Row],[unit cost]]</f>
        <v>0.3</v>
      </c>
      <c r="Q51" s="416">
        <v>0.25</v>
      </c>
      <c r="R51" s="188">
        <v>1</v>
      </c>
      <c r="S51" s="251">
        <f t="shared" si="0"/>
        <v>0.42</v>
      </c>
      <c r="T51" s="203">
        <f>Table1[[#This Row],[man minutes]]*Table1[[#This Row],[labor rate]]</f>
        <v>0.105</v>
      </c>
      <c r="U51" s="203">
        <f t="shared" si="11"/>
        <v>0.40499999999999997</v>
      </c>
      <c r="V51" s="189">
        <f t="shared" si="8"/>
        <v>0.22</v>
      </c>
      <c r="W51" s="252">
        <f t="shared" si="3"/>
        <v>0.2</v>
      </c>
      <c r="X51" s="203">
        <f t="shared" si="12"/>
        <v>0.36599999999999999</v>
      </c>
      <c r="Y51" s="203">
        <f t="shared" si="13"/>
        <v>0.126</v>
      </c>
      <c r="Z51" s="203">
        <f t="shared" si="14"/>
        <v>0.5</v>
      </c>
      <c r="AA51" s="205">
        <f>+Table1[[#This Row],[calculated sale price]]</f>
        <v>0.5</v>
      </c>
      <c r="AB51" s="204"/>
      <c r="AC51" s="208"/>
    </row>
    <row r="52" spans="1:29">
      <c r="A52" s="188">
        <v>1043</v>
      </c>
      <c r="B52" t="s">
        <v>438</v>
      </c>
      <c r="C52" s="188">
        <v>1</v>
      </c>
      <c r="I52" s="188"/>
      <c r="J52" s="188"/>
      <c r="K52" s="188"/>
      <c r="L52" s="199"/>
      <c r="M52" s="188"/>
      <c r="N52" s="200"/>
      <c r="O52" s="201">
        <v>0.14000000000000001</v>
      </c>
      <c r="P52" s="201">
        <f>Table1[[#This Row],[unit cost]]</f>
        <v>0.14000000000000001</v>
      </c>
      <c r="Q52" s="416">
        <v>0.25</v>
      </c>
      <c r="R52" s="188">
        <v>1</v>
      </c>
      <c r="S52" s="251">
        <f t="shared" si="0"/>
        <v>0.42</v>
      </c>
      <c r="T52" s="203">
        <f>Table1[[#This Row],[man minutes]]*Table1[[#This Row],[labor rate]]</f>
        <v>0.105</v>
      </c>
      <c r="U52" s="203">
        <f t="shared" si="11"/>
        <v>0.245</v>
      </c>
      <c r="V52" s="189">
        <f t="shared" si="8"/>
        <v>0.22</v>
      </c>
      <c r="W52" s="252">
        <f t="shared" si="3"/>
        <v>0.2</v>
      </c>
      <c r="X52" s="203">
        <f t="shared" si="12"/>
        <v>0.17080000000000001</v>
      </c>
      <c r="Y52" s="203">
        <f t="shared" si="13"/>
        <v>0.126</v>
      </c>
      <c r="Z52" s="203">
        <f t="shared" si="14"/>
        <v>0.3</v>
      </c>
      <c r="AA52" s="205">
        <f>+Table1[[#This Row],[calculated sale price]]</f>
        <v>0.3</v>
      </c>
      <c r="AB52" s="204"/>
      <c r="AC52" s="208"/>
    </row>
    <row r="53" spans="1:29">
      <c r="A53" s="188">
        <v>1044</v>
      </c>
      <c r="B53" t="s">
        <v>439</v>
      </c>
      <c r="C53" s="188">
        <v>1</v>
      </c>
      <c r="I53" s="188"/>
      <c r="J53" s="188"/>
      <c r="K53" s="188"/>
      <c r="L53" s="199"/>
      <c r="M53" s="188"/>
      <c r="N53" s="200"/>
      <c r="O53" s="201">
        <v>0.28999999999999998</v>
      </c>
      <c r="P53" s="201">
        <f>Table1[[#This Row],[unit cost]]</f>
        <v>0.28999999999999998</v>
      </c>
      <c r="Q53" s="416">
        <v>1.25</v>
      </c>
      <c r="R53" s="188">
        <v>1</v>
      </c>
      <c r="S53" s="251">
        <f t="shared" si="0"/>
        <v>0.42</v>
      </c>
      <c r="T53" s="203">
        <f>Table1[[#This Row],[man minutes]]*Table1[[#This Row],[labor rate]]</f>
        <v>0.52500000000000002</v>
      </c>
      <c r="U53" s="203">
        <f t="shared" si="11"/>
        <v>0.81499999999999995</v>
      </c>
      <c r="V53" s="189">
        <f t="shared" si="8"/>
        <v>0.22</v>
      </c>
      <c r="W53" s="252">
        <f t="shared" si="3"/>
        <v>0.2</v>
      </c>
      <c r="X53" s="203">
        <f t="shared" si="12"/>
        <v>0.35379999999999995</v>
      </c>
      <c r="Y53" s="203">
        <f t="shared" si="13"/>
        <v>0.63</v>
      </c>
      <c r="Z53" s="203">
        <f t="shared" si="14"/>
        <v>0.99</v>
      </c>
      <c r="AA53" s="205">
        <f>+Table1[[#This Row],[calculated sale price]]</f>
        <v>0.99</v>
      </c>
      <c r="AB53" s="204"/>
      <c r="AC53" s="208"/>
    </row>
    <row r="54" spans="1:29">
      <c r="A54" s="188">
        <v>1045</v>
      </c>
      <c r="B54" t="s">
        <v>440</v>
      </c>
      <c r="C54" s="188">
        <v>1</v>
      </c>
      <c r="I54" s="188"/>
      <c r="J54" s="188"/>
      <c r="K54" s="188"/>
      <c r="L54" s="199"/>
      <c r="M54" s="188"/>
      <c r="N54" s="200"/>
      <c r="O54" s="201">
        <v>0.43</v>
      </c>
      <c r="P54" s="201">
        <f>Table1[[#This Row],[unit cost]]</f>
        <v>0.43</v>
      </c>
      <c r="Q54" s="416">
        <v>1.25</v>
      </c>
      <c r="R54" s="188">
        <v>1</v>
      </c>
      <c r="S54" s="251">
        <f t="shared" si="0"/>
        <v>0.42</v>
      </c>
      <c r="T54" s="203">
        <f>Table1[[#This Row],[man minutes]]*Table1[[#This Row],[labor rate]]</f>
        <v>0.52500000000000002</v>
      </c>
      <c r="U54" s="203">
        <f t="shared" si="11"/>
        <v>0.95500000000000007</v>
      </c>
      <c r="V54" s="189">
        <f t="shared" si="8"/>
        <v>0.22</v>
      </c>
      <c r="W54" s="252">
        <f t="shared" si="3"/>
        <v>0.2</v>
      </c>
      <c r="X54" s="203">
        <f t="shared" si="12"/>
        <v>0.52459999999999996</v>
      </c>
      <c r="Y54" s="203">
        <f t="shared" si="13"/>
        <v>0.63</v>
      </c>
      <c r="Z54" s="203">
        <f t="shared" si="14"/>
        <v>1.1599999999999999</v>
      </c>
      <c r="AA54" s="205">
        <f>+Table1[[#This Row],[calculated sale price]]</f>
        <v>1.1599999999999999</v>
      </c>
      <c r="AB54" s="204"/>
      <c r="AC54" s="208"/>
    </row>
    <row r="55" spans="1:29">
      <c r="A55" s="188">
        <v>1046</v>
      </c>
      <c r="B55" t="s">
        <v>441</v>
      </c>
      <c r="C55" s="188">
        <v>1</v>
      </c>
      <c r="I55" s="188"/>
      <c r="J55" s="188"/>
      <c r="K55" s="188"/>
      <c r="L55" s="199"/>
      <c r="M55" s="188"/>
      <c r="N55" s="200"/>
      <c r="O55" s="201">
        <v>1.54</v>
      </c>
      <c r="P55" s="201">
        <f>Table1[[#This Row],[unit cost]]</f>
        <v>1.54</v>
      </c>
      <c r="Q55" s="416">
        <v>4.75</v>
      </c>
      <c r="R55" s="188">
        <v>1</v>
      </c>
      <c r="S55" s="251">
        <f t="shared" si="0"/>
        <v>0.42</v>
      </c>
      <c r="T55" s="203">
        <f>Table1[[#This Row],[man minutes]]*Table1[[#This Row],[labor rate]]</f>
        <v>1.9949999999999999</v>
      </c>
      <c r="U55" s="203">
        <f t="shared" si="11"/>
        <v>3.5350000000000001</v>
      </c>
      <c r="V55" s="189">
        <f t="shared" si="8"/>
        <v>0.22</v>
      </c>
      <c r="W55" s="252">
        <f t="shared" si="3"/>
        <v>0.2</v>
      </c>
      <c r="X55" s="203">
        <f t="shared" si="12"/>
        <v>1.8788</v>
      </c>
      <c r="Y55" s="203">
        <f t="shared" si="13"/>
        <v>2.3940000000000001</v>
      </c>
      <c r="Z55" s="203">
        <f t="shared" si="14"/>
        <v>4.2799999999999994</v>
      </c>
      <c r="AA55" s="205">
        <f>+Table1[[#This Row],[calculated sale price]]</f>
        <v>4.2799999999999994</v>
      </c>
      <c r="AB55" s="204"/>
      <c r="AC55" s="208"/>
    </row>
    <row r="56" spans="1:29">
      <c r="A56" s="188">
        <v>1047</v>
      </c>
      <c r="B56" t="s">
        <v>442</v>
      </c>
      <c r="C56" s="188">
        <v>1</v>
      </c>
      <c r="I56" s="188"/>
      <c r="J56" s="188"/>
      <c r="K56" s="188"/>
      <c r="L56" s="199"/>
      <c r="M56" s="188"/>
      <c r="N56" s="200"/>
      <c r="O56" s="201">
        <v>1.51</v>
      </c>
      <c r="P56" s="201">
        <f>Table1[[#This Row],[unit cost]]</f>
        <v>1.51</v>
      </c>
      <c r="Q56" s="416">
        <v>4</v>
      </c>
      <c r="R56" s="188">
        <v>1</v>
      </c>
      <c r="S56" s="251">
        <f t="shared" si="0"/>
        <v>0.42</v>
      </c>
      <c r="T56" s="203">
        <f>Table1[[#This Row],[man minutes]]*Table1[[#This Row],[labor rate]]</f>
        <v>1.68</v>
      </c>
      <c r="U56" s="203">
        <f t="shared" si="11"/>
        <v>3.19</v>
      </c>
      <c r="V56" s="189">
        <f t="shared" si="8"/>
        <v>0.22</v>
      </c>
      <c r="W56" s="252">
        <f t="shared" si="3"/>
        <v>0.2</v>
      </c>
      <c r="X56" s="203">
        <f t="shared" si="12"/>
        <v>1.8422000000000001</v>
      </c>
      <c r="Y56" s="203">
        <f t="shared" si="13"/>
        <v>2.016</v>
      </c>
      <c r="Z56" s="203">
        <f t="shared" si="14"/>
        <v>3.86</v>
      </c>
      <c r="AA56" s="205">
        <f>+Table1[[#This Row],[calculated sale price]]</f>
        <v>3.86</v>
      </c>
      <c r="AB56" s="204"/>
      <c r="AC56" s="208"/>
    </row>
    <row r="57" spans="1:29">
      <c r="A57" s="188">
        <v>1048</v>
      </c>
      <c r="B57" t="s">
        <v>443</v>
      </c>
      <c r="C57" s="188">
        <v>1</v>
      </c>
      <c r="I57" s="188"/>
      <c r="J57" s="188"/>
      <c r="K57" s="188"/>
      <c r="L57" s="199"/>
      <c r="M57" s="188"/>
      <c r="N57" s="200"/>
      <c r="O57" s="201">
        <v>0.05</v>
      </c>
      <c r="P57" s="201">
        <f>Table1[[#This Row],[unit cost]]</f>
        <v>0.05</v>
      </c>
      <c r="Q57" s="416">
        <v>1</v>
      </c>
      <c r="R57" s="188">
        <v>1</v>
      </c>
      <c r="S57" s="251">
        <f t="shared" si="0"/>
        <v>0.42</v>
      </c>
      <c r="T57" s="203">
        <f>Table1[[#This Row],[man minutes]]*Table1[[#This Row],[labor rate]]</f>
        <v>0.42</v>
      </c>
      <c r="U57" s="203">
        <f t="shared" si="11"/>
        <v>0.47</v>
      </c>
      <c r="V57" s="189">
        <f t="shared" si="8"/>
        <v>0.22</v>
      </c>
      <c r="W57" s="252">
        <f t="shared" si="3"/>
        <v>0.2</v>
      </c>
      <c r="X57" s="203">
        <f t="shared" si="12"/>
        <v>6.0999999999999999E-2</v>
      </c>
      <c r="Y57" s="203">
        <f t="shared" si="13"/>
        <v>0.504</v>
      </c>
      <c r="Z57" s="203">
        <f t="shared" si="14"/>
        <v>0.57000000000000006</v>
      </c>
      <c r="AA57" s="205">
        <f>+Table1[[#This Row],[calculated sale price]]</f>
        <v>0.57000000000000006</v>
      </c>
      <c r="AB57" s="204"/>
      <c r="AC57" s="208"/>
    </row>
    <row r="58" spans="1:29">
      <c r="A58" s="188">
        <v>1049</v>
      </c>
      <c r="B58" t="s">
        <v>444</v>
      </c>
      <c r="C58" s="188">
        <v>1</v>
      </c>
      <c r="I58" s="188"/>
      <c r="J58" s="188"/>
      <c r="K58" s="188"/>
      <c r="L58" s="199"/>
      <c r="M58" s="188"/>
      <c r="N58" s="200"/>
      <c r="O58" s="201">
        <v>0.63</v>
      </c>
      <c r="P58" s="201">
        <f>Table1[[#This Row],[unit cost]]</f>
        <v>0.63</v>
      </c>
      <c r="Q58" s="416">
        <v>1.5</v>
      </c>
      <c r="R58" s="188">
        <v>1</v>
      </c>
      <c r="S58" s="251">
        <f t="shared" si="0"/>
        <v>0.42</v>
      </c>
      <c r="T58" s="203">
        <f>Table1[[#This Row],[man minutes]]*Table1[[#This Row],[labor rate]]</f>
        <v>0.63</v>
      </c>
      <c r="U58" s="203">
        <f t="shared" si="11"/>
        <v>1.26</v>
      </c>
      <c r="V58" s="189">
        <f t="shared" si="8"/>
        <v>0.22</v>
      </c>
      <c r="W58" s="252">
        <f t="shared" si="3"/>
        <v>0.2</v>
      </c>
      <c r="X58" s="203">
        <f t="shared" si="12"/>
        <v>0.76859999999999995</v>
      </c>
      <c r="Y58" s="203">
        <f t="shared" si="13"/>
        <v>0.75600000000000001</v>
      </c>
      <c r="Z58" s="203">
        <f t="shared" si="14"/>
        <v>1.53</v>
      </c>
      <c r="AA58" s="205">
        <f>+Table1[[#This Row],[calculated sale price]]</f>
        <v>1.53</v>
      </c>
      <c r="AB58" s="204"/>
      <c r="AC58" s="208"/>
    </row>
    <row r="59" spans="1:29">
      <c r="A59" s="188">
        <v>1050</v>
      </c>
      <c r="B59" t="s">
        <v>445</v>
      </c>
      <c r="C59" s="188">
        <v>1</v>
      </c>
      <c r="I59" s="188"/>
      <c r="J59" s="188"/>
      <c r="K59" s="188"/>
      <c r="L59" s="199"/>
      <c r="M59" s="188"/>
      <c r="N59" s="200"/>
      <c r="O59" s="201">
        <v>1.3</v>
      </c>
      <c r="P59" s="201">
        <f>Table1[[#This Row],[unit cost]]</f>
        <v>1.3</v>
      </c>
      <c r="Q59" s="416">
        <v>1.25</v>
      </c>
      <c r="R59" s="188">
        <v>1</v>
      </c>
      <c r="S59" s="251">
        <f t="shared" si="0"/>
        <v>0.42</v>
      </c>
      <c r="T59" s="203">
        <f>Table1[[#This Row],[man minutes]]*Table1[[#This Row],[labor rate]]</f>
        <v>0.52500000000000002</v>
      </c>
      <c r="U59" s="203">
        <f t="shared" si="11"/>
        <v>1.8250000000000002</v>
      </c>
      <c r="V59" s="189">
        <f t="shared" si="8"/>
        <v>0.22</v>
      </c>
      <c r="W59" s="252">
        <f t="shared" si="3"/>
        <v>0.2</v>
      </c>
      <c r="X59" s="203">
        <f t="shared" si="12"/>
        <v>1.5860000000000001</v>
      </c>
      <c r="Y59" s="203">
        <f t="shared" si="13"/>
        <v>0.63</v>
      </c>
      <c r="Z59" s="203">
        <f t="shared" si="14"/>
        <v>2.2199999999999998</v>
      </c>
      <c r="AA59" s="205">
        <f>+Table1[[#This Row],[calculated sale price]]</f>
        <v>2.2199999999999998</v>
      </c>
      <c r="AB59" s="204"/>
      <c r="AC59" s="208"/>
    </row>
    <row r="60" spans="1:29">
      <c r="A60" s="188">
        <v>1051</v>
      </c>
      <c r="B60" t="s">
        <v>446</v>
      </c>
      <c r="C60" s="188">
        <v>1</v>
      </c>
      <c r="I60" s="188"/>
      <c r="J60" s="188"/>
      <c r="K60" s="188"/>
      <c r="L60" s="199"/>
      <c r="M60" s="188"/>
      <c r="N60" s="200"/>
      <c r="O60" s="201">
        <v>1.94</v>
      </c>
      <c r="P60" s="201">
        <f>Table1[[#This Row],[unit cost]]</f>
        <v>1.94</v>
      </c>
      <c r="Q60" s="416">
        <v>1.25</v>
      </c>
      <c r="R60" s="188">
        <v>1</v>
      </c>
      <c r="S60" s="251">
        <f t="shared" si="0"/>
        <v>0.42</v>
      </c>
      <c r="T60" s="203">
        <f>Table1[[#This Row],[man minutes]]*Table1[[#This Row],[labor rate]]</f>
        <v>0.52500000000000002</v>
      </c>
      <c r="U60" s="203">
        <f t="shared" si="11"/>
        <v>2.4649999999999999</v>
      </c>
      <c r="V60" s="189">
        <f t="shared" si="8"/>
        <v>0.22</v>
      </c>
      <c r="W60" s="252">
        <f t="shared" si="3"/>
        <v>0.2</v>
      </c>
      <c r="X60" s="203">
        <f t="shared" si="12"/>
        <v>2.3668</v>
      </c>
      <c r="Y60" s="203">
        <f t="shared" si="13"/>
        <v>0.63</v>
      </c>
      <c r="Z60" s="203">
        <f t="shared" si="14"/>
        <v>3</v>
      </c>
      <c r="AA60" s="205">
        <f>+Table1[[#This Row],[calculated sale price]]</f>
        <v>3</v>
      </c>
      <c r="AB60" s="204"/>
      <c r="AC60" s="208"/>
    </row>
    <row r="61" spans="1:29">
      <c r="A61" s="188">
        <v>1052</v>
      </c>
      <c r="B61" t="s">
        <v>447</v>
      </c>
      <c r="C61" s="188">
        <v>1</v>
      </c>
      <c r="I61" s="188"/>
      <c r="J61" s="188"/>
      <c r="K61" s="188"/>
      <c r="L61" s="199"/>
      <c r="M61" s="188"/>
      <c r="N61" s="200"/>
      <c r="O61" s="201">
        <v>0.59</v>
      </c>
      <c r="P61" s="201">
        <f>Table1[[#This Row],[unit cost]]</f>
        <v>0.59</v>
      </c>
      <c r="Q61" s="416">
        <v>1.5</v>
      </c>
      <c r="R61" s="188">
        <v>1</v>
      </c>
      <c r="S61" s="251">
        <f t="shared" ref="S61:S124" si="15">$S$2</f>
        <v>0.42</v>
      </c>
      <c r="T61" s="203">
        <f>Table1[[#This Row],[man minutes]]*Table1[[#This Row],[labor rate]]</f>
        <v>0.63</v>
      </c>
      <c r="U61" s="203">
        <f t="shared" si="11"/>
        <v>1.22</v>
      </c>
      <c r="V61" s="189">
        <f t="shared" si="8"/>
        <v>0.22</v>
      </c>
      <c r="W61" s="252">
        <f t="shared" si="3"/>
        <v>0.2</v>
      </c>
      <c r="X61" s="203">
        <f t="shared" si="12"/>
        <v>0.7198</v>
      </c>
      <c r="Y61" s="203">
        <f t="shared" si="13"/>
        <v>0.75600000000000001</v>
      </c>
      <c r="Z61" s="203">
        <f t="shared" si="14"/>
        <v>1.48</v>
      </c>
      <c r="AA61" s="205">
        <f>+Table1[[#This Row],[calculated sale price]]</f>
        <v>1.48</v>
      </c>
      <c r="AB61" s="204"/>
      <c r="AC61" s="208"/>
    </row>
    <row r="62" spans="1:29">
      <c r="A62" s="188">
        <v>1053</v>
      </c>
      <c r="B62" t="s">
        <v>448</v>
      </c>
      <c r="C62" s="188">
        <v>1</v>
      </c>
      <c r="I62" s="188"/>
      <c r="J62" s="188"/>
      <c r="K62" s="188"/>
      <c r="L62" s="199"/>
      <c r="M62" s="188"/>
      <c r="N62" s="200"/>
      <c r="O62" s="201">
        <v>0.28000000000000003</v>
      </c>
      <c r="P62" s="201">
        <f>Table1[[#This Row],[unit cost]]</f>
        <v>0.28000000000000003</v>
      </c>
      <c r="Q62" s="416">
        <v>1</v>
      </c>
      <c r="R62" s="188">
        <v>1</v>
      </c>
      <c r="S62" s="251">
        <f t="shared" si="15"/>
        <v>0.42</v>
      </c>
      <c r="T62" s="203">
        <f>Table1[[#This Row],[man minutes]]*Table1[[#This Row],[labor rate]]</f>
        <v>0.42</v>
      </c>
      <c r="U62" s="203">
        <f t="shared" si="11"/>
        <v>0.7</v>
      </c>
      <c r="V62" s="189">
        <f t="shared" si="8"/>
        <v>0.22</v>
      </c>
      <c r="W62" s="252">
        <f t="shared" ref="W62:W125" si="16">$W$2</f>
        <v>0.2</v>
      </c>
      <c r="X62" s="203">
        <f t="shared" si="12"/>
        <v>0.34160000000000001</v>
      </c>
      <c r="Y62" s="203">
        <f t="shared" si="13"/>
        <v>0.504</v>
      </c>
      <c r="Z62" s="203">
        <f t="shared" si="14"/>
        <v>0.85</v>
      </c>
      <c r="AA62" s="205">
        <f>+Table1[[#This Row],[calculated sale price]]</f>
        <v>0.85</v>
      </c>
      <c r="AB62" s="204"/>
      <c r="AC62" s="208"/>
    </row>
    <row r="63" spans="1:29">
      <c r="A63" s="188">
        <v>1054</v>
      </c>
      <c r="B63" t="s">
        <v>449</v>
      </c>
      <c r="C63" s="188">
        <v>1</v>
      </c>
      <c r="I63" s="188"/>
      <c r="J63" s="188"/>
      <c r="K63" s="188"/>
      <c r="L63" s="199"/>
      <c r="M63" s="188"/>
      <c r="N63" s="200"/>
      <c r="O63" s="201">
        <v>1.23</v>
      </c>
      <c r="P63" s="201">
        <f>Table1[[#This Row],[unit cost]]</f>
        <v>1.23</v>
      </c>
      <c r="Q63" s="416">
        <v>1.5</v>
      </c>
      <c r="R63" s="188">
        <v>1</v>
      </c>
      <c r="S63" s="251">
        <f t="shared" si="15"/>
        <v>0.42</v>
      </c>
      <c r="T63" s="203">
        <f>Table1[[#This Row],[man minutes]]*Table1[[#This Row],[labor rate]]</f>
        <v>0.63</v>
      </c>
      <c r="U63" s="203">
        <f t="shared" si="11"/>
        <v>1.8599999999999999</v>
      </c>
      <c r="V63" s="189">
        <f t="shared" si="8"/>
        <v>0.22</v>
      </c>
      <c r="W63" s="252">
        <f t="shared" si="16"/>
        <v>0.2</v>
      </c>
      <c r="X63" s="203">
        <f t="shared" si="12"/>
        <v>1.5005999999999999</v>
      </c>
      <c r="Y63" s="203">
        <f t="shared" si="13"/>
        <v>0.75600000000000001</v>
      </c>
      <c r="Z63" s="203">
        <f t="shared" si="14"/>
        <v>2.2599999999999998</v>
      </c>
      <c r="AA63" s="205">
        <f>+Table1[[#This Row],[calculated sale price]]</f>
        <v>2.2599999999999998</v>
      </c>
      <c r="AB63" s="204"/>
      <c r="AC63" s="208"/>
    </row>
    <row r="64" spans="1:29">
      <c r="A64" s="188">
        <v>1055</v>
      </c>
      <c r="B64" t="s">
        <v>450</v>
      </c>
      <c r="C64" s="188">
        <v>1</v>
      </c>
      <c r="I64" s="188"/>
      <c r="J64" s="188"/>
      <c r="K64" s="188"/>
      <c r="L64" s="199"/>
      <c r="M64" s="188"/>
      <c r="N64" s="200"/>
      <c r="O64" s="201">
        <v>2.08</v>
      </c>
      <c r="P64" s="201">
        <f>Table1[[#This Row],[unit cost]]</f>
        <v>2.08</v>
      </c>
      <c r="Q64" s="416">
        <v>1</v>
      </c>
      <c r="R64" s="188">
        <v>1</v>
      </c>
      <c r="S64" s="251">
        <f t="shared" si="15"/>
        <v>0.42</v>
      </c>
      <c r="T64" s="203">
        <f>Table1[[#This Row],[man minutes]]*Table1[[#This Row],[labor rate]]</f>
        <v>0.42</v>
      </c>
      <c r="U64" s="203">
        <f t="shared" si="11"/>
        <v>2.5</v>
      </c>
      <c r="V64" s="189">
        <f t="shared" si="8"/>
        <v>0.22</v>
      </c>
      <c r="W64" s="252">
        <f t="shared" si="16"/>
        <v>0.2</v>
      </c>
      <c r="X64" s="203">
        <f t="shared" si="12"/>
        <v>2.5375999999999999</v>
      </c>
      <c r="Y64" s="203">
        <f t="shared" si="13"/>
        <v>0.504</v>
      </c>
      <c r="Z64" s="203">
        <f t="shared" si="14"/>
        <v>3.05</v>
      </c>
      <c r="AA64" s="205">
        <f>+Table1[[#This Row],[calculated sale price]]</f>
        <v>3.05</v>
      </c>
      <c r="AB64" s="204"/>
      <c r="AC64" s="208"/>
    </row>
    <row r="65" spans="1:29">
      <c r="A65" s="188">
        <v>1056</v>
      </c>
      <c r="B65" t="s">
        <v>451</v>
      </c>
      <c r="C65" s="188">
        <v>1</v>
      </c>
      <c r="I65" s="188"/>
      <c r="J65" s="188"/>
      <c r="K65" s="188"/>
      <c r="L65" s="199"/>
      <c r="M65" s="188"/>
      <c r="N65" s="200"/>
      <c r="O65" s="201">
        <v>1.32</v>
      </c>
      <c r="P65" s="201">
        <f>Table1[[#This Row],[unit cost]]</f>
        <v>1.32</v>
      </c>
      <c r="Q65" s="416">
        <v>1</v>
      </c>
      <c r="R65" s="188">
        <v>1</v>
      </c>
      <c r="S65" s="251">
        <f t="shared" si="15"/>
        <v>0.42</v>
      </c>
      <c r="T65" s="203">
        <f>Table1[[#This Row],[man minutes]]*Table1[[#This Row],[labor rate]]</f>
        <v>0.42</v>
      </c>
      <c r="U65" s="203">
        <f t="shared" si="11"/>
        <v>1.74</v>
      </c>
      <c r="V65" s="189">
        <f t="shared" si="8"/>
        <v>0.22</v>
      </c>
      <c r="W65" s="252">
        <f t="shared" si="16"/>
        <v>0.2</v>
      </c>
      <c r="X65" s="203">
        <f t="shared" si="12"/>
        <v>1.6104000000000001</v>
      </c>
      <c r="Y65" s="203">
        <f t="shared" si="13"/>
        <v>0.504</v>
      </c>
      <c r="Z65" s="203">
        <f t="shared" si="14"/>
        <v>2.1199999999999997</v>
      </c>
      <c r="AA65" s="205">
        <f>+Table1[[#This Row],[calculated sale price]]</f>
        <v>2.1199999999999997</v>
      </c>
      <c r="AB65" s="204"/>
      <c r="AC65" s="208"/>
    </row>
    <row r="66" spans="1:29">
      <c r="A66" s="188">
        <v>1057</v>
      </c>
      <c r="B66" t="s">
        <v>452</v>
      </c>
      <c r="C66" s="188">
        <v>1</v>
      </c>
      <c r="I66" s="188"/>
      <c r="J66" s="188"/>
      <c r="K66" s="188"/>
      <c r="L66" s="199"/>
      <c r="M66" s="188"/>
      <c r="N66" s="200"/>
      <c r="O66" s="201">
        <v>2.16</v>
      </c>
      <c r="P66" s="201">
        <f>Table1[[#This Row],[unit cost]]</f>
        <v>2.16</v>
      </c>
      <c r="Q66" s="416">
        <v>3.5</v>
      </c>
      <c r="R66" s="188">
        <v>1</v>
      </c>
      <c r="S66" s="251">
        <f t="shared" si="15"/>
        <v>0.42</v>
      </c>
      <c r="T66" s="203">
        <f>Table1[[#This Row],[man minutes]]*Table1[[#This Row],[labor rate]]</f>
        <v>1.47</v>
      </c>
      <c r="U66" s="203">
        <f t="shared" si="11"/>
        <v>3.63</v>
      </c>
      <c r="V66" s="189">
        <f t="shared" si="8"/>
        <v>0.22</v>
      </c>
      <c r="W66" s="252">
        <f t="shared" si="16"/>
        <v>0.2</v>
      </c>
      <c r="X66" s="203">
        <f t="shared" si="12"/>
        <v>2.6352000000000002</v>
      </c>
      <c r="Y66" s="203">
        <f t="shared" si="13"/>
        <v>1.764</v>
      </c>
      <c r="Z66" s="203">
        <f t="shared" si="14"/>
        <v>4.3999999999999995</v>
      </c>
      <c r="AA66" s="205">
        <f>+Table1[[#This Row],[calculated sale price]]</f>
        <v>4.3999999999999995</v>
      </c>
      <c r="AB66" s="204"/>
      <c r="AC66" s="208"/>
    </row>
    <row r="67" spans="1:29">
      <c r="A67" s="188">
        <v>1058</v>
      </c>
      <c r="B67" t="s">
        <v>453</v>
      </c>
      <c r="C67" s="188">
        <v>1</v>
      </c>
      <c r="I67" s="188"/>
      <c r="J67" s="188"/>
      <c r="K67" s="188"/>
      <c r="L67" s="199"/>
      <c r="M67" s="188"/>
      <c r="N67" s="200"/>
      <c r="O67" s="201">
        <v>4.28</v>
      </c>
      <c r="P67" s="201">
        <f>Table1[[#This Row],[unit cost]]</f>
        <v>4.28</v>
      </c>
      <c r="Q67" s="416">
        <v>4.25</v>
      </c>
      <c r="R67" s="188">
        <v>1</v>
      </c>
      <c r="S67" s="251">
        <f t="shared" si="15"/>
        <v>0.42</v>
      </c>
      <c r="T67" s="203">
        <f>Table1[[#This Row],[man minutes]]*Table1[[#This Row],[labor rate]]</f>
        <v>1.7849999999999999</v>
      </c>
      <c r="U67" s="203">
        <f t="shared" si="11"/>
        <v>6.0650000000000004</v>
      </c>
      <c r="V67" s="189">
        <f t="shared" si="8"/>
        <v>0.22</v>
      </c>
      <c r="W67" s="252">
        <f t="shared" si="16"/>
        <v>0.2</v>
      </c>
      <c r="X67" s="203">
        <f t="shared" si="12"/>
        <v>5.2216000000000005</v>
      </c>
      <c r="Y67" s="203">
        <f t="shared" si="13"/>
        <v>2.1419999999999999</v>
      </c>
      <c r="Z67" s="203">
        <f t="shared" si="14"/>
        <v>7.37</v>
      </c>
      <c r="AA67" s="205">
        <f>+Table1[[#This Row],[calculated sale price]]</f>
        <v>7.37</v>
      </c>
      <c r="AB67" s="204"/>
      <c r="AC67" s="208"/>
    </row>
    <row r="68" spans="1:29">
      <c r="A68" s="188">
        <v>1059</v>
      </c>
      <c r="B68" t="s">
        <v>454</v>
      </c>
      <c r="C68" s="188">
        <v>1</v>
      </c>
      <c r="I68" s="188"/>
      <c r="J68" s="188"/>
      <c r="K68" s="188"/>
      <c r="L68" s="199"/>
      <c r="M68" s="188"/>
      <c r="N68" s="200"/>
      <c r="O68" s="201">
        <v>3.41</v>
      </c>
      <c r="P68" s="201">
        <f>Table1[[#This Row],[unit cost]]</f>
        <v>3.41</v>
      </c>
      <c r="Q68" s="416">
        <v>4.25</v>
      </c>
      <c r="R68" s="188">
        <v>1</v>
      </c>
      <c r="S68" s="251">
        <f t="shared" si="15"/>
        <v>0.42</v>
      </c>
      <c r="T68" s="203">
        <f>Table1[[#This Row],[man minutes]]*Table1[[#This Row],[labor rate]]</f>
        <v>1.7849999999999999</v>
      </c>
      <c r="U68" s="203">
        <f t="shared" si="11"/>
        <v>5.1950000000000003</v>
      </c>
      <c r="V68" s="189">
        <f t="shared" si="8"/>
        <v>0.22</v>
      </c>
      <c r="W68" s="252">
        <f t="shared" si="16"/>
        <v>0.2</v>
      </c>
      <c r="X68" s="203">
        <f t="shared" si="12"/>
        <v>4.1601999999999997</v>
      </c>
      <c r="Y68" s="203">
        <f t="shared" si="13"/>
        <v>2.1419999999999999</v>
      </c>
      <c r="Z68" s="203">
        <f t="shared" si="14"/>
        <v>6.31</v>
      </c>
      <c r="AA68" s="205">
        <f>+Table1[[#This Row],[calculated sale price]]</f>
        <v>6.31</v>
      </c>
      <c r="AB68" s="204"/>
      <c r="AC68" s="208"/>
    </row>
    <row r="69" spans="1:29">
      <c r="A69" s="188">
        <v>1060</v>
      </c>
      <c r="B69" t="s">
        <v>455</v>
      </c>
      <c r="C69" s="188">
        <v>1</v>
      </c>
      <c r="I69" s="188"/>
      <c r="J69" s="188"/>
      <c r="K69" s="188"/>
      <c r="L69" s="199"/>
      <c r="M69" s="188"/>
      <c r="N69" s="200"/>
      <c r="O69" s="201">
        <v>1.51</v>
      </c>
      <c r="P69" s="201">
        <f>Table1[[#This Row],[unit cost]]</f>
        <v>1.51</v>
      </c>
      <c r="Q69" s="416">
        <v>4</v>
      </c>
      <c r="R69" s="188">
        <v>1</v>
      </c>
      <c r="S69" s="251">
        <f t="shared" si="15"/>
        <v>0.42</v>
      </c>
      <c r="T69" s="203">
        <f>Table1[[#This Row],[man minutes]]*Table1[[#This Row],[labor rate]]</f>
        <v>1.68</v>
      </c>
      <c r="U69" s="203">
        <f t="shared" si="11"/>
        <v>3.19</v>
      </c>
      <c r="V69" s="189">
        <f t="shared" si="8"/>
        <v>0.22</v>
      </c>
      <c r="W69" s="252">
        <f t="shared" si="16"/>
        <v>0.2</v>
      </c>
      <c r="X69" s="203">
        <f t="shared" si="12"/>
        <v>1.8422000000000001</v>
      </c>
      <c r="Y69" s="203">
        <f t="shared" si="13"/>
        <v>2.016</v>
      </c>
      <c r="Z69" s="203">
        <f t="shared" si="14"/>
        <v>3.86</v>
      </c>
      <c r="AA69" s="205">
        <f>+Table1[[#This Row],[calculated sale price]]</f>
        <v>3.86</v>
      </c>
      <c r="AB69" s="204"/>
      <c r="AC69" s="208"/>
    </row>
    <row r="70" spans="1:29">
      <c r="A70" s="188">
        <v>1061</v>
      </c>
      <c r="B70" t="s">
        <v>456</v>
      </c>
      <c r="C70" s="188">
        <v>1</v>
      </c>
      <c r="I70" s="188"/>
      <c r="J70" s="188"/>
      <c r="K70" s="188"/>
      <c r="L70" s="199"/>
      <c r="M70" s="188"/>
      <c r="N70" s="200"/>
      <c r="O70" s="201">
        <v>0</v>
      </c>
      <c r="P70" s="201">
        <f>Table1[[#This Row],[unit cost]]</f>
        <v>0</v>
      </c>
      <c r="Q70" s="416"/>
      <c r="R70" s="188">
        <v>1</v>
      </c>
      <c r="S70" s="251">
        <f t="shared" si="15"/>
        <v>0.42</v>
      </c>
      <c r="T70" s="203">
        <f>Table1[[#This Row],[man minutes]]*Table1[[#This Row],[labor rate]]</f>
        <v>0</v>
      </c>
      <c r="U70" s="203">
        <f t="shared" si="11"/>
        <v>0</v>
      </c>
      <c r="V70" s="189">
        <f t="shared" si="8"/>
        <v>0.22</v>
      </c>
      <c r="W70" s="252">
        <f t="shared" si="16"/>
        <v>0.2</v>
      </c>
      <c r="X70" s="203">
        <f t="shared" si="12"/>
        <v>0</v>
      </c>
      <c r="Y70" s="203">
        <f t="shared" si="13"/>
        <v>0</v>
      </c>
      <c r="Z70" s="203">
        <f t="shared" si="14"/>
        <v>0</v>
      </c>
      <c r="AA70" s="205">
        <f>+Table1[[#This Row],[calculated sale price]]</f>
        <v>0</v>
      </c>
      <c r="AB70" s="204"/>
      <c r="AC70" s="208"/>
    </row>
    <row r="71" spans="1:29">
      <c r="A71" s="188">
        <v>1062</v>
      </c>
      <c r="B71" t="s">
        <v>457</v>
      </c>
      <c r="C71" s="188">
        <v>1</v>
      </c>
      <c r="I71" s="188"/>
      <c r="J71" s="188"/>
      <c r="K71" s="188"/>
      <c r="L71" s="199"/>
      <c r="M71" s="188"/>
      <c r="N71" s="200"/>
      <c r="O71" s="201">
        <v>1.63</v>
      </c>
      <c r="P71" s="201">
        <f>Table1[[#This Row],[unit cost]]</f>
        <v>1.63</v>
      </c>
      <c r="Q71" s="416">
        <v>1.5</v>
      </c>
      <c r="R71" s="188">
        <v>1</v>
      </c>
      <c r="S71" s="251">
        <f t="shared" si="15"/>
        <v>0.42</v>
      </c>
      <c r="T71" s="203">
        <f>Table1[[#This Row],[man minutes]]*Table1[[#This Row],[labor rate]]</f>
        <v>0.63</v>
      </c>
      <c r="U71" s="203">
        <f t="shared" si="11"/>
        <v>2.2599999999999998</v>
      </c>
      <c r="V71" s="189">
        <f t="shared" si="8"/>
        <v>0.22</v>
      </c>
      <c r="W71" s="252">
        <f t="shared" si="16"/>
        <v>0.2</v>
      </c>
      <c r="X71" s="203">
        <f t="shared" si="12"/>
        <v>1.9885999999999999</v>
      </c>
      <c r="Y71" s="203">
        <f t="shared" si="13"/>
        <v>0.75600000000000001</v>
      </c>
      <c r="Z71" s="203">
        <f t="shared" si="14"/>
        <v>2.75</v>
      </c>
      <c r="AA71" s="205">
        <f>+Table1[[#This Row],[calculated sale price]]</f>
        <v>2.75</v>
      </c>
      <c r="AB71" s="204"/>
      <c r="AC71" s="208"/>
    </row>
    <row r="72" spans="1:29">
      <c r="A72" s="188">
        <v>1063</v>
      </c>
      <c r="B72" s="334" t="s">
        <v>458</v>
      </c>
      <c r="C72" s="188">
        <v>1</v>
      </c>
      <c r="I72" s="188"/>
      <c r="J72" s="188"/>
      <c r="K72" s="188"/>
      <c r="L72" s="199"/>
      <c r="M72" s="188"/>
      <c r="N72" s="200"/>
      <c r="O72" s="201">
        <v>1.63</v>
      </c>
      <c r="P72" s="201">
        <f>Table1[[#This Row],[unit cost]]</f>
        <v>1.63</v>
      </c>
      <c r="Q72" s="416">
        <v>1.5</v>
      </c>
      <c r="R72" s="188">
        <v>1</v>
      </c>
      <c r="S72" s="251">
        <f t="shared" si="15"/>
        <v>0.42</v>
      </c>
      <c r="T72" s="203">
        <f>Table1[[#This Row],[man minutes]]*Table1[[#This Row],[labor rate]]</f>
        <v>0.63</v>
      </c>
      <c r="U72" s="203">
        <f t="shared" si="11"/>
        <v>2.2599999999999998</v>
      </c>
      <c r="V72" s="189">
        <f t="shared" si="8"/>
        <v>0.22</v>
      </c>
      <c r="W72" s="252">
        <f t="shared" si="16"/>
        <v>0.2</v>
      </c>
      <c r="X72" s="203">
        <f t="shared" si="12"/>
        <v>1.9885999999999999</v>
      </c>
      <c r="Y72" s="203">
        <f t="shared" si="13"/>
        <v>0.75600000000000001</v>
      </c>
      <c r="Z72" s="203">
        <f t="shared" si="14"/>
        <v>2.75</v>
      </c>
      <c r="AA72" s="205">
        <f>+Table1[[#This Row],[calculated sale price]]</f>
        <v>2.75</v>
      </c>
      <c r="AB72" s="204"/>
      <c r="AC72" s="208"/>
    </row>
    <row r="73" spans="1:29">
      <c r="A73" s="188">
        <v>1064</v>
      </c>
      <c r="B73" s="334" t="s">
        <v>459</v>
      </c>
      <c r="C73" s="188">
        <v>1</v>
      </c>
      <c r="I73" s="188"/>
      <c r="J73" s="188"/>
      <c r="K73" s="188"/>
      <c r="L73" s="199"/>
      <c r="M73" s="188"/>
      <c r="N73" s="200"/>
      <c r="O73" s="201">
        <v>2.2999999999999998</v>
      </c>
      <c r="P73" s="201">
        <f>Table1[[#This Row],[unit cost]]</f>
        <v>2.2999999999999998</v>
      </c>
      <c r="Q73" s="416">
        <v>1.5</v>
      </c>
      <c r="R73" s="188">
        <v>1</v>
      </c>
      <c r="S73" s="251">
        <f t="shared" si="15"/>
        <v>0.42</v>
      </c>
      <c r="T73" s="203">
        <f>Table1[[#This Row],[man minutes]]*Table1[[#This Row],[labor rate]]</f>
        <v>0.63</v>
      </c>
      <c r="U73" s="203">
        <f t="shared" si="11"/>
        <v>2.9299999999999997</v>
      </c>
      <c r="V73" s="189">
        <f t="shared" si="8"/>
        <v>0.22</v>
      </c>
      <c r="W73" s="252">
        <f t="shared" si="16"/>
        <v>0.2</v>
      </c>
      <c r="X73" s="203">
        <f t="shared" si="12"/>
        <v>2.8059999999999996</v>
      </c>
      <c r="Y73" s="203">
        <f t="shared" si="13"/>
        <v>0.75600000000000001</v>
      </c>
      <c r="Z73" s="203">
        <f t="shared" si="14"/>
        <v>3.57</v>
      </c>
      <c r="AA73" s="205">
        <f>+Table1[[#This Row],[calculated sale price]]</f>
        <v>3.57</v>
      </c>
      <c r="AB73" s="204"/>
      <c r="AC73" s="208"/>
    </row>
    <row r="74" spans="1:29">
      <c r="A74" s="188">
        <v>1065</v>
      </c>
      <c r="B74" s="334" t="s">
        <v>460</v>
      </c>
      <c r="C74" s="188">
        <v>1</v>
      </c>
      <c r="I74" s="188"/>
      <c r="J74" s="188"/>
      <c r="K74" s="188"/>
      <c r="L74" s="199"/>
      <c r="M74" s="188"/>
      <c r="N74" s="200"/>
      <c r="O74" s="201">
        <v>2.0499999999999998</v>
      </c>
      <c r="P74" s="201">
        <f>Table1[[#This Row],[unit cost]]</f>
        <v>2.0499999999999998</v>
      </c>
      <c r="Q74" s="416">
        <v>1.5</v>
      </c>
      <c r="R74" s="188">
        <v>1</v>
      </c>
      <c r="S74" s="251">
        <f t="shared" si="15"/>
        <v>0.42</v>
      </c>
      <c r="T74" s="203">
        <f>Table1[[#This Row],[man minutes]]*Table1[[#This Row],[labor rate]]</f>
        <v>0.63</v>
      </c>
      <c r="U74" s="203">
        <f t="shared" si="11"/>
        <v>2.6799999999999997</v>
      </c>
      <c r="V74" s="189">
        <f t="shared" si="8"/>
        <v>0.22</v>
      </c>
      <c r="W74" s="252">
        <f t="shared" si="16"/>
        <v>0.2</v>
      </c>
      <c r="X74" s="203">
        <f t="shared" si="12"/>
        <v>2.5009999999999999</v>
      </c>
      <c r="Y74" s="203">
        <f t="shared" si="13"/>
        <v>0.75600000000000001</v>
      </c>
      <c r="Z74" s="203">
        <f t="shared" si="14"/>
        <v>3.26</v>
      </c>
      <c r="AA74" s="205">
        <f>+Table1[[#This Row],[calculated sale price]]</f>
        <v>3.26</v>
      </c>
      <c r="AB74" s="204"/>
      <c r="AC74" s="208"/>
    </row>
    <row r="75" spans="1:29">
      <c r="A75" s="188">
        <v>1066</v>
      </c>
      <c r="B75" t="s">
        <v>461</v>
      </c>
      <c r="C75" s="188">
        <v>1</v>
      </c>
      <c r="I75" s="188"/>
      <c r="J75" s="188"/>
      <c r="K75" s="188"/>
      <c r="L75" s="199"/>
      <c r="M75" s="188"/>
      <c r="N75" s="200"/>
      <c r="O75" s="201">
        <v>1.68</v>
      </c>
      <c r="P75" s="201">
        <f>Table1[[#This Row],[unit cost]]</f>
        <v>1.68</v>
      </c>
      <c r="Q75" s="416">
        <v>1.5</v>
      </c>
      <c r="R75" s="188">
        <v>1</v>
      </c>
      <c r="S75" s="251">
        <f t="shared" si="15"/>
        <v>0.42</v>
      </c>
      <c r="T75" s="203">
        <f>Table1[[#This Row],[man minutes]]*Table1[[#This Row],[labor rate]]</f>
        <v>0.63</v>
      </c>
      <c r="U75" s="203">
        <f t="shared" si="11"/>
        <v>2.31</v>
      </c>
      <c r="V75" s="189">
        <f t="shared" si="8"/>
        <v>0.22</v>
      </c>
      <c r="W75" s="252">
        <f t="shared" si="16"/>
        <v>0.2</v>
      </c>
      <c r="X75" s="203">
        <f t="shared" si="12"/>
        <v>2.0495999999999999</v>
      </c>
      <c r="Y75" s="203">
        <f t="shared" si="13"/>
        <v>0.75600000000000001</v>
      </c>
      <c r="Z75" s="203">
        <f t="shared" si="14"/>
        <v>2.8099999999999996</v>
      </c>
      <c r="AA75" s="205">
        <f>+Table1[[#This Row],[calculated sale price]]</f>
        <v>2.8099999999999996</v>
      </c>
      <c r="AB75" s="204"/>
      <c r="AC75" s="208"/>
    </row>
    <row r="76" spans="1:29">
      <c r="A76" s="188">
        <v>1067</v>
      </c>
      <c r="B76" t="s">
        <v>462</v>
      </c>
      <c r="C76" s="188">
        <v>1</v>
      </c>
      <c r="I76" s="188"/>
      <c r="J76" s="188"/>
      <c r="K76" s="188"/>
      <c r="L76" s="199"/>
      <c r="M76" s="188"/>
      <c r="N76" s="200"/>
      <c r="O76" s="201">
        <v>1.8</v>
      </c>
      <c r="P76" s="201">
        <f>Table1[[#This Row],[unit cost]]</f>
        <v>1.8</v>
      </c>
      <c r="Q76" s="416">
        <v>2</v>
      </c>
      <c r="R76" s="188">
        <v>1</v>
      </c>
      <c r="S76" s="251">
        <f t="shared" si="15"/>
        <v>0.42</v>
      </c>
      <c r="T76" s="203">
        <f>Table1[[#This Row],[man minutes]]*Table1[[#This Row],[labor rate]]</f>
        <v>0.84</v>
      </c>
      <c r="U76" s="203">
        <f t="shared" si="11"/>
        <v>2.64</v>
      </c>
      <c r="V76" s="189">
        <f t="shared" si="8"/>
        <v>0.22</v>
      </c>
      <c r="W76" s="252">
        <f t="shared" si="16"/>
        <v>0.2</v>
      </c>
      <c r="X76" s="203">
        <f t="shared" si="12"/>
        <v>2.1960000000000002</v>
      </c>
      <c r="Y76" s="203">
        <f t="shared" si="13"/>
        <v>1.008</v>
      </c>
      <c r="Z76" s="203">
        <f t="shared" si="14"/>
        <v>3.21</v>
      </c>
      <c r="AA76" s="205">
        <f>+Table1[[#This Row],[calculated sale price]]</f>
        <v>3.21</v>
      </c>
      <c r="AB76" s="204"/>
      <c r="AC76" s="208"/>
    </row>
    <row r="77" spans="1:29">
      <c r="A77" s="188">
        <v>1068</v>
      </c>
      <c r="B77" t="s">
        <v>463</v>
      </c>
      <c r="C77" s="188">
        <v>1</v>
      </c>
      <c r="I77" s="188"/>
      <c r="J77" s="188"/>
      <c r="K77" s="188"/>
      <c r="L77" s="199"/>
      <c r="M77" s="188"/>
      <c r="N77" s="200"/>
      <c r="O77" s="201">
        <v>0.94</v>
      </c>
      <c r="P77" s="201">
        <f>Table1[[#This Row],[unit cost]]</f>
        <v>0.94</v>
      </c>
      <c r="Q77" s="416">
        <v>1.5</v>
      </c>
      <c r="R77" s="188">
        <v>1</v>
      </c>
      <c r="S77" s="251">
        <f t="shared" si="15"/>
        <v>0.42</v>
      </c>
      <c r="T77" s="203">
        <f>Table1[[#This Row],[man minutes]]*Table1[[#This Row],[labor rate]]</f>
        <v>0.63</v>
      </c>
      <c r="U77" s="203">
        <f t="shared" si="11"/>
        <v>1.5699999999999998</v>
      </c>
      <c r="V77" s="189">
        <f t="shared" si="8"/>
        <v>0.22</v>
      </c>
      <c r="W77" s="252">
        <f t="shared" si="16"/>
        <v>0.2</v>
      </c>
      <c r="X77" s="203">
        <f t="shared" si="12"/>
        <v>1.1467999999999998</v>
      </c>
      <c r="Y77" s="203">
        <f t="shared" si="13"/>
        <v>0.75600000000000001</v>
      </c>
      <c r="Z77" s="203">
        <f t="shared" si="14"/>
        <v>1.91</v>
      </c>
      <c r="AA77" s="205">
        <f>+Table1[[#This Row],[calculated sale price]]</f>
        <v>1.91</v>
      </c>
      <c r="AB77" s="204"/>
      <c r="AC77" s="208"/>
    </row>
    <row r="78" spans="1:29">
      <c r="A78" s="188">
        <v>1069</v>
      </c>
      <c r="B78" t="s">
        <v>464</v>
      </c>
      <c r="C78" s="188">
        <v>1</v>
      </c>
      <c r="I78" s="188"/>
      <c r="J78" s="188"/>
      <c r="K78" s="188"/>
      <c r="L78" s="199"/>
      <c r="M78" s="188"/>
      <c r="N78" s="200"/>
      <c r="O78" s="201">
        <v>1.77</v>
      </c>
      <c r="P78" s="201">
        <f>Table1[[#This Row],[unit cost]]</f>
        <v>1.77</v>
      </c>
      <c r="Q78" s="416">
        <v>2</v>
      </c>
      <c r="R78" s="188">
        <v>1</v>
      </c>
      <c r="S78" s="251">
        <f t="shared" si="15"/>
        <v>0.42</v>
      </c>
      <c r="T78" s="203">
        <f>Table1[[#This Row],[man minutes]]*Table1[[#This Row],[labor rate]]</f>
        <v>0.84</v>
      </c>
      <c r="U78" s="203">
        <f t="shared" si="11"/>
        <v>2.61</v>
      </c>
      <c r="V78" s="189">
        <f t="shared" si="8"/>
        <v>0.22</v>
      </c>
      <c r="W78" s="252">
        <f t="shared" si="16"/>
        <v>0.2</v>
      </c>
      <c r="X78" s="203">
        <f t="shared" si="12"/>
        <v>2.1593999999999998</v>
      </c>
      <c r="Y78" s="203">
        <f t="shared" si="13"/>
        <v>1.008</v>
      </c>
      <c r="Z78" s="203">
        <f t="shared" si="14"/>
        <v>3.17</v>
      </c>
      <c r="AA78" s="205">
        <f>+Table1[[#This Row],[calculated sale price]]</f>
        <v>3.17</v>
      </c>
      <c r="AB78" s="204"/>
      <c r="AC78" s="208"/>
    </row>
    <row r="79" spans="1:29">
      <c r="A79" s="188">
        <v>1070</v>
      </c>
      <c r="B79" t="s">
        <v>465</v>
      </c>
      <c r="C79" s="188">
        <v>1</v>
      </c>
      <c r="I79" s="188"/>
      <c r="J79" s="188"/>
      <c r="K79" s="188"/>
      <c r="L79" s="199"/>
      <c r="M79" s="188"/>
      <c r="N79" s="200"/>
      <c r="O79" s="201">
        <v>1.1399999999999999</v>
      </c>
      <c r="P79" s="201">
        <f>Table1[[#This Row],[unit cost]]</f>
        <v>1.1399999999999999</v>
      </c>
      <c r="Q79" s="416">
        <v>2</v>
      </c>
      <c r="R79" s="188">
        <v>1</v>
      </c>
      <c r="S79" s="251">
        <f t="shared" si="15"/>
        <v>0.42</v>
      </c>
      <c r="T79" s="203">
        <f>Table1[[#This Row],[man minutes]]*Table1[[#This Row],[labor rate]]</f>
        <v>0.84</v>
      </c>
      <c r="U79" s="203">
        <f t="shared" si="11"/>
        <v>1.98</v>
      </c>
      <c r="V79" s="189">
        <f t="shared" si="8"/>
        <v>0.22</v>
      </c>
      <c r="W79" s="252">
        <f t="shared" si="16"/>
        <v>0.2</v>
      </c>
      <c r="X79" s="203">
        <f t="shared" si="12"/>
        <v>1.3907999999999998</v>
      </c>
      <c r="Y79" s="203">
        <f t="shared" si="13"/>
        <v>1.008</v>
      </c>
      <c r="Z79" s="203">
        <f t="shared" si="14"/>
        <v>2.4</v>
      </c>
      <c r="AA79" s="205">
        <f>+Table1[[#This Row],[calculated sale price]]</f>
        <v>2.4</v>
      </c>
      <c r="AB79" s="204"/>
      <c r="AC79" s="208"/>
    </row>
    <row r="80" spans="1:29">
      <c r="A80" s="188">
        <v>1071</v>
      </c>
      <c r="B80" t="s">
        <v>466</v>
      </c>
      <c r="C80" s="188">
        <v>1</v>
      </c>
      <c r="I80" s="188"/>
      <c r="J80" s="188"/>
      <c r="K80" s="188"/>
      <c r="L80" s="199"/>
      <c r="M80" s="188"/>
      <c r="N80" s="200"/>
      <c r="O80" s="201">
        <v>1.23</v>
      </c>
      <c r="P80" s="201">
        <f>Table1[[#This Row],[unit cost]]</f>
        <v>1.23</v>
      </c>
      <c r="Q80" s="416">
        <v>1.5</v>
      </c>
      <c r="R80" s="188">
        <v>1</v>
      </c>
      <c r="S80" s="251">
        <f t="shared" si="15"/>
        <v>0.42</v>
      </c>
      <c r="T80" s="203">
        <f>Table1[[#This Row],[man minutes]]*Table1[[#This Row],[labor rate]]</f>
        <v>0.63</v>
      </c>
      <c r="U80" s="203">
        <f t="shared" si="11"/>
        <v>1.8599999999999999</v>
      </c>
      <c r="V80" s="189">
        <f t="shared" ref="V80:V143" si="17">$V$2</f>
        <v>0.22</v>
      </c>
      <c r="W80" s="252">
        <f t="shared" si="16"/>
        <v>0.2</v>
      </c>
      <c r="X80" s="203">
        <f t="shared" si="12"/>
        <v>1.5005999999999999</v>
      </c>
      <c r="Y80" s="203">
        <f t="shared" si="13"/>
        <v>0.75600000000000001</v>
      </c>
      <c r="Z80" s="203">
        <f t="shared" si="14"/>
        <v>2.2599999999999998</v>
      </c>
      <c r="AA80" s="205">
        <f>+Table1[[#This Row],[calculated sale price]]</f>
        <v>2.2599999999999998</v>
      </c>
      <c r="AB80" s="204"/>
      <c r="AC80" s="208"/>
    </row>
    <row r="81" spans="1:29">
      <c r="A81" s="188">
        <v>1072</v>
      </c>
      <c r="B81" t="s">
        <v>467</v>
      </c>
      <c r="C81" s="188">
        <v>1</v>
      </c>
      <c r="I81" s="188"/>
      <c r="J81" s="188"/>
      <c r="K81" s="188"/>
      <c r="L81" s="199"/>
      <c r="M81" s="188"/>
      <c r="N81" s="200"/>
      <c r="O81" s="201">
        <v>2.08</v>
      </c>
      <c r="P81" s="201">
        <f>Table1[[#This Row],[unit cost]]</f>
        <v>2.08</v>
      </c>
      <c r="Q81" s="416">
        <v>1</v>
      </c>
      <c r="R81" s="188">
        <v>1</v>
      </c>
      <c r="S81" s="251">
        <f t="shared" si="15"/>
        <v>0.42</v>
      </c>
      <c r="T81" s="203">
        <f>Table1[[#This Row],[man minutes]]*Table1[[#This Row],[labor rate]]</f>
        <v>0.42</v>
      </c>
      <c r="U81" s="203">
        <f t="shared" si="11"/>
        <v>2.5</v>
      </c>
      <c r="V81" s="189">
        <f t="shared" si="17"/>
        <v>0.22</v>
      </c>
      <c r="W81" s="252">
        <f t="shared" si="16"/>
        <v>0.2</v>
      </c>
      <c r="X81" s="203">
        <f t="shared" si="12"/>
        <v>2.5375999999999999</v>
      </c>
      <c r="Y81" s="203">
        <f t="shared" si="13"/>
        <v>0.504</v>
      </c>
      <c r="Z81" s="203">
        <f t="shared" si="14"/>
        <v>3.05</v>
      </c>
      <c r="AA81" s="205">
        <f>+Table1[[#This Row],[calculated sale price]]</f>
        <v>3.05</v>
      </c>
      <c r="AB81" s="204"/>
      <c r="AC81" s="208"/>
    </row>
    <row r="82" spans="1:29">
      <c r="A82" s="188">
        <v>1073</v>
      </c>
      <c r="B82" t="s">
        <v>468</v>
      </c>
      <c r="C82" s="188">
        <v>1</v>
      </c>
      <c r="I82" s="188"/>
      <c r="J82" s="188"/>
      <c r="K82" s="188"/>
      <c r="L82" s="199"/>
      <c r="M82" s="188"/>
      <c r="N82" s="200"/>
      <c r="O82" s="201">
        <v>1.32</v>
      </c>
      <c r="P82" s="201">
        <f>Table1[[#This Row],[unit cost]]</f>
        <v>1.32</v>
      </c>
      <c r="Q82" s="416">
        <v>1</v>
      </c>
      <c r="R82" s="188">
        <v>1</v>
      </c>
      <c r="S82" s="251">
        <f t="shared" si="15"/>
        <v>0.42</v>
      </c>
      <c r="T82" s="203">
        <f>Table1[[#This Row],[man minutes]]*Table1[[#This Row],[labor rate]]</f>
        <v>0.42</v>
      </c>
      <c r="U82" s="203">
        <f t="shared" si="11"/>
        <v>1.74</v>
      </c>
      <c r="V82" s="189">
        <f t="shared" si="17"/>
        <v>0.22</v>
      </c>
      <c r="W82" s="252">
        <f t="shared" si="16"/>
        <v>0.2</v>
      </c>
      <c r="X82" s="203">
        <f t="shared" si="12"/>
        <v>1.6104000000000001</v>
      </c>
      <c r="Y82" s="203">
        <f t="shared" si="13"/>
        <v>0.504</v>
      </c>
      <c r="Z82" s="203">
        <f t="shared" si="14"/>
        <v>2.1199999999999997</v>
      </c>
      <c r="AA82" s="205">
        <f>+Table1[[#This Row],[calculated sale price]]</f>
        <v>2.1199999999999997</v>
      </c>
      <c r="AB82" s="204"/>
      <c r="AC82" s="208"/>
    </row>
    <row r="83" spans="1:29">
      <c r="A83" s="188">
        <v>1074</v>
      </c>
      <c r="B83" t="s">
        <v>469</v>
      </c>
      <c r="C83" s="188">
        <v>1</v>
      </c>
      <c r="I83" s="188"/>
      <c r="J83" s="188"/>
      <c r="K83" s="188"/>
      <c r="L83" s="199"/>
      <c r="M83" s="188"/>
      <c r="N83" s="200"/>
      <c r="O83" s="201">
        <v>1.98</v>
      </c>
      <c r="P83" s="201">
        <f>Table1[[#This Row],[unit cost]]</f>
        <v>1.98</v>
      </c>
      <c r="Q83" s="416">
        <v>3.5</v>
      </c>
      <c r="R83" s="188">
        <v>1</v>
      </c>
      <c r="S83" s="251">
        <f t="shared" si="15"/>
        <v>0.42</v>
      </c>
      <c r="T83" s="203">
        <f>Table1[[#This Row],[man minutes]]*Table1[[#This Row],[labor rate]]</f>
        <v>1.47</v>
      </c>
      <c r="U83" s="203">
        <f t="shared" si="11"/>
        <v>3.45</v>
      </c>
      <c r="V83" s="189">
        <f t="shared" si="17"/>
        <v>0.22</v>
      </c>
      <c r="W83" s="252">
        <f t="shared" si="16"/>
        <v>0.2</v>
      </c>
      <c r="X83" s="203">
        <f t="shared" si="12"/>
        <v>2.4156</v>
      </c>
      <c r="Y83" s="203">
        <f t="shared" si="13"/>
        <v>1.764</v>
      </c>
      <c r="Z83" s="203">
        <f t="shared" si="14"/>
        <v>4.18</v>
      </c>
      <c r="AA83" s="205">
        <f>+Table1[[#This Row],[calculated sale price]]</f>
        <v>4.18</v>
      </c>
      <c r="AB83" s="204"/>
      <c r="AC83" s="208"/>
    </row>
    <row r="84" spans="1:29">
      <c r="A84" s="188">
        <v>1075</v>
      </c>
      <c r="B84" t="s">
        <v>470</v>
      </c>
      <c r="C84" s="188">
        <v>1</v>
      </c>
      <c r="I84" s="188"/>
      <c r="J84" s="188"/>
      <c r="K84" s="188"/>
      <c r="L84" s="199"/>
      <c r="M84" s="188"/>
      <c r="N84" s="200"/>
      <c r="O84" s="201">
        <v>4.28</v>
      </c>
      <c r="P84" s="201">
        <f>Table1[[#This Row],[unit cost]]</f>
        <v>4.28</v>
      </c>
      <c r="Q84" s="416">
        <v>4.25</v>
      </c>
      <c r="R84" s="188">
        <v>1</v>
      </c>
      <c r="S84" s="251">
        <f t="shared" si="15"/>
        <v>0.42</v>
      </c>
      <c r="T84" s="203">
        <f>Table1[[#This Row],[man minutes]]*Table1[[#This Row],[labor rate]]</f>
        <v>1.7849999999999999</v>
      </c>
      <c r="U84" s="203">
        <f t="shared" si="11"/>
        <v>6.0650000000000004</v>
      </c>
      <c r="V84" s="189">
        <f t="shared" si="17"/>
        <v>0.22</v>
      </c>
      <c r="W84" s="252">
        <f t="shared" si="16"/>
        <v>0.2</v>
      </c>
      <c r="X84" s="203">
        <f t="shared" si="12"/>
        <v>5.2216000000000005</v>
      </c>
      <c r="Y84" s="203">
        <f t="shared" si="13"/>
        <v>2.1419999999999999</v>
      </c>
      <c r="Z84" s="203">
        <f t="shared" si="14"/>
        <v>7.37</v>
      </c>
      <c r="AA84" s="205">
        <f>+Table1[[#This Row],[calculated sale price]]</f>
        <v>7.37</v>
      </c>
      <c r="AB84" s="204"/>
      <c r="AC84" s="208"/>
    </row>
    <row r="85" spans="1:29">
      <c r="A85" s="188">
        <v>1076</v>
      </c>
      <c r="B85" t="s">
        <v>471</v>
      </c>
      <c r="C85" s="188">
        <v>1</v>
      </c>
      <c r="I85" s="188"/>
      <c r="J85" s="188"/>
      <c r="K85" s="188"/>
      <c r="L85" s="199"/>
      <c r="M85" s="188"/>
      <c r="N85" s="200"/>
      <c r="O85" s="201">
        <v>4.2</v>
      </c>
      <c r="P85" s="201">
        <f>Table1[[#This Row],[unit cost]]</f>
        <v>4.2</v>
      </c>
      <c r="Q85" s="416">
        <v>3.25</v>
      </c>
      <c r="R85" s="188">
        <v>1</v>
      </c>
      <c r="S85" s="251">
        <f t="shared" si="15"/>
        <v>0.42</v>
      </c>
      <c r="T85" s="203">
        <f>Table1[[#This Row],[man minutes]]*Table1[[#This Row],[labor rate]]</f>
        <v>1.365</v>
      </c>
      <c r="U85" s="203">
        <f t="shared" si="11"/>
        <v>5.5650000000000004</v>
      </c>
      <c r="V85" s="189">
        <f t="shared" si="17"/>
        <v>0.22</v>
      </c>
      <c r="W85" s="252">
        <f t="shared" si="16"/>
        <v>0.2</v>
      </c>
      <c r="X85" s="203">
        <f t="shared" si="12"/>
        <v>5.1239999999999997</v>
      </c>
      <c r="Y85" s="203">
        <f t="shared" si="13"/>
        <v>1.6379999999999999</v>
      </c>
      <c r="Z85" s="203">
        <f t="shared" si="14"/>
        <v>6.77</v>
      </c>
      <c r="AA85" s="205">
        <f>+Table1[[#This Row],[calculated sale price]]</f>
        <v>6.77</v>
      </c>
      <c r="AB85" s="204"/>
      <c r="AC85" s="208"/>
    </row>
    <row r="86" spans="1:29">
      <c r="A86" s="188">
        <v>1077</v>
      </c>
      <c r="B86" t="s">
        <v>472</v>
      </c>
      <c r="C86" s="188">
        <v>1</v>
      </c>
      <c r="I86" s="188"/>
      <c r="J86" s="188"/>
      <c r="K86" s="188"/>
      <c r="L86" s="199"/>
      <c r="M86" s="188"/>
      <c r="N86" s="200"/>
      <c r="O86" s="201">
        <v>3.43</v>
      </c>
      <c r="P86" s="201">
        <f>Table1[[#This Row],[unit cost]]</f>
        <v>3.43</v>
      </c>
      <c r="Q86" s="416">
        <v>3.25</v>
      </c>
      <c r="R86" s="188">
        <v>1</v>
      </c>
      <c r="S86" s="251">
        <f t="shared" si="15"/>
        <v>0.42</v>
      </c>
      <c r="T86" s="203">
        <f>Table1[[#This Row],[man minutes]]*Table1[[#This Row],[labor rate]]</f>
        <v>1.365</v>
      </c>
      <c r="U86" s="203">
        <f t="shared" si="11"/>
        <v>4.7949999999999999</v>
      </c>
      <c r="V86" s="189">
        <f t="shared" si="17"/>
        <v>0.22</v>
      </c>
      <c r="W86" s="252">
        <f t="shared" si="16"/>
        <v>0.2</v>
      </c>
      <c r="X86" s="203">
        <f t="shared" si="12"/>
        <v>4.1846000000000005</v>
      </c>
      <c r="Y86" s="203">
        <f t="shared" si="13"/>
        <v>1.6379999999999999</v>
      </c>
      <c r="Z86" s="203">
        <f t="shared" si="14"/>
        <v>5.83</v>
      </c>
      <c r="AA86" s="205">
        <f>+Table1[[#This Row],[calculated sale price]]</f>
        <v>5.83</v>
      </c>
      <c r="AB86" s="204"/>
      <c r="AC86" s="208"/>
    </row>
    <row r="87" spans="1:29">
      <c r="A87" s="188">
        <v>1078</v>
      </c>
      <c r="B87" t="s">
        <v>473</v>
      </c>
      <c r="C87" s="188">
        <v>1</v>
      </c>
      <c r="I87" s="188"/>
      <c r="J87" s="188"/>
      <c r="K87" s="188"/>
      <c r="L87" s="199"/>
      <c r="M87" s="188"/>
      <c r="N87" s="200"/>
      <c r="O87" s="201">
        <v>1.54</v>
      </c>
      <c r="P87" s="201">
        <f>Table1[[#This Row],[unit cost]]</f>
        <v>1.54</v>
      </c>
      <c r="Q87" s="416">
        <v>1.5</v>
      </c>
      <c r="R87" s="188">
        <v>1</v>
      </c>
      <c r="S87" s="251">
        <f t="shared" si="15"/>
        <v>0.42</v>
      </c>
      <c r="T87" s="203">
        <f>Table1[[#This Row],[man minutes]]*Table1[[#This Row],[labor rate]]</f>
        <v>0.63</v>
      </c>
      <c r="U87" s="203">
        <f t="shared" si="11"/>
        <v>2.17</v>
      </c>
      <c r="V87" s="189">
        <f t="shared" si="17"/>
        <v>0.22</v>
      </c>
      <c r="W87" s="252">
        <f t="shared" si="16"/>
        <v>0.2</v>
      </c>
      <c r="X87" s="203">
        <f t="shared" si="12"/>
        <v>1.8788</v>
      </c>
      <c r="Y87" s="203">
        <f t="shared" si="13"/>
        <v>0.75600000000000001</v>
      </c>
      <c r="Z87" s="203">
        <f t="shared" si="14"/>
        <v>2.6399999999999997</v>
      </c>
      <c r="AA87" s="205">
        <f>+Table1[[#This Row],[calculated sale price]]</f>
        <v>2.6399999999999997</v>
      </c>
      <c r="AB87" s="204"/>
      <c r="AC87" s="208"/>
    </row>
    <row r="88" spans="1:29">
      <c r="A88" s="188">
        <v>1079</v>
      </c>
      <c r="B88" t="s">
        <v>474</v>
      </c>
      <c r="C88" s="188">
        <v>1</v>
      </c>
      <c r="I88" s="188"/>
      <c r="J88" s="188"/>
      <c r="K88" s="188"/>
      <c r="L88" s="199"/>
      <c r="M88" s="188"/>
      <c r="N88" s="200"/>
      <c r="O88" s="201">
        <v>1.6</v>
      </c>
      <c r="P88" s="201">
        <f>Table1[[#This Row],[unit cost]]</f>
        <v>1.6</v>
      </c>
      <c r="Q88" s="416">
        <v>1.5</v>
      </c>
      <c r="R88" s="188">
        <v>1</v>
      </c>
      <c r="S88" s="251">
        <f t="shared" si="15"/>
        <v>0.42</v>
      </c>
      <c r="T88" s="203">
        <f>Table1[[#This Row],[man minutes]]*Table1[[#This Row],[labor rate]]</f>
        <v>0.63</v>
      </c>
      <c r="U88" s="203">
        <f t="shared" ref="U88:U151" si="18">P88+T88</f>
        <v>2.23</v>
      </c>
      <c r="V88" s="189">
        <f t="shared" si="17"/>
        <v>0.22</v>
      </c>
      <c r="W88" s="252">
        <f t="shared" si="16"/>
        <v>0.2</v>
      </c>
      <c r="X88" s="203">
        <f t="shared" ref="X88:X151" si="19">P88*(1+V88)</f>
        <v>1.952</v>
      </c>
      <c r="Y88" s="203">
        <f t="shared" ref="Y88:Y151" si="20">T88+(T88*W88)</f>
        <v>0.75600000000000001</v>
      </c>
      <c r="Z88" s="203">
        <f t="shared" ref="Z88:Z151" si="21">IFERROR(ROUNDUP(X88+Y88,2)," ")</f>
        <v>2.71</v>
      </c>
      <c r="AA88" s="205">
        <f>+Table1[[#This Row],[calculated sale price]]</f>
        <v>2.71</v>
      </c>
      <c r="AB88" s="204"/>
      <c r="AC88" s="208"/>
    </row>
    <row r="89" spans="1:29">
      <c r="A89" s="188">
        <v>1080</v>
      </c>
      <c r="B89" t="s">
        <v>475</v>
      </c>
      <c r="C89" s="188">
        <v>1</v>
      </c>
      <c r="I89" s="188"/>
      <c r="J89" s="188"/>
      <c r="K89" s="188"/>
      <c r="L89" s="199"/>
      <c r="M89" s="188"/>
      <c r="N89" s="200"/>
      <c r="O89" s="201">
        <v>2.35</v>
      </c>
      <c r="P89" s="201">
        <f>Table1[[#This Row],[unit cost]]</f>
        <v>2.35</v>
      </c>
      <c r="Q89" s="416">
        <v>1.5</v>
      </c>
      <c r="R89" s="188">
        <v>1</v>
      </c>
      <c r="S89" s="251">
        <f t="shared" si="15"/>
        <v>0.42</v>
      </c>
      <c r="T89" s="203">
        <f>Table1[[#This Row],[man minutes]]*Table1[[#This Row],[labor rate]]</f>
        <v>0.63</v>
      </c>
      <c r="U89" s="203">
        <f t="shared" si="18"/>
        <v>2.98</v>
      </c>
      <c r="V89" s="189">
        <f t="shared" si="17"/>
        <v>0.22</v>
      </c>
      <c r="W89" s="252">
        <f t="shared" si="16"/>
        <v>0.2</v>
      </c>
      <c r="X89" s="203">
        <f t="shared" si="19"/>
        <v>2.867</v>
      </c>
      <c r="Y89" s="203">
        <f t="shared" si="20"/>
        <v>0.75600000000000001</v>
      </c>
      <c r="Z89" s="203">
        <f t="shared" si="21"/>
        <v>3.63</v>
      </c>
      <c r="AA89" s="205">
        <f>+Table1[[#This Row],[calculated sale price]]</f>
        <v>3.63</v>
      </c>
      <c r="AB89" s="204"/>
      <c r="AC89" s="208"/>
    </row>
    <row r="90" spans="1:29">
      <c r="A90" s="188">
        <v>1081</v>
      </c>
      <c r="B90" t="s">
        <v>476</v>
      </c>
      <c r="C90" s="188">
        <v>1</v>
      </c>
      <c r="I90" s="188"/>
      <c r="J90" s="188"/>
      <c r="K90" s="188"/>
      <c r="L90" s="199"/>
      <c r="M90" s="188"/>
      <c r="N90" s="200"/>
      <c r="O90" s="201">
        <v>2.0499999999999998</v>
      </c>
      <c r="P90" s="201">
        <f>Table1[[#This Row],[unit cost]]</f>
        <v>2.0499999999999998</v>
      </c>
      <c r="Q90" s="416">
        <v>1.5</v>
      </c>
      <c r="R90" s="188">
        <v>1</v>
      </c>
      <c r="S90" s="251">
        <f t="shared" si="15"/>
        <v>0.42</v>
      </c>
      <c r="T90" s="203">
        <f>Table1[[#This Row],[man minutes]]*Table1[[#This Row],[labor rate]]</f>
        <v>0.63</v>
      </c>
      <c r="U90" s="203">
        <f t="shared" si="18"/>
        <v>2.6799999999999997</v>
      </c>
      <c r="V90" s="189">
        <f t="shared" si="17"/>
        <v>0.22</v>
      </c>
      <c r="W90" s="252">
        <f t="shared" si="16"/>
        <v>0.2</v>
      </c>
      <c r="X90" s="203">
        <f t="shared" si="19"/>
        <v>2.5009999999999999</v>
      </c>
      <c r="Y90" s="203">
        <f t="shared" si="20"/>
        <v>0.75600000000000001</v>
      </c>
      <c r="Z90" s="203">
        <f t="shared" si="21"/>
        <v>3.26</v>
      </c>
      <c r="AA90" s="205">
        <f>+Table1[[#This Row],[calculated sale price]]</f>
        <v>3.26</v>
      </c>
      <c r="AB90" s="204"/>
      <c r="AC90" s="208"/>
    </row>
    <row r="91" spans="1:29">
      <c r="A91" s="188">
        <v>1082</v>
      </c>
      <c r="B91" t="s">
        <v>477</v>
      </c>
      <c r="C91" s="188">
        <v>1</v>
      </c>
      <c r="I91" s="188"/>
      <c r="J91" s="188"/>
      <c r="K91" s="188"/>
      <c r="L91" s="199"/>
      <c r="M91" s="188"/>
      <c r="N91" s="200"/>
      <c r="O91" s="201">
        <v>2.25</v>
      </c>
      <c r="P91" s="201">
        <f>Table1[[#This Row],[unit cost]]</f>
        <v>2.25</v>
      </c>
      <c r="Q91" s="416">
        <v>1.5</v>
      </c>
      <c r="R91" s="188">
        <v>1</v>
      </c>
      <c r="S91" s="251">
        <f t="shared" si="15"/>
        <v>0.42</v>
      </c>
      <c r="T91" s="203">
        <f>Table1[[#This Row],[man minutes]]*Table1[[#This Row],[labor rate]]</f>
        <v>0.63</v>
      </c>
      <c r="U91" s="203">
        <f t="shared" si="18"/>
        <v>2.88</v>
      </c>
      <c r="V91" s="189">
        <f t="shared" si="17"/>
        <v>0.22</v>
      </c>
      <c r="W91" s="252">
        <f t="shared" si="16"/>
        <v>0.2</v>
      </c>
      <c r="X91" s="203">
        <f t="shared" si="19"/>
        <v>2.7450000000000001</v>
      </c>
      <c r="Y91" s="203">
        <f t="shared" si="20"/>
        <v>0.75600000000000001</v>
      </c>
      <c r="Z91" s="203">
        <f t="shared" si="21"/>
        <v>3.51</v>
      </c>
      <c r="AA91" s="205">
        <f>+Table1[[#This Row],[calculated sale price]]</f>
        <v>3.51</v>
      </c>
      <c r="AB91" s="204"/>
      <c r="AC91" s="208"/>
    </row>
    <row r="92" spans="1:29">
      <c r="A92" s="188">
        <v>1083</v>
      </c>
      <c r="B92" t="s">
        <v>478</v>
      </c>
      <c r="C92" s="188">
        <v>1</v>
      </c>
      <c r="I92" s="188"/>
      <c r="J92" s="188"/>
      <c r="K92" s="188"/>
      <c r="L92" s="199"/>
      <c r="M92" s="188"/>
      <c r="N92" s="200"/>
      <c r="O92" s="201">
        <v>2.0499999999999998</v>
      </c>
      <c r="P92" s="201">
        <f>Table1[[#This Row],[unit cost]]</f>
        <v>2.0499999999999998</v>
      </c>
      <c r="Q92" s="416">
        <v>2</v>
      </c>
      <c r="R92" s="188">
        <v>1</v>
      </c>
      <c r="S92" s="251">
        <f t="shared" si="15"/>
        <v>0.42</v>
      </c>
      <c r="T92" s="203">
        <f>Table1[[#This Row],[man minutes]]*Table1[[#This Row],[labor rate]]</f>
        <v>0.84</v>
      </c>
      <c r="U92" s="203">
        <f t="shared" si="18"/>
        <v>2.8899999999999997</v>
      </c>
      <c r="V92" s="189">
        <f t="shared" si="17"/>
        <v>0.22</v>
      </c>
      <c r="W92" s="252">
        <f t="shared" si="16"/>
        <v>0.2</v>
      </c>
      <c r="X92" s="203">
        <f t="shared" si="19"/>
        <v>2.5009999999999999</v>
      </c>
      <c r="Y92" s="203">
        <f t="shared" si="20"/>
        <v>1.008</v>
      </c>
      <c r="Z92" s="203">
        <f t="shared" si="21"/>
        <v>3.51</v>
      </c>
      <c r="AA92" s="205">
        <f>+Table1[[#This Row],[calculated sale price]]</f>
        <v>3.51</v>
      </c>
      <c r="AB92" s="204"/>
      <c r="AC92" s="208"/>
    </row>
    <row r="93" spans="1:29">
      <c r="A93" s="188">
        <v>1084</v>
      </c>
      <c r="B93" t="s">
        <v>479</v>
      </c>
      <c r="C93" s="188">
        <v>1</v>
      </c>
      <c r="I93" s="188"/>
      <c r="J93" s="188"/>
      <c r="K93" s="188"/>
      <c r="L93" s="199"/>
      <c r="M93" s="188"/>
      <c r="N93" s="200"/>
      <c r="O93" s="201">
        <v>1.05</v>
      </c>
      <c r="P93" s="201">
        <f>Table1[[#This Row],[unit cost]]</f>
        <v>1.05</v>
      </c>
      <c r="Q93" s="416">
        <v>2</v>
      </c>
      <c r="R93" s="188">
        <v>1</v>
      </c>
      <c r="S93" s="251">
        <f t="shared" si="15"/>
        <v>0.42</v>
      </c>
      <c r="T93" s="203">
        <f>Table1[[#This Row],[man minutes]]*Table1[[#This Row],[labor rate]]</f>
        <v>0.84</v>
      </c>
      <c r="U93" s="203">
        <f t="shared" si="18"/>
        <v>1.8900000000000001</v>
      </c>
      <c r="V93" s="189">
        <f t="shared" si="17"/>
        <v>0.22</v>
      </c>
      <c r="W93" s="252">
        <f t="shared" si="16"/>
        <v>0.2</v>
      </c>
      <c r="X93" s="203">
        <f t="shared" si="19"/>
        <v>1.2809999999999999</v>
      </c>
      <c r="Y93" s="203">
        <f t="shared" si="20"/>
        <v>1.008</v>
      </c>
      <c r="Z93" s="203">
        <f t="shared" si="21"/>
        <v>2.2899999999999996</v>
      </c>
      <c r="AA93" s="205">
        <f>+Table1[[#This Row],[calculated sale price]]</f>
        <v>2.2899999999999996</v>
      </c>
      <c r="AB93" s="204"/>
      <c r="AC93" s="208"/>
    </row>
    <row r="94" spans="1:29">
      <c r="A94" s="188">
        <v>1085</v>
      </c>
      <c r="B94" t="s">
        <v>480</v>
      </c>
      <c r="C94" s="188">
        <v>1</v>
      </c>
      <c r="I94" s="188"/>
      <c r="J94" s="188"/>
      <c r="K94" s="188"/>
      <c r="L94" s="199"/>
      <c r="M94" s="188"/>
      <c r="N94" s="200"/>
      <c r="O94" s="201">
        <v>2.02</v>
      </c>
      <c r="P94" s="201">
        <f>Table1[[#This Row],[unit cost]]</f>
        <v>2.02</v>
      </c>
      <c r="Q94" s="416">
        <v>2</v>
      </c>
      <c r="R94" s="188">
        <v>1</v>
      </c>
      <c r="S94" s="251">
        <f t="shared" si="15"/>
        <v>0.42</v>
      </c>
      <c r="T94" s="203">
        <f>Table1[[#This Row],[man minutes]]*Table1[[#This Row],[labor rate]]</f>
        <v>0.84</v>
      </c>
      <c r="U94" s="203">
        <f t="shared" si="18"/>
        <v>2.86</v>
      </c>
      <c r="V94" s="189">
        <f t="shared" si="17"/>
        <v>0.22</v>
      </c>
      <c r="W94" s="252">
        <f t="shared" si="16"/>
        <v>0.2</v>
      </c>
      <c r="X94" s="203">
        <f t="shared" si="19"/>
        <v>2.4643999999999999</v>
      </c>
      <c r="Y94" s="203">
        <f t="shared" si="20"/>
        <v>1.008</v>
      </c>
      <c r="Z94" s="203">
        <f t="shared" si="21"/>
        <v>3.48</v>
      </c>
      <c r="AA94" s="205">
        <f>+Table1[[#This Row],[calculated sale price]]</f>
        <v>3.48</v>
      </c>
      <c r="AB94" s="204"/>
      <c r="AC94" s="208"/>
    </row>
    <row r="95" spans="1:29">
      <c r="A95" s="188">
        <v>1086</v>
      </c>
      <c r="B95" t="s">
        <v>481</v>
      </c>
      <c r="C95" s="188">
        <v>1</v>
      </c>
      <c r="I95" s="188"/>
      <c r="J95" s="188"/>
      <c r="K95" s="188"/>
      <c r="L95" s="199"/>
      <c r="M95" s="188"/>
      <c r="N95" s="200"/>
      <c r="O95" s="201">
        <v>1.1399999999999999</v>
      </c>
      <c r="P95" s="201">
        <f>Table1[[#This Row],[unit cost]]</f>
        <v>1.1399999999999999</v>
      </c>
      <c r="Q95" s="416">
        <v>1.5</v>
      </c>
      <c r="R95" s="188">
        <v>1</v>
      </c>
      <c r="S95" s="251">
        <f t="shared" si="15"/>
        <v>0.42</v>
      </c>
      <c r="T95" s="203">
        <f>Table1[[#This Row],[man minutes]]*Table1[[#This Row],[labor rate]]</f>
        <v>0.63</v>
      </c>
      <c r="U95" s="203">
        <f t="shared" si="18"/>
        <v>1.77</v>
      </c>
      <c r="V95" s="189">
        <f t="shared" si="17"/>
        <v>0.22</v>
      </c>
      <c r="W95" s="252">
        <f t="shared" si="16"/>
        <v>0.2</v>
      </c>
      <c r="X95" s="203">
        <f t="shared" si="19"/>
        <v>1.3907999999999998</v>
      </c>
      <c r="Y95" s="203">
        <f t="shared" si="20"/>
        <v>0.75600000000000001</v>
      </c>
      <c r="Z95" s="203">
        <f t="shared" si="21"/>
        <v>2.15</v>
      </c>
      <c r="AA95" s="205">
        <f>+Table1[[#This Row],[calculated sale price]]</f>
        <v>2.15</v>
      </c>
      <c r="AB95" s="204"/>
      <c r="AC95" s="208"/>
    </row>
    <row r="96" spans="1:29">
      <c r="A96" s="188">
        <v>1087</v>
      </c>
      <c r="C96" s="188">
        <v>1</v>
      </c>
      <c r="I96" s="188"/>
      <c r="J96" s="188"/>
      <c r="K96" s="188"/>
      <c r="L96" s="199"/>
      <c r="M96" s="188"/>
      <c r="N96" s="200"/>
      <c r="O96" s="201">
        <v>0</v>
      </c>
      <c r="P96" s="201">
        <f>Table1[[#This Row],[unit cost]]</f>
        <v>0</v>
      </c>
      <c r="Q96" s="416"/>
      <c r="R96" s="188">
        <v>1</v>
      </c>
      <c r="S96" s="251">
        <f t="shared" si="15"/>
        <v>0.42</v>
      </c>
      <c r="T96" s="203">
        <f>Table1[[#This Row],[man minutes]]*Table1[[#This Row],[labor rate]]</f>
        <v>0</v>
      </c>
      <c r="U96" s="203">
        <f t="shared" si="18"/>
        <v>0</v>
      </c>
      <c r="V96" s="189">
        <f t="shared" si="17"/>
        <v>0.22</v>
      </c>
      <c r="W96" s="252">
        <f t="shared" si="16"/>
        <v>0.2</v>
      </c>
      <c r="X96" s="203">
        <f t="shared" si="19"/>
        <v>0</v>
      </c>
      <c r="Y96" s="203">
        <f t="shared" si="20"/>
        <v>0</v>
      </c>
      <c r="Z96" s="203">
        <f t="shared" si="21"/>
        <v>0</v>
      </c>
      <c r="AA96" s="205">
        <f>+Table1[[#This Row],[calculated sale price]]</f>
        <v>0</v>
      </c>
      <c r="AB96" s="204"/>
      <c r="AC96" s="208"/>
    </row>
    <row r="97" spans="1:29">
      <c r="A97" s="188">
        <v>1088</v>
      </c>
      <c r="B97" t="s">
        <v>482</v>
      </c>
      <c r="C97" s="188">
        <v>1</v>
      </c>
      <c r="I97" s="188"/>
      <c r="J97" s="188"/>
      <c r="K97" s="188"/>
      <c r="L97" s="199"/>
      <c r="M97" s="188"/>
      <c r="N97" s="200"/>
      <c r="O97" s="201">
        <v>2.91</v>
      </c>
      <c r="P97" s="201">
        <f>Table1[[#This Row],[unit cost]]</f>
        <v>2.91</v>
      </c>
      <c r="Q97" s="416">
        <v>3.75</v>
      </c>
      <c r="R97" s="188">
        <v>1</v>
      </c>
      <c r="S97" s="251">
        <f t="shared" si="15"/>
        <v>0.42</v>
      </c>
      <c r="T97" s="203">
        <f>Table1[[#This Row],[man minutes]]*Table1[[#This Row],[labor rate]]</f>
        <v>1.575</v>
      </c>
      <c r="U97" s="203">
        <f t="shared" si="18"/>
        <v>4.4850000000000003</v>
      </c>
      <c r="V97" s="189">
        <f t="shared" si="17"/>
        <v>0.22</v>
      </c>
      <c r="W97" s="252">
        <f t="shared" si="16"/>
        <v>0.2</v>
      </c>
      <c r="X97" s="203">
        <f t="shared" si="19"/>
        <v>3.5502000000000002</v>
      </c>
      <c r="Y97" s="203">
        <f t="shared" si="20"/>
        <v>1.89</v>
      </c>
      <c r="Z97" s="203">
        <f t="shared" si="21"/>
        <v>5.45</v>
      </c>
      <c r="AA97" s="205">
        <f>+Table1[[#This Row],[calculated sale price]]</f>
        <v>5.45</v>
      </c>
      <c r="AB97" s="204"/>
      <c r="AC97" s="208"/>
    </row>
    <row r="98" spans="1:29">
      <c r="A98" s="188">
        <v>1089</v>
      </c>
      <c r="B98" t="s">
        <v>483</v>
      </c>
      <c r="C98" s="188">
        <v>1</v>
      </c>
      <c r="I98" s="188"/>
      <c r="J98" s="188"/>
      <c r="K98" s="188"/>
      <c r="L98" s="199"/>
      <c r="M98" s="188"/>
      <c r="N98" s="200"/>
      <c r="O98" s="201">
        <v>1.24</v>
      </c>
      <c r="P98" s="201">
        <f>Table1[[#This Row],[unit cost]]</f>
        <v>1.24</v>
      </c>
      <c r="Q98" s="416">
        <v>3.25</v>
      </c>
      <c r="R98" s="188">
        <v>1</v>
      </c>
      <c r="S98" s="251">
        <f t="shared" si="15"/>
        <v>0.42</v>
      </c>
      <c r="T98" s="203">
        <f>Table1[[#This Row],[man minutes]]*Table1[[#This Row],[labor rate]]</f>
        <v>1.365</v>
      </c>
      <c r="U98" s="203">
        <f t="shared" si="18"/>
        <v>2.605</v>
      </c>
      <c r="V98" s="189">
        <f t="shared" si="17"/>
        <v>0.22</v>
      </c>
      <c r="W98" s="252">
        <f t="shared" si="16"/>
        <v>0.2</v>
      </c>
      <c r="X98" s="203">
        <f t="shared" si="19"/>
        <v>1.5127999999999999</v>
      </c>
      <c r="Y98" s="203">
        <f t="shared" si="20"/>
        <v>1.6379999999999999</v>
      </c>
      <c r="Z98" s="203">
        <f t="shared" si="21"/>
        <v>3.1599999999999997</v>
      </c>
      <c r="AA98" s="205">
        <f>+Table1[[#This Row],[calculated sale price]]</f>
        <v>3.1599999999999997</v>
      </c>
      <c r="AB98" s="204"/>
      <c r="AC98" s="208"/>
    </row>
    <row r="99" spans="1:29">
      <c r="A99" s="188">
        <v>1090</v>
      </c>
      <c r="B99" t="s">
        <v>484</v>
      </c>
      <c r="C99" s="188">
        <v>1</v>
      </c>
      <c r="I99" s="188"/>
      <c r="J99" s="188"/>
      <c r="K99" s="188"/>
      <c r="L99" s="199"/>
      <c r="M99" s="188"/>
      <c r="N99" s="200"/>
      <c r="O99" s="405">
        <v>1.86</v>
      </c>
      <c r="P99" s="201">
        <f>Table1[[#This Row],[unit cost]]</f>
        <v>1.86</v>
      </c>
      <c r="Q99" s="416">
        <v>4</v>
      </c>
      <c r="R99" s="188">
        <v>1</v>
      </c>
      <c r="S99" s="251">
        <f t="shared" si="15"/>
        <v>0.42</v>
      </c>
      <c r="T99" s="203">
        <f>Table1[[#This Row],[man minutes]]*Table1[[#This Row],[labor rate]]</f>
        <v>1.68</v>
      </c>
      <c r="U99" s="203">
        <f t="shared" si="18"/>
        <v>3.54</v>
      </c>
      <c r="V99" s="189">
        <f t="shared" si="17"/>
        <v>0.22</v>
      </c>
      <c r="W99" s="252">
        <f t="shared" si="16"/>
        <v>0.2</v>
      </c>
      <c r="X99" s="203">
        <f t="shared" si="19"/>
        <v>2.2692000000000001</v>
      </c>
      <c r="Y99" s="203">
        <f t="shared" si="20"/>
        <v>2.016</v>
      </c>
      <c r="Z99" s="203">
        <f t="shared" si="21"/>
        <v>4.29</v>
      </c>
      <c r="AA99" s="205">
        <f>+Table1[[#This Row],[calculated sale price]]</f>
        <v>4.29</v>
      </c>
      <c r="AB99" s="204"/>
      <c r="AC99" s="208"/>
    </row>
    <row r="100" spans="1:29">
      <c r="A100" s="188">
        <v>1091</v>
      </c>
      <c r="B100" t="s">
        <v>485</v>
      </c>
      <c r="C100" s="188">
        <v>1</v>
      </c>
      <c r="I100" s="188"/>
      <c r="J100" s="188"/>
      <c r="K100" s="188"/>
      <c r="L100" s="199"/>
      <c r="M100" s="188"/>
      <c r="N100" s="200"/>
      <c r="O100" s="201">
        <v>3.57</v>
      </c>
      <c r="P100" s="201">
        <f>Table1[[#This Row],[unit cost]]</f>
        <v>3.57</v>
      </c>
      <c r="Q100" s="416">
        <v>2.5</v>
      </c>
      <c r="R100" s="188">
        <v>1</v>
      </c>
      <c r="S100" s="251">
        <f t="shared" si="15"/>
        <v>0.42</v>
      </c>
      <c r="T100" s="203">
        <f>Table1[[#This Row],[man minutes]]*Table1[[#This Row],[labor rate]]</f>
        <v>1.05</v>
      </c>
      <c r="U100" s="203">
        <f t="shared" si="18"/>
        <v>4.62</v>
      </c>
      <c r="V100" s="189">
        <f t="shared" si="17"/>
        <v>0.22</v>
      </c>
      <c r="W100" s="252">
        <f t="shared" si="16"/>
        <v>0.2</v>
      </c>
      <c r="X100" s="203">
        <f t="shared" si="19"/>
        <v>4.3553999999999995</v>
      </c>
      <c r="Y100" s="203">
        <f t="shared" si="20"/>
        <v>1.26</v>
      </c>
      <c r="Z100" s="203">
        <f t="shared" si="21"/>
        <v>5.62</v>
      </c>
      <c r="AA100" s="205">
        <f>+Table1[[#This Row],[calculated sale price]]</f>
        <v>5.62</v>
      </c>
      <c r="AB100" s="204"/>
      <c r="AC100" s="208"/>
    </row>
    <row r="101" spans="1:29">
      <c r="A101" s="188">
        <v>1092</v>
      </c>
      <c r="B101" t="s">
        <v>486</v>
      </c>
      <c r="C101" s="188">
        <v>1</v>
      </c>
      <c r="I101" s="188"/>
      <c r="J101" s="188"/>
      <c r="K101" s="188"/>
      <c r="L101" s="199"/>
      <c r="M101" s="188"/>
      <c r="N101" s="200"/>
      <c r="O101" s="201">
        <v>3</v>
      </c>
      <c r="P101" s="201">
        <f>Table1[[#This Row],[unit cost]]</f>
        <v>3</v>
      </c>
      <c r="Q101" s="416">
        <v>1</v>
      </c>
      <c r="R101" s="188">
        <v>1</v>
      </c>
      <c r="S101" s="251">
        <f t="shared" si="15"/>
        <v>0.42</v>
      </c>
      <c r="T101" s="203">
        <f>Table1[[#This Row],[man minutes]]*Table1[[#This Row],[labor rate]]</f>
        <v>0.42</v>
      </c>
      <c r="U101" s="203">
        <f t="shared" si="18"/>
        <v>3.42</v>
      </c>
      <c r="V101" s="189">
        <f t="shared" si="17"/>
        <v>0.22</v>
      </c>
      <c r="W101" s="252">
        <f t="shared" si="16"/>
        <v>0.2</v>
      </c>
      <c r="X101" s="203">
        <f t="shared" si="19"/>
        <v>3.66</v>
      </c>
      <c r="Y101" s="203">
        <f t="shared" si="20"/>
        <v>0.504</v>
      </c>
      <c r="Z101" s="203">
        <f t="shared" si="21"/>
        <v>4.17</v>
      </c>
      <c r="AA101" s="205">
        <f>+Table1[[#This Row],[calculated sale price]]</f>
        <v>4.17</v>
      </c>
      <c r="AB101" s="204"/>
      <c r="AC101" s="208"/>
    </row>
    <row r="102" spans="1:29">
      <c r="A102" s="188">
        <v>1093</v>
      </c>
      <c r="B102" t="s">
        <v>487</v>
      </c>
      <c r="C102" s="188">
        <v>1</v>
      </c>
      <c r="I102" s="188"/>
      <c r="J102" s="188"/>
      <c r="K102" s="188"/>
      <c r="L102" s="199"/>
      <c r="M102" s="188"/>
      <c r="N102" s="200"/>
      <c r="O102" s="201">
        <v>5.72</v>
      </c>
      <c r="P102" s="201">
        <f>Table1[[#This Row],[unit cost]]</f>
        <v>5.72</v>
      </c>
      <c r="Q102" s="416">
        <v>5.75</v>
      </c>
      <c r="R102" s="188">
        <v>1</v>
      </c>
      <c r="S102" s="251">
        <f t="shared" si="15"/>
        <v>0.42</v>
      </c>
      <c r="T102" s="203">
        <f>Table1[[#This Row],[man minutes]]*Table1[[#This Row],[labor rate]]</f>
        <v>2.415</v>
      </c>
      <c r="U102" s="203">
        <f t="shared" si="18"/>
        <v>8.1349999999999998</v>
      </c>
      <c r="V102" s="189">
        <f t="shared" si="17"/>
        <v>0.22</v>
      </c>
      <c r="W102" s="252">
        <f t="shared" si="16"/>
        <v>0.2</v>
      </c>
      <c r="X102" s="203">
        <f t="shared" si="19"/>
        <v>6.9783999999999997</v>
      </c>
      <c r="Y102" s="203">
        <f t="shared" si="20"/>
        <v>2.8980000000000001</v>
      </c>
      <c r="Z102" s="203">
        <f t="shared" si="21"/>
        <v>9.879999999999999</v>
      </c>
      <c r="AA102" s="205">
        <f>+Table1[[#This Row],[calculated sale price]]</f>
        <v>9.879999999999999</v>
      </c>
      <c r="AB102" s="204"/>
      <c r="AC102" s="208"/>
    </row>
    <row r="103" spans="1:29">
      <c r="A103" s="188">
        <v>1094</v>
      </c>
      <c r="B103" s="407" t="s">
        <v>488</v>
      </c>
      <c r="C103" s="188">
        <v>1</v>
      </c>
      <c r="I103" s="188"/>
      <c r="J103" s="188"/>
      <c r="K103" s="188"/>
      <c r="L103" s="199"/>
      <c r="M103" s="188"/>
      <c r="N103" s="200"/>
      <c r="O103" s="405">
        <v>10.86</v>
      </c>
      <c r="P103" s="201">
        <f>Table1[[#This Row],[unit cost]]</f>
        <v>10.86</v>
      </c>
      <c r="Q103" s="403">
        <v>7</v>
      </c>
      <c r="R103" s="188">
        <v>1</v>
      </c>
      <c r="S103" s="251">
        <f t="shared" si="15"/>
        <v>0.42</v>
      </c>
      <c r="T103" s="203">
        <f>Table1[[#This Row],[man minutes]]*Table1[[#This Row],[labor rate]]</f>
        <v>2.94</v>
      </c>
      <c r="U103" s="203">
        <f t="shared" si="18"/>
        <v>13.799999999999999</v>
      </c>
      <c r="V103" s="189">
        <f t="shared" si="17"/>
        <v>0.22</v>
      </c>
      <c r="W103" s="252">
        <f t="shared" si="16"/>
        <v>0.2</v>
      </c>
      <c r="X103" s="203">
        <f t="shared" si="19"/>
        <v>13.249199999999998</v>
      </c>
      <c r="Y103" s="203">
        <f t="shared" si="20"/>
        <v>3.528</v>
      </c>
      <c r="Z103" s="203">
        <f t="shared" si="21"/>
        <v>16.78</v>
      </c>
      <c r="AA103" s="205">
        <f>+Table1[[#This Row],[calculated sale price]]</f>
        <v>16.78</v>
      </c>
      <c r="AB103" s="204"/>
      <c r="AC103" s="208"/>
    </row>
    <row r="104" spans="1:29">
      <c r="A104" s="188">
        <v>1095</v>
      </c>
      <c r="B104" t="s">
        <v>489</v>
      </c>
      <c r="C104" s="188">
        <v>1</v>
      </c>
      <c r="I104" s="188"/>
      <c r="J104" s="188"/>
      <c r="K104" s="188"/>
      <c r="L104" s="199"/>
      <c r="M104" s="188"/>
      <c r="N104" s="200"/>
      <c r="O104" s="201">
        <v>4.47</v>
      </c>
      <c r="P104" s="201">
        <f>Table1[[#This Row],[unit cost]]</f>
        <v>4.47</v>
      </c>
      <c r="Q104" s="416">
        <v>3.75</v>
      </c>
      <c r="R104" s="188">
        <v>1</v>
      </c>
      <c r="S104" s="251">
        <f t="shared" si="15"/>
        <v>0.42</v>
      </c>
      <c r="T104" s="203">
        <f>Table1[[#This Row],[man minutes]]*Table1[[#This Row],[labor rate]]</f>
        <v>1.575</v>
      </c>
      <c r="U104" s="203">
        <f t="shared" si="18"/>
        <v>6.0449999999999999</v>
      </c>
      <c r="V104" s="189">
        <f t="shared" si="17"/>
        <v>0.22</v>
      </c>
      <c r="W104" s="252">
        <f t="shared" si="16"/>
        <v>0.2</v>
      </c>
      <c r="X104" s="203">
        <f t="shared" si="19"/>
        <v>5.4533999999999994</v>
      </c>
      <c r="Y104" s="203">
        <f t="shared" si="20"/>
        <v>1.89</v>
      </c>
      <c r="Z104" s="203">
        <f t="shared" si="21"/>
        <v>7.35</v>
      </c>
      <c r="AA104" s="205">
        <f>+Table1[[#This Row],[calculated sale price]]</f>
        <v>7.35</v>
      </c>
      <c r="AB104" s="204"/>
      <c r="AC104" s="208"/>
    </row>
    <row r="105" spans="1:29">
      <c r="A105" s="188">
        <v>1096</v>
      </c>
      <c r="B105" t="s">
        <v>490</v>
      </c>
      <c r="C105" s="188">
        <v>1</v>
      </c>
      <c r="I105" s="188"/>
      <c r="J105" s="188"/>
      <c r="K105" s="188"/>
      <c r="L105" s="199"/>
      <c r="M105" s="188"/>
      <c r="N105" s="200"/>
      <c r="O105" s="201">
        <v>1.43</v>
      </c>
      <c r="P105" s="201">
        <f>Table1[[#This Row],[unit cost]]</f>
        <v>1.43</v>
      </c>
      <c r="Q105" s="416">
        <v>4</v>
      </c>
      <c r="R105" s="188">
        <v>1</v>
      </c>
      <c r="S105" s="251">
        <f t="shared" si="15"/>
        <v>0.42</v>
      </c>
      <c r="T105" s="203">
        <f>Table1[[#This Row],[man minutes]]*Table1[[#This Row],[labor rate]]</f>
        <v>1.68</v>
      </c>
      <c r="U105" s="203">
        <f t="shared" si="18"/>
        <v>3.11</v>
      </c>
      <c r="V105" s="189">
        <f t="shared" si="17"/>
        <v>0.22</v>
      </c>
      <c r="W105" s="252">
        <f t="shared" si="16"/>
        <v>0.2</v>
      </c>
      <c r="X105" s="203">
        <f t="shared" si="19"/>
        <v>1.7445999999999999</v>
      </c>
      <c r="Y105" s="203">
        <f t="shared" si="20"/>
        <v>2.016</v>
      </c>
      <c r="Z105" s="203">
        <f t="shared" si="21"/>
        <v>3.7699999999999996</v>
      </c>
      <c r="AA105" s="205">
        <f>+Table1[[#This Row],[calculated sale price]]</f>
        <v>3.7699999999999996</v>
      </c>
      <c r="AB105" s="204"/>
      <c r="AC105" s="208"/>
    </row>
    <row r="106" spans="1:29">
      <c r="A106" s="188">
        <v>1097</v>
      </c>
      <c r="B106" t="s">
        <v>491</v>
      </c>
      <c r="C106" s="188">
        <v>1</v>
      </c>
      <c r="I106" s="188"/>
      <c r="J106" s="188"/>
      <c r="K106" s="188"/>
      <c r="L106" s="199"/>
      <c r="M106" s="188"/>
      <c r="N106" s="200"/>
      <c r="O106" s="201">
        <v>4.4400000000000004</v>
      </c>
      <c r="P106" s="201">
        <f>Table1[[#This Row],[unit cost]]</f>
        <v>4.4400000000000004</v>
      </c>
      <c r="Q106" s="416">
        <v>2</v>
      </c>
      <c r="R106" s="188">
        <v>1</v>
      </c>
      <c r="S106" s="251">
        <f t="shared" si="15"/>
        <v>0.42</v>
      </c>
      <c r="T106" s="203">
        <f>Table1[[#This Row],[man minutes]]*Table1[[#This Row],[labor rate]]</f>
        <v>0.84</v>
      </c>
      <c r="U106" s="203">
        <f t="shared" si="18"/>
        <v>5.28</v>
      </c>
      <c r="V106" s="189">
        <f t="shared" si="17"/>
        <v>0.22</v>
      </c>
      <c r="W106" s="252">
        <f t="shared" si="16"/>
        <v>0.2</v>
      </c>
      <c r="X106" s="203">
        <f t="shared" si="19"/>
        <v>5.4168000000000003</v>
      </c>
      <c r="Y106" s="203">
        <f t="shared" si="20"/>
        <v>1.008</v>
      </c>
      <c r="Z106" s="203">
        <f t="shared" si="21"/>
        <v>6.43</v>
      </c>
      <c r="AA106" s="205">
        <f>+Table1[[#This Row],[calculated sale price]]</f>
        <v>6.43</v>
      </c>
      <c r="AB106" s="204"/>
      <c r="AC106" s="208"/>
    </row>
    <row r="107" spans="1:29">
      <c r="A107" s="188">
        <v>1098</v>
      </c>
      <c r="B107" t="s">
        <v>492</v>
      </c>
      <c r="C107" s="188">
        <v>1</v>
      </c>
      <c r="I107" s="188"/>
      <c r="J107" s="188"/>
      <c r="K107" s="188"/>
      <c r="L107" s="199"/>
      <c r="M107" s="188"/>
      <c r="N107" s="200"/>
      <c r="O107" s="201">
        <v>2.0299999999999998</v>
      </c>
      <c r="P107" s="201">
        <f>Table1[[#This Row],[unit cost]]</f>
        <v>2.0299999999999998</v>
      </c>
      <c r="Q107" s="416">
        <v>2.75</v>
      </c>
      <c r="R107" s="188">
        <v>1</v>
      </c>
      <c r="S107" s="251">
        <f t="shared" si="15"/>
        <v>0.42</v>
      </c>
      <c r="T107" s="203">
        <f>Table1[[#This Row],[man minutes]]*Table1[[#This Row],[labor rate]]</f>
        <v>1.155</v>
      </c>
      <c r="U107" s="203">
        <f t="shared" si="18"/>
        <v>3.1849999999999996</v>
      </c>
      <c r="V107" s="189">
        <f t="shared" si="17"/>
        <v>0.22</v>
      </c>
      <c r="W107" s="252">
        <f t="shared" si="16"/>
        <v>0.2</v>
      </c>
      <c r="X107" s="203">
        <f t="shared" si="19"/>
        <v>2.4765999999999999</v>
      </c>
      <c r="Y107" s="203">
        <f t="shared" si="20"/>
        <v>1.3860000000000001</v>
      </c>
      <c r="Z107" s="203">
        <f t="shared" si="21"/>
        <v>3.8699999999999997</v>
      </c>
      <c r="AA107" s="205">
        <f>+Table1[[#This Row],[calculated sale price]]</f>
        <v>3.8699999999999997</v>
      </c>
      <c r="AB107" s="204"/>
      <c r="AC107" s="208"/>
    </row>
    <row r="108" spans="1:29">
      <c r="A108" s="188">
        <v>1099</v>
      </c>
      <c r="B108" t="s">
        <v>493</v>
      </c>
      <c r="C108" s="188">
        <v>1</v>
      </c>
      <c r="I108" s="188"/>
      <c r="J108" s="188"/>
      <c r="K108" s="188"/>
      <c r="L108" s="199"/>
      <c r="M108" s="188"/>
      <c r="N108" s="200"/>
      <c r="O108" s="201">
        <v>1.02</v>
      </c>
      <c r="P108" s="201">
        <f>Table1[[#This Row],[unit cost]]</f>
        <v>1.02</v>
      </c>
      <c r="Q108" s="416">
        <v>1.5</v>
      </c>
      <c r="R108" s="188">
        <v>1</v>
      </c>
      <c r="S108" s="251">
        <f t="shared" si="15"/>
        <v>0.42</v>
      </c>
      <c r="T108" s="203">
        <f>Table1[[#This Row],[man minutes]]*Table1[[#This Row],[labor rate]]</f>
        <v>0.63</v>
      </c>
      <c r="U108" s="203">
        <f t="shared" si="18"/>
        <v>1.65</v>
      </c>
      <c r="V108" s="189">
        <f t="shared" si="17"/>
        <v>0.22</v>
      </c>
      <c r="W108" s="252">
        <f t="shared" si="16"/>
        <v>0.2</v>
      </c>
      <c r="X108" s="203">
        <f t="shared" si="19"/>
        <v>1.2444</v>
      </c>
      <c r="Y108" s="203">
        <f t="shared" si="20"/>
        <v>0.75600000000000001</v>
      </c>
      <c r="Z108" s="203">
        <f t="shared" si="21"/>
        <v>2.0099999999999998</v>
      </c>
      <c r="AA108" s="205">
        <f>+Table1[[#This Row],[calculated sale price]]</f>
        <v>2.0099999999999998</v>
      </c>
      <c r="AB108" s="204"/>
      <c r="AC108" s="208"/>
    </row>
    <row r="109" spans="1:29">
      <c r="A109" s="188">
        <v>1100</v>
      </c>
      <c r="B109" t="s">
        <v>494</v>
      </c>
      <c r="C109" s="188">
        <v>1</v>
      </c>
      <c r="I109" s="188"/>
      <c r="J109" s="188"/>
      <c r="K109" s="188"/>
      <c r="L109" s="199"/>
      <c r="M109" s="188"/>
      <c r="N109" s="200"/>
      <c r="O109" s="201">
        <v>1.52</v>
      </c>
      <c r="P109" s="201">
        <f>Table1[[#This Row],[unit cost]]</f>
        <v>1.52</v>
      </c>
      <c r="Q109" s="416">
        <v>2</v>
      </c>
      <c r="R109" s="188">
        <v>1</v>
      </c>
      <c r="S109" s="251">
        <f t="shared" si="15"/>
        <v>0.42</v>
      </c>
      <c r="T109" s="203">
        <f>Table1[[#This Row],[man minutes]]*Table1[[#This Row],[labor rate]]</f>
        <v>0.84</v>
      </c>
      <c r="U109" s="203">
        <f t="shared" si="18"/>
        <v>2.36</v>
      </c>
      <c r="V109" s="189">
        <f t="shared" si="17"/>
        <v>0.22</v>
      </c>
      <c r="W109" s="252">
        <f t="shared" si="16"/>
        <v>0.2</v>
      </c>
      <c r="X109" s="203">
        <f t="shared" si="19"/>
        <v>1.8544</v>
      </c>
      <c r="Y109" s="203">
        <f t="shared" si="20"/>
        <v>1.008</v>
      </c>
      <c r="Z109" s="203">
        <f t="shared" si="21"/>
        <v>2.8699999999999997</v>
      </c>
      <c r="AA109" s="205">
        <f>+Table1[[#This Row],[calculated sale price]]</f>
        <v>2.8699999999999997</v>
      </c>
      <c r="AB109" s="204"/>
      <c r="AC109" s="208"/>
    </row>
    <row r="110" spans="1:29">
      <c r="A110" s="188">
        <v>1101</v>
      </c>
      <c r="B110" t="s">
        <v>495</v>
      </c>
      <c r="C110" s="188">
        <v>1</v>
      </c>
      <c r="I110" s="188"/>
      <c r="J110" s="188"/>
      <c r="K110" s="188"/>
      <c r="L110" s="199"/>
      <c r="M110" s="188"/>
      <c r="N110" s="200"/>
      <c r="O110" s="201">
        <v>1.31</v>
      </c>
      <c r="P110" s="201">
        <f>Table1[[#This Row],[unit cost]]</f>
        <v>1.31</v>
      </c>
      <c r="Q110" s="416">
        <v>2.25</v>
      </c>
      <c r="R110" s="188">
        <v>1</v>
      </c>
      <c r="S110" s="251">
        <f t="shared" si="15"/>
        <v>0.42</v>
      </c>
      <c r="T110" s="203">
        <f>Table1[[#This Row],[man minutes]]*Table1[[#This Row],[labor rate]]</f>
        <v>0.94499999999999995</v>
      </c>
      <c r="U110" s="203">
        <f t="shared" si="18"/>
        <v>2.2549999999999999</v>
      </c>
      <c r="V110" s="189">
        <f t="shared" si="17"/>
        <v>0.22</v>
      </c>
      <c r="W110" s="252">
        <f t="shared" si="16"/>
        <v>0.2</v>
      </c>
      <c r="X110" s="203">
        <f t="shared" si="19"/>
        <v>1.5982000000000001</v>
      </c>
      <c r="Y110" s="203">
        <f t="shared" si="20"/>
        <v>1.1339999999999999</v>
      </c>
      <c r="Z110" s="203">
        <f t="shared" si="21"/>
        <v>2.7399999999999998</v>
      </c>
      <c r="AA110" s="205">
        <f>+Table1[[#This Row],[calculated sale price]]</f>
        <v>2.7399999999999998</v>
      </c>
      <c r="AB110" s="204"/>
      <c r="AC110" s="208"/>
    </row>
    <row r="111" spans="1:29">
      <c r="A111" s="188">
        <v>1102</v>
      </c>
      <c r="B111" t="s">
        <v>496</v>
      </c>
      <c r="C111" s="188">
        <v>1</v>
      </c>
      <c r="I111" s="188"/>
      <c r="J111" s="188"/>
      <c r="K111" s="188"/>
      <c r="L111" s="199"/>
      <c r="M111" s="188"/>
      <c r="N111" s="200"/>
      <c r="O111" s="201">
        <v>4.42</v>
      </c>
      <c r="P111" s="201">
        <f>Table1[[#This Row],[unit cost]]</f>
        <v>4.42</v>
      </c>
      <c r="Q111" s="416">
        <v>2.5</v>
      </c>
      <c r="R111" s="188">
        <v>1</v>
      </c>
      <c r="S111" s="251">
        <f t="shared" si="15"/>
        <v>0.42</v>
      </c>
      <c r="T111" s="203">
        <f>Table1[[#This Row],[man minutes]]*Table1[[#This Row],[labor rate]]</f>
        <v>1.05</v>
      </c>
      <c r="U111" s="203">
        <f t="shared" si="18"/>
        <v>5.47</v>
      </c>
      <c r="V111" s="189">
        <f t="shared" si="17"/>
        <v>0.22</v>
      </c>
      <c r="W111" s="252">
        <f t="shared" si="16"/>
        <v>0.2</v>
      </c>
      <c r="X111" s="203">
        <f t="shared" si="19"/>
        <v>5.3923999999999994</v>
      </c>
      <c r="Y111" s="203">
        <f t="shared" si="20"/>
        <v>1.26</v>
      </c>
      <c r="Z111" s="203">
        <f t="shared" si="21"/>
        <v>6.66</v>
      </c>
      <c r="AA111" s="205">
        <f>+Table1[[#This Row],[calculated sale price]]</f>
        <v>6.66</v>
      </c>
      <c r="AB111" s="204"/>
      <c r="AC111" s="208"/>
    </row>
    <row r="112" spans="1:29">
      <c r="A112" s="188">
        <v>1103</v>
      </c>
      <c r="B112" t="s">
        <v>497</v>
      </c>
      <c r="C112" s="188">
        <v>1</v>
      </c>
      <c r="I112" s="188"/>
      <c r="J112" s="188"/>
      <c r="K112" s="188"/>
      <c r="L112" s="199"/>
      <c r="M112" s="188"/>
      <c r="N112" s="200"/>
      <c r="O112" s="201">
        <v>3.47</v>
      </c>
      <c r="P112" s="201">
        <f>Table1[[#This Row],[unit cost]]</f>
        <v>3.47</v>
      </c>
      <c r="Q112" s="416">
        <v>4.5</v>
      </c>
      <c r="R112" s="188">
        <v>1</v>
      </c>
      <c r="S112" s="251">
        <f t="shared" si="15"/>
        <v>0.42</v>
      </c>
      <c r="T112" s="203">
        <f>Table1[[#This Row],[man minutes]]*Table1[[#This Row],[labor rate]]</f>
        <v>1.89</v>
      </c>
      <c r="U112" s="203">
        <f t="shared" si="18"/>
        <v>5.36</v>
      </c>
      <c r="V112" s="189">
        <f t="shared" si="17"/>
        <v>0.22</v>
      </c>
      <c r="W112" s="252">
        <f t="shared" si="16"/>
        <v>0.2</v>
      </c>
      <c r="X112" s="203">
        <f t="shared" si="19"/>
        <v>4.2334000000000005</v>
      </c>
      <c r="Y112" s="203">
        <f t="shared" si="20"/>
        <v>2.2679999999999998</v>
      </c>
      <c r="Z112" s="203">
        <f t="shared" si="21"/>
        <v>6.51</v>
      </c>
      <c r="AA112" s="205">
        <f>+Table1[[#This Row],[calculated sale price]]</f>
        <v>6.51</v>
      </c>
      <c r="AB112" s="204"/>
      <c r="AC112" s="208"/>
    </row>
    <row r="113" spans="1:29">
      <c r="A113" s="188">
        <v>1104</v>
      </c>
      <c r="B113" t="s">
        <v>498</v>
      </c>
      <c r="C113" s="188">
        <v>1</v>
      </c>
      <c r="I113" s="188"/>
      <c r="J113" s="188"/>
      <c r="K113" s="188"/>
      <c r="L113" s="199"/>
      <c r="M113" s="188"/>
      <c r="N113" s="200"/>
      <c r="O113" s="201">
        <v>4.04</v>
      </c>
      <c r="P113" s="201">
        <f>Table1[[#This Row],[unit cost]]</f>
        <v>4.04</v>
      </c>
      <c r="Q113" s="416">
        <v>4.5</v>
      </c>
      <c r="R113" s="188">
        <v>1</v>
      </c>
      <c r="S113" s="251">
        <f t="shared" si="15"/>
        <v>0.42</v>
      </c>
      <c r="T113" s="203">
        <f>Table1[[#This Row],[man minutes]]*Table1[[#This Row],[labor rate]]</f>
        <v>1.89</v>
      </c>
      <c r="U113" s="203">
        <f t="shared" si="18"/>
        <v>5.93</v>
      </c>
      <c r="V113" s="189">
        <f t="shared" si="17"/>
        <v>0.22</v>
      </c>
      <c r="W113" s="252">
        <f t="shared" si="16"/>
        <v>0.2</v>
      </c>
      <c r="X113" s="203">
        <f t="shared" si="19"/>
        <v>4.9287999999999998</v>
      </c>
      <c r="Y113" s="203">
        <f t="shared" si="20"/>
        <v>2.2679999999999998</v>
      </c>
      <c r="Z113" s="203">
        <f t="shared" si="21"/>
        <v>7.2</v>
      </c>
      <c r="AA113" s="205">
        <f>+Table1[[#This Row],[calculated sale price]]</f>
        <v>7.2</v>
      </c>
      <c r="AB113" s="204"/>
      <c r="AC113" s="208"/>
    </row>
    <row r="114" spans="1:29">
      <c r="A114" s="188">
        <v>1105</v>
      </c>
      <c r="B114" t="s">
        <v>499</v>
      </c>
      <c r="C114" s="188">
        <v>1</v>
      </c>
      <c r="I114" s="188"/>
      <c r="J114" s="188"/>
      <c r="K114" s="188"/>
      <c r="L114" s="199"/>
      <c r="M114" s="188"/>
      <c r="N114" s="200"/>
      <c r="O114" s="201">
        <v>1.8908519783774043</v>
      </c>
      <c r="P114" s="201">
        <f>Table1[[#This Row],[unit cost]]</f>
        <v>1.8908519783774043</v>
      </c>
      <c r="Q114" s="416">
        <v>3.25</v>
      </c>
      <c r="R114" s="188">
        <v>1</v>
      </c>
      <c r="S114" s="251">
        <f t="shared" si="15"/>
        <v>0.42</v>
      </c>
      <c r="T114" s="203">
        <f>Table1[[#This Row],[man minutes]]*Table1[[#This Row],[labor rate]]</f>
        <v>1.365</v>
      </c>
      <c r="U114" s="203">
        <f t="shared" si="18"/>
        <v>3.2558519783774043</v>
      </c>
      <c r="V114" s="189">
        <f t="shared" si="17"/>
        <v>0.22</v>
      </c>
      <c r="W114" s="252">
        <f t="shared" si="16"/>
        <v>0.2</v>
      </c>
      <c r="X114" s="203">
        <f t="shared" si="19"/>
        <v>2.3068394136204331</v>
      </c>
      <c r="Y114" s="203">
        <f t="shared" si="20"/>
        <v>1.6379999999999999</v>
      </c>
      <c r="Z114" s="203">
        <f t="shared" si="21"/>
        <v>3.9499999999999997</v>
      </c>
      <c r="AA114" s="205">
        <f>+Table1[[#This Row],[calculated sale price]]</f>
        <v>3.9499999999999997</v>
      </c>
      <c r="AB114" s="204"/>
      <c r="AC114" s="208"/>
    </row>
    <row r="115" spans="1:29">
      <c r="A115" s="188">
        <v>1106</v>
      </c>
      <c r="B115" t="s">
        <v>500</v>
      </c>
      <c r="C115" s="188">
        <v>1</v>
      </c>
      <c r="I115" s="188"/>
      <c r="J115" s="188"/>
      <c r="K115" s="188"/>
      <c r="L115" s="199"/>
      <c r="M115" s="188"/>
      <c r="N115" s="200"/>
      <c r="O115" s="201">
        <v>1.97</v>
      </c>
      <c r="P115" s="201">
        <f>Table1[[#This Row],[unit cost]]</f>
        <v>1.97</v>
      </c>
      <c r="Q115" s="416">
        <v>2.5</v>
      </c>
      <c r="R115" s="188">
        <v>1</v>
      </c>
      <c r="S115" s="251">
        <f t="shared" si="15"/>
        <v>0.42</v>
      </c>
      <c r="T115" s="203">
        <f>Table1[[#This Row],[man minutes]]*Table1[[#This Row],[labor rate]]</f>
        <v>1.05</v>
      </c>
      <c r="U115" s="203">
        <f t="shared" si="18"/>
        <v>3.02</v>
      </c>
      <c r="V115" s="189">
        <f t="shared" si="17"/>
        <v>0.22</v>
      </c>
      <c r="W115" s="252">
        <f t="shared" si="16"/>
        <v>0.2</v>
      </c>
      <c r="X115" s="203">
        <f t="shared" si="19"/>
        <v>2.4034</v>
      </c>
      <c r="Y115" s="203">
        <f t="shared" si="20"/>
        <v>1.26</v>
      </c>
      <c r="Z115" s="203">
        <f t="shared" si="21"/>
        <v>3.67</v>
      </c>
      <c r="AA115" s="205">
        <f>+Table1[[#This Row],[calculated sale price]]</f>
        <v>3.67</v>
      </c>
      <c r="AB115" s="204"/>
      <c r="AC115" s="208"/>
    </row>
    <row r="116" spans="1:29">
      <c r="A116" s="188">
        <v>1107</v>
      </c>
      <c r="B116" t="s">
        <v>501</v>
      </c>
      <c r="C116" s="188">
        <v>1</v>
      </c>
      <c r="I116" s="188"/>
      <c r="J116" s="188"/>
      <c r="K116" s="188"/>
      <c r="L116" s="199"/>
      <c r="M116" s="188"/>
      <c r="N116" s="200"/>
      <c r="O116" s="201">
        <v>1.29</v>
      </c>
      <c r="P116" s="201">
        <f>Table1[[#This Row],[unit cost]]</f>
        <v>1.29</v>
      </c>
      <c r="Q116" s="416">
        <v>2.5</v>
      </c>
      <c r="R116" s="188">
        <v>1</v>
      </c>
      <c r="S116" s="251">
        <f t="shared" si="15"/>
        <v>0.42</v>
      </c>
      <c r="T116" s="203">
        <f>Table1[[#This Row],[man minutes]]*Table1[[#This Row],[labor rate]]</f>
        <v>1.05</v>
      </c>
      <c r="U116" s="203">
        <f t="shared" si="18"/>
        <v>2.34</v>
      </c>
      <c r="V116" s="189">
        <f t="shared" si="17"/>
        <v>0.22</v>
      </c>
      <c r="W116" s="252">
        <f t="shared" si="16"/>
        <v>0.2</v>
      </c>
      <c r="X116" s="203">
        <f t="shared" si="19"/>
        <v>1.5738000000000001</v>
      </c>
      <c r="Y116" s="203">
        <f t="shared" si="20"/>
        <v>1.26</v>
      </c>
      <c r="Z116" s="203">
        <f t="shared" si="21"/>
        <v>2.84</v>
      </c>
      <c r="AA116" s="205">
        <f>+Table1[[#This Row],[calculated sale price]]</f>
        <v>2.84</v>
      </c>
      <c r="AB116" s="204"/>
      <c r="AC116" s="208"/>
    </row>
    <row r="117" spans="1:29">
      <c r="A117" s="188">
        <v>1108</v>
      </c>
      <c r="B117" t="s">
        <v>416</v>
      </c>
      <c r="C117" s="188">
        <v>1</v>
      </c>
      <c r="I117" s="188"/>
      <c r="J117" s="188"/>
      <c r="K117" s="188"/>
      <c r="L117" s="199"/>
      <c r="M117" s="188"/>
      <c r="N117" s="200"/>
      <c r="O117" s="201">
        <v>0.55000000000000004</v>
      </c>
      <c r="P117" s="201">
        <f>Table1[[#This Row],[unit cost]]</f>
        <v>0.55000000000000004</v>
      </c>
      <c r="Q117" s="416">
        <v>2</v>
      </c>
      <c r="R117" s="188">
        <v>1</v>
      </c>
      <c r="S117" s="251">
        <f t="shared" si="15"/>
        <v>0.42</v>
      </c>
      <c r="T117" s="203">
        <f>Table1[[#This Row],[man minutes]]*Table1[[#This Row],[labor rate]]</f>
        <v>0.84</v>
      </c>
      <c r="U117" s="203">
        <f t="shared" si="18"/>
        <v>1.3900000000000001</v>
      </c>
      <c r="V117" s="189">
        <f t="shared" si="17"/>
        <v>0.22</v>
      </c>
      <c r="W117" s="252">
        <f t="shared" si="16"/>
        <v>0.2</v>
      </c>
      <c r="X117" s="203">
        <f t="shared" si="19"/>
        <v>0.67100000000000004</v>
      </c>
      <c r="Y117" s="203">
        <f t="shared" si="20"/>
        <v>1.008</v>
      </c>
      <c r="Z117" s="203">
        <f t="shared" si="21"/>
        <v>1.68</v>
      </c>
      <c r="AA117" s="205">
        <f>+Table1[[#This Row],[calculated sale price]]</f>
        <v>1.68</v>
      </c>
      <c r="AB117" s="204"/>
      <c r="AC117" s="208"/>
    </row>
    <row r="118" spans="1:29">
      <c r="A118" s="188">
        <v>1109</v>
      </c>
      <c r="B118" t="s">
        <v>502</v>
      </c>
      <c r="C118" s="188">
        <v>1</v>
      </c>
      <c r="I118" s="188"/>
      <c r="J118" s="188"/>
      <c r="K118" s="188"/>
      <c r="L118" s="199"/>
      <c r="M118" s="188"/>
      <c r="N118" s="200"/>
      <c r="O118" s="201">
        <v>8.33</v>
      </c>
      <c r="P118" s="201">
        <f>Table1[[#This Row],[unit cost]]</f>
        <v>8.33</v>
      </c>
      <c r="Q118" s="416">
        <v>0.5</v>
      </c>
      <c r="R118" s="188">
        <v>1</v>
      </c>
      <c r="S118" s="251">
        <f t="shared" si="15"/>
        <v>0.42</v>
      </c>
      <c r="T118" s="203">
        <f>Table1[[#This Row],[man minutes]]*Table1[[#This Row],[labor rate]]</f>
        <v>0.21</v>
      </c>
      <c r="U118" s="203">
        <f t="shared" si="18"/>
        <v>8.5400000000000009</v>
      </c>
      <c r="V118" s="189">
        <f t="shared" si="17"/>
        <v>0.22</v>
      </c>
      <c r="W118" s="252">
        <f t="shared" si="16"/>
        <v>0.2</v>
      </c>
      <c r="X118" s="203">
        <f t="shared" si="19"/>
        <v>10.162599999999999</v>
      </c>
      <c r="Y118" s="203">
        <f t="shared" si="20"/>
        <v>0.252</v>
      </c>
      <c r="Z118" s="203">
        <f t="shared" si="21"/>
        <v>10.42</v>
      </c>
      <c r="AA118" s="205">
        <f>+Table1[[#This Row],[calculated sale price]]</f>
        <v>10.42</v>
      </c>
      <c r="AB118" s="204"/>
      <c r="AC118" s="208"/>
    </row>
    <row r="119" spans="1:29">
      <c r="A119" s="188">
        <v>1110</v>
      </c>
      <c r="B119" t="s">
        <v>503</v>
      </c>
      <c r="C119" s="188">
        <v>1</v>
      </c>
      <c r="I119" s="188"/>
      <c r="J119" s="188"/>
      <c r="K119" s="188"/>
      <c r="L119" s="199"/>
      <c r="M119" s="188"/>
      <c r="N119" s="200"/>
      <c r="O119" s="201">
        <v>3.39</v>
      </c>
      <c r="P119" s="201">
        <f>Table1[[#This Row],[unit cost]]</f>
        <v>3.39</v>
      </c>
      <c r="Q119" s="416">
        <v>1</v>
      </c>
      <c r="R119" s="188">
        <v>1</v>
      </c>
      <c r="S119" s="251">
        <f t="shared" si="15"/>
        <v>0.42</v>
      </c>
      <c r="T119" s="203">
        <f>Table1[[#This Row],[man minutes]]*Table1[[#This Row],[labor rate]]</f>
        <v>0.42</v>
      </c>
      <c r="U119" s="203">
        <f t="shared" si="18"/>
        <v>3.81</v>
      </c>
      <c r="V119" s="189">
        <f t="shared" si="17"/>
        <v>0.22</v>
      </c>
      <c r="W119" s="252">
        <f t="shared" si="16"/>
        <v>0.2</v>
      </c>
      <c r="X119" s="203">
        <f t="shared" si="19"/>
        <v>4.1357999999999997</v>
      </c>
      <c r="Y119" s="203">
        <f t="shared" si="20"/>
        <v>0.504</v>
      </c>
      <c r="Z119" s="203">
        <f t="shared" si="21"/>
        <v>4.6399999999999997</v>
      </c>
      <c r="AA119" s="205">
        <f>+Table1[[#This Row],[calculated sale price]]</f>
        <v>4.6399999999999997</v>
      </c>
      <c r="AB119" s="204"/>
      <c r="AC119" s="208"/>
    </row>
    <row r="120" spans="1:29">
      <c r="A120" s="188">
        <v>1111</v>
      </c>
      <c r="B120" t="s">
        <v>504</v>
      </c>
      <c r="C120" s="188">
        <v>1</v>
      </c>
      <c r="I120" s="188"/>
      <c r="J120" s="188"/>
      <c r="K120" s="188"/>
      <c r="L120" s="199"/>
      <c r="M120" s="188"/>
      <c r="N120" s="200"/>
      <c r="O120" s="201">
        <v>0</v>
      </c>
      <c r="P120" s="201">
        <f>Table1[[#This Row],[unit cost]]</f>
        <v>0</v>
      </c>
      <c r="Q120" s="403">
        <v>1.5</v>
      </c>
      <c r="R120" s="188">
        <v>1</v>
      </c>
      <c r="S120" s="251">
        <f t="shared" si="15"/>
        <v>0.42</v>
      </c>
      <c r="T120" s="203">
        <f>Table1[[#This Row],[man minutes]]*Table1[[#This Row],[labor rate]]</f>
        <v>0.63</v>
      </c>
      <c r="U120" s="203">
        <f t="shared" si="18"/>
        <v>0.63</v>
      </c>
      <c r="V120" s="189">
        <f t="shared" si="17"/>
        <v>0.22</v>
      </c>
      <c r="W120" s="252">
        <f t="shared" si="16"/>
        <v>0.2</v>
      </c>
      <c r="X120" s="203">
        <f t="shared" si="19"/>
        <v>0</v>
      </c>
      <c r="Y120" s="203">
        <f t="shared" si="20"/>
        <v>0.75600000000000001</v>
      </c>
      <c r="Z120" s="203">
        <f t="shared" si="21"/>
        <v>0.76</v>
      </c>
      <c r="AA120" s="205">
        <f>+Table1[[#This Row],[calculated sale price]]</f>
        <v>0.76</v>
      </c>
      <c r="AB120" s="204"/>
      <c r="AC120" s="208"/>
    </row>
    <row r="121" spans="1:29">
      <c r="A121" s="188">
        <v>1112</v>
      </c>
      <c r="B121" t="s">
        <v>505</v>
      </c>
      <c r="C121" s="188">
        <v>1</v>
      </c>
      <c r="I121" s="188"/>
      <c r="J121" s="188"/>
      <c r="K121" s="188"/>
      <c r="L121" s="199"/>
      <c r="M121" s="188"/>
      <c r="N121" s="200"/>
      <c r="O121" s="201">
        <v>0.29738124999999999</v>
      </c>
      <c r="P121" s="201">
        <f>Table1[[#This Row],[unit cost]]</f>
        <v>0.29738124999999999</v>
      </c>
      <c r="Q121" s="416">
        <v>0.25</v>
      </c>
      <c r="R121" s="188">
        <v>1</v>
      </c>
      <c r="S121" s="251">
        <f t="shared" si="15"/>
        <v>0.42</v>
      </c>
      <c r="T121" s="203">
        <f>Table1[[#This Row],[man minutes]]*Table1[[#This Row],[labor rate]]</f>
        <v>0.105</v>
      </c>
      <c r="U121" s="203">
        <f t="shared" si="18"/>
        <v>0.40238124999999997</v>
      </c>
      <c r="V121" s="189">
        <f t="shared" si="17"/>
        <v>0.22</v>
      </c>
      <c r="W121" s="252">
        <f t="shared" si="16"/>
        <v>0.2</v>
      </c>
      <c r="X121" s="203">
        <f t="shared" si="19"/>
        <v>0.36280512499999995</v>
      </c>
      <c r="Y121" s="203">
        <f t="shared" si="20"/>
        <v>0.126</v>
      </c>
      <c r="Z121" s="203">
        <f t="shared" si="21"/>
        <v>0.49</v>
      </c>
      <c r="AA121" s="205">
        <f>+Table1[[#This Row],[calculated sale price]]</f>
        <v>0.49</v>
      </c>
      <c r="AB121" s="204"/>
      <c r="AC121" s="208"/>
    </row>
    <row r="122" spans="1:29">
      <c r="A122" s="188">
        <v>1113</v>
      </c>
      <c r="B122" t="s">
        <v>506</v>
      </c>
      <c r="C122" s="188">
        <v>1</v>
      </c>
      <c r="I122" s="188"/>
      <c r="J122" s="188"/>
      <c r="K122" s="188"/>
      <c r="L122" s="199"/>
      <c r="M122" s="188"/>
      <c r="N122" s="200"/>
      <c r="O122" s="201">
        <v>0.3</v>
      </c>
      <c r="P122" s="201">
        <f>Table1[[#This Row],[unit cost]]</f>
        <v>0.3</v>
      </c>
      <c r="Q122" s="416">
        <v>0.25</v>
      </c>
      <c r="R122" s="188">
        <v>1</v>
      </c>
      <c r="S122" s="251">
        <f t="shared" si="15"/>
        <v>0.42</v>
      </c>
      <c r="T122" s="203">
        <f>Table1[[#This Row],[man minutes]]*Table1[[#This Row],[labor rate]]</f>
        <v>0.105</v>
      </c>
      <c r="U122" s="203">
        <f t="shared" si="18"/>
        <v>0.40499999999999997</v>
      </c>
      <c r="V122" s="189">
        <f t="shared" si="17"/>
        <v>0.22</v>
      </c>
      <c r="W122" s="252">
        <f t="shared" si="16"/>
        <v>0.2</v>
      </c>
      <c r="X122" s="203">
        <f t="shared" si="19"/>
        <v>0.36599999999999999</v>
      </c>
      <c r="Y122" s="203">
        <f t="shared" si="20"/>
        <v>0.126</v>
      </c>
      <c r="Z122" s="203">
        <f t="shared" si="21"/>
        <v>0.5</v>
      </c>
      <c r="AA122" s="205">
        <f>+Table1[[#This Row],[calculated sale price]]</f>
        <v>0.5</v>
      </c>
      <c r="AB122" s="204"/>
      <c r="AC122" s="208"/>
    </row>
    <row r="123" spans="1:29">
      <c r="A123" s="188">
        <v>1114</v>
      </c>
      <c r="B123" t="s">
        <v>507</v>
      </c>
      <c r="C123" s="188">
        <v>1</v>
      </c>
      <c r="I123" s="188"/>
      <c r="J123" s="188"/>
      <c r="K123" s="188"/>
      <c r="L123" s="199"/>
      <c r="M123" s="188"/>
      <c r="N123" s="200"/>
      <c r="O123" s="201">
        <v>1.24</v>
      </c>
      <c r="P123" s="201">
        <f>Table1[[#This Row],[unit cost]]</f>
        <v>1.24</v>
      </c>
      <c r="Q123" s="416">
        <v>1.3</v>
      </c>
      <c r="R123" s="188">
        <v>1</v>
      </c>
      <c r="S123" s="251">
        <f t="shared" si="15"/>
        <v>0.42</v>
      </c>
      <c r="T123" s="203">
        <f>Table1[[#This Row],[man minutes]]*Table1[[#This Row],[labor rate]]</f>
        <v>0.54600000000000004</v>
      </c>
      <c r="U123" s="203">
        <f t="shared" si="18"/>
        <v>1.786</v>
      </c>
      <c r="V123" s="189">
        <f t="shared" si="17"/>
        <v>0.22</v>
      </c>
      <c r="W123" s="252">
        <f t="shared" si="16"/>
        <v>0.2</v>
      </c>
      <c r="X123" s="203">
        <f t="shared" si="19"/>
        <v>1.5127999999999999</v>
      </c>
      <c r="Y123" s="203">
        <f t="shared" si="20"/>
        <v>0.6552</v>
      </c>
      <c r="Z123" s="203">
        <f t="shared" si="21"/>
        <v>2.17</v>
      </c>
      <c r="AA123" s="205">
        <f>+Table1[[#This Row],[calculated sale price]]</f>
        <v>2.17</v>
      </c>
      <c r="AB123" s="204"/>
      <c r="AC123" s="208"/>
    </row>
    <row r="124" spans="1:29">
      <c r="A124" s="188">
        <v>1115</v>
      </c>
      <c r="B124" s="407" t="s">
        <v>508</v>
      </c>
      <c r="C124" s="188">
        <v>1</v>
      </c>
      <c r="I124" s="188"/>
      <c r="J124" s="188"/>
      <c r="K124" s="188"/>
      <c r="L124" s="199"/>
      <c r="M124" s="188"/>
      <c r="N124" s="200"/>
      <c r="O124" s="405">
        <v>8.91</v>
      </c>
      <c r="P124" s="201">
        <f>Table1[[#This Row],[unit cost]]</f>
        <v>8.91</v>
      </c>
      <c r="Q124" s="403">
        <v>4.5</v>
      </c>
      <c r="R124" s="188">
        <v>1</v>
      </c>
      <c r="S124" s="251">
        <f t="shared" si="15"/>
        <v>0.42</v>
      </c>
      <c r="T124" s="203">
        <f>Table1[[#This Row],[man minutes]]*Table1[[#This Row],[labor rate]]</f>
        <v>1.89</v>
      </c>
      <c r="U124" s="203">
        <f t="shared" si="18"/>
        <v>10.8</v>
      </c>
      <c r="V124" s="189">
        <f t="shared" si="17"/>
        <v>0.22</v>
      </c>
      <c r="W124" s="252">
        <f t="shared" si="16"/>
        <v>0.2</v>
      </c>
      <c r="X124" s="203">
        <f t="shared" si="19"/>
        <v>10.870200000000001</v>
      </c>
      <c r="Y124" s="203">
        <f t="shared" si="20"/>
        <v>2.2679999999999998</v>
      </c>
      <c r="Z124" s="203">
        <f t="shared" si="21"/>
        <v>13.14</v>
      </c>
      <c r="AA124" s="205">
        <f>+Table1[[#This Row],[calculated sale price]]</f>
        <v>13.14</v>
      </c>
      <c r="AB124" s="204"/>
      <c r="AC124" s="208"/>
    </row>
    <row r="125" spans="1:29">
      <c r="A125" s="188">
        <v>1116</v>
      </c>
      <c r="B125" t="s">
        <v>509</v>
      </c>
      <c r="C125" s="188">
        <v>1</v>
      </c>
      <c r="I125" s="188"/>
      <c r="J125" s="188"/>
      <c r="K125" s="188"/>
      <c r="L125" s="199"/>
      <c r="M125" s="188"/>
      <c r="N125" s="200"/>
      <c r="O125" s="405">
        <v>1.96</v>
      </c>
      <c r="P125" s="201">
        <f>Table1[[#This Row],[unit cost]]</f>
        <v>1.96</v>
      </c>
      <c r="Q125" s="403">
        <v>4.5</v>
      </c>
      <c r="R125" s="188">
        <v>1</v>
      </c>
      <c r="S125" s="251">
        <f t="shared" ref="S125:S188" si="22">$S$2</f>
        <v>0.42</v>
      </c>
      <c r="T125" s="203">
        <f>Table1[[#This Row],[man minutes]]*Table1[[#This Row],[labor rate]]</f>
        <v>1.89</v>
      </c>
      <c r="U125" s="203">
        <f t="shared" si="18"/>
        <v>3.8499999999999996</v>
      </c>
      <c r="V125" s="189">
        <f t="shared" si="17"/>
        <v>0.22</v>
      </c>
      <c r="W125" s="252">
        <f t="shared" si="16"/>
        <v>0.2</v>
      </c>
      <c r="X125" s="203">
        <f t="shared" si="19"/>
        <v>2.3912</v>
      </c>
      <c r="Y125" s="203">
        <f t="shared" si="20"/>
        <v>2.2679999999999998</v>
      </c>
      <c r="Z125" s="203">
        <f t="shared" si="21"/>
        <v>4.66</v>
      </c>
      <c r="AA125" s="205">
        <f>+Table1[[#This Row],[calculated sale price]]</f>
        <v>4.66</v>
      </c>
      <c r="AB125" s="204"/>
      <c r="AC125" s="208"/>
    </row>
    <row r="126" spans="1:29">
      <c r="A126" s="188">
        <v>1117</v>
      </c>
      <c r="B126" t="s">
        <v>510</v>
      </c>
      <c r="C126" s="188">
        <v>1</v>
      </c>
      <c r="I126" s="188"/>
      <c r="J126" s="188"/>
      <c r="K126" s="188"/>
      <c r="L126" s="199"/>
      <c r="M126" s="188"/>
      <c r="N126" s="200"/>
      <c r="O126" s="405">
        <v>2.64</v>
      </c>
      <c r="P126" s="201">
        <f>Table1[[#This Row],[unit cost]]</f>
        <v>2.64</v>
      </c>
      <c r="Q126" s="403">
        <v>3.25</v>
      </c>
      <c r="R126" s="188">
        <v>1</v>
      </c>
      <c r="S126" s="251">
        <f t="shared" si="22"/>
        <v>0.42</v>
      </c>
      <c r="T126" s="203">
        <f>Table1[[#This Row],[man minutes]]*Table1[[#This Row],[labor rate]]</f>
        <v>1.365</v>
      </c>
      <c r="U126" s="203">
        <f t="shared" si="18"/>
        <v>4.0049999999999999</v>
      </c>
      <c r="V126" s="189">
        <f t="shared" si="17"/>
        <v>0.22</v>
      </c>
      <c r="W126" s="252">
        <f t="shared" ref="W126:W189" si="23">$W$2</f>
        <v>0.2</v>
      </c>
      <c r="X126" s="203">
        <f t="shared" si="19"/>
        <v>3.2208000000000001</v>
      </c>
      <c r="Y126" s="203">
        <f t="shared" si="20"/>
        <v>1.6379999999999999</v>
      </c>
      <c r="Z126" s="203">
        <f t="shared" si="21"/>
        <v>4.8599999999999994</v>
      </c>
      <c r="AA126" s="205">
        <f>+Table1[[#This Row],[calculated sale price]]</f>
        <v>4.8599999999999994</v>
      </c>
      <c r="AB126" s="204"/>
      <c r="AC126" s="208"/>
    </row>
    <row r="127" spans="1:29">
      <c r="A127" s="188">
        <v>1118</v>
      </c>
      <c r="B127" t="s">
        <v>511</v>
      </c>
      <c r="C127" s="188">
        <v>1</v>
      </c>
      <c r="I127" s="188"/>
      <c r="J127" s="188"/>
      <c r="K127" s="188"/>
      <c r="L127" s="199"/>
      <c r="M127" s="188"/>
      <c r="N127" s="200"/>
      <c r="O127" s="201">
        <v>0.89</v>
      </c>
      <c r="P127" s="201">
        <f>Table1[[#This Row],[unit cost]]</f>
        <v>0.89</v>
      </c>
      <c r="Q127" s="416">
        <v>1</v>
      </c>
      <c r="R127" s="188">
        <v>1</v>
      </c>
      <c r="S127" s="251">
        <f t="shared" si="22"/>
        <v>0.42</v>
      </c>
      <c r="T127" s="203">
        <f>Table1[[#This Row],[man minutes]]*Table1[[#This Row],[labor rate]]</f>
        <v>0.42</v>
      </c>
      <c r="U127" s="203">
        <f t="shared" si="18"/>
        <v>1.31</v>
      </c>
      <c r="V127" s="189">
        <f t="shared" si="17"/>
        <v>0.22</v>
      </c>
      <c r="W127" s="252">
        <f t="shared" si="23"/>
        <v>0.2</v>
      </c>
      <c r="X127" s="203">
        <f t="shared" si="19"/>
        <v>1.0858000000000001</v>
      </c>
      <c r="Y127" s="203">
        <f t="shared" si="20"/>
        <v>0.504</v>
      </c>
      <c r="Z127" s="203">
        <f t="shared" si="21"/>
        <v>1.59</v>
      </c>
      <c r="AA127" s="205">
        <f>+Table1[[#This Row],[calculated sale price]]</f>
        <v>1.59</v>
      </c>
      <c r="AB127" s="204"/>
      <c r="AC127" s="208"/>
    </row>
    <row r="128" spans="1:29">
      <c r="A128" s="188">
        <v>1119</v>
      </c>
      <c r="B128" t="s">
        <v>512</v>
      </c>
      <c r="C128" s="188">
        <v>1</v>
      </c>
      <c r="I128" s="188"/>
      <c r="J128" s="188"/>
      <c r="K128" s="188"/>
      <c r="L128" s="199"/>
      <c r="M128" s="188"/>
      <c r="N128" s="200"/>
      <c r="O128" s="405">
        <v>1.2</v>
      </c>
      <c r="P128" s="201">
        <f>Table1[[#This Row],[unit cost]]</f>
        <v>1.2</v>
      </c>
      <c r="Q128" s="416">
        <v>1.75</v>
      </c>
      <c r="R128" s="188">
        <v>1</v>
      </c>
      <c r="S128" s="251">
        <f t="shared" si="22"/>
        <v>0.42</v>
      </c>
      <c r="T128" s="203">
        <f>Table1[[#This Row],[man minutes]]*Table1[[#This Row],[labor rate]]</f>
        <v>0.73499999999999999</v>
      </c>
      <c r="U128" s="203">
        <f t="shared" si="18"/>
        <v>1.9350000000000001</v>
      </c>
      <c r="V128" s="189">
        <f t="shared" si="17"/>
        <v>0.22</v>
      </c>
      <c r="W128" s="252">
        <f t="shared" si="23"/>
        <v>0.2</v>
      </c>
      <c r="X128" s="203">
        <f t="shared" si="19"/>
        <v>1.464</v>
      </c>
      <c r="Y128" s="203">
        <f t="shared" si="20"/>
        <v>0.88200000000000001</v>
      </c>
      <c r="Z128" s="203">
        <f t="shared" si="21"/>
        <v>2.3499999999999996</v>
      </c>
      <c r="AA128" s="205">
        <f>+Table1[[#This Row],[calculated sale price]]</f>
        <v>2.3499999999999996</v>
      </c>
      <c r="AB128" s="204"/>
      <c r="AC128" s="208"/>
    </row>
    <row r="129" spans="1:29">
      <c r="A129" s="188">
        <v>1120</v>
      </c>
      <c r="B129" t="s">
        <v>513</v>
      </c>
      <c r="C129" s="188">
        <v>1</v>
      </c>
      <c r="I129" s="188"/>
      <c r="J129" s="188"/>
      <c r="K129" s="188"/>
      <c r="L129" s="199"/>
      <c r="M129" s="188"/>
      <c r="N129" s="200"/>
      <c r="O129" s="201">
        <v>0</v>
      </c>
      <c r="P129" s="201">
        <f>Table1[[#This Row],[unit cost]]</f>
        <v>0</v>
      </c>
      <c r="Q129" s="403">
        <v>1.25</v>
      </c>
      <c r="R129" s="188">
        <v>1</v>
      </c>
      <c r="S129" s="251">
        <f t="shared" si="22"/>
        <v>0.42</v>
      </c>
      <c r="T129" s="203">
        <f>Table1[[#This Row],[man minutes]]*Table1[[#This Row],[labor rate]]</f>
        <v>0.52500000000000002</v>
      </c>
      <c r="U129" s="203">
        <f t="shared" si="18"/>
        <v>0.52500000000000002</v>
      </c>
      <c r="V129" s="189">
        <f t="shared" si="17"/>
        <v>0.22</v>
      </c>
      <c r="W129" s="252">
        <f t="shared" si="23"/>
        <v>0.2</v>
      </c>
      <c r="X129" s="203">
        <f t="shared" si="19"/>
        <v>0</v>
      </c>
      <c r="Y129" s="203">
        <f t="shared" si="20"/>
        <v>0.63</v>
      </c>
      <c r="Z129" s="203">
        <f t="shared" si="21"/>
        <v>0.63</v>
      </c>
      <c r="AA129" s="205">
        <f>+Table1[[#This Row],[calculated sale price]]</f>
        <v>0.63</v>
      </c>
      <c r="AB129" s="204"/>
      <c r="AC129" s="208"/>
    </row>
    <row r="130" spans="1:29">
      <c r="A130" s="188">
        <v>1121</v>
      </c>
      <c r="B130" t="s">
        <v>514</v>
      </c>
      <c r="C130" s="188">
        <v>1</v>
      </c>
      <c r="I130" s="188"/>
      <c r="J130" s="188"/>
      <c r="K130" s="188"/>
      <c r="L130" s="199"/>
      <c r="M130" s="188"/>
      <c r="N130" s="200"/>
      <c r="O130" s="405">
        <v>1.68</v>
      </c>
      <c r="P130" s="201">
        <f>Table1[[#This Row],[unit cost]]</f>
        <v>1.68</v>
      </c>
      <c r="Q130" s="403">
        <v>3.5</v>
      </c>
      <c r="R130" s="188">
        <v>1</v>
      </c>
      <c r="S130" s="251">
        <f t="shared" si="22"/>
        <v>0.42</v>
      </c>
      <c r="T130" s="203">
        <f>Table1[[#This Row],[man minutes]]*Table1[[#This Row],[labor rate]]</f>
        <v>1.47</v>
      </c>
      <c r="U130" s="203">
        <f t="shared" si="18"/>
        <v>3.15</v>
      </c>
      <c r="V130" s="189">
        <f t="shared" si="17"/>
        <v>0.22</v>
      </c>
      <c r="W130" s="252">
        <f t="shared" si="23"/>
        <v>0.2</v>
      </c>
      <c r="X130" s="203">
        <f t="shared" si="19"/>
        <v>2.0495999999999999</v>
      </c>
      <c r="Y130" s="203">
        <f t="shared" si="20"/>
        <v>1.764</v>
      </c>
      <c r="Z130" s="203">
        <f t="shared" si="21"/>
        <v>3.82</v>
      </c>
      <c r="AA130" s="205">
        <f>+Table1[[#This Row],[calculated sale price]]</f>
        <v>3.82</v>
      </c>
      <c r="AB130" s="204"/>
      <c r="AC130" s="208"/>
    </row>
    <row r="131" spans="1:29">
      <c r="A131" s="188">
        <v>1122</v>
      </c>
      <c r="B131" t="s">
        <v>515</v>
      </c>
      <c r="C131" s="188">
        <v>1</v>
      </c>
      <c r="I131" s="188"/>
      <c r="J131" s="188"/>
      <c r="K131" s="188"/>
      <c r="L131" s="199"/>
      <c r="M131" s="188"/>
      <c r="N131" s="200"/>
      <c r="O131" s="405">
        <v>1.64</v>
      </c>
      <c r="P131" s="201">
        <f>Table1[[#This Row],[unit cost]]</f>
        <v>1.64</v>
      </c>
      <c r="Q131" s="416">
        <v>3.25</v>
      </c>
      <c r="R131" s="188">
        <v>1</v>
      </c>
      <c r="S131" s="251">
        <f t="shared" si="22"/>
        <v>0.42</v>
      </c>
      <c r="T131" s="203">
        <f>Table1[[#This Row],[man minutes]]*Table1[[#This Row],[labor rate]]</f>
        <v>1.365</v>
      </c>
      <c r="U131" s="203">
        <f t="shared" si="18"/>
        <v>3.0049999999999999</v>
      </c>
      <c r="V131" s="189">
        <f t="shared" si="17"/>
        <v>0.22</v>
      </c>
      <c r="W131" s="252">
        <f t="shared" si="23"/>
        <v>0.2</v>
      </c>
      <c r="X131" s="203">
        <f t="shared" si="19"/>
        <v>2.0007999999999999</v>
      </c>
      <c r="Y131" s="203">
        <f t="shared" si="20"/>
        <v>1.6379999999999999</v>
      </c>
      <c r="Z131" s="203">
        <f t="shared" si="21"/>
        <v>3.6399999999999997</v>
      </c>
      <c r="AA131" s="205">
        <f>+Table1[[#This Row],[calculated sale price]]</f>
        <v>3.6399999999999997</v>
      </c>
      <c r="AB131" s="204"/>
      <c r="AC131" s="208"/>
    </row>
    <row r="132" spans="1:29">
      <c r="A132" s="188">
        <v>1123</v>
      </c>
      <c r="B132" t="s">
        <v>516</v>
      </c>
      <c r="C132" s="188">
        <v>1</v>
      </c>
      <c r="I132" s="188"/>
      <c r="J132" s="188"/>
      <c r="K132" s="188"/>
      <c r="L132" s="199"/>
      <c r="M132" s="188"/>
      <c r="N132" s="200"/>
      <c r="O132" s="201">
        <v>1.17</v>
      </c>
      <c r="P132" s="201">
        <f>Table1[[#This Row],[unit cost]]</f>
        <v>1.17</v>
      </c>
      <c r="Q132" s="416">
        <v>2.75</v>
      </c>
      <c r="R132" s="188">
        <v>1</v>
      </c>
      <c r="S132" s="251">
        <f t="shared" si="22"/>
        <v>0.42</v>
      </c>
      <c r="T132" s="203">
        <f>Table1[[#This Row],[man minutes]]*Table1[[#This Row],[labor rate]]</f>
        <v>1.155</v>
      </c>
      <c r="U132" s="203">
        <f t="shared" si="18"/>
        <v>2.3250000000000002</v>
      </c>
      <c r="V132" s="189">
        <f t="shared" si="17"/>
        <v>0.22</v>
      </c>
      <c r="W132" s="252">
        <f t="shared" si="23"/>
        <v>0.2</v>
      </c>
      <c r="X132" s="203">
        <f t="shared" si="19"/>
        <v>1.4273999999999998</v>
      </c>
      <c r="Y132" s="203">
        <f t="shared" si="20"/>
        <v>1.3860000000000001</v>
      </c>
      <c r="Z132" s="203">
        <f t="shared" si="21"/>
        <v>2.82</v>
      </c>
      <c r="AA132" s="205">
        <f>+Table1[[#This Row],[calculated sale price]]</f>
        <v>2.82</v>
      </c>
      <c r="AB132" s="204"/>
      <c r="AC132" s="208"/>
    </row>
    <row r="133" spans="1:29">
      <c r="A133" s="188">
        <v>1124</v>
      </c>
      <c r="B133" t="s">
        <v>517</v>
      </c>
      <c r="C133" s="188">
        <v>1</v>
      </c>
      <c r="I133" s="188"/>
      <c r="J133" s="188"/>
      <c r="K133" s="188"/>
      <c r="L133" s="199"/>
      <c r="M133" s="188"/>
      <c r="N133" s="200"/>
      <c r="O133" s="201">
        <v>1</v>
      </c>
      <c r="P133" s="201">
        <f>Table1[[#This Row],[unit cost]]</f>
        <v>1</v>
      </c>
      <c r="Q133" s="403">
        <v>1.35</v>
      </c>
      <c r="R133" s="188">
        <v>1</v>
      </c>
      <c r="S133" s="251">
        <f t="shared" si="22"/>
        <v>0.42</v>
      </c>
      <c r="T133" s="203">
        <f>Table1[[#This Row],[man minutes]]*Table1[[#This Row],[labor rate]]</f>
        <v>0.56700000000000006</v>
      </c>
      <c r="U133" s="203">
        <f t="shared" si="18"/>
        <v>1.5670000000000002</v>
      </c>
      <c r="V133" s="189">
        <f t="shared" si="17"/>
        <v>0.22</v>
      </c>
      <c r="W133" s="252">
        <f t="shared" si="23"/>
        <v>0.2</v>
      </c>
      <c r="X133" s="203">
        <f t="shared" si="19"/>
        <v>1.22</v>
      </c>
      <c r="Y133" s="203">
        <f t="shared" si="20"/>
        <v>0.68040000000000012</v>
      </c>
      <c r="Z133" s="203">
        <f t="shared" si="21"/>
        <v>1.91</v>
      </c>
      <c r="AA133" s="205">
        <f>+Table1[[#This Row],[calculated sale price]]</f>
        <v>1.91</v>
      </c>
      <c r="AB133" s="204"/>
      <c r="AC133" s="208"/>
    </row>
    <row r="134" spans="1:29">
      <c r="A134" s="188">
        <v>1125</v>
      </c>
      <c r="B134" t="s">
        <v>518</v>
      </c>
      <c r="C134" s="188">
        <v>1</v>
      </c>
      <c r="I134" s="188"/>
      <c r="J134" s="188"/>
      <c r="K134" s="188"/>
      <c r="L134" s="199"/>
      <c r="M134" s="188"/>
      <c r="N134" s="200"/>
      <c r="O134" s="201">
        <v>0.46</v>
      </c>
      <c r="P134" s="201">
        <f>Table1[[#This Row],[unit cost]]</f>
        <v>0.46</v>
      </c>
      <c r="Q134" s="416">
        <v>0.5</v>
      </c>
      <c r="R134" s="188">
        <v>1</v>
      </c>
      <c r="S134" s="251">
        <f t="shared" si="22"/>
        <v>0.42</v>
      </c>
      <c r="T134" s="203">
        <f>Table1[[#This Row],[man minutes]]*Table1[[#This Row],[labor rate]]</f>
        <v>0.21</v>
      </c>
      <c r="U134" s="203">
        <f t="shared" si="18"/>
        <v>0.67</v>
      </c>
      <c r="V134" s="189">
        <f t="shared" si="17"/>
        <v>0.22</v>
      </c>
      <c r="W134" s="252">
        <f t="shared" si="23"/>
        <v>0.2</v>
      </c>
      <c r="X134" s="203">
        <f t="shared" si="19"/>
        <v>0.56120000000000003</v>
      </c>
      <c r="Y134" s="203">
        <f t="shared" si="20"/>
        <v>0.252</v>
      </c>
      <c r="Z134" s="203">
        <f t="shared" si="21"/>
        <v>0.82000000000000006</v>
      </c>
      <c r="AA134" s="205">
        <f>+Table1[[#This Row],[calculated sale price]]</f>
        <v>0.82000000000000006</v>
      </c>
      <c r="AB134" s="204"/>
      <c r="AC134" s="208"/>
    </row>
    <row r="135" spans="1:29">
      <c r="A135" s="188">
        <v>1126</v>
      </c>
      <c r="B135" t="s">
        <v>436</v>
      </c>
      <c r="C135" s="188">
        <v>1</v>
      </c>
      <c r="I135" s="188"/>
      <c r="J135" s="188"/>
      <c r="K135" s="188"/>
      <c r="L135" s="199"/>
      <c r="M135" s="188"/>
      <c r="N135" s="200"/>
      <c r="O135" s="201">
        <v>0.55000000000000004</v>
      </c>
      <c r="P135" s="201">
        <f>Table1[[#This Row],[unit cost]]</f>
        <v>0.55000000000000004</v>
      </c>
      <c r="Q135" s="416">
        <v>2.5</v>
      </c>
      <c r="R135" s="188">
        <v>1</v>
      </c>
      <c r="S135" s="251">
        <f t="shared" si="22"/>
        <v>0.42</v>
      </c>
      <c r="T135" s="203">
        <f>Table1[[#This Row],[man minutes]]*Table1[[#This Row],[labor rate]]</f>
        <v>1.05</v>
      </c>
      <c r="U135" s="203">
        <f t="shared" si="18"/>
        <v>1.6</v>
      </c>
      <c r="V135" s="189">
        <f t="shared" si="17"/>
        <v>0.22</v>
      </c>
      <c r="W135" s="252">
        <f t="shared" si="23"/>
        <v>0.2</v>
      </c>
      <c r="X135" s="203">
        <f t="shared" si="19"/>
        <v>0.67100000000000004</v>
      </c>
      <c r="Y135" s="203">
        <f t="shared" si="20"/>
        <v>1.26</v>
      </c>
      <c r="Z135" s="203">
        <f t="shared" si="21"/>
        <v>1.94</v>
      </c>
      <c r="AA135" s="205">
        <f>+Table1[[#This Row],[calculated sale price]]</f>
        <v>1.94</v>
      </c>
      <c r="AB135" s="204"/>
      <c r="AC135" s="208"/>
    </row>
    <row r="136" spans="1:29">
      <c r="A136" s="188">
        <v>1127</v>
      </c>
      <c r="B136" t="s">
        <v>519</v>
      </c>
      <c r="C136" s="188">
        <v>1</v>
      </c>
      <c r="I136" s="188"/>
      <c r="J136" s="188"/>
      <c r="K136" s="188"/>
      <c r="L136" s="199"/>
      <c r="M136" s="188"/>
      <c r="N136" s="200"/>
      <c r="O136" s="201">
        <v>0</v>
      </c>
      <c r="P136" s="201">
        <f>Table1[[#This Row],[unit cost]]</f>
        <v>0</v>
      </c>
      <c r="Q136" s="403">
        <v>0.5</v>
      </c>
      <c r="R136" s="188">
        <v>1</v>
      </c>
      <c r="S136" s="251">
        <f t="shared" si="22"/>
        <v>0.42</v>
      </c>
      <c r="T136" s="203">
        <f>Table1[[#This Row],[man minutes]]*Table1[[#This Row],[labor rate]]</f>
        <v>0.21</v>
      </c>
      <c r="U136" s="203">
        <f t="shared" si="18"/>
        <v>0.21</v>
      </c>
      <c r="V136" s="189">
        <f t="shared" si="17"/>
        <v>0.22</v>
      </c>
      <c r="W136" s="252">
        <f t="shared" si="23"/>
        <v>0.2</v>
      </c>
      <c r="X136" s="203">
        <f t="shared" si="19"/>
        <v>0</v>
      </c>
      <c r="Y136" s="203">
        <f t="shared" si="20"/>
        <v>0.252</v>
      </c>
      <c r="Z136" s="203">
        <f t="shared" si="21"/>
        <v>0.26</v>
      </c>
      <c r="AA136" s="205">
        <f>+Table1[[#This Row],[calculated sale price]]</f>
        <v>0.26</v>
      </c>
      <c r="AB136" s="204"/>
      <c r="AC136" s="208"/>
    </row>
    <row r="137" spans="1:29">
      <c r="A137" s="188">
        <v>1128</v>
      </c>
      <c r="B137" t="s">
        <v>520</v>
      </c>
      <c r="C137" s="188">
        <v>1</v>
      </c>
      <c r="I137" s="188"/>
      <c r="J137" s="188"/>
      <c r="K137" s="188"/>
      <c r="L137" s="199"/>
      <c r="M137" s="188"/>
      <c r="N137" s="200"/>
      <c r="O137" s="201">
        <v>0.3</v>
      </c>
      <c r="P137" s="201">
        <f>Table1[[#This Row],[unit cost]]</f>
        <v>0.3</v>
      </c>
      <c r="Q137" s="416">
        <v>0.25</v>
      </c>
      <c r="R137" s="188">
        <v>1</v>
      </c>
      <c r="S137" s="251">
        <f t="shared" si="22"/>
        <v>0.42</v>
      </c>
      <c r="T137" s="203">
        <f>Table1[[#This Row],[man minutes]]*Table1[[#This Row],[labor rate]]</f>
        <v>0.105</v>
      </c>
      <c r="U137" s="203">
        <f t="shared" si="18"/>
        <v>0.40499999999999997</v>
      </c>
      <c r="V137" s="189">
        <f t="shared" si="17"/>
        <v>0.22</v>
      </c>
      <c r="W137" s="252">
        <f t="shared" si="23"/>
        <v>0.2</v>
      </c>
      <c r="X137" s="203">
        <f t="shared" si="19"/>
        <v>0.36599999999999999</v>
      </c>
      <c r="Y137" s="203">
        <f t="shared" si="20"/>
        <v>0.126</v>
      </c>
      <c r="Z137" s="203">
        <f t="shared" si="21"/>
        <v>0.5</v>
      </c>
      <c r="AA137" s="205">
        <f>+Table1[[#This Row],[calculated sale price]]</f>
        <v>0.5</v>
      </c>
      <c r="AB137" s="204"/>
      <c r="AC137" s="208"/>
    </row>
    <row r="138" spans="1:29">
      <c r="A138" s="188">
        <v>1129</v>
      </c>
      <c r="B138" t="s">
        <v>521</v>
      </c>
      <c r="C138" s="188">
        <v>1</v>
      </c>
      <c r="I138" s="188"/>
      <c r="J138" s="188"/>
      <c r="K138" s="188"/>
      <c r="L138" s="199"/>
      <c r="M138" s="188"/>
      <c r="N138" s="200"/>
      <c r="O138" s="201">
        <v>0.3</v>
      </c>
      <c r="P138" s="201">
        <f>Table1[[#This Row],[unit cost]]</f>
        <v>0.3</v>
      </c>
      <c r="Q138" s="416">
        <v>0.25</v>
      </c>
      <c r="R138" s="188">
        <v>1</v>
      </c>
      <c r="S138" s="251">
        <f t="shared" si="22"/>
        <v>0.42</v>
      </c>
      <c r="T138" s="203">
        <f>Table1[[#This Row],[man minutes]]*Table1[[#This Row],[labor rate]]</f>
        <v>0.105</v>
      </c>
      <c r="U138" s="203">
        <f t="shared" si="18"/>
        <v>0.40499999999999997</v>
      </c>
      <c r="V138" s="189">
        <f t="shared" si="17"/>
        <v>0.22</v>
      </c>
      <c r="W138" s="252">
        <f t="shared" si="23"/>
        <v>0.2</v>
      </c>
      <c r="X138" s="203">
        <f t="shared" si="19"/>
        <v>0.36599999999999999</v>
      </c>
      <c r="Y138" s="203">
        <f t="shared" si="20"/>
        <v>0.126</v>
      </c>
      <c r="Z138" s="203">
        <f t="shared" si="21"/>
        <v>0.5</v>
      </c>
      <c r="AA138" s="205">
        <f>+Table1[[#This Row],[calculated sale price]]</f>
        <v>0.5</v>
      </c>
      <c r="AB138" s="204"/>
      <c r="AC138" s="208"/>
    </row>
    <row r="139" spans="1:29">
      <c r="A139" s="188">
        <v>1130</v>
      </c>
      <c r="B139" t="s">
        <v>522</v>
      </c>
      <c r="C139" s="188">
        <v>1</v>
      </c>
      <c r="I139" s="188"/>
      <c r="J139" s="188"/>
      <c r="K139" s="188"/>
      <c r="L139" s="199"/>
      <c r="M139" s="188"/>
      <c r="N139" s="200"/>
      <c r="O139" s="201">
        <v>0.45</v>
      </c>
      <c r="P139" s="201">
        <f>Table1[[#This Row],[unit cost]]</f>
        <v>0.45</v>
      </c>
      <c r="Q139" s="416">
        <v>1.25</v>
      </c>
      <c r="R139" s="188">
        <v>1</v>
      </c>
      <c r="S139" s="251">
        <f t="shared" si="22"/>
        <v>0.42</v>
      </c>
      <c r="T139" s="203">
        <f>Table1[[#This Row],[man minutes]]*Table1[[#This Row],[labor rate]]</f>
        <v>0.52500000000000002</v>
      </c>
      <c r="U139" s="203">
        <f t="shared" si="18"/>
        <v>0.97500000000000009</v>
      </c>
      <c r="V139" s="189">
        <f t="shared" si="17"/>
        <v>0.22</v>
      </c>
      <c r="W139" s="252">
        <f t="shared" si="23"/>
        <v>0.2</v>
      </c>
      <c r="X139" s="203">
        <f t="shared" si="19"/>
        <v>0.54900000000000004</v>
      </c>
      <c r="Y139" s="203">
        <f t="shared" si="20"/>
        <v>0.63</v>
      </c>
      <c r="Z139" s="203">
        <f t="shared" si="21"/>
        <v>1.18</v>
      </c>
      <c r="AA139" s="205">
        <f>+Table1[[#This Row],[calculated sale price]]</f>
        <v>1.18</v>
      </c>
      <c r="AB139" s="204"/>
      <c r="AC139" s="208"/>
    </row>
    <row r="140" spans="1:29">
      <c r="A140" s="188">
        <v>1131</v>
      </c>
      <c r="B140" t="s">
        <v>523</v>
      </c>
      <c r="C140" s="188">
        <v>1</v>
      </c>
      <c r="I140" s="188"/>
      <c r="J140" s="188"/>
      <c r="K140" s="188"/>
      <c r="L140" s="199"/>
      <c r="M140" s="188"/>
      <c r="N140" s="200"/>
      <c r="O140" s="405">
        <v>2.15</v>
      </c>
      <c r="P140" s="201">
        <f>Table1[[#This Row],[unit cost]]</f>
        <v>2.15</v>
      </c>
      <c r="Q140" s="403">
        <v>4</v>
      </c>
      <c r="R140" s="188">
        <v>1</v>
      </c>
      <c r="S140" s="251">
        <f t="shared" si="22"/>
        <v>0.42</v>
      </c>
      <c r="T140" s="203">
        <f>Table1[[#This Row],[man minutes]]*Table1[[#This Row],[labor rate]]</f>
        <v>1.68</v>
      </c>
      <c r="U140" s="203">
        <f t="shared" si="18"/>
        <v>3.83</v>
      </c>
      <c r="V140" s="189">
        <f t="shared" si="17"/>
        <v>0.22</v>
      </c>
      <c r="W140" s="252">
        <f t="shared" si="23"/>
        <v>0.2</v>
      </c>
      <c r="X140" s="203">
        <f t="shared" si="19"/>
        <v>2.6229999999999998</v>
      </c>
      <c r="Y140" s="203">
        <f t="shared" si="20"/>
        <v>2.016</v>
      </c>
      <c r="Z140" s="203">
        <f t="shared" si="21"/>
        <v>4.6399999999999997</v>
      </c>
      <c r="AA140" s="205">
        <f>+Table1[[#This Row],[calculated sale price]]</f>
        <v>4.6399999999999997</v>
      </c>
      <c r="AB140" s="204"/>
      <c r="AC140" s="208"/>
    </row>
    <row r="141" spans="1:29">
      <c r="A141" s="188">
        <v>1132</v>
      </c>
      <c r="B141" t="s">
        <v>524</v>
      </c>
      <c r="C141" s="188">
        <v>1</v>
      </c>
      <c r="I141" s="188"/>
      <c r="J141" s="188"/>
      <c r="K141" s="188"/>
      <c r="L141" s="199"/>
      <c r="M141" s="188"/>
      <c r="N141" s="200"/>
      <c r="O141" s="405">
        <v>1.91</v>
      </c>
      <c r="P141" s="201">
        <f>Table1[[#This Row],[unit cost]]</f>
        <v>1.91</v>
      </c>
      <c r="Q141" s="403">
        <v>3.5</v>
      </c>
      <c r="R141" s="188">
        <v>1</v>
      </c>
      <c r="S141" s="251">
        <f t="shared" si="22"/>
        <v>0.42</v>
      </c>
      <c r="T141" s="203">
        <f>Table1[[#This Row],[man minutes]]*Table1[[#This Row],[labor rate]]</f>
        <v>1.47</v>
      </c>
      <c r="U141" s="203">
        <f t="shared" si="18"/>
        <v>3.38</v>
      </c>
      <c r="V141" s="189">
        <f t="shared" si="17"/>
        <v>0.22</v>
      </c>
      <c r="W141" s="252">
        <f t="shared" si="23"/>
        <v>0.2</v>
      </c>
      <c r="X141" s="203">
        <f t="shared" si="19"/>
        <v>2.3302</v>
      </c>
      <c r="Y141" s="203">
        <f t="shared" si="20"/>
        <v>1.764</v>
      </c>
      <c r="Z141" s="203">
        <f t="shared" si="21"/>
        <v>4.0999999999999996</v>
      </c>
      <c r="AA141" s="205">
        <f>+Table1[[#This Row],[calculated sale price]]</f>
        <v>4.0999999999999996</v>
      </c>
      <c r="AB141" s="204"/>
      <c r="AC141" s="208"/>
    </row>
    <row r="142" spans="1:29">
      <c r="A142" s="188">
        <v>1133</v>
      </c>
      <c r="B142" t="s">
        <v>525</v>
      </c>
      <c r="C142" s="188">
        <v>1</v>
      </c>
      <c r="I142" s="188"/>
      <c r="J142" s="188"/>
      <c r="K142" s="188"/>
      <c r="L142" s="199"/>
      <c r="M142" s="188"/>
      <c r="N142" s="200"/>
      <c r="O142" s="405">
        <v>0.74</v>
      </c>
      <c r="P142" s="201">
        <f>Table1[[#This Row],[unit cost]]</f>
        <v>0.74</v>
      </c>
      <c r="Q142" s="403">
        <v>1.25</v>
      </c>
      <c r="R142" s="188">
        <v>1</v>
      </c>
      <c r="S142" s="251">
        <f t="shared" si="22"/>
        <v>0.42</v>
      </c>
      <c r="T142" s="203">
        <f>Table1[[#This Row],[man minutes]]*Table1[[#This Row],[labor rate]]</f>
        <v>0.52500000000000002</v>
      </c>
      <c r="U142" s="203">
        <f t="shared" si="18"/>
        <v>1.2650000000000001</v>
      </c>
      <c r="V142" s="189">
        <f t="shared" si="17"/>
        <v>0.22</v>
      </c>
      <c r="W142" s="252">
        <f t="shared" si="23"/>
        <v>0.2</v>
      </c>
      <c r="X142" s="203">
        <f t="shared" si="19"/>
        <v>0.90279999999999994</v>
      </c>
      <c r="Y142" s="203">
        <f t="shared" si="20"/>
        <v>0.63</v>
      </c>
      <c r="Z142" s="203">
        <f t="shared" si="21"/>
        <v>1.54</v>
      </c>
      <c r="AA142" s="205">
        <f>+Table1[[#This Row],[calculated sale price]]</f>
        <v>1.54</v>
      </c>
      <c r="AB142" s="204"/>
      <c r="AC142" s="208"/>
    </row>
    <row r="143" spans="1:29">
      <c r="A143" s="188">
        <v>1134</v>
      </c>
      <c r="B143" t="s">
        <v>526</v>
      </c>
      <c r="C143" s="188">
        <v>1</v>
      </c>
      <c r="I143" s="188"/>
      <c r="J143" s="188"/>
      <c r="K143" s="188"/>
      <c r="L143" s="199"/>
      <c r="M143" s="188"/>
      <c r="N143" s="200"/>
      <c r="O143" s="201">
        <v>0</v>
      </c>
      <c r="P143" s="201">
        <f>Table1[[#This Row],[unit cost]]</f>
        <v>0</v>
      </c>
      <c r="Q143" s="403">
        <v>0.5</v>
      </c>
      <c r="R143" s="188">
        <v>1</v>
      </c>
      <c r="S143" s="251">
        <f t="shared" si="22"/>
        <v>0.42</v>
      </c>
      <c r="T143" s="203">
        <f>Table1[[#This Row],[man minutes]]*Table1[[#This Row],[labor rate]]</f>
        <v>0.21</v>
      </c>
      <c r="U143" s="203">
        <f t="shared" si="18"/>
        <v>0.21</v>
      </c>
      <c r="V143" s="189">
        <f t="shared" si="17"/>
        <v>0.22</v>
      </c>
      <c r="W143" s="252">
        <f t="shared" si="23"/>
        <v>0.2</v>
      </c>
      <c r="X143" s="203">
        <f t="shared" si="19"/>
        <v>0</v>
      </c>
      <c r="Y143" s="203">
        <f t="shared" si="20"/>
        <v>0.252</v>
      </c>
      <c r="Z143" s="203">
        <f t="shared" si="21"/>
        <v>0.26</v>
      </c>
      <c r="AA143" s="205">
        <f>+Table1[[#This Row],[calculated sale price]]</f>
        <v>0.26</v>
      </c>
      <c r="AB143" s="204"/>
      <c r="AC143" s="208"/>
    </row>
    <row r="144" spans="1:29">
      <c r="A144" s="188">
        <v>1135</v>
      </c>
      <c r="B144" t="s">
        <v>527</v>
      </c>
      <c r="C144" s="188">
        <v>1</v>
      </c>
      <c r="I144" s="188"/>
      <c r="J144" s="188"/>
      <c r="K144" s="188"/>
      <c r="L144" s="199"/>
      <c r="M144" s="188"/>
      <c r="N144" s="200"/>
      <c r="O144" s="201">
        <v>0.32</v>
      </c>
      <c r="P144" s="201">
        <f>Table1[[#This Row],[unit cost]]</f>
        <v>0.32</v>
      </c>
      <c r="Q144" s="416">
        <v>0.5</v>
      </c>
      <c r="R144" s="188">
        <v>1</v>
      </c>
      <c r="S144" s="251">
        <f t="shared" si="22"/>
        <v>0.42</v>
      </c>
      <c r="T144" s="203">
        <f>Table1[[#This Row],[man minutes]]*Table1[[#This Row],[labor rate]]</f>
        <v>0.21</v>
      </c>
      <c r="U144" s="203">
        <f t="shared" si="18"/>
        <v>0.53</v>
      </c>
      <c r="V144" s="189">
        <f t="shared" ref="V144:V207" si="24">$V$2</f>
        <v>0.22</v>
      </c>
      <c r="W144" s="252">
        <f t="shared" si="23"/>
        <v>0.2</v>
      </c>
      <c r="X144" s="203">
        <f t="shared" si="19"/>
        <v>0.39040000000000002</v>
      </c>
      <c r="Y144" s="203">
        <f t="shared" si="20"/>
        <v>0.252</v>
      </c>
      <c r="Z144" s="203">
        <f t="shared" si="21"/>
        <v>0.65</v>
      </c>
      <c r="AA144" s="205">
        <f>+Table1[[#This Row],[calculated sale price]]</f>
        <v>0.65</v>
      </c>
      <c r="AB144" s="204"/>
      <c r="AC144" s="208"/>
    </row>
    <row r="145" spans="1:29">
      <c r="A145" s="188">
        <v>1136</v>
      </c>
      <c r="B145" t="s">
        <v>528</v>
      </c>
      <c r="C145" s="188">
        <v>1</v>
      </c>
      <c r="I145" s="188"/>
      <c r="J145" s="188"/>
      <c r="K145" s="188"/>
      <c r="L145" s="199"/>
      <c r="M145" s="188"/>
      <c r="N145" s="200"/>
      <c r="O145" s="405">
        <v>0.92</v>
      </c>
      <c r="P145" s="201">
        <f>Table1[[#This Row],[unit cost]]</f>
        <v>0.92</v>
      </c>
      <c r="Q145" s="403">
        <v>1</v>
      </c>
      <c r="R145" s="188">
        <v>1</v>
      </c>
      <c r="S145" s="251">
        <f t="shared" si="22"/>
        <v>0.42</v>
      </c>
      <c r="T145" s="203">
        <f>Table1[[#This Row],[man minutes]]*Table1[[#This Row],[labor rate]]</f>
        <v>0.42</v>
      </c>
      <c r="U145" s="203">
        <f t="shared" si="18"/>
        <v>1.34</v>
      </c>
      <c r="V145" s="189">
        <f t="shared" si="24"/>
        <v>0.22</v>
      </c>
      <c r="W145" s="252">
        <f t="shared" si="23"/>
        <v>0.2</v>
      </c>
      <c r="X145" s="203">
        <f t="shared" si="19"/>
        <v>1.1224000000000001</v>
      </c>
      <c r="Y145" s="203">
        <f t="shared" si="20"/>
        <v>0.504</v>
      </c>
      <c r="Z145" s="203">
        <f t="shared" si="21"/>
        <v>1.6300000000000001</v>
      </c>
      <c r="AA145" s="205">
        <f>+Table1[[#This Row],[calculated sale price]]</f>
        <v>1.6300000000000001</v>
      </c>
      <c r="AB145" s="204"/>
      <c r="AC145" s="208"/>
    </row>
    <row r="146" spans="1:29">
      <c r="A146" s="188">
        <v>1137</v>
      </c>
      <c r="B146" t="s">
        <v>449</v>
      </c>
      <c r="C146" s="188">
        <v>1</v>
      </c>
      <c r="I146" s="188"/>
      <c r="J146" s="188"/>
      <c r="K146" s="188"/>
      <c r="L146" s="199"/>
      <c r="M146" s="188"/>
      <c r="N146" s="200"/>
      <c r="O146" s="201">
        <v>1.23</v>
      </c>
      <c r="P146" s="201">
        <f>Table1[[#This Row],[unit cost]]</f>
        <v>1.23</v>
      </c>
      <c r="Q146" s="416">
        <v>1.5</v>
      </c>
      <c r="R146" s="188">
        <v>1</v>
      </c>
      <c r="S146" s="251">
        <f t="shared" si="22"/>
        <v>0.42</v>
      </c>
      <c r="T146" s="203">
        <f>Table1[[#This Row],[man minutes]]*Table1[[#This Row],[labor rate]]</f>
        <v>0.63</v>
      </c>
      <c r="U146" s="203">
        <f t="shared" si="18"/>
        <v>1.8599999999999999</v>
      </c>
      <c r="V146" s="189">
        <f t="shared" si="24"/>
        <v>0.22</v>
      </c>
      <c r="W146" s="252">
        <f t="shared" si="23"/>
        <v>0.2</v>
      </c>
      <c r="X146" s="203">
        <f t="shared" si="19"/>
        <v>1.5005999999999999</v>
      </c>
      <c r="Y146" s="203">
        <f t="shared" si="20"/>
        <v>0.75600000000000001</v>
      </c>
      <c r="Z146" s="203">
        <f t="shared" si="21"/>
        <v>2.2599999999999998</v>
      </c>
      <c r="AA146" s="205">
        <f>+Table1[[#This Row],[calculated sale price]]</f>
        <v>2.2599999999999998</v>
      </c>
      <c r="AB146" s="204"/>
      <c r="AC146" s="208"/>
    </row>
    <row r="147" spans="1:29">
      <c r="A147" s="188">
        <v>1138</v>
      </c>
      <c r="B147" t="s">
        <v>450</v>
      </c>
      <c r="C147" s="188">
        <v>1</v>
      </c>
      <c r="I147" s="188"/>
      <c r="J147" s="188"/>
      <c r="K147" s="188"/>
      <c r="L147" s="199"/>
      <c r="M147" s="188"/>
      <c r="N147" s="200"/>
      <c r="O147" s="201">
        <v>2.08</v>
      </c>
      <c r="P147" s="201">
        <f>Table1[[#This Row],[unit cost]]</f>
        <v>2.08</v>
      </c>
      <c r="Q147" s="416">
        <v>1</v>
      </c>
      <c r="R147" s="188">
        <v>1</v>
      </c>
      <c r="S147" s="251">
        <f t="shared" si="22"/>
        <v>0.42</v>
      </c>
      <c r="T147" s="203">
        <f>Table1[[#This Row],[man minutes]]*Table1[[#This Row],[labor rate]]</f>
        <v>0.42</v>
      </c>
      <c r="U147" s="203">
        <f t="shared" si="18"/>
        <v>2.5</v>
      </c>
      <c r="V147" s="189">
        <f t="shared" si="24"/>
        <v>0.22</v>
      </c>
      <c r="W147" s="252">
        <f t="shared" si="23"/>
        <v>0.2</v>
      </c>
      <c r="X147" s="203">
        <f t="shared" si="19"/>
        <v>2.5375999999999999</v>
      </c>
      <c r="Y147" s="203">
        <f t="shared" si="20"/>
        <v>0.504</v>
      </c>
      <c r="Z147" s="203">
        <f t="shared" si="21"/>
        <v>3.05</v>
      </c>
      <c r="AA147" s="205">
        <f>+Table1[[#This Row],[calculated sale price]]</f>
        <v>3.05</v>
      </c>
      <c r="AB147" s="204"/>
      <c r="AC147" s="208"/>
    </row>
    <row r="148" spans="1:29">
      <c r="A148" s="188">
        <v>1139</v>
      </c>
      <c r="B148" t="s">
        <v>529</v>
      </c>
      <c r="C148" s="188">
        <v>1</v>
      </c>
      <c r="I148" s="188"/>
      <c r="J148" s="188"/>
      <c r="K148" s="188"/>
      <c r="L148" s="199"/>
      <c r="M148" s="188"/>
      <c r="N148" s="200"/>
      <c r="O148" s="201">
        <v>1.323</v>
      </c>
      <c r="P148" s="201">
        <f>Table1[[#This Row],[unit cost]]</f>
        <v>1.323</v>
      </c>
      <c r="Q148" s="416">
        <v>1</v>
      </c>
      <c r="R148" s="188">
        <v>1</v>
      </c>
      <c r="S148" s="251">
        <f t="shared" si="22"/>
        <v>0.42</v>
      </c>
      <c r="T148" s="203">
        <f>Table1[[#This Row],[man minutes]]*Table1[[#This Row],[labor rate]]</f>
        <v>0.42</v>
      </c>
      <c r="U148" s="203">
        <f t="shared" si="18"/>
        <v>1.7429999999999999</v>
      </c>
      <c r="V148" s="189">
        <f t="shared" si="24"/>
        <v>0.22</v>
      </c>
      <c r="W148" s="252">
        <f t="shared" si="23"/>
        <v>0.2</v>
      </c>
      <c r="X148" s="203">
        <f t="shared" si="19"/>
        <v>1.6140599999999998</v>
      </c>
      <c r="Y148" s="203">
        <f t="shared" si="20"/>
        <v>0.504</v>
      </c>
      <c r="Z148" s="203">
        <f t="shared" si="21"/>
        <v>2.1199999999999997</v>
      </c>
      <c r="AA148" s="205">
        <f>+Table1[[#This Row],[calculated sale price]]</f>
        <v>2.1199999999999997</v>
      </c>
      <c r="AB148" s="204"/>
      <c r="AC148" s="208"/>
    </row>
    <row r="149" spans="1:29">
      <c r="A149" s="188">
        <v>1140</v>
      </c>
      <c r="B149" t="s">
        <v>530</v>
      </c>
      <c r="C149" s="188">
        <v>1</v>
      </c>
      <c r="I149" s="188"/>
      <c r="J149" s="188"/>
      <c r="K149" s="188"/>
      <c r="L149" s="199"/>
      <c r="M149" s="188"/>
      <c r="N149" s="200"/>
      <c r="O149" s="201">
        <v>2.16</v>
      </c>
      <c r="P149" s="201">
        <f>Table1[[#This Row],[unit cost]]</f>
        <v>2.16</v>
      </c>
      <c r="Q149" s="416">
        <v>3.75</v>
      </c>
      <c r="R149" s="188">
        <v>1</v>
      </c>
      <c r="S149" s="251">
        <f t="shared" si="22"/>
        <v>0.42</v>
      </c>
      <c r="T149" s="203">
        <f>Table1[[#This Row],[man minutes]]*Table1[[#This Row],[labor rate]]</f>
        <v>1.575</v>
      </c>
      <c r="U149" s="203">
        <f t="shared" si="18"/>
        <v>3.7350000000000003</v>
      </c>
      <c r="V149" s="189">
        <f t="shared" si="24"/>
        <v>0.22</v>
      </c>
      <c r="W149" s="252">
        <f t="shared" si="23"/>
        <v>0.2</v>
      </c>
      <c r="X149" s="203">
        <f t="shared" si="19"/>
        <v>2.6352000000000002</v>
      </c>
      <c r="Y149" s="203">
        <f t="shared" si="20"/>
        <v>1.89</v>
      </c>
      <c r="Z149" s="203">
        <f t="shared" si="21"/>
        <v>4.5299999999999994</v>
      </c>
      <c r="AA149" s="205">
        <f>+Table1[[#This Row],[calculated sale price]]</f>
        <v>4.5299999999999994</v>
      </c>
      <c r="AB149" s="204"/>
      <c r="AC149" s="208"/>
    </row>
    <row r="150" spans="1:29">
      <c r="A150" s="188">
        <v>1141</v>
      </c>
      <c r="B150" t="s">
        <v>531</v>
      </c>
      <c r="C150" s="188">
        <v>1</v>
      </c>
      <c r="I150" s="188"/>
      <c r="J150" s="188"/>
      <c r="K150" s="188"/>
      <c r="L150" s="199"/>
      <c r="M150" s="188"/>
      <c r="N150" s="200"/>
      <c r="O150" s="201">
        <v>6.93</v>
      </c>
      <c r="P150" s="201">
        <f>Table1[[#This Row],[unit cost]]</f>
        <v>6.93</v>
      </c>
      <c r="Q150" s="416">
        <v>6.25</v>
      </c>
      <c r="R150" s="188">
        <v>1</v>
      </c>
      <c r="S150" s="251">
        <f t="shared" si="22"/>
        <v>0.42</v>
      </c>
      <c r="T150" s="203">
        <f>Table1[[#This Row],[man minutes]]*Table1[[#This Row],[labor rate]]</f>
        <v>2.625</v>
      </c>
      <c r="U150" s="203">
        <f t="shared" si="18"/>
        <v>9.5549999999999997</v>
      </c>
      <c r="V150" s="189">
        <f t="shared" si="24"/>
        <v>0.22</v>
      </c>
      <c r="W150" s="252">
        <f t="shared" si="23"/>
        <v>0.2</v>
      </c>
      <c r="X150" s="203">
        <f t="shared" si="19"/>
        <v>8.4545999999999992</v>
      </c>
      <c r="Y150" s="203">
        <f t="shared" si="20"/>
        <v>3.15</v>
      </c>
      <c r="Z150" s="203">
        <f t="shared" si="21"/>
        <v>11.61</v>
      </c>
      <c r="AA150" s="205">
        <f>+Table1[[#This Row],[calculated sale price]]</f>
        <v>11.61</v>
      </c>
      <c r="AB150" s="204"/>
      <c r="AC150" s="208"/>
    </row>
    <row r="151" spans="1:29">
      <c r="A151" s="188">
        <v>1142</v>
      </c>
      <c r="B151" t="s">
        <v>532</v>
      </c>
      <c r="C151" s="188">
        <v>1</v>
      </c>
      <c r="I151" s="188"/>
      <c r="J151" s="188"/>
      <c r="K151" s="188"/>
      <c r="L151" s="199"/>
      <c r="M151" s="188"/>
      <c r="N151" s="200"/>
      <c r="O151" s="201">
        <v>5.72</v>
      </c>
      <c r="P151" s="201">
        <f>Table1[[#This Row],[unit cost]]</f>
        <v>5.72</v>
      </c>
      <c r="Q151" s="416">
        <v>5</v>
      </c>
      <c r="R151" s="188">
        <v>1</v>
      </c>
      <c r="S151" s="251">
        <f t="shared" si="22"/>
        <v>0.42</v>
      </c>
      <c r="T151" s="203">
        <f>Table1[[#This Row],[man minutes]]*Table1[[#This Row],[labor rate]]</f>
        <v>2.1</v>
      </c>
      <c r="U151" s="203">
        <f t="shared" si="18"/>
        <v>7.82</v>
      </c>
      <c r="V151" s="189">
        <f t="shared" si="24"/>
        <v>0.22</v>
      </c>
      <c r="W151" s="252">
        <f t="shared" si="23"/>
        <v>0.2</v>
      </c>
      <c r="X151" s="203">
        <f t="shared" si="19"/>
        <v>6.9783999999999997</v>
      </c>
      <c r="Y151" s="203">
        <f t="shared" si="20"/>
        <v>2.52</v>
      </c>
      <c r="Z151" s="203">
        <f t="shared" si="21"/>
        <v>9.5</v>
      </c>
      <c r="AA151" s="205">
        <f>+Table1[[#This Row],[calculated sale price]]</f>
        <v>9.5</v>
      </c>
      <c r="AB151" s="204"/>
      <c r="AC151" s="208"/>
    </row>
    <row r="152" spans="1:29">
      <c r="A152" s="188">
        <v>1143</v>
      </c>
      <c r="B152" t="s">
        <v>533</v>
      </c>
      <c r="C152" s="188">
        <v>1</v>
      </c>
      <c r="I152" s="188"/>
      <c r="J152" s="188"/>
      <c r="K152" s="188"/>
      <c r="L152" s="199"/>
      <c r="M152" s="188"/>
      <c r="N152" s="200"/>
      <c r="O152" s="201">
        <v>6.09</v>
      </c>
      <c r="P152" s="201">
        <f>Table1[[#This Row],[unit cost]]</f>
        <v>6.09</v>
      </c>
      <c r="Q152" s="416">
        <v>4</v>
      </c>
      <c r="R152" s="188">
        <v>1</v>
      </c>
      <c r="S152" s="251">
        <f t="shared" si="22"/>
        <v>0.42</v>
      </c>
      <c r="T152" s="203">
        <f>Table1[[#This Row],[man minutes]]*Table1[[#This Row],[labor rate]]</f>
        <v>1.68</v>
      </c>
      <c r="U152" s="203">
        <f t="shared" ref="U152:U215" si="25">P152+T152</f>
        <v>7.77</v>
      </c>
      <c r="V152" s="189">
        <f t="shared" si="24"/>
        <v>0.22</v>
      </c>
      <c r="W152" s="252">
        <f t="shared" si="23"/>
        <v>0.2</v>
      </c>
      <c r="X152" s="203">
        <f t="shared" ref="X152:X215" si="26">P152*(1+V152)</f>
        <v>7.4297999999999993</v>
      </c>
      <c r="Y152" s="203">
        <f t="shared" ref="Y152:Y215" si="27">T152+(T152*W152)</f>
        <v>2.016</v>
      </c>
      <c r="Z152" s="203">
        <f t="shared" ref="Z152:Z215" si="28">IFERROR(ROUNDUP(X152+Y152,2)," ")</f>
        <v>9.4499999999999993</v>
      </c>
      <c r="AA152" s="205">
        <f>+Table1[[#This Row],[calculated sale price]]</f>
        <v>9.4499999999999993</v>
      </c>
      <c r="AB152" s="204"/>
      <c r="AC152" s="208"/>
    </row>
    <row r="153" spans="1:29">
      <c r="A153" s="188">
        <v>1144</v>
      </c>
      <c r="B153" t="s">
        <v>534</v>
      </c>
      <c r="C153" s="188">
        <v>1</v>
      </c>
      <c r="I153" s="188"/>
      <c r="J153" s="188"/>
      <c r="K153" s="188"/>
      <c r="L153" s="199"/>
      <c r="M153" s="188"/>
      <c r="N153" s="200"/>
      <c r="O153" s="201">
        <v>2.0099999999999998</v>
      </c>
      <c r="P153" s="201">
        <f>Table1[[#This Row],[unit cost]]</f>
        <v>2.0099999999999998</v>
      </c>
      <c r="Q153" s="416">
        <v>3.75</v>
      </c>
      <c r="R153" s="188">
        <v>1</v>
      </c>
      <c r="S153" s="251">
        <f t="shared" si="22"/>
        <v>0.42</v>
      </c>
      <c r="T153" s="203">
        <f>Table1[[#This Row],[man minutes]]*Table1[[#This Row],[labor rate]]</f>
        <v>1.575</v>
      </c>
      <c r="U153" s="203">
        <f t="shared" si="25"/>
        <v>3.585</v>
      </c>
      <c r="V153" s="189">
        <f t="shared" si="24"/>
        <v>0.22</v>
      </c>
      <c r="W153" s="252">
        <f t="shared" si="23"/>
        <v>0.2</v>
      </c>
      <c r="X153" s="203">
        <f t="shared" si="26"/>
        <v>2.4521999999999995</v>
      </c>
      <c r="Y153" s="203">
        <f t="shared" si="27"/>
        <v>1.89</v>
      </c>
      <c r="Z153" s="203">
        <f t="shared" si="28"/>
        <v>4.3499999999999996</v>
      </c>
      <c r="AA153" s="205">
        <f>+Table1[[#This Row],[calculated sale price]]</f>
        <v>4.3499999999999996</v>
      </c>
      <c r="AB153" s="204"/>
      <c r="AC153" s="208"/>
    </row>
    <row r="154" spans="1:29">
      <c r="A154" s="188">
        <v>1145</v>
      </c>
      <c r="B154" t="s">
        <v>535</v>
      </c>
      <c r="C154" s="188">
        <v>1</v>
      </c>
      <c r="I154" s="188"/>
      <c r="J154" s="188"/>
      <c r="K154" s="188"/>
      <c r="L154" s="199"/>
      <c r="M154" s="188"/>
      <c r="N154" s="200"/>
      <c r="O154" s="201">
        <v>1.96</v>
      </c>
      <c r="P154" s="201">
        <f>Table1[[#This Row],[unit cost]]</f>
        <v>1.96</v>
      </c>
      <c r="Q154" s="416">
        <v>1.5</v>
      </c>
      <c r="R154" s="188">
        <v>1</v>
      </c>
      <c r="S154" s="251">
        <f t="shared" si="22"/>
        <v>0.42</v>
      </c>
      <c r="T154" s="203">
        <f>Table1[[#This Row],[man minutes]]*Table1[[#This Row],[labor rate]]</f>
        <v>0.63</v>
      </c>
      <c r="U154" s="203">
        <f t="shared" si="25"/>
        <v>2.59</v>
      </c>
      <c r="V154" s="189">
        <f t="shared" si="24"/>
        <v>0.22</v>
      </c>
      <c r="W154" s="252">
        <f t="shared" si="23"/>
        <v>0.2</v>
      </c>
      <c r="X154" s="203">
        <f t="shared" si="26"/>
        <v>2.3912</v>
      </c>
      <c r="Y154" s="203">
        <f t="shared" si="27"/>
        <v>0.75600000000000001</v>
      </c>
      <c r="Z154" s="203">
        <f t="shared" si="28"/>
        <v>3.15</v>
      </c>
      <c r="AA154" s="205">
        <f>+Table1[[#This Row],[calculated sale price]]</f>
        <v>3.15</v>
      </c>
      <c r="AB154" s="204"/>
      <c r="AC154" s="208"/>
    </row>
    <row r="155" spans="1:29">
      <c r="A155" s="188">
        <v>1146</v>
      </c>
      <c r="B155" s="334" t="s">
        <v>536</v>
      </c>
      <c r="C155" s="188">
        <v>1</v>
      </c>
      <c r="I155" s="188"/>
      <c r="J155" s="188"/>
      <c r="K155" s="188"/>
      <c r="L155" s="199"/>
      <c r="M155" s="188"/>
      <c r="N155" s="200"/>
      <c r="O155" s="201">
        <v>1.68</v>
      </c>
      <c r="P155" s="201">
        <f>Table1[[#This Row],[unit cost]]</f>
        <v>1.68</v>
      </c>
      <c r="Q155" s="416">
        <v>1.5</v>
      </c>
      <c r="R155" s="188">
        <v>1</v>
      </c>
      <c r="S155" s="251">
        <f t="shared" si="22"/>
        <v>0.42</v>
      </c>
      <c r="T155" s="203">
        <f>Table1[[#This Row],[man minutes]]*Table1[[#This Row],[labor rate]]</f>
        <v>0.63</v>
      </c>
      <c r="U155" s="203">
        <f t="shared" si="25"/>
        <v>2.31</v>
      </c>
      <c r="V155" s="189">
        <f t="shared" si="24"/>
        <v>0.22</v>
      </c>
      <c r="W155" s="252">
        <f t="shared" si="23"/>
        <v>0.2</v>
      </c>
      <c r="X155" s="203">
        <f t="shared" si="26"/>
        <v>2.0495999999999999</v>
      </c>
      <c r="Y155" s="203">
        <f t="shared" si="27"/>
        <v>0.75600000000000001</v>
      </c>
      <c r="Z155" s="203">
        <f t="shared" si="28"/>
        <v>2.8099999999999996</v>
      </c>
      <c r="AA155" s="205">
        <f>+Table1[[#This Row],[calculated sale price]]</f>
        <v>2.8099999999999996</v>
      </c>
      <c r="AB155" s="204"/>
      <c r="AC155" s="208"/>
    </row>
    <row r="156" spans="1:29">
      <c r="A156" s="188">
        <v>1147</v>
      </c>
      <c r="B156" s="334" t="s">
        <v>537</v>
      </c>
      <c r="C156" s="188">
        <v>1</v>
      </c>
      <c r="I156" s="188"/>
      <c r="J156" s="188"/>
      <c r="K156" s="188"/>
      <c r="L156" s="199"/>
      <c r="M156" s="188"/>
      <c r="N156" s="200"/>
      <c r="O156" s="201">
        <v>2.2999999999999998</v>
      </c>
      <c r="P156" s="201">
        <f>Table1[[#This Row],[unit cost]]</f>
        <v>2.2999999999999998</v>
      </c>
      <c r="Q156" s="416">
        <v>1.5</v>
      </c>
      <c r="R156" s="188">
        <v>1</v>
      </c>
      <c r="S156" s="251">
        <f t="shared" si="22"/>
        <v>0.42</v>
      </c>
      <c r="T156" s="203">
        <f>Table1[[#This Row],[man minutes]]*Table1[[#This Row],[labor rate]]</f>
        <v>0.63</v>
      </c>
      <c r="U156" s="203">
        <f t="shared" si="25"/>
        <v>2.9299999999999997</v>
      </c>
      <c r="V156" s="189">
        <f t="shared" si="24"/>
        <v>0.22</v>
      </c>
      <c r="W156" s="252">
        <f t="shared" si="23"/>
        <v>0.2</v>
      </c>
      <c r="X156" s="203">
        <f t="shared" si="26"/>
        <v>2.8059999999999996</v>
      </c>
      <c r="Y156" s="203">
        <f t="shared" si="27"/>
        <v>0.75600000000000001</v>
      </c>
      <c r="Z156" s="203">
        <f t="shared" si="28"/>
        <v>3.57</v>
      </c>
      <c r="AA156" s="205">
        <f>+Table1[[#This Row],[calculated sale price]]</f>
        <v>3.57</v>
      </c>
      <c r="AB156" s="204"/>
      <c r="AC156" s="208"/>
    </row>
    <row r="157" spans="1:29">
      <c r="A157" s="188">
        <v>1148</v>
      </c>
      <c r="B157" s="334" t="s">
        <v>538</v>
      </c>
      <c r="C157" s="188">
        <v>1</v>
      </c>
      <c r="I157" s="188"/>
      <c r="J157" s="188"/>
      <c r="K157" s="188"/>
      <c r="L157" s="199"/>
      <c r="M157" s="188"/>
      <c r="N157" s="200"/>
      <c r="O157" s="201">
        <v>1.63</v>
      </c>
      <c r="P157" s="201">
        <f>Table1[[#This Row],[unit cost]]</f>
        <v>1.63</v>
      </c>
      <c r="Q157" s="416">
        <v>1.5</v>
      </c>
      <c r="R157" s="188">
        <v>1</v>
      </c>
      <c r="S157" s="251">
        <f t="shared" si="22"/>
        <v>0.42</v>
      </c>
      <c r="T157" s="203">
        <f>Table1[[#This Row],[man minutes]]*Table1[[#This Row],[labor rate]]</f>
        <v>0.63</v>
      </c>
      <c r="U157" s="203">
        <f t="shared" si="25"/>
        <v>2.2599999999999998</v>
      </c>
      <c r="V157" s="189">
        <f t="shared" si="24"/>
        <v>0.22</v>
      </c>
      <c r="W157" s="252">
        <f t="shared" si="23"/>
        <v>0.2</v>
      </c>
      <c r="X157" s="203">
        <f t="shared" si="26"/>
        <v>1.9885999999999999</v>
      </c>
      <c r="Y157" s="203">
        <f t="shared" si="27"/>
        <v>0.75600000000000001</v>
      </c>
      <c r="Z157" s="203">
        <f t="shared" si="28"/>
        <v>2.75</v>
      </c>
      <c r="AA157" s="205">
        <f>+Table1[[#This Row],[calculated sale price]]</f>
        <v>2.75</v>
      </c>
      <c r="AB157" s="204"/>
      <c r="AC157" s="208"/>
    </row>
    <row r="158" spans="1:29">
      <c r="A158" s="188">
        <v>1149</v>
      </c>
      <c r="B158" t="s">
        <v>539</v>
      </c>
      <c r="C158" s="188">
        <v>1</v>
      </c>
      <c r="I158" s="188"/>
      <c r="J158" s="188"/>
      <c r="K158" s="188"/>
      <c r="L158" s="199"/>
      <c r="M158" s="188"/>
      <c r="N158" s="200"/>
      <c r="O158" s="201">
        <v>1.99</v>
      </c>
      <c r="P158" s="201">
        <f>Table1[[#This Row],[unit cost]]</f>
        <v>1.99</v>
      </c>
      <c r="Q158" s="416">
        <v>1.5</v>
      </c>
      <c r="R158" s="188">
        <v>1</v>
      </c>
      <c r="S158" s="251">
        <f t="shared" si="22"/>
        <v>0.42</v>
      </c>
      <c r="T158" s="203">
        <f>Table1[[#This Row],[man minutes]]*Table1[[#This Row],[labor rate]]</f>
        <v>0.63</v>
      </c>
      <c r="U158" s="203">
        <f t="shared" si="25"/>
        <v>2.62</v>
      </c>
      <c r="V158" s="189">
        <f t="shared" si="24"/>
        <v>0.22</v>
      </c>
      <c r="W158" s="252">
        <f t="shared" si="23"/>
        <v>0.2</v>
      </c>
      <c r="X158" s="203">
        <f t="shared" si="26"/>
        <v>2.4278</v>
      </c>
      <c r="Y158" s="203">
        <f t="shared" si="27"/>
        <v>0.75600000000000001</v>
      </c>
      <c r="Z158" s="203">
        <f t="shared" si="28"/>
        <v>3.19</v>
      </c>
      <c r="AA158" s="205">
        <f>+Table1[[#This Row],[calculated sale price]]</f>
        <v>3.19</v>
      </c>
      <c r="AB158" s="204"/>
      <c r="AC158" s="208"/>
    </row>
    <row r="159" spans="1:29">
      <c r="A159" s="188">
        <v>1150</v>
      </c>
      <c r="B159" t="s">
        <v>540</v>
      </c>
      <c r="C159" s="188">
        <v>1</v>
      </c>
      <c r="I159" s="188"/>
      <c r="J159" s="188"/>
      <c r="K159" s="188"/>
      <c r="L159" s="199"/>
      <c r="M159" s="188"/>
      <c r="N159" s="200"/>
      <c r="O159" s="201">
        <v>1.45</v>
      </c>
      <c r="P159" s="201">
        <f>Table1[[#This Row],[unit cost]]</f>
        <v>1.45</v>
      </c>
      <c r="Q159" s="416">
        <v>2</v>
      </c>
      <c r="R159" s="188">
        <v>1</v>
      </c>
      <c r="S159" s="251">
        <f t="shared" si="22"/>
        <v>0.42</v>
      </c>
      <c r="T159" s="203">
        <f>Table1[[#This Row],[man minutes]]*Table1[[#This Row],[labor rate]]</f>
        <v>0.84</v>
      </c>
      <c r="U159" s="203">
        <f t="shared" si="25"/>
        <v>2.29</v>
      </c>
      <c r="V159" s="189">
        <f t="shared" si="24"/>
        <v>0.22</v>
      </c>
      <c r="W159" s="252">
        <f t="shared" si="23"/>
        <v>0.2</v>
      </c>
      <c r="X159" s="203">
        <f t="shared" si="26"/>
        <v>1.7689999999999999</v>
      </c>
      <c r="Y159" s="203">
        <f t="shared" si="27"/>
        <v>1.008</v>
      </c>
      <c r="Z159" s="203">
        <f t="shared" si="28"/>
        <v>2.78</v>
      </c>
      <c r="AA159" s="205">
        <f>+Table1[[#This Row],[calculated sale price]]</f>
        <v>2.78</v>
      </c>
      <c r="AB159" s="204"/>
      <c r="AC159" s="208"/>
    </row>
    <row r="160" spans="1:29">
      <c r="A160" s="188">
        <v>1151</v>
      </c>
      <c r="B160" t="s">
        <v>541</v>
      </c>
      <c r="C160" s="188">
        <v>1</v>
      </c>
      <c r="I160" s="188"/>
      <c r="J160" s="188"/>
      <c r="K160" s="188"/>
      <c r="L160" s="199"/>
      <c r="M160" s="188"/>
      <c r="N160" s="200"/>
      <c r="O160" s="201">
        <v>1.45</v>
      </c>
      <c r="P160" s="201">
        <f>Table1[[#This Row],[unit cost]]</f>
        <v>1.45</v>
      </c>
      <c r="Q160" s="416">
        <v>2</v>
      </c>
      <c r="R160" s="188">
        <v>1</v>
      </c>
      <c r="S160" s="251">
        <f t="shared" si="22"/>
        <v>0.42</v>
      </c>
      <c r="T160" s="203">
        <f>Table1[[#This Row],[man minutes]]*Table1[[#This Row],[labor rate]]</f>
        <v>0.84</v>
      </c>
      <c r="U160" s="203">
        <f t="shared" si="25"/>
        <v>2.29</v>
      </c>
      <c r="V160" s="189">
        <f t="shared" si="24"/>
        <v>0.22</v>
      </c>
      <c r="W160" s="252">
        <f t="shared" si="23"/>
        <v>0.2</v>
      </c>
      <c r="X160" s="203">
        <f t="shared" si="26"/>
        <v>1.7689999999999999</v>
      </c>
      <c r="Y160" s="203">
        <f t="shared" si="27"/>
        <v>1.008</v>
      </c>
      <c r="Z160" s="203">
        <f t="shared" si="28"/>
        <v>2.78</v>
      </c>
      <c r="AA160" s="205">
        <f>+Table1[[#This Row],[calculated sale price]]</f>
        <v>2.78</v>
      </c>
      <c r="AB160" s="204"/>
      <c r="AC160" s="208"/>
    </row>
    <row r="161" spans="1:29">
      <c r="A161" s="188">
        <v>1152</v>
      </c>
      <c r="B161" t="s">
        <v>542</v>
      </c>
      <c r="C161" s="188">
        <v>1</v>
      </c>
      <c r="I161" s="188"/>
      <c r="J161" s="188"/>
      <c r="K161" s="188"/>
      <c r="L161" s="199"/>
      <c r="M161" s="188"/>
      <c r="N161" s="200"/>
      <c r="O161" s="201">
        <v>1.65</v>
      </c>
      <c r="P161" s="201">
        <f>Table1[[#This Row],[unit cost]]</f>
        <v>1.65</v>
      </c>
      <c r="Q161" s="416">
        <v>2</v>
      </c>
      <c r="R161" s="188">
        <v>1</v>
      </c>
      <c r="S161" s="251">
        <f t="shared" si="22"/>
        <v>0.42</v>
      </c>
      <c r="T161" s="203">
        <f>Table1[[#This Row],[man minutes]]*Table1[[#This Row],[labor rate]]</f>
        <v>0.84</v>
      </c>
      <c r="U161" s="203">
        <f t="shared" si="25"/>
        <v>2.4899999999999998</v>
      </c>
      <c r="V161" s="189">
        <f t="shared" si="24"/>
        <v>0.22</v>
      </c>
      <c r="W161" s="252">
        <f t="shared" si="23"/>
        <v>0.2</v>
      </c>
      <c r="X161" s="203">
        <f t="shared" si="26"/>
        <v>2.0129999999999999</v>
      </c>
      <c r="Y161" s="203">
        <f t="shared" si="27"/>
        <v>1.008</v>
      </c>
      <c r="Z161" s="203">
        <f t="shared" si="28"/>
        <v>3.03</v>
      </c>
      <c r="AA161" s="205">
        <f>+Table1[[#This Row],[calculated sale price]]</f>
        <v>3.03</v>
      </c>
      <c r="AB161" s="204"/>
      <c r="AC161" s="208"/>
    </row>
    <row r="162" spans="1:29">
      <c r="A162" s="188">
        <v>1153</v>
      </c>
      <c r="B162" t="s">
        <v>543</v>
      </c>
      <c r="C162" s="188">
        <v>1</v>
      </c>
      <c r="I162" s="188"/>
      <c r="J162" s="188"/>
      <c r="K162" s="188"/>
      <c r="L162" s="199"/>
      <c r="M162" s="188"/>
      <c r="N162" s="200"/>
      <c r="O162" s="201">
        <v>0.5</v>
      </c>
      <c r="P162" s="201">
        <f>Table1[[#This Row],[unit cost]]</f>
        <v>0.5</v>
      </c>
      <c r="Q162" s="416">
        <v>0.25</v>
      </c>
      <c r="R162" s="188">
        <v>1</v>
      </c>
      <c r="S162" s="251">
        <f t="shared" si="22"/>
        <v>0.42</v>
      </c>
      <c r="T162" s="203">
        <f>Table1[[#This Row],[man minutes]]*Table1[[#This Row],[labor rate]]</f>
        <v>0.105</v>
      </c>
      <c r="U162" s="203">
        <f t="shared" si="25"/>
        <v>0.60499999999999998</v>
      </c>
      <c r="V162" s="189">
        <f t="shared" si="24"/>
        <v>0.22</v>
      </c>
      <c r="W162" s="252">
        <f t="shared" si="23"/>
        <v>0.2</v>
      </c>
      <c r="X162" s="203">
        <f t="shared" si="26"/>
        <v>0.61</v>
      </c>
      <c r="Y162" s="203">
        <f t="shared" si="27"/>
        <v>0.126</v>
      </c>
      <c r="Z162" s="203">
        <f t="shared" si="28"/>
        <v>0.74</v>
      </c>
      <c r="AA162" s="205">
        <f>+Table1[[#This Row],[calculated sale price]]</f>
        <v>0.74</v>
      </c>
      <c r="AB162" s="204"/>
      <c r="AC162" s="208"/>
    </row>
    <row r="163" spans="1:29">
      <c r="A163" s="188">
        <v>1154</v>
      </c>
      <c r="B163" t="s">
        <v>544</v>
      </c>
      <c r="C163" s="188">
        <v>1</v>
      </c>
      <c r="I163" s="188"/>
      <c r="J163" s="188"/>
      <c r="K163" s="188"/>
      <c r="L163" s="199"/>
      <c r="M163" s="188"/>
      <c r="N163" s="200"/>
      <c r="O163" s="201">
        <v>0.4</v>
      </c>
      <c r="P163" s="201">
        <f>Table1[[#This Row],[unit cost]]</f>
        <v>0.4</v>
      </c>
      <c r="Q163" s="416">
        <v>0.25</v>
      </c>
      <c r="R163" s="188">
        <v>1</v>
      </c>
      <c r="S163" s="251">
        <f t="shared" si="22"/>
        <v>0.42</v>
      </c>
      <c r="T163" s="203">
        <f>Table1[[#This Row],[man minutes]]*Table1[[#This Row],[labor rate]]</f>
        <v>0.105</v>
      </c>
      <c r="U163" s="203">
        <f t="shared" si="25"/>
        <v>0.505</v>
      </c>
      <c r="V163" s="189">
        <f t="shared" si="24"/>
        <v>0.22</v>
      </c>
      <c r="W163" s="252">
        <f t="shared" si="23"/>
        <v>0.2</v>
      </c>
      <c r="X163" s="203">
        <f t="shared" si="26"/>
        <v>0.48799999999999999</v>
      </c>
      <c r="Y163" s="203">
        <f t="shared" si="27"/>
        <v>0.126</v>
      </c>
      <c r="Z163" s="203">
        <f t="shared" si="28"/>
        <v>0.62</v>
      </c>
      <c r="AA163" s="205">
        <f>+Table1[[#This Row],[calculated sale price]]</f>
        <v>0.62</v>
      </c>
      <c r="AB163" s="204"/>
      <c r="AC163" s="208"/>
    </row>
    <row r="164" spans="1:29" ht="30">
      <c r="A164" s="188">
        <v>1155</v>
      </c>
      <c r="B164" s="412" t="s">
        <v>545</v>
      </c>
      <c r="C164" s="188">
        <v>1</v>
      </c>
      <c r="I164" s="188"/>
      <c r="J164" s="188"/>
      <c r="K164" s="188"/>
      <c r="L164" s="199"/>
      <c r="M164" s="188"/>
      <c r="N164" s="200"/>
      <c r="O164" s="405">
        <v>4.82</v>
      </c>
      <c r="P164" s="201">
        <f>Table1[[#This Row],[unit cost]]</f>
        <v>4.82</v>
      </c>
      <c r="Q164" s="403">
        <v>4</v>
      </c>
      <c r="R164" s="188">
        <v>1</v>
      </c>
      <c r="S164" s="251">
        <f t="shared" si="22"/>
        <v>0.42</v>
      </c>
      <c r="T164" s="203">
        <f>Table1[[#This Row],[man minutes]]*Table1[[#This Row],[labor rate]]</f>
        <v>1.68</v>
      </c>
      <c r="U164" s="203">
        <f t="shared" si="25"/>
        <v>6.5</v>
      </c>
      <c r="V164" s="189">
        <f t="shared" si="24"/>
        <v>0.22</v>
      </c>
      <c r="W164" s="252">
        <f t="shared" si="23"/>
        <v>0.2</v>
      </c>
      <c r="X164" s="203">
        <f t="shared" si="26"/>
        <v>5.8803999999999998</v>
      </c>
      <c r="Y164" s="203">
        <f t="shared" si="27"/>
        <v>2.016</v>
      </c>
      <c r="Z164" s="203">
        <f t="shared" si="28"/>
        <v>7.8999999999999995</v>
      </c>
      <c r="AA164" s="205">
        <f>+Table1[[#This Row],[calculated sale price]]</f>
        <v>7.8999999999999995</v>
      </c>
      <c r="AB164" s="204"/>
      <c r="AC164" s="208"/>
    </row>
    <row r="165" spans="1:29">
      <c r="A165" s="188">
        <v>1156</v>
      </c>
      <c r="B165" t="s">
        <v>546</v>
      </c>
      <c r="C165" s="188">
        <v>1</v>
      </c>
      <c r="I165" s="188"/>
      <c r="J165" s="188"/>
      <c r="K165" s="188"/>
      <c r="L165" s="199"/>
      <c r="M165" s="188"/>
      <c r="N165" s="200"/>
      <c r="O165" s="201">
        <v>0.2</v>
      </c>
      <c r="P165" s="201">
        <f>Table1[[#This Row],[unit cost]]</f>
        <v>0.2</v>
      </c>
      <c r="Q165" s="416">
        <v>0.5</v>
      </c>
      <c r="R165" s="188">
        <v>1</v>
      </c>
      <c r="S165" s="251">
        <f t="shared" si="22"/>
        <v>0.42</v>
      </c>
      <c r="T165" s="203">
        <f>Table1[[#This Row],[man minutes]]*Table1[[#This Row],[labor rate]]</f>
        <v>0.21</v>
      </c>
      <c r="U165" s="203">
        <f t="shared" si="25"/>
        <v>0.41000000000000003</v>
      </c>
      <c r="V165" s="189">
        <f t="shared" si="24"/>
        <v>0.22</v>
      </c>
      <c r="W165" s="252">
        <f t="shared" si="23"/>
        <v>0.2</v>
      </c>
      <c r="X165" s="203">
        <f t="shared" si="26"/>
        <v>0.24399999999999999</v>
      </c>
      <c r="Y165" s="203">
        <f t="shared" si="27"/>
        <v>0.252</v>
      </c>
      <c r="Z165" s="203">
        <f t="shared" si="28"/>
        <v>0.5</v>
      </c>
      <c r="AA165" s="205">
        <f>+Table1[[#This Row],[calculated sale price]]</f>
        <v>0.5</v>
      </c>
      <c r="AB165" s="204"/>
      <c r="AC165" s="208"/>
    </row>
    <row r="166" spans="1:29">
      <c r="A166" s="188">
        <v>1157</v>
      </c>
      <c r="B166" t="s">
        <v>547</v>
      </c>
      <c r="C166" s="188">
        <v>1</v>
      </c>
      <c r="I166" s="188"/>
      <c r="J166" s="188"/>
      <c r="K166" s="188"/>
      <c r="L166" s="199"/>
      <c r="M166" s="188"/>
      <c r="N166" s="200"/>
      <c r="O166" s="201">
        <f>24.25/40/2.5*3+43.07/40/2.5*3+34.41/75*3+20/12*3</f>
        <v>8.3960000000000008</v>
      </c>
      <c r="P166" s="201">
        <f>Table1[[#This Row],[unit cost]]</f>
        <v>8.3960000000000008</v>
      </c>
      <c r="Q166" s="416">
        <v>2</v>
      </c>
      <c r="R166" s="188">
        <v>1</v>
      </c>
      <c r="S166" s="251">
        <f t="shared" si="22"/>
        <v>0.42</v>
      </c>
      <c r="T166" s="203">
        <f>Table1[[#This Row],[man minutes]]*Table1[[#This Row],[labor rate]]</f>
        <v>0.84</v>
      </c>
      <c r="U166" s="203">
        <f t="shared" si="25"/>
        <v>9.2360000000000007</v>
      </c>
      <c r="V166" s="189">
        <f t="shared" si="24"/>
        <v>0.22</v>
      </c>
      <c r="W166" s="252">
        <f t="shared" si="23"/>
        <v>0.2</v>
      </c>
      <c r="X166" s="203">
        <f t="shared" si="26"/>
        <v>10.243120000000001</v>
      </c>
      <c r="Y166" s="203">
        <f t="shared" si="27"/>
        <v>1.008</v>
      </c>
      <c r="Z166" s="203">
        <f t="shared" si="28"/>
        <v>11.26</v>
      </c>
      <c r="AA166" s="205">
        <f>+Table1[[#This Row],[calculated sale price]]</f>
        <v>11.26</v>
      </c>
      <c r="AB166" s="204"/>
      <c r="AC166" s="208"/>
    </row>
    <row r="167" spans="1:29">
      <c r="A167" s="188">
        <v>1158</v>
      </c>
      <c r="B167" t="s">
        <v>548</v>
      </c>
      <c r="C167" s="188">
        <v>1</v>
      </c>
      <c r="I167" s="188"/>
      <c r="J167" s="188"/>
      <c r="K167" s="188"/>
      <c r="L167" s="199"/>
      <c r="M167" s="188"/>
      <c r="N167" s="200"/>
      <c r="O167" s="201">
        <f>14.0034*1.15*1.1/12</f>
        <v>1.4761917499999999</v>
      </c>
      <c r="P167" s="201">
        <f>Table1[[#This Row],[unit cost]]</f>
        <v>1.4761917499999999</v>
      </c>
      <c r="Q167" s="416">
        <v>0.25</v>
      </c>
      <c r="R167" s="188">
        <v>1</v>
      </c>
      <c r="S167" s="251">
        <f t="shared" si="22"/>
        <v>0.42</v>
      </c>
      <c r="T167" s="203">
        <f>Table1[[#This Row],[man minutes]]*Table1[[#This Row],[labor rate]]</f>
        <v>0.105</v>
      </c>
      <c r="U167" s="203">
        <f t="shared" si="25"/>
        <v>1.5811917499999999</v>
      </c>
      <c r="V167" s="189">
        <f t="shared" si="24"/>
        <v>0.22</v>
      </c>
      <c r="W167" s="252">
        <f t="shared" si="23"/>
        <v>0.2</v>
      </c>
      <c r="X167" s="203">
        <f t="shared" si="26"/>
        <v>1.8009539349999999</v>
      </c>
      <c r="Y167" s="203">
        <f t="shared" si="27"/>
        <v>0.126</v>
      </c>
      <c r="Z167" s="203">
        <f t="shared" si="28"/>
        <v>1.93</v>
      </c>
      <c r="AA167" s="205">
        <f>+Table1[[#This Row],[calculated sale price]]</f>
        <v>1.93</v>
      </c>
      <c r="AB167" s="204"/>
      <c r="AC167" s="208"/>
    </row>
    <row r="168" spans="1:29">
      <c r="A168" s="188">
        <v>1159</v>
      </c>
      <c r="B168" t="s">
        <v>549</v>
      </c>
      <c r="C168" s="188">
        <v>1</v>
      </c>
      <c r="I168" s="188"/>
      <c r="J168" s="188"/>
      <c r="K168" s="188"/>
      <c r="L168" s="199"/>
      <c r="M168" s="188"/>
      <c r="N168" s="200"/>
      <c r="O168" s="201">
        <v>2.69</v>
      </c>
      <c r="P168" s="201">
        <f>Table1[[#This Row],[unit cost]]</f>
        <v>2.69</v>
      </c>
      <c r="Q168" s="416">
        <v>3</v>
      </c>
      <c r="R168" s="188">
        <v>1</v>
      </c>
      <c r="S168" s="251">
        <f t="shared" si="22"/>
        <v>0.42</v>
      </c>
      <c r="T168" s="203">
        <f>Table1[[#This Row],[man minutes]]*Table1[[#This Row],[labor rate]]</f>
        <v>1.26</v>
      </c>
      <c r="U168" s="203">
        <f t="shared" si="25"/>
        <v>3.95</v>
      </c>
      <c r="V168" s="189">
        <f t="shared" si="24"/>
        <v>0.22</v>
      </c>
      <c r="W168" s="252">
        <f t="shared" si="23"/>
        <v>0.2</v>
      </c>
      <c r="X168" s="203">
        <f t="shared" si="26"/>
        <v>3.2818000000000001</v>
      </c>
      <c r="Y168" s="203">
        <f t="shared" si="27"/>
        <v>1.512</v>
      </c>
      <c r="Z168" s="203">
        <f t="shared" si="28"/>
        <v>4.8</v>
      </c>
      <c r="AA168" s="205">
        <f>+Table1[[#This Row],[calculated sale price]]</f>
        <v>4.8</v>
      </c>
      <c r="AB168" s="204"/>
      <c r="AC168" s="208"/>
    </row>
    <row r="169" spans="1:29">
      <c r="A169" s="188">
        <v>1160</v>
      </c>
      <c r="B169" t="s">
        <v>550</v>
      </c>
      <c r="C169" s="188">
        <v>1</v>
      </c>
      <c r="I169" s="188"/>
      <c r="J169" s="188"/>
      <c r="K169" s="188"/>
      <c r="L169" s="199"/>
      <c r="M169" s="188"/>
      <c r="N169" s="200"/>
      <c r="O169" s="201">
        <v>2.96</v>
      </c>
      <c r="P169" s="201">
        <f>Table1[[#This Row],[unit cost]]</f>
        <v>2.96</v>
      </c>
      <c r="Q169" s="416">
        <v>1.65</v>
      </c>
      <c r="R169" s="188">
        <v>1</v>
      </c>
      <c r="S169" s="251">
        <f t="shared" si="22"/>
        <v>0.42</v>
      </c>
      <c r="T169" s="203">
        <f>Table1[[#This Row],[man minutes]]*Table1[[#This Row],[labor rate]]</f>
        <v>0.69299999999999995</v>
      </c>
      <c r="U169" s="203">
        <f t="shared" si="25"/>
        <v>3.653</v>
      </c>
      <c r="V169" s="189">
        <f t="shared" si="24"/>
        <v>0.22</v>
      </c>
      <c r="W169" s="252">
        <f t="shared" si="23"/>
        <v>0.2</v>
      </c>
      <c r="X169" s="203">
        <f t="shared" si="26"/>
        <v>3.6111999999999997</v>
      </c>
      <c r="Y169" s="203">
        <f t="shared" si="27"/>
        <v>0.83159999999999989</v>
      </c>
      <c r="Z169" s="203">
        <f t="shared" si="28"/>
        <v>4.45</v>
      </c>
      <c r="AA169" s="205">
        <f>+Table1[[#This Row],[calculated sale price]]</f>
        <v>4.45</v>
      </c>
      <c r="AB169" s="204"/>
      <c r="AC169" s="208"/>
    </row>
    <row r="170" spans="1:29">
      <c r="A170" s="188">
        <v>1161</v>
      </c>
      <c r="B170" t="s">
        <v>551</v>
      </c>
      <c r="C170" s="188">
        <v>1</v>
      </c>
      <c r="I170" s="188"/>
      <c r="J170" s="188"/>
      <c r="K170" s="188"/>
      <c r="L170" s="199"/>
      <c r="M170" s="188"/>
      <c r="N170" s="200"/>
      <c r="O170" s="201">
        <v>3.2</v>
      </c>
      <c r="P170" s="201">
        <f>Table1[[#This Row],[unit cost]]</f>
        <v>3.2</v>
      </c>
      <c r="Q170" s="416">
        <v>2.75</v>
      </c>
      <c r="R170" s="188">
        <v>1</v>
      </c>
      <c r="S170" s="251">
        <f t="shared" si="22"/>
        <v>0.42</v>
      </c>
      <c r="T170" s="203">
        <f>Table1[[#This Row],[man minutes]]*Table1[[#This Row],[labor rate]]</f>
        <v>1.155</v>
      </c>
      <c r="U170" s="203">
        <f t="shared" si="25"/>
        <v>4.3550000000000004</v>
      </c>
      <c r="V170" s="189">
        <f t="shared" si="24"/>
        <v>0.22</v>
      </c>
      <c r="W170" s="252">
        <f t="shared" si="23"/>
        <v>0.2</v>
      </c>
      <c r="X170" s="203">
        <f t="shared" si="26"/>
        <v>3.9039999999999999</v>
      </c>
      <c r="Y170" s="203">
        <f t="shared" si="27"/>
        <v>1.3860000000000001</v>
      </c>
      <c r="Z170" s="203">
        <f t="shared" si="28"/>
        <v>5.29</v>
      </c>
      <c r="AA170" s="205">
        <f>+Table1[[#This Row],[calculated sale price]]</f>
        <v>5.29</v>
      </c>
      <c r="AB170" s="204"/>
      <c r="AC170" s="208"/>
    </row>
    <row r="171" spans="1:29">
      <c r="A171" s="188">
        <v>1162</v>
      </c>
      <c r="B171" t="s">
        <v>552</v>
      </c>
      <c r="C171" s="188">
        <v>1</v>
      </c>
      <c r="I171" s="188"/>
      <c r="J171" s="188"/>
      <c r="K171" s="188"/>
      <c r="L171" s="199"/>
      <c r="M171" s="188"/>
      <c r="N171" s="200"/>
      <c r="O171" s="201">
        <v>1.73</v>
      </c>
      <c r="P171" s="201">
        <f>Table1[[#This Row],[unit cost]]</f>
        <v>1.73</v>
      </c>
      <c r="Q171" s="416">
        <v>2.5</v>
      </c>
      <c r="R171" s="188">
        <v>1</v>
      </c>
      <c r="S171" s="251">
        <f t="shared" si="22"/>
        <v>0.42</v>
      </c>
      <c r="T171" s="203">
        <f>Table1[[#This Row],[man minutes]]*Table1[[#This Row],[labor rate]]</f>
        <v>1.05</v>
      </c>
      <c r="U171" s="203">
        <f t="shared" si="25"/>
        <v>2.7800000000000002</v>
      </c>
      <c r="V171" s="189">
        <f t="shared" si="24"/>
        <v>0.22</v>
      </c>
      <c r="W171" s="252">
        <f t="shared" si="23"/>
        <v>0.2</v>
      </c>
      <c r="X171" s="203">
        <f t="shared" si="26"/>
        <v>2.1105999999999998</v>
      </c>
      <c r="Y171" s="203">
        <f t="shared" si="27"/>
        <v>1.26</v>
      </c>
      <c r="Z171" s="203">
        <f t="shared" si="28"/>
        <v>3.38</v>
      </c>
      <c r="AA171" s="205">
        <f>+Table1[[#This Row],[calculated sale price]]</f>
        <v>3.38</v>
      </c>
      <c r="AB171" s="204"/>
      <c r="AC171" s="208"/>
    </row>
    <row r="172" spans="1:29">
      <c r="A172" s="188">
        <v>1163</v>
      </c>
      <c r="B172" t="s">
        <v>553</v>
      </c>
      <c r="C172" s="188">
        <v>1</v>
      </c>
      <c r="I172" s="188"/>
      <c r="J172" s="188"/>
      <c r="K172" s="188"/>
      <c r="L172" s="199"/>
      <c r="M172" s="188"/>
      <c r="N172" s="200"/>
      <c r="O172" s="201">
        <v>2.8274375903683375</v>
      </c>
      <c r="P172" s="201">
        <f>Table1[[#This Row],[unit cost]]</f>
        <v>2.8274375903683375</v>
      </c>
      <c r="Q172" s="416">
        <v>1.5</v>
      </c>
      <c r="R172" s="188">
        <v>1</v>
      </c>
      <c r="S172" s="251">
        <f t="shared" si="22"/>
        <v>0.42</v>
      </c>
      <c r="T172" s="203">
        <f>Table1[[#This Row],[man minutes]]*Table1[[#This Row],[labor rate]]</f>
        <v>0.63</v>
      </c>
      <c r="U172" s="203">
        <f t="shared" si="25"/>
        <v>3.4574375903683374</v>
      </c>
      <c r="V172" s="189">
        <f t="shared" si="24"/>
        <v>0.22</v>
      </c>
      <c r="W172" s="252">
        <f t="shared" si="23"/>
        <v>0.2</v>
      </c>
      <c r="X172" s="203">
        <f t="shared" si="26"/>
        <v>3.4494738602493715</v>
      </c>
      <c r="Y172" s="203">
        <f t="shared" si="27"/>
        <v>0.75600000000000001</v>
      </c>
      <c r="Z172" s="203">
        <f t="shared" si="28"/>
        <v>4.21</v>
      </c>
      <c r="AA172" s="205">
        <f>+Table1[[#This Row],[calculated sale price]]</f>
        <v>4.21</v>
      </c>
      <c r="AB172" s="204"/>
      <c r="AC172" s="208"/>
    </row>
    <row r="173" spans="1:29">
      <c r="A173" s="188">
        <v>1164</v>
      </c>
      <c r="B173" t="s">
        <v>554</v>
      </c>
      <c r="C173" s="188">
        <v>1</v>
      </c>
      <c r="I173" s="188"/>
      <c r="J173" s="188"/>
      <c r="K173" s="188"/>
      <c r="L173" s="199"/>
      <c r="M173" s="188"/>
      <c r="N173" s="200"/>
      <c r="O173" s="201">
        <f>0.66+0.5</f>
        <v>1.1600000000000001</v>
      </c>
      <c r="P173" s="201">
        <f>Table1[[#This Row],[unit cost]]</f>
        <v>1.1600000000000001</v>
      </c>
      <c r="Q173" s="416">
        <v>1.75</v>
      </c>
      <c r="R173" s="188">
        <v>1</v>
      </c>
      <c r="S173" s="251">
        <f t="shared" si="22"/>
        <v>0.42</v>
      </c>
      <c r="T173" s="203">
        <f>Table1[[#This Row],[man minutes]]*Table1[[#This Row],[labor rate]]</f>
        <v>0.73499999999999999</v>
      </c>
      <c r="U173" s="203">
        <f t="shared" si="25"/>
        <v>1.895</v>
      </c>
      <c r="V173" s="189">
        <f t="shared" si="24"/>
        <v>0.22</v>
      </c>
      <c r="W173" s="252">
        <f t="shared" si="23"/>
        <v>0.2</v>
      </c>
      <c r="X173" s="203">
        <f t="shared" si="26"/>
        <v>1.4152000000000002</v>
      </c>
      <c r="Y173" s="203">
        <f t="shared" si="27"/>
        <v>0.88200000000000001</v>
      </c>
      <c r="Z173" s="203">
        <f t="shared" si="28"/>
        <v>2.2999999999999998</v>
      </c>
      <c r="AA173" s="205">
        <f>+Table1[[#This Row],[calculated sale price]]</f>
        <v>2.2999999999999998</v>
      </c>
      <c r="AB173" s="204"/>
      <c r="AC173" s="208"/>
    </row>
    <row r="174" spans="1:29">
      <c r="A174" s="188">
        <v>1165</v>
      </c>
      <c r="B174" t="s">
        <v>555</v>
      </c>
      <c r="C174" s="188">
        <v>1</v>
      </c>
      <c r="I174" s="188"/>
      <c r="J174" s="188"/>
      <c r="K174" s="188"/>
      <c r="L174" s="199"/>
      <c r="M174" s="188"/>
      <c r="N174" s="200"/>
      <c r="O174" s="201">
        <f>1.01</f>
        <v>1.01</v>
      </c>
      <c r="P174" s="201">
        <f>Table1[[#This Row],[unit cost]]</f>
        <v>1.01</v>
      </c>
      <c r="Q174" s="416">
        <v>1.75</v>
      </c>
      <c r="R174" s="188">
        <v>1</v>
      </c>
      <c r="S174" s="251">
        <f t="shared" si="22"/>
        <v>0.42</v>
      </c>
      <c r="T174" s="203">
        <f>Table1[[#This Row],[man minutes]]*Table1[[#This Row],[labor rate]]</f>
        <v>0.73499999999999999</v>
      </c>
      <c r="U174" s="203">
        <f t="shared" si="25"/>
        <v>1.7450000000000001</v>
      </c>
      <c r="V174" s="189">
        <f t="shared" si="24"/>
        <v>0.22</v>
      </c>
      <c r="W174" s="252">
        <f t="shared" si="23"/>
        <v>0.2</v>
      </c>
      <c r="X174" s="203">
        <f t="shared" si="26"/>
        <v>1.2322</v>
      </c>
      <c r="Y174" s="203">
        <f t="shared" si="27"/>
        <v>0.88200000000000001</v>
      </c>
      <c r="Z174" s="203">
        <f t="shared" si="28"/>
        <v>2.1199999999999997</v>
      </c>
      <c r="AA174" s="205">
        <f>+Table1[[#This Row],[calculated sale price]]</f>
        <v>2.1199999999999997</v>
      </c>
      <c r="AB174" s="204"/>
      <c r="AC174" s="208"/>
    </row>
    <row r="175" spans="1:29">
      <c r="A175" s="188">
        <v>1166</v>
      </c>
      <c r="B175" t="s">
        <v>556</v>
      </c>
      <c r="C175" s="188">
        <v>1</v>
      </c>
      <c r="I175" s="188"/>
      <c r="J175" s="188"/>
      <c r="K175" s="188"/>
      <c r="L175" s="199"/>
      <c r="M175" s="188"/>
      <c r="N175" s="200"/>
      <c r="O175" s="201">
        <f>1.00540233190124+0.25</f>
        <v>1.25540233190124</v>
      </c>
      <c r="P175" s="201">
        <f>Table1[[#This Row],[unit cost]]</f>
        <v>1.25540233190124</v>
      </c>
      <c r="Q175" s="416">
        <v>1</v>
      </c>
      <c r="R175" s="188">
        <v>1</v>
      </c>
      <c r="S175" s="251">
        <f t="shared" si="22"/>
        <v>0.42</v>
      </c>
      <c r="T175" s="203">
        <f>Table1[[#This Row],[man minutes]]*Table1[[#This Row],[labor rate]]</f>
        <v>0.42</v>
      </c>
      <c r="U175" s="203">
        <f t="shared" si="25"/>
        <v>1.6754023319012399</v>
      </c>
      <c r="V175" s="189">
        <f t="shared" si="24"/>
        <v>0.22</v>
      </c>
      <c r="W175" s="252">
        <f t="shared" si="23"/>
        <v>0.2</v>
      </c>
      <c r="X175" s="203">
        <f t="shared" si="26"/>
        <v>1.5315908449195128</v>
      </c>
      <c r="Y175" s="203">
        <f t="shared" si="27"/>
        <v>0.504</v>
      </c>
      <c r="Z175" s="203">
        <f t="shared" si="28"/>
        <v>2.0399999999999996</v>
      </c>
      <c r="AA175" s="205">
        <f>+Table1[[#This Row],[calculated sale price]]</f>
        <v>2.0399999999999996</v>
      </c>
      <c r="AB175" s="204"/>
      <c r="AC175" s="208"/>
    </row>
    <row r="176" spans="1:29">
      <c r="A176" s="188">
        <v>1167</v>
      </c>
      <c r="B176" t="s">
        <v>557</v>
      </c>
      <c r="C176" s="188">
        <v>1</v>
      </c>
      <c r="I176" s="188"/>
      <c r="J176" s="188"/>
      <c r="K176" s="188"/>
      <c r="L176" s="199"/>
      <c r="M176" s="188"/>
      <c r="N176" s="200"/>
      <c r="O176" s="201">
        <v>9.9600000000000009</v>
      </c>
      <c r="P176" s="201">
        <f>Table1[[#This Row],[unit cost]]</f>
        <v>9.9600000000000009</v>
      </c>
      <c r="Q176" s="416">
        <v>1</v>
      </c>
      <c r="R176" s="188">
        <v>1</v>
      </c>
      <c r="S176" s="251">
        <f t="shared" si="22"/>
        <v>0.42</v>
      </c>
      <c r="T176" s="203">
        <f>Table1[[#This Row],[man minutes]]*Table1[[#This Row],[labor rate]]</f>
        <v>0.42</v>
      </c>
      <c r="U176" s="203">
        <f t="shared" si="25"/>
        <v>10.38</v>
      </c>
      <c r="V176" s="189">
        <f t="shared" si="24"/>
        <v>0.22</v>
      </c>
      <c r="W176" s="252">
        <f t="shared" si="23"/>
        <v>0.2</v>
      </c>
      <c r="X176" s="203">
        <f t="shared" si="26"/>
        <v>12.151200000000001</v>
      </c>
      <c r="Y176" s="203">
        <f t="shared" si="27"/>
        <v>0.504</v>
      </c>
      <c r="Z176" s="203">
        <f t="shared" si="28"/>
        <v>12.66</v>
      </c>
      <c r="AA176" s="205">
        <f>+Table1[[#This Row],[calculated sale price]]</f>
        <v>12.66</v>
      </c>
      <c r="AB176" s="204"/>
      <c r="AC176" s="208"/>
    </row>
    <row r="177" spans="1:29">
      <c r="A177" s="188">
        <v>1168</v>
      </c>
      <c r="B177" t="s">
        <v>558</v>
      </c>
      <c r="C177" s="188">
        <v>1</v>
      </c>
      <c r="I177" s="188"/>
      <c r="J177" s="188"/>
      <c r="K177" s="188"/>
      <c r="L177" s="199"/>
      <c r="M177" s="188"/>
      <c r="N177" s="200"/>
      <c r="O177" s="201">
        <f>2.5790533643229+1.8</f>
        <v>4.3790533643228997</v>
      </c>
      <c r="P177" s="201">
        <f>Table1[[#This Row],[unit cost]]</f>
        <v>4.3790533643228997</v>
      </c>
      <c r="Q177" s="416">
        <v>4.75</v>
      </c>
      <c r="R177" s="188">
        <v>1</v>
      </c>
      <c r="S177" s="251">
        <f t="shared" si="22"/>
        <v>0.42</v>
      </c>
      <c r="T177" s="203">
        <f>Table1[[#This Row],[man minutes]]*Table1[[#This Row],[labor rate]]</f>
        <v>1.9949999999999999</v>
      </c>
      <c r="U177" s="203">
        <f t="shared" si="25"/>
        <v>6.3740533643228998</v>
      </c>
      <c r="V177" s="189">
        <f t="shared" si="24"/>
        <v>0.22</v>
      </c>
      <c r="W177" s="252">
        <f t="shared" si="23"/>
        <v>0.2</v>
      </c>
      <c r="X177" s="203">
        <f t="shared" si="26"/>
        <v>5.3424451044739376</v>
      </c>
      <c r="Y177" s="203">
        <f t="shared" si="27"/>
        <v>2.3940000000000001</v>
      </c>
      <c r="Z177" s="203">
        <f t="shared" si="28"/>
        <v>7.74</v>
      </c>
      <c r="AA177" s="205">
        <f>+Table1[[#This Row],[calculated sale price]]</f>
        <v>7.74</v>
      </c>
      <c r="AB177" s="204"/>
      <c r="AC177" s="208"/>
    </row>
    <row r="178" spans="1:29">
      <c r="A178" s="188">
        <v>1169</v>
      </c>
      <c r="B178" t="s">
        <v>559</v>
      </c>
      <c r="C178" s="188">
        <v>1</v>
      </c>
      <c r="I178" s="188"/>
      <c r="J178" s="188"/>
      <c r="K178" s="188"/>
      <c r="L178" s="199"/>
      <c r="M178" s="188"/>
      <c r="N178" s="200"/>
      <c r="O178" s="201">
        <f>8.62106357703851+0.5</f>
        <v>9.1210635770385107</v>
      </c>
      <c r="P178" s="201">
        <f>Table1[[#This Row],[unit cost]]</f>
        <v>9.1210635770385107</v>
      </c>
      <c r="Q178" s="416">
        <v>4.75</v>
      </c>
      <c r="R178" s="188">
        <v>1</v>
      </c>
      <c r="S178" s="251">
        <f t="shared" si="22"/>
        <v>0.42</v>
      </c>
      <c r="T178" s="203">
        <f>Table1[[#This Row],[man minutes]]*Table1[[#This Row],[labor rate]]</f>
        <v>1.9949999999999999</v>
      </c>
      <c r="U178" s="203">
        <f t="shared" si="25"/>
        <v>11.11606357703851</v>
      </c>
      <c r="V178" s="189">
        <f t="shared" si="24"/>
        <v>0.22</v>
      </c>
      <c r="W178" s="252">
        <f t="shared" si="23"/>
        <v>0.2</v>
      </c>
      <c r="X178" s="203">
        <f t="shared" si="26"/>
        <v>11.127697563986983</v>
      </c>
      <c r="Y178" s="203">
        <f t="shared" si="27"/>
        <v>2.3940000000000001</v>
      </c>
      <c r="Z178" s="203">
        <f t="shared" si="28"/>
        <v>13.53</v>
      </c>
      <c r="AA178" s="205">
        <f>+Table1[[#This Row],[calculated sale price]]</f>
        <v>13.53</v>
      </c>
      <c r="AB178" s="204"/>
      <c r="AC178" s="208"/>
    </row>
    <row r="179" spans="1:29">
      <c r="A179" s="188">
        <v>1170</v>
      </c>
      <c r="B179" t="s">
        <v>560</v>
      </c>
      <c r="C179" s="188">
        <v>1</v>
      </c>
      <c r="I179" s="188"/>
      <c r="J179" s="188"/>
      <c r="K179" s="188"/>
      <c r="L179" s="199"/>
      <c r="M179" s="188"/>
      <c r="N179" s="200"/>
      <c r="O179" s="201">
        <v>3.9642833494277454</v>
      </c>
      <c r="P179" s="201">
        <f>Table1[[#This Row],[unit cost]]</f>
        <v>3.9642833494277454</v>
      </c>
      <c r="Q179" s="416">
        <v>3.75</v>
      </c>
      <c r="R179" s="188">
        <v>1</v>
      </c>
      <c r="S179" s="251">
        <f t="shared" si="22"/>
        <v>0.42</v>
      </c>
      <c r="T179" s="203">
        <f>Table1[[#This Row],[man minutes]]*Table1[[#This Row],[labor rate]]</f>
        <v>1.575</v>
      </c>
      <c r="U179" s="203">
        <f t="shared" si="25"/>
        <v>5.5392833494277456</v>
      </c>
      <c r="V179" s="189">
        <f t="shared" si="24"/>
        <v>0.22</v>
      </c>
      <c r="W179" s="252">
        <f t="shared" si="23"/>
        <v>0.2</v>
      </c>
      <c r="X179" s="203">
        <f t="shared" si="26"/>
        <v>4.8364256863018493</v>
      </c>
      <c r="Y179" s="203">
        <f t="shared" si="27"/>
        <v>1.89</v>
      </c>
      <c r="Z179" s="203">
        <f t="shared" si="28"/>
        <v>6.7299999999999995</v>
      </c>
      <c r="AA179" s="205">
        <f>+Table1[[#This Row],[calculated sale price]]</f>
        <v>6.7299999999999995</v>
      </c>
      <c r="AB179" s="204"/>
      <c r="AC179" s="208"/>
    </row>
    <row r="180" spans="1:29">
      <c r="A180" s="188">
        <v>1171</v>
      </c>
      <c r="B180" t="s">
        <v>561</v>
      </c>
      <c r="C180" s="188">
        <v>1</v>
      </c>
      <c r="I180" s="188"/>
      <c r="J180" s="188"/>
      <c r="K180" s="188"/>
      <c r="L180" s="199"/>
      <c r="M180" s="188"/>
      <c r="N180" s="200"/>
      <c r="O180" s="201">
        <v>2.6020222328068328</v>
      </c>
      <c r="P180" s="201">
        <f>Table1[[#This Row],[unit cost]]</f>
        <v>2.6020222328068328</v>
      </c>
      <c r="Q180" s="416">
        <v>1</v>
      </c>
      <c r="R180" s="188">
        <v>1</v>
      </c>
      <c r="S180" s="251">
        <f t="shared" si="22"/>
        <v>0.42</v>
      </c>
      <c r="T180" s="203">
        <f>Table1[[#This Row],[man minutes]]*Table1[[#This Row],[labor rate]]</f>
        <v>0.42</v>
      </c>
      <c r="U180" s="203">
        <f t="shared" si="25"/>
        <v>3.0220222328068327</v>
      </c>
      <c r="V180" s="189">
        <f t="shared" si="24"/>
        <v>0.22</v>
      </c>
      <c r="W180" s="252">
        <f t="shared" si="23"/>
        <v>0.2</v>
      </c>
      <c r="X180" s="203">
        <f t="shared" si="26"/>
        <v>3.1744671240243361</v>
      </c>
      <c r="Y180" s="203">
        <f t="shared" si="27"/>
        <v>0.504</v>
      </c>
      <c r="Z180" s="203">
        <f t="shared" si="28"/>
        <v>3.6799999999999997</v>
      </c>
      <c r="AA180" s="205">
        <f>+Table1[[#This Row],[calculated sale price]]</f>
        <v>3.6799999999999997</v>
      </c>
      <c r="AB180" s="204"/>
      <c r="AC180" s="208"/>
    </row>
    <row r="181" spans="1:29">
      <c r="A181" s="188">
        <v>1172</v>
      </c>
      <c r="B181" t="s">
        <v>562</v>
      </c>
      <c r="C181" s="188">
        <v>1</v>
      </c>
      <c r="I181" s="188"/>
      <c r="J181" s="188"/>
      <c r="K181" s="188"/>
      <c r="L181" s="199"/>
      <c r="M181" s="188"/>
      <c r="N181" s="200"/>
      <c r="O181" s="201">
        <v>0</v>
      </c>
      <c r="P181" s="201">
        <f>Table1[[#This Row],[unit cost]]</f>
        <v>0</v>
      </c>
      <c r="Q181" s="416">
        <v>1</v>
      </c>
      <c r="R181" s="188">
        <v>1</v>
      </c>
      <c r="S181" s="251">
        <f t="shared" si="22"/>
        <v>0.42</v>
      </c>
      <c r="T181" s="203">
        <f>Table1[[#This Row],[man minutes]]*Table1[[#This Row],[labor rate]]</f>
        <v>0.42</v>
      </c>
      <c r="U181" s="203">
        <f t="shared" si="25"/>
        <v>0.42</v>
      </c>
      <c r="V181" s="189">
        <f t="shared" si="24"/>
        <v>0.22</v>
      </c>
      <c r="W181" s="252">
        <f t="shared" si="23"/>
        <v>0.2</v>
      </c>
      <c r="X181" s="203">
        <f t="shared" si="26"/>
        <v>0</v>
      </c>
      <c r="Y181" s="203">
        <f t="shared" si="27"/>
        <v>0.504</v>
      </c>
      <c r="Z181" s="203">
        <f t="shared" si="28"/>
        <v>0.51</v>
      </c>
      <c r="AA181" s="205">
        <f>+Table1[[#This Row],[calculated sale price]]</f>
        <v>0.51</v>
      </c>
      <c r="AB181" s="204"/>
      <c r="AC181" s="208"/>
    </row>
    <row r="182" spans="1:29">
      <c r="A182" s="188">
        <v>1173</v>
      </c>
      <c r="B182" t="s">
        <v>563</v>
      </c>
      <c r="C182" s="188">
        <v>1</v>
      </c>
      <c r="I182" s="188"/>
      <c r="J182" s="188"/>
      <c r="K182" s="188"/>
      <c r="L182" s="199"/>
      <c r="M182" s="188"/>
      <c r="N182" s="200"/>
      <c r="O182" s="201">
        <v>0</v>
      </c>
      <c r="P182" s="201">
        <f>Table1[[#This Row],[unit cost]]</f>
        <v>0</v>
      </c>
      <c r="Q182" s="416">
        <v>1.25</v>
      </c>
      <c r="R182" s="188">
        <v>1</v>
      </c>
      <c r="S182" s="251">
        <f t="shared" si="22"/>
        <v>0.42</v>
      </c>
      <c r="T182" s="203">
        <f>Table1[[#This Row],[man minutes]]*Table1[[#This Row],[labor rate]]</f>
        <v>0.52500000000000002</v>
      </c>
      <c r="U182" s="203">
        <f t="shared" si="25"/>
        <v>0.52500000000000002</v>
      </c>
      <c r="V182" s="189">
        <f t="shared" si="24"/>
        <v>0.22</v>
      </c>
      <c r="W182" s="252">
        <f t="shared" si="23"/>
        <v>0.2</v>
      </c>
      <c r="X182" s="203">
        <f t="shared" si="26"/>
        <v>0</v>
      </c>
      <c r="Y182" s="203">
        <f t="shared" si="27"/>
        <v>0.63</v>
      </c>
      <c r="Z182" s="203">
        <f t="shared" si="28"/>
        <v>0.63</v>
      </c>
      <c r="AA182" s="205">
        <f>+Table1[[#This Row],[calculated sale price]]</f>
        <v>0.63</v>
      </c>
      <c r="AB182" s="204"/>
      <c r="AC182" s="208"/>
    </row>
    <row r="183" spans="1:29">
      <c r="A183" s="188">
        <v>1174</v>
      </c>
      <c r="B183" t="s">
        <v>564</v>
      </c>
      <c r="C183" s="188">
        <v>1</v>
      </c>
      <c r="I183" s="188"/>
      <c r="J183" s="188"/>
      <c r="K183" s="188"/>
      <c r="L183" s="199"/>
      <c r="M183" s="188"/>
      <c r="N183" s="200"/>
      <c r="O183" s="201">
        <v>1.2553338435374155</v>
      </c>
      <c r="P183" s="201">
        <f>Table1[[#This Row],[unit cost]]</f>
        <v>1.2553338435374155</v>
      </c>
      <c r="Q183" s="416">
        <v>0.5</v>
      </c>
      <c r="R183" s="188">
        <v>1</v>
      </c>
      <c r="S183" s="251">
        <f t="shared" si="22"/>
        <v>0.42</v>
      </c>
      <c r="T183" s="203">
        <f>Table1[[#This Row],[man minutes]]*Table1[[#This Row],[labor rate]]</f>
        <v>0.21</v>
      </c>
      <c r="U183" s="203">
        <f t="shared" si="25"/>
        <v>1.4653338435374155</v>
      </c>
      <c r="V183" s="189">
        <f t="shared" si="24"/>
        <v>0.22</v>
      </c>
      <c r="W183" s="252">
        <f t="shared" si="23"/>
        <v>0.2</v>
      </c>
      <c r="X183" s="203">
        <f t="shared" si="26"/>
        <v>1.5315072891156469</v>
      </c>
      <c r="Y183" s="203">
        <f t="shared" si="27"/>
        <v>0.252</v>
      </c>
      <c r="Z183" s="203">
        <f t="shared" si="28"/>
        <v>1.79</v>
      </c>
      <c r="AA183" s="205">
        <f>+Table1[[#This Row],[calculated sale price]]</f>
        <v>1.79</v>
      </c>
      <c r="AB183" s="204"/>
      <c r="AC183" s="208"/>
    </row>
    <row r="184" spans="1:29">
      <c r="A184" s="188">
        <v>1175</v>
      </c>
      <c r="B184" t="s">
        <v>565</v>
      </c>
      <c r="C184" s="188">
        <v>1</v>
      </c>
      <c r="I184" s="188"/>
      <c r="J184" s="188"/>
      <c r="K184" s="188"/>
      <c r="L184" s="199"/>
      <c r="M184" s="188"/>
      <c r="N184" s="200"/>
      <c r="O184" s="201">
        <v>2.8971130117173667</v>
      </c>
      <c r="P184" s="201">
        <f>Table1[[#This Row],[unit cost]]</f>
        <v>2.8971130117173667</v>
      </c>
      <c r="Q184" s="416">
        <v>3.45</v>
      </c>
      <c r="R184" s="188">
        <v>1</v>
      </c>
      <c r="S184" s="251">
        <f t="shared" si="22"/>
        <v>0.42</v>
      </c>
      <c r="T184" s="203">
        <f>Table1[[#This Row],[man minutes]]*Table1[[#This Row],[labor rate]]</f>
        <v>1.4490000000000001</v>
      </c>
      <c r="U184" s="203">
        <f t="shared" si="25"/>
        <v>4.3461130117173665</v>
      </c>
      <c r="V184" s="189">
        <f t="shared" si="24"/>
        <v>0.22</v>
      </c>
      <c r="W184" s="252">
        <f t="shared" si="23"/>
        <v>0.2</v>
      </c>
      <c r="X184" s="203">
        <f t="shared" si="26"/>
        <v>3.5344778742951872</v>
      </c>
      <c r="Y184" s="203">
        <f t="shared" si="27"/>
        <v>1.7388000000000001</v>
      </c>
      <c r="Z184" s="203">
        <f t="shared" si="28"/>
        <v>5.2799999999999994</v>
      </c>
      <c r="AA184" s="205">
        <f>+Table1[[#This Row],[calculated sale price]]</f>
        <v>5.2799999999999994</v>
      </c>
      <c r="AB184" s="204"/>
      <c r="AC184" s="208"/>
    </row>
    <row r="185" spans="1:29">
      <c r="A185" s="188">
        <v>1176</v>
      </c>
      <c r="B185" t="s">
        <v>566</v>
      </c>
      <c r="C185" s="188">
        <v>1</v>
      </c>
      <c r="I185" s="188"/>
      <c r="J185" s="188"/>
      <c r="K185" s="188"/>
      <c r="L185" s="199"/>
      <c r="M185" s="188"/>
      <c r="N185" s="200"/>
      <c r="O185" s="201">
        <v>2.2170221105079957</v>
      </c>
      <c r="P185" s="201">
        <f>Table1[[#This Row],[unit cost]]</f>
        <v>2.2170221105079957</v>
      </c>
      <c r="Q185" s="416">
        <v>2.75</v>
      </c>
      <c r="R185" s="188">
        <v>1</v>
      </c>
      <c r="S185" s="251">
        <f t="shared" si="22"/>
        <v>0.42</v>
      </c>
      <c r="T185" s="203">
        <f>Table1[[#This Row],[man minutes]]*Table1[[#This Row],[labor rate]]</f>
        <v>1.155</v>
      </c>
      <c r="U185" s="203">
        <f t="shared" si="25"/>
        <v>3.3720221105079959</v>
      </c>
      <c r="V185" s="189">
        <f t="shared" si="24"/>
        <v>0.22</v>
      </c>
      <c r="W185" s="252">
        <f t="shared" si="23"/>
        <v>0.2</v>
      </c>
      <c r="X185" s="203">
        <f t="shared" si="26"/>
        <v>2.7047669748197545</v>
      </c>
      <c r="Y185" s="203">
        <f t="shared" si="27"/>
        <v>1.3860000000000001</v>
      </c>
      <c r="Z185" s="203">
        <f t="shared" si="28"/>
        <v>4.0999999999999996</v>
      </c>
      <c r="AA185" s="205">
        <f>+Table1[[#This Row],[calculated sale price]]</f>
        <v>4.0999999999999996</v>
      </c>
      <c r="AB185" s="204"/>
      <c r="AC185" s="208"/>
    </row>
    <row r="186" spans="1:29">
      <c r="A186" s="188">
        <v>1177</v>
      </c>
      <c r="B186" t="s">
        <v>567</v>
      </c>
      <c r="C186" s="188">
        <v>1</v>
      </c>
      <c r="I186" s="188"/>
      <c r="J186" s="188"/>
      <c r="K186" s="188"/>
      <c r="L186" s="199"/>
      <c r="M186" s="188"/>
      <c r="N186" s="200"/>
      <c r="O186" s="201">
        <v>2.526745422888387</v>
      </c>
      <c r="P186" s="201">
        <f>Table1[[#This Row],[unit cost]]</f>
        <v>2.526745422888387</v>
      </c>
      <c r="Q186" s="416">
        <v>2.25</v>
      </c>
      <c r="R186" s="188">
        <v>1</v>
      </c>
      <c r="S186" s="251">
        <f t="shared" si="22"/>
        <v>0.42</v>
      </c>
      <c r="T186" s="203">
        <f>Table1[[#This Row],[man minutes]]*Table1[[#This Row],[labor rate]]</f>
        <v>0.94499999999999995</v>
      </c>
      <c r="U186" s="203">
        <f t="shared" si="25"/>
        <v>3.4717454228883868</v>
      </c>
      <c r="V186" s="189">
        <f t="shared" si="24"/>
        <v>0.22</v>
      </c>
      <c r="W186" s="252">
        <f t="shared" si="23"/>
        <v>0.2</v>
      </c>
      <c r="X186" s="203">
        <f t="shared" si="26"/>
        <v>3.0826294159238321</v>
      </c>
      <c r="Y186" s="203">
        <f t="shared" si="27"/>
        <v>1.1339999999999999</v>
      </c>
      <c r="Z186" s="203">
        <f t="shared" si="28"/>
        <v>4.22</v>
      </c>
      <c r="AA186" s="205">
        <f>+Table1[[#This Row],[calculated sale price]]</f>
        <v>4.22</v>
      </c>
      <c r="AB186" s="204"/>
      <c r="AC186" s="208"/>
    </row>
    <row r="187" spans="1:29">
      <c r="A187" s="188">
        <v>1178</v>
      </c>
      <c r="B187" t="s">
        <v>568</v>
      </c>
      <c r="C187" s="188">
        <v>1</v>
      </c>
      <c r="I187" s="188"/>
      <c r="J187" s="188"/>
      <c r="K187" s="188"/>
      <c r="L187" s="199"/>
      <c r="M187" s="188"/>
      <c r="N187" s="200"/>
      <c r="O187" s="201">
        <v>1.0548240215786746</v>
      </c>
      <c r="P187" s="201">
        <f>Table1[[#This Row],[unit cost]]</f>
        <v>1.0548240215786746</v>
      </c>
      <c r="Q187" s="416">
        <v>1.25</v>
      </c>
      <c r="R187" s="188">
        <v>1</v>
      </c>
      <c r="S187" s="251">
        <f t="shared" si="22"/>
        <v>0.42</v>
      </c>
      <c r="T187" s="203">
        <f>Table1[[#This Row],[man minutes]]*Table1[[#This Row],[labor rate]]</f>
        <v>0.52500000000000002</v>
      </c>
      <c r="U187" s="203">
        <f t="shared" si="25"/>
        <v>1.5798240215786747</v>
      </c>
      <c r="V187" s="189">
        <f t="shared" si="24"/>
        <v>0.22</v>
      </c>
      <c r="W187" s="252">
        <f t="shared" si="23"/>
        <v>0.2</v>
      </c>
      <c r="X187" s="203">
        <f t="shared" si="26"/>
        <v>1.2868853063259831</v>
      </c>
      <c r="Y187" s="203">
        <f t="shared" si="27"/>
        <v>0.63</v>
      </c>
      <c r="Z187" s="203">
        <f t="shared" si="28"/>
        <v>1.92</v>
      </c>
      <c r="AA187" s="205">
        <f>+Table1[[#This Row],[calculated sale price]]</f>
        <v>1.92</v>
      </c>
      <c r="AB187" s="204"/>
      <c r="AC187" s="208"/>
    </row>
    <row r="188" spans="1:29">
      <c r="A188" s="188">
        <v>1179</v>
      </c>
      <c r="B188" t="s">
        <v>569</v>
      </c>
      <c r="C188" s="188">
        <v>1</v>
      </c>
      <c r="I188" s="188"/>
      <c r="J188" s="188"/>
      <c r="K188" s="188"/>
      <c r="L188" s="199"/>
      <c r="M188" s="188"/>
      <c r="N188" s="200"/>
      <c r="O188" s="201">
        <v>0.42724489795918363</v>
      </c>
      <c r="P188" s="201">
        <f>Table1[[#This Row],[unit cost]]</f>
        <v>0.42724489795918363</v>
      </c>
      <c r="Q188" s="416">
        <v>0.25</v>
      </c>
      <c r="R188" s="188">
        <v>1</v>
      </c>
      <c r="S188" s="251">
        <f t="shared" si="22"/>
        <v>0.42</v>
      </c>
      <c r="T188" s="203">
        <f>Table1[[#This Row],[man minutes]]*Table1[[#This Row],[labor rate]]</f>
        <v>0.105</v>
      </c>
      <c r="U188" s="203">
        <f t="shared" si="25"/>
        <v>0.53224489795918362</v>
      </c>
      <c r="V188" s="189">
        <f t="shared" si="24"/>
        <v>0.22</v>
      </c>
      <c r="W188" s="252">
        <f t="shared" si="23"/>
        <v>0.2</v>
      </c>
      <c r="X188" s="203">
        <f t="shared" si="26"/>
        <v>0.52123877551020403</v>
      </c>
      <c r="Y188" s="203">
        <f t="shared" si="27"/>
        <v>0.126</v>
      </c>
      <c r="Z188" s="203">
        <f t="shared" si="28"/>
        <v>0.65</v>
      </c>
      <c r="AA188" s="205">
        <f>+Table1[[#This Row],[calculated sale price]]</f>
        <v>0.65</v>
      </c>
      <c r="AB188" s="204"/>
      <c r="AC188" s="208"/>
    </row>
    <row r="189" spans="1:29">
      <c r="A189" s="188">
        <v>1180</v>
      </c>
      <c r="B189" t="s">
        <v>570</v>
      </c>
      <c r="C189" s="188">
        <v>1</v>
      </c>
      <c r="I189" s="188"/>
      <c r="J189" s="188"/>
      <c r="K189" s="188"/>
      <c r="L189" s="199"/>
      <c r="M189" s="188"/>
      <c r="N189" s="200"/>
      <c r="O189" s="201">
        <f>0.766470294313808+0.2</f>
        <v>0.96647029431380793</v>
      </c>
      <c r="P189" s="201">
        <f>Table1[[#This Row],[unit cost]]</f>
        <v>0.96647029431380793</v>
      </c>
      <c r="Q189" s="416">
        <v>1</v>
      </c>
      <c r="R189" s="188">
        <v>1</v>
      </c>
      <c r="S189" s="251">
        <f t="shared" ref="S189:S256" si="29">$S$2</f>
        <v>0.42</v>
      </c>
      <c r="T189" s="203">
        <f>Table1[[#This Row],[man minutes]]*Table1[[#This Row],[labor rate]]</f>
        <v>0.42</v>
      </c>
      <c r="U189" s="203">
        <f t="shared" si="25"/>
        <v>1.3864702943138079</v>
      </c>
      <c r="V189" s="189">
        <f t="shared" si="24"/>
        <v>0.22</v>
      </c>
      <c r="W189" s="252">
        <f t="shared" si="23"/>
        <v>0.2</v>
      </c>
      <c r="X189" s="203">
        <f t="shared" si="26"/>
        <v>1.1790937590628456</v>
      </c>
      <c r="Y189" s="203">
        <f t="shared" si="27"/>
        <v>0.504</v>
      </c>
      <c r="Z189" s="203">
        <f t="shared" si="28"/>
        <v>1.69</v>
      </c>
      <c r="AA189" s="205">
        <f>+Table1[[#This Row],[calculated sale price]]</f>
        <v>1.69</v>
      </c>
      <c r="AB189" s="204"/>
      <c r="AC189" s="208"/>
    </row>
    <row r="190" spans="1:29">
      <c r="A190" s="188">
        <v>1181</v>
      </c>
      <c r="B190" t="s">
        <v>571</v>
      </c>
      <c r="C190" s="188">
        <v>1</v>
      </c>
      <c r="I190" s="188"/>
      <c r="J190" s="188"/>
      <c r="K190" s="188"/>
      <c r="L190" s="199"/>
      <c r="M190" s="188"/>
      <c r="N190" s="200"/>
      <c r="O190" s="201">
        <f>2.16759712519206</f>
        <v>2.16759712519206</v>
      </c>
      <c r="P190" s="201">
        <f>Table1[[#This Row],[unit cost]]</f>
        <v>2.16759712519206</v>
      </c>
      <c r="Q190" s="416">
        <v>4</v>
      </c>
      <c r="R190" s="188">
        <v>1</v>
      </c>
      <c r="S190" s="251">
        <f t="shared" si="29"/>
        <v>0.42</v>
      </c>
      <c r="T190" s="203">
        <f>Table1[[#This Row],[man minutes]]*Table1[[#This Row],[labor rate]]</f>
        <v>1.68</v>
      </c>
      <c r="U190" s="203">
        <f t="shared" si="25"/>
        <v>3.8475971251920598</v>
      </c>
      <c r="V190" s="189">
        <f t="shared" si="24"/>
        <v>0.22</v>
      </c>
      <c r="W190" s="252">
        <f t="shared" ref="W190:W253" si="30">$W$2</f>
        <v>0.2</v>
      </c>
      <c r="X190" s="203">
        <f t="shared" si="26"/>
        <v>2.6444684927343132</v>
      </c>
      <c r="Y190" s="203">
        <f t="shared" si="27"/>
        <v>2.016</v>
      </c>
      <c r="Z190" s="203">
        <f t="shared" si="28"/>
        <v>4.67</v>
      </c>
      <c r="AA190" s="205">
        <f>+Table1[[#This Row],[calculated sale price]]</f>
        <v>4.67</v>
      </c>
      <c r="AB190" s="204"/>
      <c r="AC190" s="208"/>
    </row>
    <row r="191" spans="1:29">
      <c r="A191" s="188">
        <v>1182</v>
      </c>
      <c r="B191" t="s">
        <v>572</v>
      </c>
      <c r="C191" s="188">
        <v>1</v>
      </c>
      <c r="I191" s="188"/>
      <c r="J191" s="188"/>
      <c r="K191" s="188"/>
      <c r="L191" s="199"/>
      <c r="M191" s="188"/>
      <c r="N191" s="200"/>
      <c r="O191" s="415">
        <v>4.3841277028163308</v>
      </c>
      <c r="P191" s="201">
        <f>Table1[[#This Row],[unit cost]]</f>
        <v>4.3841277028163308</v>
      </c>
      <c r="Q191" s="416">
        <v>4</v>
      </c>
      <c r="R191" s="188">
        <v>1</v>
      </c>
      <c r="S191" s="251">
        <f t="shared" si="29"/>
        <v>0.42</v>
      </c>
      <c r="T191" s="203">
        <f>Table1[[#This Row],[man minutes]]*Table1[[#This Row],[labor rate]]</f>
        <v>1.68</v>
      </c>
      <c r="U191" s="203">
        <f t="shared" si="25"/>
        <v>6.0641277028163305</v>
      </c>
      <c r="V191" s="189">
        <f t="shared" si="24"/>
        <v>0.22</v>
      </c>
      <c r="W191" s="252">
        <f t="shared" si="30"/>
        <v>0.2</v>
      </c>
      <c r="X191" s="203">
        <f t="shared" si="26"/>
        <v>5.3486357974359233</v>
      </c>
      <c r="Y191" s="203">
        <f t="shared" si="27"/>
        <v>2.016</v>
      </c>
      <c r="Z191" s="203">
        <f t="shared" si="28"/>
        <v>7.37</v>
      </c>
      <c r="AA191" s="205">
        <f>+Table1[[#This Row],[calculated sale price]]</f>
        <v>7.37</v>
      </c>
      <c r="AB191" s="204"/>
      <c r="AC191" s="208"/>
    </row>
    <row r="192" spans="1:29">
      <c r="A192" s="188">
        <v>1183</v>
      </c>
      <c r="B192" t="s">
        <v>573</v>
      </c>
      <c r="C192" s="188">
        <v>1</v>
      </c>
      <c r="I192" s="188"/>
      <c r="J192" s="188"/>
      <c r="K192" s="188"/>
      <c r="L192" s="199"/>
      <c r="M192" s="188"/>
      <c r="N192" s="200"/>
      <c r="O192" s="201">
        <v>2.4194278165369911</v>
      </c>
      <c r="P192" s="201">
        <f>Table1[[#This Row],[unit cost]]</f>
        <v>2.4194278165369911</v>
      </c>
      <c r="Q192" s="416">
        <v>3.25</v>
      </c>
      <c r="R192" s="188">
        <v>1</v>
      </c>
      <c r="S192" s="251">
        <f t="shared" si="29"/>
        <v>0.42</v>
      </c>
      <c r="T192" s="203">
        <f>Table1[[#This Row],[man minutes]]*Table1[[#This Row],[labor rate]]</f>
        <v>1.365</v>
      </c>
      <c r="U192" s="203">
        <f t="shared" si="25"/>
        <v>3.7844278165369909</v>
      </c>
      <c r="V192" s="189">
        <f t="shared" si="24"/>
        <v>0.22</v>
      </c>
      <c r="W192" s="252">
        <f t="shared" si="30"/>
        <v>0.2</v>
      </c>
      <c r="X192" s="203">
        <f t="shared" si="26"/>
        <v>2.9517019361751293</v>
      </c>
      <c r="Y192" s="203">
        <f t="shared" si="27"/>
        <v>1.6379999999999999</v>
      </c>
      <c r="Z192" s="203">
        <f t="shared" si="28"/>
        <v>4.59</v>
      </c>
      <c r="AA192" s="205">
        <f>+Table1[[#This Row],[calculated sale price]]</f>
        <v>4.59</v>
      </c>
      <c r="AB192" s="204"/>
      <c r="AC192" s="208"/>
    </row>
    <row r="193" spans="1:29">
      <c r="A193" s="188">
        <v>1184</v>
      </c>
      <c r="B193" t="s">
        <v>574</v>
      </c>
      <c r="C193" s="188">
        <v>1</v>
      </c>
      <c r="I193" s="188"/>
      <c r="J193" s="188"/>
      <c r="K193" s="188"/>
      <c r="L193" s="199"/>
      <c r="M193" s="188"/>
      <c r="N193" s="200"/>
      <c r="O193" s="201">
        <v>0.91614285714285737</v>
      </c>
      <c r="P193" s="201">
        <f>Table1[[#This Row],[unit cost]]</f>
        <v>0.91614285714285737</v>
      </c>
      <c r="Q193" s="416">
        <v>1</v>
      </c>
      <c r="R193" s="188">
        <v>1</v>
      </c>
      <c r="S193" s="251">
        <f t="shared" si="29"/>
        <v>0.42</v>
      </c>
      <c r="T193" s="203">
        <f>Table1[[#This Row],[man minutes]]*Table1[[#This Row],[labor rate]]</f>
        <v>0.42</v>
      </c>
      <c r="U193" s="203">
        <f t="shared" si="25"/>
        <v>1.3361428571428573</v>
      </c>
      <c r="V193" s="189">
        <f t="shared" si="24"/>
        <v>0.22</v>
      </c>
      <c r="W193" s="252">
        <f t="shared" si="30"/>
        <v>0.2</v>
      </c>
      <c r="X193" s="203">
        <f t="shared" si="26"/>
        <v>1.117694285714286</v>
      </c>
      <c r="Y193" s="203">
        <f t="shared" si="27"/>
        <v>0.504</v>
      </c>
      <c r="Z193" s="203">
        <f t="shared" si="28"/>
        <v>1.6300000000000001</v>
      </c>
      <c r="AA193" s="205">
        <f>+Table1[[#This Row],[calculated sale price]]</f>
        <v>1.6300000000000001</v>
      </c>
      <c r="AB193" s="204"/>
      <c r="AC193" s="208"/>
    </row>
    <row r="194" spans="1:29">
      <c r="A194" s="188">
        <v>1185</v>
      </c>
      <c r="B194" t="s">
        <v>575</v>
      </c>
      <c r="C194" s="188">
        <v>1</v>
      </c>
      <c r="I194" s="188"/>
      <c r="J194" s="188"/>
      <c r="K194" s="188"/>
      <c r="L194" s="199"/>
      <c r="M194" s="188"/>
      <c r="N194" s="200"/>
      <c r="O194" s="201">
        <v>1.57128759713946</v>
      </c>
      <c r="P194" s="201">
        <f>Table1[[#This Row],[unit cost]]</f>
        <v>1.57128759713946</v>
      </c>
      <c r="Q194" s="416">
        <v>3.25</v>
      </c>
      <c r="R194" s="188">
        <v>1</v>
      </c>
      <c r="S194" s="251">
        <f t="shared" si="29"/>
        <v>0.42</v>
      </c>
      <c r="T194" s="203">
        <f>Table1[[#This Row],[man minutes]]*Table1[[#This Row],[labor rate]]</f>
        <v>1.365</v>
      </c>
      <c r="U194" s="203">
        <f t="shared" si="25"/>
        <v>2.9362875971394597</v>
      </c>
      <c r="V194" s="189">
        <f t="shared" si="24"/>
        <v>0.22</v>
      </c>
      <c r="W194" s="252">
        <f t="shared" si="30"/>
        <v>0.2</v>
      </c>
      <c r="X194" s="203">
        <f t="shared" si="26"/>
        <v>1.9169708685101412</v>
      </c>
      <c r="Y194" s="203">
        <f t="shared" si="27"/>
        <v>1.6379999999999999</v>
      </c>
      <c r="Z194" s="203">
        <f t="shared" si="28"/>
        <v>3.5599999999999996</v>
      </c>
      <c r="AA194" s="205">
        <f>+Table1[[#This Row],[calculated sale price]]</f>
        <v>3.5599999999999996</v>
      </c>
      <c r="AB194" s="204"/>
      <c r="AC194" s="208"/>
    </row>
    <row r="195" spans="1:29">
      <c r="A195" s="188">
        <v>1186</v>
      </c>
      <c r="B195" t="s">
        <v>576</v>
      </c>
      <c r="C195" s="188">
        <v>1</v>
      </c>
      <c r="I195" s="188"/>
      <c r="J195" s="188"/>
      <c r="K195" s="188"/>
      <c r="L195" s="199"/>
      <c r="M195" s="188"/>
      <c r="N195" s="200"/>
      <c r="O195" s="201">
        <v>2.3448536391558594</v>
      </c>
      <c r="P195" s="201">
        <f>Table1[[#This Row],[unit cost]]</f>
        <v>2.3448536391558594</v>
      </c>
      <c r="Q195" s="416">
        <v>2.75</v>
      </c>
      <c r="R195" s="188">
        <v>1</v>
      </c>
      <c r="S195" s="251">
        <f t="shared" si="29"/>
        <v>0.42</v>
      </c>
      <c r="T195" s="203">
        <f>Table1[[#This Row],[man minutes]]*Table1[[#This Row],[labor rate]]</f>
        <v>1.155</v>
      </c>
      <c r="U195" s="203">
        <f t="shared" si="25"/>
        <v>3.4998536391558597</v>
      </c>
      <c r="V195" s="189">
        <f t="shared" si="24"/>
        <v>0.22</v>
      </c>
      <c r="W195" s="252">
        <f t="shared" si="30"/>
        <v>0.2</v>
      </c>
      <c r="X195" s="203">
        <f t="shared" si="26"/>
        <v>2.8607214397701486</v>
      </c>
      <c r="Y195" s="203">
        <f t="shared" si="27"/>
        <v>1.3860000000000001</v>
      </c>
      <c r="Z195" s="203">
        <f t="shared" si="28"/>
        <v>4.25</v>
      </c>
      <c r="AA195" s="205">
        <f>+Table1[[#This Row],[calculated sale price]]</f>
        <v>4.25</v>
      </c>
      <c r="AB195" s="204"/>
      <c r="AC195" s="208"/>
    </row>
    <row r="196" spans="1:29">
      <c r="A196" s="188">
        <v>1187</v>
      </c>
      <c r="B196" t="s">
        <v>577</v>
      </c>
      <c r="C196" s="188">
        <v>1</v>
      </c>
      <c r="I196" s="188"/>
      <c r="J196" s="188"/>
      <c r="K196" s="188"/>
      <c r="L196" s="199"/>
      <c r="M196" s="188"/>
      <c r="N196" s="200"/>
      <c r="O196" s="201">
        <v>3.9522310084587304</v>
      </c>
      <c r="P196" s="201">
        <f>Table1[[#This Row],[unit cost]]</f>
        <v>3.9522310084587304</v>
      </c>
      <c r="Q196" s="416">
        <v>1.5</v>
      </c>
      <c r="R196" s="188">
        <v>1</v>
      </c>
      <c r="S196" s="251">
        <f t="shared" si="29"/>
        <v>0.42</v>
      </c>
      <c r="T196" s="203">
        <f>Table1[[#This Row],[man minutes]]*Table1[[#This Row],[labor rate]]</f>
        <v>0.63</v>
      </c>
      <c r="U196" s="203">
        <f t="shared" si="25"/>
        <v>4.5822310084587308</v>
      </c>
      <c r="V196" s="189">
        <f t="shared" si="24"/>
        <v>0.22</v>
      </c>
      <c r="W196" s="252">
        <f t="shared" si="30"/>
        <v>0.2</v>
      </c>
      <c r="X196" s="203">
        <f t="shared" si="26"/>
        <v>4.8217218303196514</v>
      </c>
      <c r="Y196" s="203">
        <f t="shared" si="27"/>
        <v>0.75600000000000001</v>
      </c>
      <c r="Z196" s="203">
        <f t="shared" si="28"/>
        <v>5.58</v>
      </c>
      <c r="AA196" s="205">
        <f>+Table1[[#This Row],[calculated sale price]]</f>
        <v>5.58</v>
      </c>
      <c r="AB196" s="204"/>
      <c r="AC196" s="208"/>
    </row>
    <row r="197" spans="1:29">
      <c r="A197" s="188">
        <v>1188</v>
      </c>
      <c r="B197" t="s">
        <v>578</v>
      </c>
      <c r="C197" s="188">
        <v>1</v>
      </c>
      <c r="I197" s="188"/>
      <c r="J197" s="188"/>
      <c r="K197" s="188"/>
      <c r="L197" s="199"/>
      <c r="M197" s="188"/>
      <c r="N197" s="200"/>
      <c r="O197" s="201">
        <v>1.0548240215786746</v>
      </c>
      <c r="P197" s="201">
        <f>Table1[[#This Row],[unit cost]]</f>
        <v>1.0548240215786746</v>
      </c>
      <c r="Q197" s="416">
        <v>1.25</v>
      </c>
      <c r="R197" s="188">
        <v>1</v>
      </c>
      <c r="S197" s="251">
        <f t="shared" si="29"/>
        <v>0.42</v>
      </c>
      <c r="T197" s="203">
        <f>Table1[[#This Row],[man minutes]]*Table1[[#This Row],[labor rate]]</f>
        <v>0.52500000000000002</v>
      </c>
      <c r="U197" s="203">
        <f t="shared" si="25"/>
        <v>1.5798240215786747</v>
      </c>
      <c r="V197" s="189">
        <f t="shared" si="24"/>
        <v>0.22</v>
      </c>
      <c r="W197" s="252">
        <f t="shared" si="30"/>
        <v>0.2</v>
      </c>
      <c r="X197" s="203">
        <f t="shared" si="26"/>
        <v>1.2868853063259831</v>
      </c>
      <c r="Y197" s="203">
        <f t="shared" si="27"/>
        <v>0.63</v>
      </c>
      <c r="Z197" s="203">
        <f t="shared" si="28"/>
        <v>1.92</v>
      </c>
      <c r="AA197" s="205">
        <f>+Table1[[#This Row],[calculated sale price]]</f>
        <v>1.92</v>
      </c>
      <c r="AB197" s="204"/>
      <c r="AC197" s="208"/>
    </row>
    <row r="198" spans="1:29">
      <c r="A198" s="188">
        <v>1189</v>
      </c>
      <c r="B198" t="s">
        <v>579</v>
      </c>
      <c r="C198" s="188">
        <v>1</v>
      </c>
      <c r="I198" s="188"/>
      <c r="J198" s="188"/>
      <c r="K198" s="188"/>
      <c r="L198" s="199"/>
      <c r="M198" s="188"/>
      <c r="N198" s="200"/>
      <c r="O198" s="201">
        <v>0.3</v>
      </c>
      <c r="P198" s="201">
        <f>Table1[[#This Row],[unit cost]]</f>
        <v>0.3</v>
      </c>
      <c r="Q198" s="416">
        <v>0.25</v>
      </c>
      <c r="R198" s="188">
        <v>1</v>
      </c>
      <c r="S198" s="251">
        <f t="shared" si="29"/>
        <v>0.42</v>
      </c>
      <c r="T198" s="203">
        <f>Table1[[#This Row],[man minutes]]*Table1[[#This Row],[labor rate]]</f>
        <v>0.105</v>
      </c>
      <c r="U198" s="203">
        <f t="shared" si="25"/>
        <v>0.40499999999999997</v>
      </c>
      <c r="V198" s="189">
        <f t="shared" si="24"/>
        <v>0.22</v>
      </c>
      <c r="W198" s="252">
        <f t="shared" si="30"/>
        <v>0.2</v>
      </c>
      <c r="X198" s="203">
        <f t="shared" si="26"/>
        <v>0.36599999999999999</v>
      </c>
      <c r="Y198" s="203">
        <f t="shared" si="27"/>
        <v>0.126</v>
      </c>
      <c r="Z198" s="203">
        <f t="shared" si="28"/>
        <v>0.5</v>
      </c>
      <c r="AA198" s="205">
        <f>+Table1[[#This Row],[calculated sale price]]</f>
        <v>0.5</v>
      </c>
      <c r="AB198" s="204"/>
      <c r="AC198" s="208"/>
    </row>
    <row r="199" spans="1:29">
      <c r="A199" s="188">
        <v>1190</v>
      </c>
      <c r="B199" t="s">
        <v>580</v>
      </c>
      <c r="C199" s="188">
        <v>1</v>
      </c>
      <c r="I199" s="188"/>
      <c r="J199" s="188"/>
      <c r="K199" s="188"/>
      <c r="L199" s="199"/>
      <c r="M199" s="188"/>
      <c r="N199" s="200"/>
      <c r="O199" s="201">
        <f>0.22412345437619+0.2</f>
        <v>0.42412345437619003</v>
      </c>
      <c r="P199" s="201">
        <f>Table1[[#This Row],[unit cost]]</f>
        <v>0.42412345437619003</v>
      </c>
      <c r="Q199" s="416">
        <v>1</v>
      </c>
      <c r="R199" s="188">
        <v>1</v>
      </c>
      <c r="S199" s="251">
        <f t="shared" si="29"/>
        <v>0.42</v>
      </c>
      <c r="T199" s="203">
        <f>Table1[[#This Row],[man minutes]]*Table1[[#This Row],[labor rate]]</f>
        <v>0.42</v>
      </c>
      <c r="U199" s="203">
        <f t="shared" si="25"/>
        <v>0.84412345437618996</v>
      </c>
      <c r="V199" s="189">
        <f t="shared" si="24"/>
        <v>0.22</v>
      </c>
      <c r="W199" s="252">
        <f t="shared" si="30"/>
        <v>0.2</v>
      </c>
      <c r="X199" s="203">
        <f t="shared" si="26"/>
        <v>0.51743061433895188</v>
      </c>
      <c r="Y199" s="203">
        <f t="shared" si="27"/>
        <v>0.504</v>
      </c>
      <c r="Z199" s="203">
        <f t="shared" si="28"/>
        <v>1.03</v>
      </c>
      <c r="AA199" s="205">
        <f>+Table1[[#This Row],[calculated sale price]]</f>
        <v>1.03</v>
      </c>
      <c r="AB199" s="204"/>
      <c r="AC199" s="208"/>
    </row>
    <row r="200" spans="1:29">
      <c r="A200" s="188">
        <v>1191</v>
      </c>
      <c r="B200" t="s">
        <v>581</v>
      </c>
      <c r="C200" s="188">
        <v>1</v>
      </c>
      <c r="I200" s="188"/>
      <c r="J200" s="188"/>
      <c r="K200" s="188"/>
      <c r="L200" s="199"/>
      <c r="M200" s="188"/>
      <c r="N200" s="200"/>
      <c r="O200" s="201">
        <v>2.2438681420503181</v>
      </c>
      <c r="P200" s="201">
        <f>Table1[[#This Row],[unit cost]]</f>
        <v>2.2438681420503181</v>
      </c>
      <c r="Q200" s="416">
        <v>3.25</v>
      </c>
      <c r="R200" s="188">
        <v>1</v>
      </c>
      <c r="S200" s="251">
        <f t="shared" si="29"/>
        <v>0.42</v>
      </c>
      <c r="T200" s="203">
        <f>Table1[[#This Row],[man minutes]]*Table1[[#This Row],[labor rate]]</f>
        <v>1.365</v>
      </c>
      <c r="U200" s="203">
        <f t="shared" si="25"/>
        <v>3.6088681420503184</v>
      </c>
      <c r="V200" s="189">
        <f t="shared" si="24"/>
        <v>0.22</v>
      </c>
      <c r="W200" s="252">
        <f t="shared" si="30"/>
        <v>0.2</v>
      </c>
      <c r="X200" s="203">
        <f t="shared" si="26"/>
        <v>2.737519133301388</v>
      </c>
      <c r="Y200" s="203">
        <f t="shared" si="27"/>
        <v>1.6379999999999999</v>
      </c>
      <c r="Z200" s="203">
        <f t="shared" si="28"/>
        <v>4.38</v>
      </c>
      <c r="AA200" s="205">
        <f>+Table1[[#This Row],[calculated sale price]]</f>
        <v>4.38</v>
      </c>
      <c r="AB200" s="204"/>
      <c r="AC200" s="208"/>
    </row>
    <row r="201" spans="1:29">
      <c r="A201" s="188">
        <v>1192</v>
      </c>
      <c r="B201" t="s">
        <v>582</v>
      </c>
      <c r="C201" s="188">
        <v>1</v>
      </c>
      <c r="I201" s="188"/>
      <c r="J201" s="188"/>
      <c r="K201" s="188"/>
      <c r="L201" s="199"/>
      <c r="M201" s="188"/>
      <c r="N201" s="200"/>
      <c r="O201" s="201">
        <v>1.8338973880755325</v>
      </c>
      <c r="P201" s="201">
        <f>Table1[[#This Row],[unit cost]]</f>
        <v>1.8338973880755325</v>
      </c>
      <c r="Q201" s="416">
        <v>2.5</v>
      </c>
      <c r="R201" s="188">
        <v>1</v>
      </c>
      <c r="S201" s="251">
        <f t="shared" si="29"/>
        <v>0.42</v>
      </c>
      <c r="T201" s="203">
        <f>Table1[[#This Row],[man minutes]]*Table1[[#This Row],[labor rate]]</f>
        <v>1.05</v>
      </c>
      <c r="U201" s="203">
        <f t="shared" si="25"/>
        <v>2.8838973880755328</v>
      </c>
      <c r="V201" s="189">
        <f t="shared" si="24"/>
        <v>0.22</v>
      </c>
      <c r="W201" s="252">
        <f t="shared" si="30"/>
        <v>0.2</v>
      </c>
      <c r="X201" s="203">
        <f t="shared" si="26"/>
        <v>2.2373548134521495</v>
      </c>
      <c r="Y201" s="203">
        <f t="shared" si="27"/>
        <v>1.26</v>
      </c>
      <c r="Z201" s="203">
        <f t="shared" si="28"/>
        <v>3.5</v>
      </c>
      <c r="AA201" s="205">
        <f>+Table1[[#This Row],[calculated sale price]]</f>
        <v>3.5</v>
      </c>
      <c r="AB201" s="204"/>
      <c r="AC201" s="208"/>
    </row>
    <row r="202" spans="1:29">
      <c r="A202" s="188">
        <v>1193</v>
      </c>
      <c r="B202" t="s">
        <v>583</v>
      </c>
      <c r="C202" s="188">
        <v>1</v>
      </c>
      <c r="I202" s="188"/>
      <c r="J202" s="188"/>
      <c r="K202" s="188"/>
      <c r="L202" s="199"/>
      <c r="M202" s="188"/>
      <c r="N202" s="200"/>
      <c r="O202" s="201">
        <f>0.264425004081633+0.25</f>
        <v>0.51442500408163294</v>
      </c>
      <c r="P202" s="201">
        <f>Table1[[#This Row],[unit cost]]</f>
        <v>0.51442500408163294</v>
      </c>
      <c r="Q202" s="416">
        <v>1</v>
      </c>
      <c r="R202" s="188">
        <v>1</v>
      </c>
      <c r="S202" s="251">
        <f t="shared" si="29"/>
        <v>0.42</v>
      </c>
      <c r="T202" s="203">
        <f>Table1[[#This Row],[man minutes]]*Table1[[#This Row],[labor rate]]</f>
        <v>0.42</v>
      </c>
      <c r="U202" s="203">
        <f t="shared" si="25"/>
        <v>0.93442500408163287</v>
      </c>
      <c r="V202" s="189">
        <f t="shared" si="24"/>
        <v>0.22</v>
      </c>
      <c r="W202" s="252">
        <f t="shared" si="30"/>
        <v>0.2</v>
      </c>
      <c r="X202" s="203">
        <f t="shared" si="26"/>
        <v>0.62759850497959213</v>
      </c>
      <c r="Y202" s="203">
        <f t="shared" si="27"/>
        <v>0.504</v>
      </c>
      <c r="Z202" s="203">
        <f t="shared" si="28"/>
        <v>1.1399999999999999</v>
      </c>
      <c r="AA202" s="205">
        <f>+Table1[[#This Row],[calculated sale price]]</f>
        <v>1.1399999999999999</v>
      </c>
      <c r="AB202" s="204"/>
      <c r="AC202" s="208"/>
    </row>
    <row r="203" spans="1:29">
      <c r="A203" s="188">
        <v>1194</v>
      </c>
      <c r="B203" t="s">
        <v>584</v>
      </c>
      <c r="C203" s="188">
        <v>1</v>
      </c>
      <c r="I203" s="188"/>
      <c r="J203" s="188"/>
      <c r="K203" s="188"/>
      <c r="L203" s="199"/>
      <c r="M203" s="188"/>
      <c r="N203" s="200"/>
      <c r="O203" s="201">
        <f>0.466331982821395+0.25</f>
        <v>0.71633198282139499</v>
      </c>
      <c r="P203" s="201">
        <f>Table1[[#This Row],[unit cost]]</f>
        <v>0.71633198282139499</v>
      </c>
      <c r="Q203" s="416">
        <v>0.5</v>
      </c>
      <c r="R203" s="188">
        <v>1</v>
      </c>
      <c r="S203" s="251">
        <f t="shared" si="29"/>
        <v>0.42</v>
      </c>
      <c r="T203" s="203">
        <f>Table1[[#This Row],[man minutes]]*Table1[[#This Row],[labor rate]]</f>
        <v>0.21</v>
      </c>
      <c r="U203" s="203">
        <f t="shared" si="25"/>
        <v>0.92633198282139495</v>
      </c>
      <c r="V203" s="189">
        <f t="shared" si="24"/>
        <v>0.22</v>
      </c>
      <c r="W203" s="252">
        <f t="shared" si="30"/>
        <v>0.2</v>
      </c>
      <c r="X203" s="203">
        <f t="shared" si="26"/>
        <v>0.87392501904210185</v>
      </c>
      <c r="Y203" s="203">
        <f t="shared" si="27"/>
        <v>0.252</v>
      </c>
      <c r="Z203" s="203">
        <f t="shared" si="28"/>
        <v>1.1300000000000001</v>
      </c>
      <c r="AA203" s="205">
        <f>+Table1[[#This Row],[calculated sale price]]</f>
        <v>1.1300000000000001</v>
      </c>
      <c r="AB203" s="204"/>
      <c r="AC203" s="208"/>
    </row>
    <row r="204" spans="1:29">
      <c r="A204" s="188">
        <v>1195</v>
      </c>
      <c r="B204" t="s">
        <v>585</v>
      </c>
      <c r="C204" s="188">
        <v>1</v>
      </c>
      <c r="I204" s="188"/>
      <c r="J204" s="188"/>
      <c r="K204" s="188"/>
      <c r="L204" s="199"/>
      <c r="M204" s="188"/>
      <c r="N204" s="200"/>
      <c r="O204" s="201">
        <v>0.62750710665381648</v>
      </c>
      <c r="P204" s="201">
        <f>Table1[[#This Row],[unit cost]]</f>
        <v>0.62750710665381648</v>
      </c>
      <c r="Q204" s="416">
        <v>0.75</v>
      </c>
      <c r="R204" s="188">
        <v>1</v>
      </c>
      <c r="S204" s="251">
        <f t="shared" si="29"/>
        <v>0.42</v>
      </c>
      <c r="T204" s="203">
        <f>Table1[[#This Row],[man minutes]]*Table1[[#This Row],[labor rate]]</f>
        <v>0.315</v>
      </c>
      <c r="U204" s="203">
        <f t="shared" si="25"/>
        <v>0.94250710665381643</v>
      </c>
      <c r="V204" s="189">
        <f t="shared" si="24"/>
        <v>0.22</v>
      </c>
      <c r="W204" s="252">
        <f t="shared" si="30"/>
        <v>0.2</v>
      </c>
      <c r="X204" s="203">
        <f t="shared" si="26"/>
        <v>0.7655586701176561</v>
      </c>
      <c r="Y204" s="203">
        <f t="shared" si="27"/>
        <v>0.378</v>
      </c>
      <c r="Z204" s="203">
        <f t="shared" si="28"/>
        <v>1.1499999999999999</v>
      </c>
      <c r="AA204" s="205">
        <f>+Table1[[#This Row],[calculated sale price]]</f>
        <v>1.1499999999999999</v>
      </c>
      <c r="AB204" s="204"/>
      <c r="AC204" s="208"/>
    </row>
    <row r="205" spans="1:29">
      <c r="A205" s="188">
        <v>1196</v>
      </c>
      <c r="B205" t="s">
        <v>586</v>
      </c>
      <c r="C205" s="188">
        <v>1</v>
      </c>
      <c r="I205" s="188"/>
      <c r="J205" s="188"/>
      <c r="K205" s="188"/>
      <c r="L205" s="199"/>
      <c r="M205" s="188"/>
      <c r="N205" s="200"/>
      <c r="O205" s="201">
        <v>1.96</v>
      </c>
      <c r="P205" s="201">
        <f>Table1[[#This Row],[unit cost]]</f>
        <v>1.96</v>
      </c>
      <c r="Q205" s="416">
        <v>1.5</v>
      </c>
      <c r="R205" s="188">
        <v>1</v>
      </c>
      <c r="S205" s="251">
        <f t="shared" si="29"/>
        <v>0.42</v>
      </c>
      <c r="T205" s="203">
        <f>Table1[[#This Row],[man minutes]]*Table1[[#This Row],[labor rate]]</f>
        <v>0.63</v>
      </c>
      <c r="U205" s="203">
        <f t="shared" si="25"/>
        <v>2.59</v>
      </c>
      <c r="V205" s="189">
        <f t="shared" si="24"/>
        <v>0.22</v>
      </c>
      <c r="W205" s="252">
        <f t="shared" si="30"/>
        <v>0.2</v>
      </c>
      <c r="X205" s="203">
        <f t="shared" si="26"/>
        <v>2.3912</v>
      </c>
      <c r="Y205" s="203">
        <f t="shared" si="27"/>
        <v>0.75600000000000001</v>
      </c>
      <c r="Z205" s="203">
        <f t="shared" si="28"/>
        <v>3.15</v>
      </c>
      <c r="AA205" s="205">
        <f>+Table1[[#This Row],[calculated sale price]]</f>
        <v>3.15</v>
      </c>
      <c r="AB205" s="204"/>
      <c r="AC205" s="208"/>
    </row>
    <row r="206" spans="1:29">
      <c r="A206" s="188">
        <v>1197</v>
      </c>
      <c r="B206" t="s">
        <v>587</v>
      </c>
      <c r="C206" s="188">
        <v>1</v>
      </c>
      <c r="I206" s="188"/>
      <c r="J206" s="188"/>
      <c r="K206" s="188"/>
      <c r="L206" s="199"/>
      <c r="M206" s="188"/>
      <c r="N206" s="200"/>
      <c r="O206" s="201">
        <v>1.68</v>
      </c>
      <c r="P206" s="201">
        <f>Table1[[#This Row],[unit cost]]</f>
        <v>1.68</v>
      </c>
      <c r="Q206" s="416">
        <v>1.5</v>
      </c>
      <c r="R206" s="188">
        <v>1</v>
      </c>
      <c r="S206" s="251">
        <f t="shared" si="29"/>
        <v>0.42</v>
      </c>
      <c r="T206" s="203">
        <f>Table1[[#This Row],[man minutes]]*Table1[[#This Row],[labor rate]]</f>
        <v>0.63</v>
      </c>
      <c r="U206" s="203">
        <f t="shared" si="25"/>
        <v>2.31</v>
      </c>
      <c r="V206" s="189">
        <f t="shared" si="24"/>
        <v>0.22</v>
      </c>
      <c r="W206" s="252">
        <f t="shared" si="30"/>
        <v>0.2</v>
      </c>
      <c r="X206" s="203">
        <f t="shared" si="26"/>
        <v>2.0495999999999999</v>
      </c>
      <c r="Y206" s="203">
        <f t="shared" si="27"/>
        <v>0.75600000000000001</v>
      </c>
      <c r="Z206" s="203">
        <f t="shared" si="28"/>
        <v>2.8099999999999996</v>
      </c>
      <c r="AA206" s="205">
        <f>+Table1[[#This Row],[calculated sale price]]</f>
        <v>2.8099999999999996</v>
      </c>
      <c r="AB206" s="204"/>
      <c r="AC206" s="208"/>
    </row>
    <row r="207" spans="1:29">
      <c r="A207" s="188">
        <v>1198</v>
      </c>
      <c r="B207" t="s">
        <v>588</v>
      </c>
      <c r="C207" s="188">
        <v>1</v>
      </c>
      <c r="I207" s="188"/>
      <c r="J207" s="188"/>
      <c r="K207" s="188"/>
      <c r="L207" s="199"/>
      <c r="M207" s="188"/>
      <c r="N207" s="200"/>
      <c r="O207" s="201">
        <v>1.93</v>
      </c>
      <c r="P207" s="201">
        <f>Table1[[#This Row],[unit cost]]</f>
        <v>1.93</v>
      </c>
      <c r="Q207" s="416">
        <v>1.5</v>
      </c>
      <c r="R207" s="188">
        <v>1</v>
      </c>
      <c r="S207" s="251">
        <f t="shared" si="29"/>
        <v>0.42</v>
      </c>
      <c r="T207" s="203">
        <f>Table1[[#This Row],[man minutes]]*Table1[[#This Row],[labor rate]]</f>
        <v>0.63</v>
      </c>
      <c r="U207" s="203">
        <f t="shared" si="25"/>
        <v>2.56</v>
      </c>
      <c r="V207" s="189">
        <f t="shared" si="24"/>
        <v>0.22</v>
      </c>
      <c r="W207" s="252">
        <f t="shared" si="30"/>
        <v>0.2</v>
      </c>
      <c r="X207" s="203">
        <f t="shared" si="26"/>
        <v>2.3546</v>
      </c>
      <c r="Y207" s="203">
        <f t="shared" si="27"/>
        <v>0.75600000000000001</v>
      </c>
      <c r="Z207" s="203">
        <f t="shared" si="28"/>
        <v>3.1199999999999997</v>
      </c>
      <c r="AA207" s="205">
        <f>+Table1[[#This Row],[calculated sale price]]</f>
        <v>3.1199999999999997</v>
      </c>
      <c r="AB207" s="204"/>
      <c r="AC207" s="208"/>
    </row>
    <row r="208" spans="1:29">
      <c r="A208" s="188">
        <v>1199</v>
      </c>
      <c r="B208" t="s">
        <v>589</v>
      </c>
      <c r="C208" s="188">
        <v>1</v>
      </c>
      <c r="I208" s="188"/>
      <c r="J208" s="188"/>
      <c r="K208" s="188"/>
      <c r="L208" s="199"/>
      <c r="M208" s="188"/>
      <c r="N208" s="200"/>
      <c r="O208" s="201">
        <v>1.63</v>
      </c>
      <c r="P208" s="201">
        <f>Table1[[#This Row],[unit cost]]</f>
        <v>1.63</v>
      </c>
      <c r="Q208" s="416">
        <v>1.5</v>
      </c>
      <c r="R208" s="188">
        <v>1</v>
      </c>
      <c r="S208" s="251">
        <f t="shared" si="29"/>
        <v>0.42</v>
      </c>
      <c r="T208" s="203">
        <f>Table1[[#This Row],[man minutes]]*Table1[[#This Row],[labor rate]]</f>
        <v>0.63</v>
      </c>
      <c r="U208" s="203">
        <f t="shared" si="25"/>
        <v>2.2599999999999998</v>
      </c>
      <c r="V208" s="189">
        <f t="shared" ref="V208:V253" si="31">$V$2</f>
        <v>0.22</v>
      </c>
      <c r="W208" s="252">
        <f t="shared" si="30"/>
        <v>0.2</v>
      </c>
      <c r="X208" s="203">
        <f t="shared" si="26"/>
        <v>1.9885999999999999</v>
      </c>
      <c r="Y208" s="203">
        <f t="shared" si="27"/>
        <v>0.75600000000000001</v>
      </c>
      <c r="Z208" s="203">
        <f t="shared" si="28"/>
        <v>2.75</v>
      </c>
      <c r="AA208" s="205">
        <f>+Table1[[#This Row],[calculated sale price]]</f>
        <v>2.75</v>
      </c>
      <c r="AB208" s="204"/>
      <c r="AC208" s="208"/>
    </row>
    <row r="209" spans="1:29">
      <c r="A209" s="188">
        <v>1200</v>
      </c>
      <c r="B209" t="s">
        <v>590</v>
      </c>
      <c r="C209" s="188">
        <v>1</v>
      </c>
      <c r="I209" s="188"/>
      <c r="J209" s="188"/>
      <c r="K209" s="188"/>
      <c r="L209" s="199"/>
      <c r="M209" s="188"/>
      <c r="N209" s="200"/>
      <c r="O209" s="201">
        <v>1.99</v>
      </c>
      <c r="P209" s="201">
        <f>Table1[[#This Row],[unit cost]]</f>
        <v>1.99</v>
      </c>
      <c r="Q209" s="416">
        <v>1.5</v>
      </c>
      <c r="R209" s="188">
        <v>1</v>
      </c>
      <c r="S209" s="251">
        <f t="shared" si="29"/>
        <v>0.42</v>
      </c>
      <c r="T209" s="203">
        <f>Table1[[#This Row],[man minutes]]*Table1[[#This Row],[labor rate]]</f>
        <v>0.63</v>
      </c>
      <c r="U209" s="203">
        <f t="shared" si="25"/>
        <v>2.62</v>
      </c>
      <c r="V209" s="189">
        <f t="shared" si="31"/>
        <v>0.22</v>
      </c>
      <c r="W209" s="252">
        <f t="shared" si="30"/>
        <v>0.2</v>
      </c>
      <c r="X209" s="203">
        <f t="shared" si="26"/>
        <v>2.4278</v>
      </c>
      <c r="Y209" s="203">
        <f t="shared" si="27"/>
        <v>0.75600000000000001</v>
      </c>
      <c r="Z209" s="203">
        <f t="shared" si="28"/>
        <v>3.19</v>
      </c>
      <c r="AA209" s="205">
        <f>+Table1[[#This Row],[calculated sale price]]</f>
        <v>3.19</v>
      </c>
      <c r="AB209" s="204"/>
      <c r="AC209" s="208"/>
    </row>
    <row r="210" spans="1:29">
      <c r="A210" s="188">
        <v>1201</v>
      </c>
      <c r="B210" t="s">
        <v>591</v>
      </c>
      <c r="C210" s="188">
        <v>1</v>
      </c>
      <c r="I210" s="188"/>
      <c r="J210" s="188"/>
      <c r="K210" s="188"/>
      <c r="L210" s="199"/>
      <c r="M210" s="188"/>
      <c r="N210" s="200"/>
      <c r="O210" s="201">
        <v>1.45</v>
      </c>
      <c r="P210" s="201">
        <f>Table1[[#This Row],[unit cost]]</f>
        <v>1.45</v>
      </c>
      <c r="Q210" s="416">
        <v>1.5</v>
      </c>
      <c r="R210" s="188">
        <v>1</v>
      </c>
      <c r="S210" s="251">
        <f t="shared" si="29"/>
        <v>0.42</v>
      </c>
      <c r="T210" s="203">
        <f>Table1[[#This Row],[man minutes]]*Table1[[#This Row],[labor rate]]</f>
        <v>0.63</v>
      </c>
      <c r="U210" s="203">
        <f t="shared" si="25"/>
        <v>2.08</v>
      </c>
      <c r="V210" s="189">
        <f t="shared" si="31"/>
        <v>0.22</v>
      </c>
      <c r="W210" s="252">
        <f t="shared" si="30"/>
        <v>0.2</v>
      </c>
      <c r="X210" s="203">
        <f t="shared" si="26"/>
        <v>1.7689999999999999</v>
      </c>
      <c r="Y210" s="203">
        <f t="shared" si="27"/>
        <v>0.75600000000000001</v>
      </c>
      <c r="Z210" s="203">
        <f t="shared" si="28"/>
        <v>2.5299999999999998</v>
      </c>
      <c r="AA210" s="205">
        <f>+Table1[[#This Row],[calculated sale price]]</f>
        <v>2.5299999999999998</v>
      </c>
      <c r="AB210" s="204"/>
      <c r="AC210" s="208"/>
    </row>
    <row r="211" spans="1:29">
      <c r="A211" s="188">
        <v>1202</v>
      </c>
      <c r="B211" t="s">
        <v>592</v>
      </c>
      <c r="C211" s="188">
        <v>1</v>
      </c>
      <c r="I211" s="188"/>
      <c r="J211" s="188"/>
      <c r="K211" s="188"/>
      <c r="L211" s="199"/>
      <c r="M211" s="188"/>
      <c r="N211" s="200"/>
      <c r="O211" s="201">
        <v>1.99</v>
      </c>
      <c r="P211" s="201">
        <f>Table1[[#This Row],[unit cost]]</f>
        <v>1.99</v>
      </c>
      <c r="Q211" s="416">
        <v>1.5</v>
      </c>
      <c r="R211" s="188">
        <v>1</v>
      </c>
      <c r="S211" s="251">
        <f t="shared" si="29"/>
        <v>0.42</v>
      </c>
      <c r="T211" s="203">
        <f>Table1[[#This Row],[man minutes]]*Table1[[#This Row],[labor rate]]</f>
        <v>0.63</v>
      </c>
      <c r="U211" s="203">
        <f t="shared" si="25"/>
        <v>2.62</v>
      </c>
      <c r="V211" s="189">
        <f t="shared" si="31"/>
        <v>0.22</v>
      </c>
      <c r="W211" s="252">
        <f t="shared" si="30"/>
        <v>0.2</v>
      </c>
      <c r="X211" s="203">
        <f t="shared" si="26"/>
        <v>2.4278</v>
      </c>
      <c r="Y211" s="203">
        <f t="shared" si="27"/>
        <v>0.75600000000000001</v>
      </c>
      <c r="Z211" s="203">
        <f t="shared" si="28"/>
        <v>3.19</v>
      </c>
      <c r="AA211" s="205">
        <f>+Table1[[#This Row],[calculated sale price]]</f>
        <v>3.19</v>
      </c>
      <c r="AB211" s="204"/>
      <c r="AC211" s="208"/>
    </row>
    <row r="212" spans="1:29">
      <c r="A212" s="188">
        <v>1203</v>
      </c>
      <c r="B212" t="s">
        <v>593</v>
      </c>
      <c r="C212" s="188">
        <v>1</v>
      </c>
      <c r="I212" s="188"/>
      <c r="J212" s="188"/>
      <c r="K212" s="188"/>
      <c r="L212" s="199"/>
      <c r="M212" s="188"/>
      <c r="N212" s="200"/>
      <c r="O212" s="415"/>
      <c r="P212" s="201">
        <f>Table1[[#This Row],[unit cost]]</f>
        <v>0</v>
      </c>
      <c r="Q212" s="416">
        <v>1.5</v>
      </c>
      <c r="R212" s="188">
        <v>1</v>
      </c>
      <c r="S212" s="251">
        <f t="shared" si="29"/>
        <v>0.42</v>
      </c>
      <c r="T212" s="203">
        <f>Table1[[#This Row],[man minutes]]*Table1[[#This Row],[labor rate]]</f>
        <v>0.63</v>
      </c>
      <c r="U212" s="203">
        <f t="shared" si="25"/>
        <v>0.63</v>
      </c>
      <c r="V212" s="189">
        <f t="shared" si="31"/>
        <v>0.22</v>
      </c>
      <c r="W212" s="252">
        <f t="shared" si="30"/>
        <v>0.2</v>
      </c>
      <c r="X212" s="203">
        <f t="shared" si="26"/>
        <v>0</v>
      </c>
      <c r="Y212" s="203">
        <f t="shared" si="27"/>
        <v>0.75600000000000001</v>
      </c>
      <c r="Z212" s="203">
        <f t="shared" si="28"/>
        <v>0.76</v>
      </c>
      <c r="AA212" s="205">
        <f>+Table1[[#This Row],[calculated sale price]]</f>
        <v>0.76</v>
      </c>
      <c r="AB212" s="204"/>
      <c r="AC212" s="208"/>
    </row>
    <row r="213" spans="1:29">
      <c r="A213" s="188">
        <v>1204</v>
      </c>
      <c r="B213" t="s">
        <v>594</v>
      </c>
      <c r="C213" s="188">
        <v>1</v>
      </c>
      <c r="I213" s="188"/>
      <c r="J213" s="188"/>
      <c r="K213" s="188"/>
      <c r="L213" s="199"/>
      <c r="M213" s="188"/>
      <c r="N213" s="200"/>
      <c r="O213" s="201">
        <f>66.51/40*3</f>
        <v>4.9882500000000007</v>
      </c>
      <c r="P213" s="201">
        <f>Table1[[#This Row],[unit cost]]</f>
        <v>4.9882500000000007</v>
      </c>
      <c r="Q213" s="416">
        <v>0.5</v>
      </c>
      <c r="R213" s="188">
        <v>1</v>
      </c>
      <c r="S213" s="251">
        <f t="shared" si="29"/>
        <v>0.42</v>
      </c>
      <c r="T213" s="203">
        <f>Table1[[#This Row],[man minutes]]*Table1[[#This Row],[labor rate]]</f>
        <v>0.21</v>
      </c>
      <c r="U213" s="203">
        <f t="shared" si="25"/>
        <v>5.1982500000000007</v>
      </c>
      <c r="V213" s="189">
        <f t="shared" si="31"/>
        <v>0.22</v>
      </c>
      <c r="W213" s="252">
        <f t="shared" si="30"/>
        <v>0.2</v>
      </c>
      <c r="X213" s="203">
        <f t="shared" si="26"/>
        <v>6.0856650000000005</v>
      </c>
      <c r="Y213" s="203">
        <f t="shared" si="27"/>
        <v>0.252</v>
      </c>
      <c r="Z213" s="203">
        <f t="shared" si="28"/>
        <v>6.34</v>
      </c>
      <c r="AA213" s="205">
        <f>+Table1[[#This Row],[calculated sale price]]</f>
        <v>6.34</v>
      </c>
      <c r="AB213" s="204"/>
      <c r="AC213" s="208"/>
    </row>
    <row r="214" spans="1:29">
      <c r="A214" s="188">
        <v>1205</v>
      </c>
      <c r="B214" t="s">
        <v>595</v>
      </c>
      <c r="C214" s="188">
        <v>1</v>
      </c>
      <c r="I214" s="188"/>
      <c r="J214" s="188"/>
      <c r="K214" s="188"/>
      <c r="L214" s="199"/>
      <c r="M214" s="188"/>
      <c r="N214" s="200"/>
      <c r="O214" s="201">
        <v>0</v>
      </c>
      <c r="P214" s="201">
        <f>Table1[[#This Row],[unit cost]]</f>
        <v>0</v>
      </c>
      <c r="Q214" s="416">
        <v>0</v>
      </c>
      <c r="R214" s="188">
        <v>1</v>
      </c>
      <c r="S214" s="251">
        <f t="shared" si="29"/>
        <v>0.42</v>
      </c>
      <c r="T214" s="203">
        <f>Table1[[#This Row],[man minutes]]*Table1[[#This Row],[labor rate]]</f>
        <v>0</v>
      </c>
      <c r="U214" s="203">
        <f t="shared" si="25"/>
        <v>0</v>
      </c>
      <c r="V214" s="189">
        <f t="shared" si="31"/>
        <v>0.22</v>
      </c>
      <c r="W214" s="252">
        <f t="shared" si="30"/>
        <v>0.2</v>
      </c>
      <c r="X214" s="203">
        <f t="shared" si="26"/>
        <v>0</v>
      </c>
      <c r="Y214" s="203">
        <f t="shared" si="27"/>
        <v>0</v>
      </c>
      <c r="Z214" s="203">
        <f t="shared" si="28"/>
        <v>0</v>
      </c>
      <c r="AA214" s="205">
        <f>+Table1[[#This Row],[calculated sale price]]</f>
        <v>0</v>
      </c>
      <c r="AB214" s="204"/>
      <c r="AC214" s="208"/>
    </row>
    <row r="215" spans="1:29">
      <c r="A215" s="188">
        <v>1206</v>
      </c>
      <c r="B215" t="s">
        <v>596</v>
      </c>
      <c r="C215" s="188">
        <v>1</v>
      </c>
      <c r="I215" s="188"/>
      <c r="J215" s="188"/>
      <c r="K215" s="188"/>
      <c r="L215" s="199"/>
      <c r="M215" s="188"/>
      <c r="N215" s="200"/>
      <c r="O215" s="201">
        <v>0</v>
      </c>
      <c r="P215" s="201">
        <f>Table1[[#This Row],[unit cost]]</f>
        <v>0</v>
      </c>
      <c r="Q215" s="416">
        <v>1.65</v>
      </c>
      <c r="R215" s="188">
        <v>1</v>
      </c>
      <c r="S215" s="251">
        <f t="shared" si="29"/>
        <v>0.42</v>
      </c>
      <c r="T215" s="203">
        <f>Table1[[#This Row],[man minutes]]*Table1[[#This Row],[labor rate]]</f>
        <v>0.69299999999999995</v>
      </c>
      <c r="U215" s="203">
        <f t="shared" si="25"/>
        <v>0.69299999999999995</v>
      </c>
      <c r="V215" s="189">
        <f t="shared" si="31"/>
        <v>0.22</v>
      </c>
      <c r="W215" s="252">
        <f t="shared" si="30"/>
        <v>0.2</v>
      </c>
      <c r="X215" s="203">
        <f t="shared" si="26"/>
        <v>0</v>
      </c>
      <c r="Y215" s="203">
        <f t="shared" si="27"/>
        <v>0.83159999999999989</v>
      </c>
      <c r="Z215" s="203">
        <f t="shared" si="28"/>
        <v>0.84</v>
      </c>
      <c r="AA215" s="205">
        <f>+Table1[[#This Row],[calculated sale price]]</f>
        <v>0.84</v>
      </c>
      <c r="AB215" s="204"/>
      <c r="AC215" s="208"/>
    </row>
    <row r="216" spans="1:29">
      <c r="A216" s="188">
        <v>1207</v>
      </c>
      <c r="B216" t="s">
        <v>597</v>
      </c>
      <c r="C216" s="188">
        <v>1</v>
      </c>
      <c r="I216" s="188"/>
      <c r="J216" s="188"/>
      <c r="K216" s="188"/>
      <c r="L216" s="199"/>
      <c r="M216" s="188"/>
      <c r="N216" s="200"/>
      <c r="O216" s="201">
        <v>0</v>
      </c>
      <c r="P216" s="201">
        <f>Table1[[#This Row],[unit cost]]</f>
        <v>0</v>
      </c>
      <c r="Q216" s="416">
        <v>1.1499999999999999</v>
      </c>
      <c r="R216" s="188">
        <v>1</v>
      </c>
      <c r="S216" s="251">
        <f t="shared" si="29"/>
        <v>0.42</v>
      </c>
      <c r="T216" s="203">
        <f>Table1[[#This Row],[man minutes]]*Table1[[#This Row],[labor rate]]</f>
        <v>0.48299999999999993</v>
      </c>
      <c r="U216" s="203">
        <f t="shared" ref="U216:U253" si="32">P216+T216</f>
        <v>0.48299999999999993</v>
      </c>
      <c r="V216" s="189">
        <f t="shared" si="31"/>
        <v>0.22</v>
      </c>
      <c r="W216" s="252">
        <f t="shared" si="30"/>
        <v>0.2</v>
      </c>
      <c r="X216" s="203">
        <f t="shared" ref="X216:X253" si="33">P216*(1+V216)</f>
        <v>0</v>
      </c>
      <c r="Y216" s="203">
        <f t="shared" ref="Y216:Y253" si="34">T216+(T216*W216)</f>
        <v>0.57959999999999989</v>
      </c>
      <c r="Z216" s="203">
        <f t="shared" ref="Z216:Z253" si="35">IFERROR(ROUNDUP(X216+Y216,2)," ")</f>
        <v>0.57999999999999996</v>
      </c>
      <c r="AA216" s="205">
        <f>+Table1[[#This Row],[calculated sale price]]</f>
        <v>0.57999999999999996</v>
      </c>
      <c r="AB216" s="204"/>
      <c r="AC216" s="208"/>
    </row>
    <row r="217" spans="1:29">
      <c r="A217" s="188">
        <v>1208</v>
      </c>
      <c r="B217" t="s">
        <v>598</v>
      </c>
      <c r="C217" s="188">
        <v>1</v>
      </c>
      <c r="I217" s="188"/>
      <c r="J217" s="188"/>
      <c r="K217" s="188"/>
      <c r="L217" s="199"/>
      <c r="M217" s="188"/>
      <c r="N217" s="200"/>
      <c r="O217" s="201">
        <v>0.16500000000000001</v>
      </c>
      <c r="P217" s="201">
        <f>Table1[[#This Row],[unit cost]]</f>
        <v>0.16500000000000001</v>
      </c>
      <c r="Q217" s="416">
        <v>0.25</v>
      </c>
      <c r="R217" s="188">
        <v>1</v>
      </c>
      <c r="S217" s="251">
        <f t="shared" si="29"/>
        <v>0.42</v>
      </c>
      <c r="T217" s="203">
        <f>Table1[[#This Row],[man minutes]]*Table1[[#This Row],[labor rate]]</f>
        <v>0.105</v>
      </c>
      <c r="U217" s="203">
        <f t="shared" si="32"/>
        <v>0.27</v>
      </c>
      <c r="V217" s="189">
        <f t="shared" si="31"/>
        <v>0.22</v>
      </c>
      <c r="W217" s="252">
        <f t="shared" si="30"/>
        <v>0.2</v>
      </c>
      <c r="X217" s="203">
        <f t="shared" si="33"/>
        <v>0.20130000000000001</v>
      </c>
      <c r="Y217" s="203">
        <f t="shared" si="34"/>
        <v>0.126</v>
      </c>
      <c r="Z217" s="203">
        <f t="shared" si="35"/>
        <v>0.33</v>
      </c>
      <c r="AA217" s="205">
        <f>+Table1[[#This Row],[calculated sale price]]</f>
        <v>0.33</v>
      </c>
      <c r="AB217" s="204"/>
      <c r="AC217" s="208"/>
    </row>
    <row r="218" spans="1:29">
      <c r="A218" s="188">
        <v>1209</v>
      </c>
      <c r="B218" t="s">
        <v>599</v>
      </c>
      <c r="C218" s="188">
        <v>1</v>
      </c>
      <c r="I218" s="188"/>
      <c r="J218" s="188"/>
      <c r="K218" s="188"/>
      <c r="L218" s="199"/>
      <c r="M218" s="188"/>
      <c r="N218" s="200"/>
      <c r="O218" s="201">
        <v>1.5333000000000001</v>
      </c>
      <c r="P218" s="201">
        <f>Table1[[#This Row],[unit cost]]</f>
        <v>1.5333000000000001</v>
      </c>
      <c r="Q218" s="416">
        <v>0.25</v>
      </c>
      <c r="R218" s="188">
        <v>1</v>
      </c>
      <c r="S218" s="251">
        <f t="shared" si="29"/>
        <v>0.42</v>
      </c>
      <c r="T218" s="203">
        <f>Table1[[#This Row],[man minutes]]*Table1[[#This Row],[labor rate]]</f>
        <v>0.105</v>
      </c>
      <c r="U218" s="203">
        <f t="shared" si="32"/>
        <v>1.6383000000000001</v>
      </c>
      <c r="V218" s="189">
        <f t="shared" si="31"/>
        <v>0.22</v>
      </c>
      <c r="W218" s="252">
        <f t="shared" si="30"/>
        <v>0.2</v>
      </c>
      <c r="X218" s="203">
        <f t="shared" si="33"/>
        <v>1.8706260000000001</v>
      </c>
      <c r="Y218" s="203">
        <f t="shared" si="34"/>
        <v>0.126</v>
      </c>
      <c r="Z218" s="203">
        <f t="shared" si="35"/>
        <v>2</v>
      </c>
      <c r="AA218" s="205">
        <f>+Table1[[#This Row],[calculated sale price]]</f>
        <v>2</v>
      </c>
      <c r="AB218" s="204"/>
      <c r="AC218" s="208"/>
    </row>
    <row r="219" spans="1:29">
      <c r="A219" s="188">
        <v>1210</v>
      </c>
      <c r="B219" t="s">
        <v>600</v>
      </c>
      <c r="C219" s="188">
        <v>1</v>
      </c>
      <c r="I219" s="188"/>
      <c r="J219" s="188"/>
      <c r="K219" s="188"/>
      <c r="L219" s="199"/>
      <c r="M219" s="188"/>
      <c r="N219" s="200"/>
      <c r="O219" s="201">
        <v>0.83</v>
      </c>
      <c r="P219" s="201">
        <f>Table1[[#This Row],[unit cost]]</f>
        <v>0.83</v>
      </c>
      <c r="Q219" s="416">
        <v>2.25</v>
      </c>
      <c r="R219" s="188">
        <v>1</v>
      </c>
      <c r="S219" s="251">
        <f t="shared" si="29"/>
        <v>0.42</v>
      </c>
      <c r="T219" s="203">
        <f>Table1[[#This Row],[man minutes]]*Table1[[#This Row],[labor rate]]</f>
        <v>0.94499999999999995</v>
      </c>
      <c r="U219" s="203">
        <f t="shared" si="32"/>
        <v>1.7749999999999999</v>
      </c>
      <c r="V219" s="189">
        <f t="shared" si="31"/>
        <v>0.22</v>
      </c>
      <c r="W219" s="252">
        <f t="shared" si="30"/>
        <v>0.2</v>
      </c>
      <c r="X219" s="203">
        <f t="shared" si="33"/>
        <v>1.0125999999999999</v>
      </c>
      <c r="Y219" s="203">
        <f t="shared" si="34"/>
        <v>1.1339999999999999</v>
      </c>
      <c r="Z219" s="203">
        <f t="shared" si="35"/>
        <v>2.15</v>
      </c>
      <c r="AA219" s="205">
        <f>+Table1[[#This Row],[calculated sale price]]</f>
        <v>2.15</v>
      </c>
      <c r="AB219" s="204"/>
      <c r="AC219" s="208"/>
    </row>
    <row r="220" spans="1:29">
      <c r="A220" s="188">
        <v>1211</v>
      </c>
      <c r="B220" t="s">
        <v>601</v>
      </c>
      <c r="C220" s="188">
        <v>1</v>
      </c>
      <c r="I220" s="188"/>
      <c r="J220" s="188"/>
      <c r="K220" s="188"/>
      <c r="L220" s="199"/>
      <c r="M220" s="188"/>
      <c r="N220" s="200"/>
      <c r="O220" s="201">
        <v>1.1499999999999999</v>
      </c>
      <c r="P220" s="201">
        <f>Table1[[#This Row],[unit cost]]</f>
        <v>1.1499999999999999</v>
      </c>
      <c r="Q220" s="416">
        <v>2.25</v>
      </c>
      <c r="R220" s="188">
        <v>1</v>
      </c>
      <c r="S220" s="251">
        <f t="shared" si="29"/>
        <v>0.42</v>
      </c>
      <c r="T220" s="203">
        <f>Table1[[#This Row],[man minutes]]*Table1[[#This Row],[labor rate]]</f>
        <v>0.94499999999999995</v>
      </c>
      <c r="U220" s="203">
        <f t="shared" si="32"/>
        <v>2.0949999999999998</v>
      </c>
      <c r="V220" s="189">
        <f t="shared" si="31"/>
        <v>0.22</v>
      </c>
      <c r="W220" s="252">
        <f t="shared" si="30"/>
        <v>0.2</v>
      </c>
      <c r="X220" s="203">
        <f t="shared" si="33"/>
        <v>1.4029999999999998</v>
      </c>
      <c r="Y220" s="203">
        <f t="shared" si="34"/>
        <v>1.1339999999999999</v>
      </c>
      <c r="Z220" s="203">
        <f t="shared" si="35"/>
        <v>2.5399999999999996</v>
      </c>
      <c r="AA220" s="205">
        <f>+Table1[[#This Row],[calculated sale price]]</f>
        <v>2.5399999999999996</v>
      </c>
      <c r="AB220" s="204"/>
      <c r="AC220" s="208"/>
    </row>
    <row r="221" spans="1:29">
      <c r="A221" s="188">
        <v>1212</v>
      </c>
      <c r="C221" s="188">
        <v>1</v>
      </c>
      <c r="I221" s="188"/>
      <c r="J221" s="188"/>
      <c r="K221" s="188"/>
      <c r="L221" s="199"/>
      <c r="M221" s="188"/>
      <c r="N221" s="200"/>
      <c r="O221" s="201">
        <v>0</v>
      </c>
      <c r="P221" s="201">
        <f>Table1[[#This Row],[unit cost]]</f>
        <v>0</v>
      </c>
      <c r="Q221" s="416"/>
      <c r="R221" s="188">
        <v>1</v>
      </c>
      <c r="S221" s="251">
        <f t="shared" si="29"/>
        <v>0.42</v>
      </c>
      <c r="T221" s="203">
        <f>Table1[[#This Row],[man minutes]]*Table1[[#This Row],[labor rate]]</f>
        <v>0</v>
      </c>
      <c r="U221" s="203">
        <f t="shared" si="32"/>
        <v>0</v>
      </c>
      <c r="V221" s="189">
        <f t="shared" si="31"/>
        <v>0.22</v>
      </c>
      <c r="W221" s="252">
        <f t="shared" si="30"/>
        <v>0.2</v>
      </c>
      <c r="X221" s="203">
        <f t="shared" si="33"/>
        <v>0</v>
      </c>
      <c r="Y221" s="203">
        <f t="shared" si="34"/>
        <v>0</v>
      </c>
      <c r="Z221" s="203">
        <f t="shared" si="35"/>
        <v>0</v>
      </c>
      <c r="AA221" s="205">
        <f>+Table1[[#This Row],[calculated sale price]]</f>
        <v>0</v>
      </c>
      <c r="AB221" s="204"/>
      <c r="AC221" s="208"/>
    </row>
    <row r="222" spans="1:29">
      <c r="A222" s="188">
        <v>1213</v>
      </c>
      <c r="C222" s="188">
        <v>1</v>
      </c>
      <c r="I222" s="188"/>
      <c r="J222" s="188"/>
      <c r="K222" s="188"/>
      <c r="L222" s="199"/>
      <c r="M222" s="188"/>
      <c r="N222" s="200"/>
      <c r="O222" s="201">
        <v>0</v>
      </c>
      <c r="P222" s="201">
        <f>Table1[[#This Row],[unit cost]]</f>
        <v>0</v>
      </c>
      <c r="Q222" s="416"/>
      <c r="R222" s="188">
        <v>1</v>
      </c>
      <c r="S222" s="251">
        <f t="shared" si="29"/>
        <v>0.42</v>
      </c>
      <c r="T222" s="203">
        <f>Table1[[#This Row],[man minutes]]*Table1[[#This Row],[labor rate]]</f>
        <v>0</v>
      </c>
      <c r="U222" s="203">
        <f t="shared" si="32"/>
        <v>0</v>
      </c>
      <c r="V222" s="189">
        <f t="shared" si="31"/>
        <v>0.22</v>
      </c>
      <c r="W222" s="252">
        <f t="shared" si="30"/>
        <v>0.2</v>
      </c>
      <c r="X222" s="203">
        <f t="shared" si="33"/>
        <v>0</v>
      </c>
      <c r="Y222" s="203">
        <f t="shared" si="34"/>
        <v>0</v>
      </c>
      <c r="Z222" s="203">
        <f t="shared" si="35"/>
        <v>0</v>
      </c>
      <c r="AA222" s="205">
        <f>+Table1[[#This Row],[calculated sale price]]</f>
        <v>0</v>
      </c>
      <c r="AB222" s="204"/>
      <c r="AC222" s="208"/>
    </row>
    <row r="223" spans="1:29">
      <c r="A223" s="188">
        <v>1214</v>
      </c>
      <c r="C223" s="188">
        <v>1</v>
      </c>
      <c r="I223" s="188"/>
      <c r="J223" s="188"/>
      <c r="K223" s="188"/>
      <c r="L223" s="199"/>
      <c r="M223" s="188"/>
      <c r="N223" s="200"/>
      <c r="O223" s="201">
        <v>0</v>
      </c>
      <c r="P223" s="201">
        <f>Table1[[#This Row],[unit cost]]</f>
        <v>0</v>
      </c>
      <c r="Q223" s="416"/>
      <c r="R223" s="188">
        <v>1</v>
      </c>
      <c r="S223" s="251">
        <f t="shared" si="29"/>
        <v>0.42</v>
      </c>
      <c r="T223" s="203">
        <f>Table1[[#This Row],[man minutes]]*Table1[[#This Row],[labor rate]]</f>
        <v>0</v>
      </c>
      <c r="U223" s="203">
        <f t="shared" si="32"/>
        <v>0</v>
      </c>
      <c r="V223" s="189">
        <f t="shared" si="31"/>
        <v>0.22</v>
      </c>
      <c r="W223" s="252">
        <f t="shared" si="30"/>
        <v>0.2</v>
      </c>
      <c r="X223" s="203">
        <f t="shared" si="33"/>
        <v>0</v>
      </c>
      <c r="Y223" s="203">
        <f t="shared" si="34"/>
        <v>0</v>
      </c>
      <c r="Z223" s="203">
        <f t="shared" si="35"/>
        <v>0</v>
      </c>
      <c r="AA223" s="205">
        <f>+Table1[[#This Row],[calculated sale price]]</f>
        <v>0</v>
      </c>
      <c r="AB223" s="204"/>
      <c r="AC223" s="208"/>
    </row>
    <row r="224" spans="1:29">
      <c r="A224" s="188">
        <v>1215</v>
      </c>
      <c r="C224" s="188">
        <v>1</v>
      </c>
      <c r="I224" s="188"/>
      <c r="J224" s="188"/>
      <c r="K224" s="188"/>
      <c r="L224" s="199"/>
      <c r="M224" s="188"/>
      <c r="N224" s="200"/>
      <c r="O224" s="201">
        <v>0</v>
      </c>
      <c r="P224" s="201">
        <f>Table1[[#This Row],[unit cost]]</f>
        <v>0</v>
      </c>
      <c r="Q224" s="416"/>
      <c r="R224" s="188">
        <v>1</v>
      </c>
      <c r="S224" s="251">
        <f t="shared" si="29"/>
        <v>0.42</v>
      </c>
      <c r="T224" s="203">
        <f>Table1[[#This Row],[man minutes]]*Table1[[#This Row],[labor rate]]</f>
        <v>0</v>
      </c>
      <c r="U224" s="203">
        <f t="shared" si="32"/>
        <v>0</v>
      </c>
      <c r="V224" s="189">
        <f t="shared" si="31"/>
        <v>0.22</v>
      </c>
      <c r="W224" s="252">
        <f t="shared" si="30"/>
        <v>0.2</v>
      </c>
      <c r="X224" s="203">
        <f t="shared" si="33"/>
        <v>0</v>
      </c>
      <c r="Y224" s="203">
        <f t="shared" si="34"/>
        <v>0</v>
      </c>
      <c r="Z224" s="203">
        <f t="shared" si="35"/>
        <v>0</v>
      </c>
      <c r="AA224" s="205">
        <f>+Table1[[#This Row],[calculated sale price]]</f>
        <v>0</v>
      </c>
      <c r="AB224" s="204"/>
      <c r="AC224" s="208"/>
    </row>
    <row r="225" spans="1:29">
      <c r="A225" s="188">
        <v>1216</v>
      </c>
      <c r="C225" s="188">
        <v>1</v>
      </c>
      <c r="I225" s="188"/>
      <c r="J225" s="188"/>
      <c r="K225" s="188"/>
      <c r="L225" s="199"/>
      <c r="M225" s="188"/>
      <c r="N225" s="200"/>
      <c r="O225" s="201">
        <v>0</v>
      </c>
      <c r="P225" s="201">
        <f>Table1[[#This Row],[unit cost]]</f>
        <v>0</v>
      </c>
      <c r="Q225" s="416"/>
      <c r="R225" s="188">
        <v>1</v>
      </c>
      <c r="S225" s="251">
        <f t="shared" si="29"/>
        <v>0.42</v>
      </c>
      <c r="T225" s="203">
        <f>Table1[[#This Row],[man minutes]]*Table1[[#This Row],[labor rate]]</f>
        <v>0</v>
      </c>
      <c r="U225" s="203">
        <f t="shared" si="32"/>
        <v>0</v>
      </c>
      <c r="V225" s="189">
        <f t="shared" si="31"/>
        <v>0.22</v>
      </c>
      <c r="W225" s="252">
        <f t="shared" si="30"/>
        <v>0.2</v>
      </c>
      <c r="X225" s="203">
        <f t="shared" si="33"/>
        <v>0</v>
      </c>
      <c r="Y225" s="203">
        <f t="shared" si="34"/>
        <v>0</v>
      </c>
      <c r="Z225" s="203">
        <f t="shared" si="35"/>
        <v>0</v>
      </c>
      <c r="AA225" s="205">
        <f>+Table1[[#This Row],[calculated sale price]]</f>
        <v>0</v>
      </c>
      <c r="AB225" s="204"/>
      <c r="AC225" s="208"/>
    </row>
    <row r="226" spans="1:29">
      <c r="A226" s="188">
        <v>1217</v>
      </c>
      <c r="C226" s="188">
        <v>1</v>
      </c>
      <c r="I226" s="188"/>
      <c r="J226" s="188"/>
      <c r="K226" s="188"/>
      <c r="L226" s="199"/>
      <c r="M226" s="188"/>
      <c r="N226" s="200"/>
      <c r="O226" s="201">
        <v>0</v>
      </c>
      <c r="P226" s="201">
        <f>Table1[[#This Row],[unit cost]]</f>
        <v>0</v>
      </c>
      <c r="Q226" s="416"/>
      <c r="R226" s="188">
        <v>1</v>
      </c>
      <c r="S226" s="251">
        <f t="shared" si="29"/>
        <v>0.42</v>
      </c>
      <c r="T226" s="203">
        <f>Table1[[#This Row],[man minutes]]*Table1[[#This Row],[labor rate]]</f>
        <v>0</v>
      </c>
      <c r="U226" s="203">
        <f t="shared" si="32"/>
        <v>0</v>
      </c>
      <c r="V226" s="189">
        <f t="shared" si="31"/>
        <v>0.22</v>
      </c>
      <c r="W226" s="252">
        <f t="shared" si="30"/>
        <v>0.2</v>
      </c>
      <c r="X226" s="203">
        <f t="shared" si="33"/>
        <v>0</v>
      </c>
      <c r="Y226" s="203">
        <f t="shared" si="34"/>
        <v>0</v>
      </c>
      <c r="Z226" s="203">
        <f t="shared" si="35"/>
        <v>0</v>
      </c>
      <c r="AA226" s="205">
        <f>+Table1[[#This Row],[calculated sale price]]</f>
        <v>0</v>
      </c>
      <c r="AB226" s="204"/>
      <c r="AC226" s="208"/>
    </row>
    <row r="227" spans="1:29">
      <c r="A227" s="188">
        <v>1218</v>
      </c>
      <c r="C227" s="188">
        <v>1</v>
      </c>
      <c r="I227" s="188"/>
      <c r="J227" s="188"/>
      <c r="K227" s="188"/>
      <c r="L227" s="199"/>
      <c r="M227" s="188"/>
      <c r="N227" s="200"/>
      <c r="O227" s="201">
        <v>0</v>
      </c>
      <c r="P227" s="201">
        <f>Table1[[#This Row],[unit cost]]</f>
        <v>0</v>
      </c>
      <c r="Q227" s="416"/>
      <c r="R227" s="188">
        <v>1</v>
      </c>
      <c r="S227" s="251">
        <f t="shared" si="29"/>
        <v>0.42</v>
      </c>
      <c r="T227" s="203">
        <f>Table1[[#This Row],[man minutes]]*Table1[[#This Row],[labor rate]]</f>
        <v>0</v>
      </c>
      <c r="U227" s="203">
        <f t="shared" si="32"/>
        <v>0</v>
      </c>
      <c r="V227" s="189">
        <f t="shared" si="31"/>
        <v>0.22</v>
      </c>
      <c r="W227" s="252">
        <f t="shared" si="30"/>
        <v>0.2</v>
      </c>
      <c r="X227" s="203">
        <f t="shared" si="33"/>
        <v>0</v>
      </c>
      <c r="Y227" s="203">
        <f t="shared" si="34"/>
        <v>0</v>
      </c>
      <c r="Z227" s="203">
        <f t="shared" si="35"/>
        <v>0</v>
      </c>
      <c r="AA227" s="205">
        <f>+Table1[[#This Row],[calculated sale price]]</f>
        <v>0</v>
      </c>
      <c r="AB227" s="204"/>
      <c r="AC227" s="208"/>
    </row>
    <row r="228" spans="1:29">
      <c r="A228" s="188">
        <v>1219</v>
      </c>
      <c r="C228" s="188">
        <v>1</v>
      </c>
      <c r="I228" s="188"/>
      <c r="J228" s="188"/>
      <c r="K228" s="188"/>
      <c r="L228" s="199"/>
      <c r="M228" s="188"/>
      <c r="N228" s="200"/>
      <c r="O228" s="201">
        <v>0</v>
      </c>
      <c r="P228" s="201">
        <f>Table1[[#This Row],[unit cost]]</f>
        <v>0</v>
      </c>
      <c r="Q228" s="416"/>
      <c r="R228" s="188">
        <v>1</v>
      </c>
      <c r="S228" s="251">
        <f t="shared" si="29"/>
        <v>0.42</v>
      </c>
      <c r="T228" s="203">
        <f>Table1[[#This Row],[man minutes]]*Table1[[#This Row],[labor rate]]</f>
        <v>0</v>
      </c>
      <c r="U228" s="203">
        <f t="shared" si="32"/>
        <v>0</v>
      </c>
      <c r="V228" s="189">
        <f t="shared" si="31"/>
        <v>0.22</v>
      </c>
      <c r="W228" s="252">
        <f t="shared" si="30"/>
        <v>0.2</v>
      </c>
      <c r="X228" s="203">
        <f t="shared" si="33"/>
        <v>0</v>
      </c>
      <c r="Y228" s="203">
        <f t="shared" si="34"/>
        <v>0</v>
      </c>
      <c r="Z228" s="203">
        <f t="shared" si="35"/>
        <v>0</v>
      </c>
      <c r="AA228" s="205">
        <f>+Table1[[#This Row],[calculated sale price]]</f>
        <v>0</v>
      </c>
      <c r="AB228" s="204"/>
      <c r="AC228" s="208"/>
    </row>
    <row r="229" spans="1:29">
      <c r="A229" s="188">
        <v>1220</v>
      </c>
      <c r="C229" s="188">
        <v>1</v>
      </c>
      <c r="I229" s="188"/>
      <c r="J229" s="188"/>
      <c r="K229" s="188"/>
      <c r="L229" s="199"/>
      <c r="M229" s="188"/>
      <c r="N229" s="200"/>
      <c r="O229" s="201">
        <v>0</v>
      </c>
      <c r="P229" s="201">
        <f>Table1[[#This Row],[unit cost]]</f>
        <v>0</v>
      </c>
      <c r="Q229" s="416"/>
      <c r="R229" s="188">
        <v>1</v>
      </c>
      <c r="S229" s="251">
        <f t="shared" si="29"/>
        <v>0.42</v>
      </c>
      <c r="T229" s="203">
        <f>Table1[[#This Row],[man minutes]]*Table1[[#This Row],[labor rate]]</f>
        <v>0</v>
      </c>
      <c r="U229" s="203">
        <f t="shared" si="32"/>
        <v>0</v>
      </c>
      <c r="V229" s="189">
        <f t="shared" si="31"/>
        <v>0.22</v>
      </c>
      <c r="W229" s="252">
        <f t="shared" si="30"/>
        <v>0.2</v>
      </c>
      <c r="X229" s="203">
        <f t="shared" si="33"/>
        <v>0</v>
      </c>
      <c r="Y229" s="203">
        <f t="shared" si="34"/>
        <v>0</v>
      </c>
      <c r="Z229" s="203">
        <f t="shared" si="35"/>
        <v>0</v>
      </c>
      <c r="AA229" s="205">
        <f>+Table1[[#This Row],[calculated sale price]]</f>
        <v>0</v>
      </c>
      <c r="AB229" s="204"/>
      <c r="AC229" s="208"/>
    </row>
    <row r="230" spans="1:29">
      <c r="A230" s="188">
        <v>1221</v>
      </c>
      <c r="C230" s="188">
        <v>1</v>
      </c>
      <c r="I230" s="188"/>
      <c r="J230" s="188"/>
      <c r="K230" s="188"/>
      <c r="L230" s="199"/>
      <c r="M230" s="188"/>
      <c r="N230" s="200"/>
      <c r="O230" s="201">
        <v>0</v>
      </c>
      <c r="P230" s="201">
        <f>Table1[[#This Row],[unit cost]]</f>
        <v>0</v>
      </c>
      <c r="Q230" s="416"/>
      <c r="R230" s="188">
        <v>1</v>
      </c>
      <c r="S230" s="251">
        <f t="shared" si="29"/>
        <v>0.42</v>
      </c>
      <c r="T230" s="203">
        <f>Table1[[#This Row],[man minutes]]*Table1[[#This Row],[labor rate]]</f>
        <v>0</v>
      </c>
      <c r="U230" s="203">
        <f t="shared" si="32"/>
        <v>0</v>
      </c>
      <c r="V230" s="189">
        <f t="shared" si="31"/>
        <v>0.22</v>
      </c>
      <c r="W230" s="252">
        <f t="shared" si="30"/>
        <v>0.2</v>
      </c>
      <c r="X230" s="203">
        <f t="shared" si="33"/>
        <v>0</v>
      </c>
      <c r="Y230" s="203">
        <f t="shared" si="34"/>
        <v>0</v>
      </c>
      <c r="Z230" s="203">
        <f t="shared" si="35"/>
        <v>0</v>
      </c>
      <c r="AA230" s="205">
        <f>+Table1[[#This Row],[calculated sale price]]</f>
        <v>0</v>
      </c>
      <c r="AB230" s="204"/>
      <c r="AC230" s="208"/>
    </row>
    <row r="231" spans="1:29">
      <c r="A231" s="188">
        <v>1222</v>
      </c>
      <c r="C231" s="188">
        <v>1</v>
      </c>
      <c r="I231" s="188"/>
      <c r="J231" s="188"/>
      <c r="K231" s="188"/>
      <c r="L231" s="199"/>
      <c r="M231" s="188"/>
      <c r="N231" s="200"/>
      <c r="O231" s="201">
        <v>0</v>
      </c>
      <c r="P231" s="201">
        <f>Table1[[#This Row],[unit cost]]</f>
        <v>0</v>
      </c>
      <c r="Q231" s="416"/>
      <c r="R231" s="188">
        <v>1</v>
      </c>
      <c r="S231" s="251">
        <f t="shared" si="29"/>
        <v>0.42</v>
      </c>
      <c r="T231" s="203">
        <f>Table1[[#This Row],[man minutes]]*Table1[[#This Row],[labor rate]]</f>
        <v>0</v>
      </c>
      <c r="U231" s="203">
        <f t="shared" si="32"/>
        <v>0</v>
      </c>
      <c r="V231" s="189">
        <f t="shared" si="31"/>
        <v>0.22</v>
      </c>
      <c r="W231" s="252">
        <f t="shared" si="30"/>
        <v>0.2</v>
      </c>
      <c r="X231" s="203">
        <f t="shared" si="33"/>
        <v>0</v>
      </c>
      <c r="Y231" s="203">
        <f t="shared" si="34"/>
        <v>0</v>
      </c>
      <c r="Z231" s="203">
        <f t="shared" si="35"/>
        <v>0</v>
      </c>
      <c r="AA231" s="205">
        <f>+Table1[[#This Row],[calculated sale price]]</f>
        <v>0</v>
      </c>
      <c r="AB231" s="204"/>
      <c r="AC231" s="208"/>
    </row>
    <row r="232" spans="1:29">
      <c r="A232" s="188">
        <v>1223</v>
      </c>
      <c r="C232" s="188">
        <v>1</v>
      </c>
      <c r="I232" s="188"/>
      <c r="J232" s="188"/>
      <c r="K232" s="188"/>
      <c r="L232" s="199"/>
      <c r="M232" s="188"/>
      <c r="N232" s="200"/>
      <c r="O232" s="201">
        <v>0</v>
      </c>
      <c r="P232" s="201">
        <f>Table1[[#This Row],[unit cost]]</f>
        <v>0</v>
      </c>
      <c r="Q232" s="416"/>
      <c r="R232" s="188">
        <v>1</v>
      </c>
      <c r="S232" s="251">
        <f t="shared" si="29"/>
        <v>0.42</v>
      </c>
      <c r="T232" s="203">
        <f>Table1[[#This Row],[man minutes]]*Table1[[#This Row],[labor rate]]</f>
        <v>0</v>
      </c>
      <c r="U232" s="203">
        <f t="shared" si="32"/>
        <v>0</v>
      </c>
      <c r="V232" s="189">
        <f t="shared" si="31"/>
        <v>0.22</v>
      </c>
      <c r="W232" s="252">
        <f t="shared" si="30"/>
        <v>0.2</v>
      </c>
      <c r="X232" s="203">
        <f t="shared" si="33"/>
        <v>0</v>
      </c>
      <c r="Y232" s="203">
        <f t="shared" si="34"/>
        <v>0</v>
      </c>
      <c r="Z232" s="203">
        <f t="shared" si="35"/>
        <v>0</v>
      </c>
      <c r="AA232" s="205">
        <f>+Table1[[#This Row],[calculated sale price]]</f>
        <v>0</v>
      </c>
      <c r="AB232" s="204"/>
      <c r="AC232" s="208"/>
    </row>
    <row r="233" spans="1:29">
      <c r="A233" s="188">
        <v>1224</v>
      </c>
      <c r="C233" s="188">
        <v>1</v>
      </c>
      <c r="I233" s="188"/>
      <c r="J233" s="188"/>
      <c r="K233" s="188"/>
      <c r="L233" s="199"/>
      <c r="M233" s="188"/>
      <c r="N233" s="200"/>
      <c r="O233" s="201">
        <v>0</v>
      </c>
      <c r="P233" s="201">
        <f>Table1[[#This Row],[unit cost]]</f>
        <v>0</v>
      </c>
      <c r="Q233" s="416"/>
      <c r="R233" s="188">
        <v>1</v>
      </c>
      <c r="S233" s="251">
        <f t="shared" si="29"/>
        <v>0.42</v>
      </c>
      <c r="T233" s="203">
        <f>Table1[[#This Row],[man minutes]]*Table1[[#This Row],[labor rate]]</f>
        <v>0</v>
      </c>
      <c r="U233" s="203">
        <f t="shared" si="32"/>
        <v>0</v>
      </c>
      <c r="V233" s="189">
        <f t="shared" si="31"/>
        <v>0.22</v>
      </c>
      <c r="W233" s="252">
        <f t="shared" si="30"/>
        <v>0.2</v>
      </c>
      <c r="X233" s="203">
        <f t="shared" si="33"/>
        <v>0</v>
      </c>
      <c r="Y233" s="203">
        <f t="shared" si="34"/>
        <v>0</v>
      </c>
      <c r="Z233" s="203">
        <f t="shared" si="35"/>
        <v>0</v>
      </c>
      <c r="AA233" s="205">
        <f>+Table1[[#This Row],[calculated sale price]]</f>
        <v>0</v>
      </c>
      <c r="AB233" s="204"/>
      <c r="AC233" s="208"/>
    </row>
    <row r="234" spans="1:29">
      <c r="A234" s="188">
        <v>1225</v>
      </c>
      <c r="C234" s="188">
        <v>1</v>
      </c>
      <c r="I234" s="188"/>
      <c r="J234" s="188"/>
      <c r="K234" s="188"/>
      <c r="L234" s="199"/>
      <c r="M234" s="188"/>
      <c r="N234" s="200"/>
      <c r="O234" s="201">
        <v>0</v>
      </c>
      <c r="P234" s="201">
        <f>Table1[[#This Row],[unit cost]]</f>
        <v>0</v>
      </c>
      <c r="Q234" s="416"/>
      <c r="R234" s="188">
        <v>1</v>
      </c>
      <c r="S234" s="251">
        <f t="shared" si="29"/>
        <v>0.42</v>
      </c>
      <c r="T234" s="203">
        <f>Table1[[#This Row],[man minutes]]*Table1[[#This Row],[labor rate]]</f>
        <v>0</v>
      </c>
      <c r="U234" s="203">
        <f t="shared" si="32"/>
        <v>0</v>
      </c>
      <c r="V234" s="189">
        <f t="shared" si="31"/>
        <v>0.22</v>
      </c>
      <c r="W234" s="252">
        <f t="shared" si="30"/>
        <v>0.2</v>
      </c>
      <c r="X234" s="203">
        <f t="shared" si="33"/>
        <v>0</v>
      </c>
      <c r="Y234" s="203">
        <f t="shared" si="34"/>
        <v>0</v>
      </c>
      <c r="Z234" s="203">
        <f t="shared" si="35"/>
        <v>0</v>
      </c>
      <c r="AA234" s="205">
        <f>+Table1[[#This Row],[calculated sale price]]</f>
        <v>0</v>
      </c>
      <c r="AB234" s="204"/>
      <c r="AC234" s="208"/>
    </row>
    <row r="235" spans="1:29">
      <c r="A235" s="188">
        <v>1226</v>
      </c>
      <c r="C235" s="188">
        <v>1</v>
      </c>
      <c r="I235" s="188"/>
      <c r="J235" s="188"/>
      <c r="K235" s="188"/>
      <c r="L235" s="199"/>
      <c r="M235" s="188"/>
      <c r="N235" s="200"/>
      <c r="O235" s="201">
        <v>0</v>
      </c>
      <c r="P235" s="201">
        <f>Table1[[#This Row],[unit cost]]</f>
        <v>0</v>
      </c>
      <c r="Q235" s="416"/>
      <c r="R235" s="188">
        <v>1</v>
      </c>
      <c r="S235" s="251">
        <f t="shared" si="29"/>
        <v>0.42</v>
      </c>
      <c r="T235" s="203">
        <f>Table1[[#This Row],[man minutes]]*Table1[[#This Row],[labor rate]]</f>
        <v>0</v>
      </c>
      <c r="U235" s="203">
        <f t="shared" si="32"/>
        <v>0</v>
      </c>
      <c r="V235" s="189">
        <f t="shared" si="31"/>
        <v>0.22</v>
      </c>
      <c r="W235" s="252">
        <f t="shared" si="30"/>
        <v>0.2</v>
      </c>
      <c r="X235" s="203">
        <f t="shared" si="33"/>
        <v>0</v>
      </c>
      <c r="Y235" s="203">
        <f t="shared" si="34"/>
        <v>0</v>
      </c>
      <c r="Z235" s="203">
        <f t="shared" si="35"/>
        <v>0</v>
      </c>
      <c r="AA235" s="205">
        <f>+Table1[[#This Row],[calculated sale price]]</f>
        <v>0</v>
      </c>
      <c r="AB235" s="204"/>
      <c r="AC235" s="208"/>
    </row>
    <row r="236" spans="1:29">
      <c r="A236" s="188">
        <v>1227</v>
      </c>
      <c r="C236" s="188">
        <v>1</v>
      </c>
      <c r="I236" s="188"/>
      <c r="J236" s="188"/>
      <c r="K236" s="188"/>
      <c r="L236" s="199"/>
      <c r="M236" s="188"/>
      <c r="N236" s="200"/>
      <c r="O236" s="201">
        <v>0</v>
      </c>
      <c r="P236" s="201">
        <f>Table1[[#This Row],[unit cost]]</f>
        <v>0</v>
      </c>
      <c r="Q236" s="416"/>
      <c r="R236" s="188">
        <v>1</v>
      </c>
      <c r="S236" s="251">
        <f t="shared" si="29"/>
        <v>0.42</v>
      </c>
      <c r="T236" s="203">
        <f>Table1[[#This Row],[man minutes]]*Table1[[#This Row],[labor rate]]</f>
        <v>0</v>
      </c>
      <c r="U236" s="203">
        <f t="shared" si="32"/>
        <v>0</v>
      </c>
      <c r="V236" s="189">
        <f t="shared" si="31"/>
        <v>0.22</v>
      </c>
      <c r="W236" s="252">
        <f t="shared" si="30"/>
        <v>0.2</v>
      </c>
      <c r="X236" s="203">
        <f t="shared" si="33"/>
        <v>0</v>
      </c>
      <c r="Y236" s="203">
        <f t="shared" si="34"/>
        <v>0</v>
      </c>
      <c r="Z236" s="203">
        <f t="shared" si="35"/>
        <v>0</v>
      </c>
      <c r="AA236" s="205">
        <f>+Table1[[#This Row],[calculated sale price]]</f>
        <v>0</v>
      </c>
      <c r="AB236" s="204"/>
      <c r="AC236" s="208"/>
    </row>
    <row r="237" spans="1:29">
      <c r="A237" s="188">
        <v>1228</v>
      </c>
      <c r="C237" s="188">
        <v>1</v>
      </c>
      <c r="I237" s="188"/>
      <c r="J237" s="188"/>
      <c r="K237" s="188"/>
      <c r="L237" s="199"/>
      <c r="M237" s="188"/>
      <c r="N237" s="200"/>
      <c r="O237" s="201">
        <v>0</v>
      </c>
      <c r="P237" s="201">
        <f>Table1[[#This Row],[unit cost]]</f>
        <v>0</v>
      </c>
      <c r="Q237" s="416"/>
      <c r="R237" s="188">
        <v>1</v>
      </c>
      <c r="S237" s="251">
        <f t="shared" si="29"/>
        <v>0.42</v>
      </c>
      <c r="T237" s="203">
        <f>Table1[[#This Row],[man minutes]]*Table1[[#This Row],[labor rate]]</f>
        <v>0</v>
      </c>
      <c r="U237" s="203">
        <f t="shared" si="32"/>
        <v>0</v>
      </c>
      <c r="V237" s="189">
        <f t="shared" si="31"/>
        <v>0.22</v>
      </c>
      <c r="W237" s="252">
        <f t="shared" si="30"/>
        <v>0.2</v>
      </c>
      <c r="X237" s="203">
        <f t="shared" si="33"/>
        <v>0</v>
      </c>
      <c r="Y237" s="203">
        <f t="shared" si="34"/>
        <v>0</v>
      </c>
      <c r="Z237" s="203">
        <f t="shared" si="35"/>
        <v>0</v>
      </c>
      <c r="AA237" s="205">
        <f>+Table1[[#This Row],[calculated sale price]]</f>
        <v>0</v>
      </c>
      <c r="AB237" s="204"/>
      <c r="AC237" s="208"/>
    </row>
    <row r="238" spans="1:29">
      <c r="A238" s="188">
        <v>1229</v>
      </c>
      <c r="C238" s="188">
        <v>1</v>
      </c>
      <c r="I238" s="188"/>
      <c r="J238" s="188"/>
      <c r="K238" s="188"/>
      <c r="L238" s="199"/>
      <c r="M238" s="188"/>
      <c r="N238" s="200"/>
      <c r="O238" s="201">
        <v>0</v>
      </c>
      <c r="P238" s="201">
        <f>Table1[[#This Row],[unit cost]]</f>
        <v>0</v>
      </c>
      <c r="Q238" s="416"/>
      <c r="R238" s="188">
        <v>1</v>
      </c>
      <c r="S238" s="251">
        <f t="shared" si="29"/>
        <v>0.42</v>
      </c>
      <c r="T238" s="203">
        <f>Table1[[#This Row],[man minutes]]*Table1[[#This Row],[labor rate]]</f>
        <v>0</v>
      </c>
      <c r="U238" s="203">
        <f t="shared" si="32"/>
        <v>0</v>
      </c>
      <c r="V238" s="189">
        <f t="shared" si="31"/>
        <v>0.22</v>
      </c>
      <c r="W238" s="252">
        <f t="shared" si="30"/>
        <v>0.2</v>
      </c>
      <c r="X238" s="203">
        <f t="shared" si="33"/>
        <v>0</v>
      </c>
      <c r="Y238" s="203">
        <f t="shared" si="34"/>
        <v>0</v>
      </c>
      <c r="Z238" s="203">
        <f t="shared" si="35"/>
        <v>0</v>
      </c>
      <c r="AA238" s="205">
        <f>+Table1[[#This Row],[calculated sale price]]</f>
        <v>0</v>
      </c>
      <c r="AB238" s="204"/>
      <c r="AC238" s="208"/>
    </row>
    <row r="239" spans="1:29">
      <c r="A239" s="188">
        <v>1230</v>
      </c>
      <c r="C239" s="188">
        <v>1</v>
      </c>
      <c r="I239" s="188"/>
      <c r="J239" s="188"/>
      <c r="K239" s="188"/>
      <c r="L239" s="199"/>
      <c r="M239" s="188"/>
      <c r="N239" s="200"/>
      <c r="O239" s="201">
        <v>0</v>
      </c>
      <c r="P239" s="201">
        <f>Table1[[#This Row],[unit cost]]</f>
        <v>0</v>
      </c>
      <c r="Q239" s="416"/>
      <c r="R239" s="188">
        <v>1</v>
      </c>
      <c r="S239" s="251">
        <f t="shared" si="29"/>
        <v>0.42</v>
      </c>
      <c r="T239" s="203">
        <f>Table1[[#This Row],[man minutes]]*Table1[[#This Row],[labor rate]]</f>
        <v>0</v>
      </c>
      <c r="U239" s="203">
        <f t="shared" si="32"/>
        <v>0</v>
      </c>
      <c r="V239" s="189">
        <f t="shared" si="31"/>
        <v>0.22</v>
      </c>
      <c r="W239" s="252">
        <f t="shared" si="30"/>
        <v>0.2</v>
      </c>
      <c r="X239" s="203">
        <f t="shared" si="33"/>
        <v>0</v>
      </c>
      <c r="Y239" s="203">
        <f t="shared" si="34"/>
        <v>0</v>
      </c>
      <c r="Z239" s="203">
        <f t="shared" si="35"/>
        <v>0</v>
      </c>
      <c r="AA239" s="205">
        <f>+Table1[[#This Row],[calculated sale price]]</f>
        <v>0</v>
      </c>
      <c r="AB239" s="204"/>
      <c r="AC239" s="208"/>
    </row>
    <row r="240" spans="1:29">
      <c r="A240" s="188">
        <v>1231</v>
      </c>
      <c r="C240" s="188">
        <v>1</v>
      </c>
      <c r="I240" s="188"/>
      <c r="J240" s="188"/>
      <c r="K240" s="188"/>
      <c r="L240" s="199"/>
      <c r="M240" s="188"/>
      <c r="N240" s="200"/>
      <c r="O240" s="201">
        <v>0</v>
      </c>
      <c r="P240" s="201">
        <f>Table1[[#This Row],[unit cost]]</f>
        <v>0</v>
      </c>
      <c r="Q240" s="416"/>
      <c r="R240" s="188">
        <v>1</v>
      </c>
      <c r="S240" s="251">
        <f t="shared" si="29"/>
        <v>0.42</v>
      </c>
      <c r="T240" s="203">
        <f>Table1[[#This Row],[man minutes]]*Table1[[#This Row],[labor rate]]</f>
        <v>0</v>
      </c>
      <c r="U240" s="203">
        <f t="shared" si="32"/>
        <v>0</v>
      </c>
      <c r="V240" s="189">
        <f t="shared" si="31"/>
        <v>0.22</v>
      </c>
      <c r="W240" s="252">
        <f t="shared" si="30"/>
        <v>0.2</v>
      </c>
      <c r="X240" s="203">
        <f t="shared" si="33"/>
        <v>0</v>
      </c>
      <c r="Y240" s="203">
        <f t="shared" si="34"/>
        <v>0</v>
      </c>
      <c r="Z240" s="203">
        <f t="shared" si="35"/>
        <v>0</v>
      </c>
      <c r="AA240" s="205">
        <f>+Table1[[#This Row],[calculated sale price]]</f>
        <v>0</v>
      </c>
      <c r="AB240" s="204"/>
      <c r="AC240" s="208"/>
    </row>
    <row r="241" spans="1:29">
      <c r="A241" s="188">
        <v>1232</v>
      </c>
      <c r="C241" s="188">
        <v>1</v>
      </c>
      <c r="I241" s="188"/>
      <c r="J241" s="188"/>
      <c r="K241" s="188"/>
      <c r="L241" s="199"/>
      <c r="M241" s="188"/>
      <c r="N241" s="200"/>
      <c r="O241" s="201">
        <v>0</v>
      </c>
      <c r="P241" s="201">
        <f>Table1[[#This Row],[unit cost]]</f>
        <v>0</v>
      </c>
      <c r="Q241" s="416"/>
      <c r="R241" s="188">
        <v>1</v>
      </c>
      <c r="S241" s="251">
        <f t="shared" si="29"/>
        <v>0.42</v>
      </c>
      <c r="T241" s="203">
        <f>Table1[[#This Row],[man minutes]]*Table1[[#This Row],[labor rate]]</f>
        <v>0</v>
      </c>
      <c r="U241" s="203">
        <f t="shared" si="32"/>
        <v>0</v>
      </c>
      <c r="V241" s="189">
        <f t="shared" si="31"/>
        <v>0.22</v>
      </c>
      <c r="W241" s="252">
        <f t="shared" si="30"/>
        <v>0.2</v>
      </c>
      <c r="X241" s="203">
        <f t="shared" si="33"/>
        <v>0</v>
      </c>
      <c r="Y241" s="203">
        <f t="shared" si="34"/>
        <v>0</v>
      </c>
      <c r="Z241" s="203">
        <f t="shared" si="35"/>
        <v>0</v>
      </c>
      <c r="AA241" s="205">
        <f>+Table1[[#This Row],[calculated sale price]]</f>
        <v>0</v>
      </c>
      <c r="AB241" s="204"/>
      <c r="AC241" s="208"/>
    </row>
    <row r="242" spans="1:29">
      <c r="A242" s="188">
        <v>1233</v>
      </c>
      <c r="C242" s="188">
        <v>1</v>
      </c>
      <c r="I242" s="188"/>
      <c r="J242" s="188"/>
      <c r="K242" s="188"/>
      <c r="L242" s="199"/>
      <c r="M242" s="188"/>
      <c r="N242" s="200"/>
      <c r="O242" s="201">
        <v>0</v>
      </c>
      <c r="P242" s="201">
        <f>Table1[[#This Row],[unit cost]]</f>
        <v>0</v>
      </c>
      <c r="Q242" s="416"/>
      <c r="R242" s="188">
        <v>1</v>
      </c>
      <c r="S242" s="251">
        <f t="shared" si="29"/>
        <v>0.42</v>
      </c>
      <c r="T242" s="203">
        <f>Table1[[#This Row],[man minutes]]*Table1[[#This Row],[labor rate]]</f>
        <v>0</v>
      </c>
      <c r="U242" s="203">
        <f t="shared" si="32"/>
        <v>0</v>
      </c>
      <c r="V242" s="189">
        <f t="shared" si="31"/>
        <v>0.22</v>
      </c>
      <c r="W242" s="252">
        <f t="shared" si="30"/>
        <v>0.2</v>
      </c>
      <c r="X242" s="203">
        <f t="shared" si="33"/>
        <v>0</v>
      </c>
      <c r="Y242" s="203">
        <f t="shared" si="34"/>
        <v>0</v>
      </c>
      <c r="Z242" s="203">
        <f t="shared" si="35"/>
        <v>0</v>
      </c>
      <c r="AA242" s="205">
        <f>+Table1[[#This Row],[calculated sale price]]</f>
        <v>0</v>
      </c>
      <c r="AB242" s="204"/>
      <c r="AC242" s="208"/>
    </row>
    <row r="243" spans="1:29">
      <c r="A243" s="188">
        <v>1234</v>
      </c>
      <c r="C243" s="188">
        <v>1</v>
      </c>
      <c r="I243" s="188"/>
      <c r="J243" s="188"/>
      <c r="K243" s="188"/>
      <c r="L243" s="199"/>
      <c r="M243" s="188"/>
      <c r="N243" s="200"/>
      <c r="O243" s="201">
        <v>0</v>
      </c>
      <c r="P243" s="201">
        <f>Table1[[#This Row],[unit cost]]</f>
        <v>0</v>
      </c>
      <c r="Q243" s="416"/>
      <c r="R243" s="188">
        <v>1</v>
      </c>
      <c r="S243" s="251">
        <f t="shared" si="29"/>
        <v>0.42</v>
      </c>
      <c r="T243" s="203">
        <f>Table1[[#This Row],[man minutes]]*Table1[[#This Row],[labor rate]]</f>
        <v>0</v>
      </c>
      <c r="U243" s="203">
        <f t="shared" si="32"/>
        <v>0</v>
      </c>
      <c r="V243" s="189">
        <f t="shared" si="31"/>
        <v>0.22</v>
      </c>
      <c r="W243" s="252">
        <f t="shared" si="30"/>
        <v>0.2</v>
      </c>
      <c r="X243" s="203">
        <f t="shared" si="33"/>
        <v>0</v>
      </c>
      <c r="Y243" s="203">
        <f t="shared" si="34"/>
        <v>0</v>
      </c>
      <c r="Z243" s="203">
        <f t="shared" si="35"/>
        <v>0</v>
      </c>
      <c r="AA243" s="205">
        <f>+Table1[[#This Row],[calculated sale price]]</f>
        <v>0</v>
      </c>
      <c r="AB243" s="204"/>
      <c r="AC243" s="208"/>
    </row>
    <row r="244" spans="1:29">
      <c r="A244" s="188">
        <v>1235</v>
      </c>
      <c r="C244" s="188">
        <v>1</v>
      </c>
      <c r="I244" s="188"/>
      <c r="J244" s="188"/>
      <c r="K244" s="188"/>
      <c r="L244" s="199"/>
      <c r="M244" s="188"/>
      <c r="N244" s="200"/>
      <c r="O244" s="201">
        <v>0</v>
      </c>
      <c r="P244" s="201">
        <f>Table1[[#This Row],[unit cost]]</f>
        <v>0</v>
      </c>
      <c r="Q244" s="416"/>
      <c r="R244" s="188">
        <v>1</v>
      </c>
      <c r="S244" s="251">
        <f t="shared" si="29"/>
        <v>0.42</v>
      </c>
      <c r="T244" s="203">
        <f>Table1[[#This Row],[man minutes]]*Table1[[#This Row],[labor rate]]</f>
        <v>0</v>
      </c>
      <c r="U244" s="203">
        <f t="shared" si="32"/>
        <v>0</v>
      </c>
      <c r="V244" s="189">
        <f t="shared" si="31"/>
        <v>0.22</v>
      </c>
      <c r="W244" s="252">
        <f t="shared" si="30"/>
        <v>0.2</v>
      </c>
      <c r="X244" s="203">
        <f t="shared" si="33"/>
        <v>0</v>
      </c>
      <c r="Y244" s="203">
        <f t="shared" si="34"/>
        <v>0</v>
      </c>
      <c r="Z244" s="203">
        <f t="shared" si="35"/>
        <v>0</v>
      </c>
      <c r="AA244" s="205">
        <f>+Table1[[#This Row],[calculated sale price]]</f>
        <v>0</v>
      </c>
      <c r="AB244" s="204"/>
      <c r="AC244" s="208"/>
    </row>
    <row r="245" spans="1:29">
      <c r="A245" s="188">
        <v>1236</v>
      </c>
      <c r="C245" s="188">
        <v>1</v>
      </c>
      <c r="I245" s="188"/>
      <c r="J245" s="188"/>
      <c r="K245" s="188"/>
      <c r="L245" s="199"/>
      <c r="M245" s="188"/>
      <c r="N245" s="200"/>
      <c r="O245" s="201">
        <v>0</v>
      </c>
      <c r="P245" s="201">
        <f>Table1[[#This Row],[unit cost]]</f>
        <v>0</v>
      </c>
      <c r="Q245" s="416"/>
      <c r="R245" s="188">
        <v>1</v>
      </c>
      <c r="S245" s="251">
        <f t="shared" si="29"/>
        <v>0.42</v>
      </c>
      <c r="T245" s="203">
        <f>Table1[[#This Row],[man minutes]]*Table1[[#This Row],[labor rate]]</f>
        <v>0</v>
      </c>
      <c r="U245" s="203">
        <f t="shared" si="32"/>
        <v>0</v>
      </c>
      <c r="V245" s="189">
        <f t="shared" si="31"/>
        <v>0.22</v>
      </c>
      <c r="W245" s="252">
        <f t="shared" si="30"/>
        <v>0.2</v>
      </c>
      <c r="X245" s="203">
        <f t="shared" si="33"/>
        <v>0</v>
      </c>
      <c r="Y245" s="203">
        <f t="shared" si="34"/>
        <v>0</v>
      </c>
      <c r="Z245" s="203">
        <f t="shared" si="35"/>
        <v>0</v>
      </c>
      <c r="AA245" s="205">
        <f>+Table1[[#This Row],[calculated sale price]]</f>
        <v>0</v>
      </c>
      <c r="AB245" s="204"/>
      <c r="AC245" s="208"/>
    </row>
    <row r="246" spans="1:29">
      <c r="A246" s="188">
        <v>1237</v>
      </c>
      <c r="C246" s="188">
        <v>1</v>
      </c>
      <c r="I246" s="188"/>
      <c r="J246" s="188"/>
      <c r="K246" s="188"/>
      <c r="L246" s="199"/>
      <c r="M246" s="188"/>
      <c r="N246" s="200"/>
      <c r="O246" s="201">
        <v>0</v>
      </c>
      <c r="P246" s="201">
        <f>Table1[[#This Row],[unit cost]]</f>
        <v>0</v>
      </c>
      <c r="Q246" s="416"/>
      <c r="R246" s="188">
        <v>1</v>
      </c>
      <c r="S246" s="251">
        <f t="shared" si="29"/>
        <v>0.42</v>
      </c>
      <c r="T246" s="203">
        <f>Table1[[#This Row],[man minutes]]*Table1[[#This Row],[labor rate]]</f>
        <v>0</v>
      </c>
      <c r="U246" s="203">
        <f t="shared" si="32"/>
        <v>0</v>
      </c>
      <c r="V246" s="189">
        <f t="shared" si="31"/>
        <v>0.22</v>
      </c>
      <c r="W246" s="252">
        <f t="shared" si="30"/>
        <v>0.2</v>
      </c>
      <c r="X246" s="203">
        <f t="shared" si="33"/>
        <v>0</v>
      </c>
      <c r="Y246" s="203">
        <f t="shared" si="34"/>
        <v>0</v>
      </c>
      <c r="Z246" s="203">
        <f t="shared" si="35"/>
        <v>0</v>
      </c>
      <c r="AA246" s="205">
        <f>+Table1[[#This Row],[calculated sale price]]</f>
        <v>0</v>
      </c>
      <c r="AB246" s="204"/>
      <c r="AC246" s="208"/>
    </row>
    <row r="247" spans="1:29">
      <c r="A247" s="188">
        <v>1238</v>
      </c>
      <c r="C247" s="188">
        <v>1</v>
      </c>
      <c r="I247" s="188"/>
      <c r="J247" s="188"/>
      <c r="K247" s="188"/>
      <c r="L247" s="199"/>
      <c r="M247" s="188"/>
      <c r="N247" s="200"/>
      <c r="O247" s="201">
        <v>0</v>
      </c>
      <c r="P247" s="201">
        <f>Table1[[#This Row],[unit cost]]</f>
        <v>0</v>
      </c>
      <c r="Q247" s="416"/>
      <c r="R247" s="188">
        <v>1</v>
      </c>
      <c r="S247" s="251">
        <f t="shared" si="29"/>
        <v>0.42</v>
      </c>
      <c r="T247" s="203">
        <f>Table1[[#This Row],[man minutes]]*Table1[[#This Row],[labor rate]]</f>
        <v>0</v>
      </c>
      <c r="U247" s="203">
        <f t="shared" si="32"/>
        <v>0</v>
      </c>
      <c r="V247" s="189">
        <f t="shared" si="31"/>
        <v>0.22</v>
      </c>
      <c r="W247" s="252">
        <f t="shared" si="30"/>
        <v>0.2</v>
      </c>
      <c r="X247" s="203">
        <f t="shared" si="33"/>
        <v>0</v>
      </c>
      <c r="Y247" s="203">
        <f t="shared" si="34"/>
        <v>0</v>
      </c>
      <c r="Z247" s="203">
        <f t="shared" si="35"/>
        <v>0</v>
      </c>
      <c r="AA247" s="205">
        <f>+Table1[[#This Row],[calculated sale price]]</f>
        <v>0</v>
      </c>
      <c r="AB247" s="204"/>
      <c r="AC247" s="208"/>
    </row>
    <row r="248" spans="1:29">
      <c r="A248" s="188">
        <v>1239</v>
      </c>
      <c r="C248" s="188">
        <v>1</v>
      </c>
      <c r="I248" s="188"/>
      <c r="J248" s="188"/>
      <c r="K248" s="188"/>
      <c r="L248" s="199"/>
      <c r="M248" s="188"/>
      <c r="N248" s="200"/>
      <c r="O248" s="201">
        <v>0</v>
      </c>
      <c r="P248" s="201">
        <f>Table1[[#This Row],[unit cost]]</f>
        <v>0</v>
      </c>
      <c r="Q248" s="416"/>
      <c r="R248" s="188">
        <v>1</v>
      </c>
      <c r="S248" s="251">
        <f t="shared" si="29"/>
        <v>0.42</v>
      </c>
      <c r="T248" s="203">
        <f>Table1[[#This Row],[man minutes]]*Table1[[#This Row],[labor rate]]</f>
        <v>0</v>
      </c>
      <c r="U248" s="203">
        <f t="shared" si="32"/>
        <v>0</v>
      </c>
      <c r="V248" s="189">
        <f t="shared" si="31"/>
        <v>0.22</v>
      </c>
      <c r="W248" s="252">
        <f t="shared" si="30"/>
        <v>0.2</v>
      </c>
      <c r="X248" s="203">
        <f t="shared" si="33"/>
        <v>0</v>
      </c>
      <c r="Y248" s="203">
        <f t="shared" si="34"/>
        <v>0</v>
      </c>
      <c r="Z248" s="203">
        <f t="shared" si="35"/>
        <v>0</v>
      </c>
      <c r="AA248" s="205">
        <f>+Table1[[#This Row],[calculated sale price]]</f>
        <v>0</v>
      </c>
      <c r="AB248" s="204"/>
      <c r="AC248" s="208"/>
    </row>
    <row r="249" spans="1:29">
      <c r="A249" s="188">
        <v>1240</v>
      </c>
      <c r="C249" s="188">
        <v>1</v>
      </c>
      <c r="I249" s="188"/>
      <c r="J249" s="188"/>
      <c r="K249" s="188"/>
      <c r="L249" s="199"/>
      <c r="M249" s="188"/>
      <c r="N249" s="200"/>
      <c r="O249" s="201">
        <v>0</v>
      </c>
      <c r="P249" s="201">
        <f>Table1[[#This Row],[unit cost]]</f>
        <v>0</v>
      </c>
      <c r="Q249" s="416"/>
      <c r="R249" s="188">
        <v>1</v>
      </c>
      <c r="S249" s="251">
        <f t="shared" si="29"/>
        <v>0.42</v>
      </c>
      <c r="T249" s="203">
        <f>Table1[[#This Row],[man minutes]]*Table1[[#This Row],[labor rate]]</f>
        <v>0</v>
      </c>
      <c r="U249" s="203">
        <f t="shared" si="32"/>
        <v>0</v>
      </c>
      <c r="V249" s="189">
        <f t="shared" si="31"/>
        <v>0.22</v>
      </c>
      <c r="W249" s="252">
        <f t="shared" si="30"/>
        <v>0.2</v>
      </c>
      <c r="X249" s="203">
        <f t="shared" si="33"/>
        <v>0</v>
      </c>
      <c r="Y249" s="203">
        <f t="shared" si="34"/>
        <v>0</v>
      </c>
      <c r="Z249" s="203">
        <f t="shared" si="35"/>
        <v>0</v>
      </c>
      <c r="AA249" s="205">
        <f>+Table1[[#This Row],[calculated sale price]]</f>
        <v>0</v>
      </c>
      <c r="AB249" s="204"/>
      <c r="AC249" s="208"/>
    </row>
    <row r="250" spans="1:29">
      <c r="A250" s="188"/>
      <c r="C250" s="188">
        <v>1</v>
      </c>
      <c r="I250" s="188"/>
      <c r="J250" s="188"/>
      <c r="K250" s="188"/>
      <c r="L250" s="199"/>
      <c r="M250" s="188"/>
      <c r="N250" s="200"/>
      <c r="O250" s="201">
        <v>0</v>
      </c>
      <c r="P250" s="201">
        <f>Table1[[#This Row],[unit cost]]</f>
        <v>0</v>
      </c>
      <c r="Q250" s="416"/>
      <c r="R250" s="188">
        <v>1</v>
      </c>
      <c r="S250" s="251">
        <f t="shared" si="29"/>
        <v>0.42</v>
      </c>
      <c r="T250" s="203">
        <f>Table1[[#This Row],[man minutes]]*Table1[[#This Row],[labor rate]]</f>
        <v>0</v>
      </c>
      <c r="U250" s="203">
        <f t="shared" si="32"/>
        <v>0</v>
      </c>
      <c r="V250" s="189">
        <f t="shared" si="31"/>
        <v>0.22</v>
      </c>
      <c r="W250" s="252">
        <f t="shared" si="30"/>
        <v>0.2</v>
      </c>
      <c r="X250" s="203">
        <f t="shared" si="33"/>
        <v>0</v>
      </c>
      <c r="Y250" s="203">
        <f t="shared" si="34"/>
        <v>0</v>
      </c>
      <c r="Z250" s="203">
        <f t="shared" si="35"/>
        <v>0</v>
      </c>
      <c r="AA250" s="205">
        <f>+Table1[[#This Row],[calculated sale price]]</f>
        <v>0</v>
      </c>
      <c r="AB250" s="204"/>
      <c r="AC250" s="208"/>
    </row>
    <row r="251" spans="1:29">
      <c r="A251" s="188"/>
      <c r="C251" s="188">
        <v>1</v>
      </c>
      <c r="I251" s="188"/>
      <c r="J251" s="188"/>
      <c r="K251" s="188"/>
      <c r="L251" s="199"/>
      <c r="M251" s="188"/>
      <c r="N251" s="200"/>
      <c r="O251" s="201">
        <v>0</v>
      </c>
      <c r="P251" s="201">
        <f>Table1[[#This Row],[unit cost]]</f>
        <v>0</v>
      </c>
      <c r="Q251" s="416"/>
      <c r="R251" s="188">
        <v>1</v>
      </c>
      <c r="S251" s="251">
        <f t="shared" si="29"/>
        <v>0.42</v>
      </c>
      <c r="T251" s="203">
        <f>Table1[[#This Row],[man minutes]]*Table1[[#This Row],[labor rate]]</f>
        <v>0</v>
      </c>
      <c r="U251" s="203">
        <f t="shared" si="32"/>
        <v>0</v>
      </c>
      <c r="V251" s="189">
        <f t="shared" si="31"/>
        <v>0.22</v>
      </c>
      <c r="W251" s="252">
        <f t="shared" si="30"/>
        <v>0.2</v>
      </c>
      <c r="X251" s="203">
        <f t="shared" si="33"/>
        <v>0</v>
      </c>
      <c r="Y251" s="203">
        <f t="shared" si="34"/>
        <v>0</v>
      </c>
      <c r="Z251" s="203">
        <f t="shared" si="35"/>
        <v>0</v>
      </c>
      <c r="AA251" s="205">
        <f>+Table1[[#This Row],[calculated sale price]]</f>
        <v>0</v>
      </c>
      <c r="AB251" s="204"/>
      <c r="AC251" s="208"/>
    </row>
    <row r="252" spans="1:29">
      <c r="A252" s="188"/>
      <c r="C252" s="188">
        <v>1</v>
      </c>
      <c r="I252" s="188"/>
      <c r="J252" s="188"/>
      <c r="K252" s="188"/>
      <c r="L252" s="199"/>
      <c r="M252" s="188"/>
      <c r="N252" s="200"/>
      <c r="O252" s="201">
        <v>0</v>
      </c>
      <c r="P252" s="201">
        <f>Table1[[#This Row],[unit cost]]</f>
        <v>0</v>
      </c>
      <c r="Q252" s="416"/>
      <c r="R252" s="188">
        <v>1</v>
      </c>
      <c r="S252" s="251">
        <f t="shared" si="29"/>
        <v>0.42</v>
      </c>
      <c r="T252" s="203">
        <f>Table1[[#This Row],[man minutes]]*Table1[[#This Row],[labor rate]]</f>
        <v>0</v>
      </c>
      <c r="U252" s="203">
        <f t="shared" si="32"/>
        <v>0</v>
      </c>
      <c r="V252" s="189">
        <f t="shared" si="31"/>
        <v>0.22</v>
      </c>
      <c r="W252" s="252">
        <f t="shared" si="30"/>
        <v>0.2</v>
      </c>
      <c r="X252" s="203">
        <f t="shared" si="33"/>
        <v>0</v>
      </c>
      <c r="Y252" s="203">
        <f t="shared" si="34"/>
        <v>0</v>
      </c>
      <c r="Z252" s="203">
        <f t="shared" si="35"/>
        <v>0</v>
      </c>
      <c r="AA252" s="205">
        <f>+Table1[[#This Row],[calculated sale price]]</f>
        <v>0</v>
      </c>
      <c r="AB252" s="204"/>
      <c r="AC252" s="208"/>
    </row>
    <row r="253" spans="1:29">
      <c r="A253" s="188"/>
      <c r="C253" s="188">
        <v>1</v>
      </c>
      <c r="I253" s="188"/>
      <c r="J253" s="188"/>
      <c r="K253" s="188"/>
      <c r="L253" s="199"/>
      <c r="M253" s="188"/>
      <c r="N253" s="200"/>
      <c r="O253" s="201">
        <v>0</v>
      </c>
      <c r="P253" s="201">
        <f>Table1[[#This Row],[unit cost]]</f>
        <v>0</v>
      </c>
      <c r="Q253" s="416"/>
      <c r="R253" s="188">
        <v>1</v>
      </c>
      <c r="S253" s="251">
        <f t="shared" si="29"/>
        <v>0.42</v>
      </c>
      <c r="T253" s="203">
        <f>Table1[[#This Row],[man minutes]]*Table1[[#This Row],[labor rate]]</f>
        <v>0</v>
      </c>
      <c r="U253" s="203">
        <f t="shared" si="32"/>
        <v>0</v>
      </c>
      <c r="V253" s="189">
        <f t="shared" si="31"/>
        <v>0.22</v>
      </c>
      <c r="W253" s="252">
        <f t="shared" si="30"/>
        <v>0.2</v>
      </c>
      <c r="X253" s="203">
        <f t="shared" si="33"/>
        <v>0</v>
      </c>
      <c r="Y253" s="203">
        <f t="shared" si="34"/>
        <v>0</v>
      </c>
      <c r="Z253" s="203">
        <f t="shared" si="35"/>
        <v>0</v>
      </c>
      <c r="AA253" s="205">
        <f>+Table1[[#This Row],[calculated sale price]]</f>
        <v>0</v>
      </c>
      <c r="AB253" s="204"/>
      <c r="AC253" s="208"/>
    </row>
    <row r="254" spans="1:29">
      <c r="A254" s="188"/>
      <c r="C254" s="188"/>
      <c r="I254" s="188"/>
      <c r="J254" s="188"/>
      <c r="K254" s="188"/>
      <c r="L254" s="199"/>
      <c r="M254" s="188"/>
      <c r="N254" s="200"/>
      <c r="O254" s="201"/>
      <c r="P254" s="202"/>
      <c r="Q254" s="416"/>
      <c r="S254" s="203">
        <f t="shared" si="29"/>
        <v>0.42</v>
      </c>
      <c r="T254" s="203"/>
      <c r="U254" s="203"/>
      <c r="X254" s="203"/>
      <c r="Y254" s="203"/>
      <c r="Z254" s="203"/>
      <c r="AA254" s="205"/>
      <c r="AB254" s="204"/>
      <c r="AC254" s="208"/>
    </row>
    <row r="255" spans="1:29">
      <c r="A255" s="188"/>
      <c r="C255" s="188"/>
      <c r="I255" s="188"/>
      <c r="J255" s="188"/>
      <c r="K255" s="188"/>
      <c r="L255" s="199"/>
      <c r="M255" s="188"/>
      <c r="N255" s="200"/>
      <c r="O255" s="201"/>
      <c r="P255" s="202"/>
      <c r="Q255" s="416"/>
      <c r="S255" s="203">
        <f t="shared" si="29"/>
        <v>0.42</v>
      </c>
      <c r="T255" s="203"/>
      <c r="U255" s="203"/>
      <c r="X255" s="203"/>
      <c r="Y255" s="203"/>
      <c r="Z255" s="203"/>
      <c r="AA255" s="205"/>
      <c r="AB255" s="204"/>
      <c r="AC255" s="208"/>
    </row>
    <row r="256" spans="1:29">
      <c r="A256" s="188"/>
      <c r="C256" s="188"/>
      <c r="I256" s="188"/>
      <c r="J256" s="188"/>
      <c r="K256" s="188"/>
      <c r="L256" s="199"/>
      <c r="M256" s="188"/>
      <c r="N256" s="200"/>
      <c r="O256" s="201"/>
      <c r="P256" s="202"/>
      <c r="Q256" s="416"/>
      <c r="S256" s="203">
        <f t="shared" si="29"/>
        <v>0.42</v>
      </c>
      <c r="T256" s="203"/>
      <c r="U256" s="203"/>
      <c r="X256" s="203"/>
      <c r="Y256" s="203"/>
      <c r="Z256" s="203"/>
      <c r="AA256" s="205"/>
      <c r="AB256" s="204"/>
      <c r="AC256" s="208"/>
    </row>
    <row r="257" spans="1:29">
      <c r="A257" s="188"/>
      <c r="C257" s="188"/>
      <c r="I257" s="188"/>
      <c r="J257" s="188"/>
      <c r="K257" s="188"/>
      <c r="L257" s="199"/>
      <c r="M257" s="188"/>
      <c r="N257" s="200"/>
      <c r="O257" s="201"/>
      <c r="P257" s="202"/>
      <c r="Q257" s="416"/>
      <c r="S257" s="209"/>
      <c r="T257" s="209"/>
      <c r="U257" s="209"/>
      <c r="V257" s="210"/>
      <c r="W257" s="199"/>
      <c r="X257" s="209"/>
      <c r="Y257" s="209"/>
      <c r="Z257" s="209"/>
      <c r="AA257" s="240"/>
      <c r="AB257" s="211"/>
      <c r="AC257" s="209"/>
    </row>
    <row r="258" spans="1:29" s="207" customFormat="1">
      <c r="A258"/>
      <c r="B258"/>
      <c r="C258"/>
      <c r="D258" s="188"/>
      <c r="E258" s="188"/>
      <c r="F258" s="188"/>
      <c r="G258" s="188"/>
      <c r="H258" s="188"/>
      <c r="I258"/>
      <c r="J258"/>
      <c r="K258"/>
      <c r="L258" s="188"/>
      <c r="M258"/>
      <c r="N258"/>
      <c r="O258"/>
      <c r="P258"/>
      <c r="Q258" s="187"/>
      <c r="R258" s="188"/>
      <c r="S258"/>
      <c r="T258"/>
      <c r="U258"/>
      <c r="V258" s="189"/>
      <c r="W258" s="190"/>
      <c r="X258"/>
      <c r="Y258"/>
      <c r="Z258"/>
      <c r="AA258" s="175"/>
      <c r="AB258"/>
      <c r="AC258"/>
    </row>
    <row r="266" spans="1:29" s="207" customFormat="1">
      <c r="A266"/>
      <c r="B266"/>
      <c r="C266"/>
      <c r="D266" s="188"/>
      <c r="E266" s="188"/>
      <c r="F266" s="188"/>
      <c r="G266" s="188"/>
      <c r="H266" s="188"/>
      <c r="I266"/>
      <c r="J266"/>
      <c r="K266"/>
      <c r="L266" s="188"/>
      <c r="M266"/>
      <c r="N266"/>
      <c r="O266"/>
      <c r="P266"/>
      <c r="Q266" s="187"/>
      <c r="R266" s="188"/>
      <c r="S266"/>
      <c r="T266"/>
      <c r="U266"/>
      <c r="V266" s="189"/>
      <c r="W266" s="190"/>
      <c r="X266"/>
      <c r="Y266"/>
      <c r="Z266"/>
      <c r="AA266" s="175"/>
      <c r="AB266"/>
      <c r="AC266"/>
    </row>
    <row r="269" spans="1:29" s="207" customFormat="1">
      <c r="A269"/>
      <c r="B269"/>
      <c r="C269"/>
      <c r="D269" s="188"/>
      <c r="E269" s="188"/>
      <c r="F269" s="188"/>
      <c r="G269" s="188"/>
      <c r="H269" s="188"/>
      <c r="I269"/>
      <c r="J269"/>
      <c r="K269"/>
      <c r="L269" s="188"/>
      <c r="M269"/>
      <c r="N269"/>
      <c r="O269"/>
      <c r="P269"/>
      <c r="Q269" s="187"/>
      <c r="R269" s="188"/>
      <c r="S269"/>
      <c r="T269"/>
      <c r="U269"/>
      <c r="V269" s="189"/>
      <c r="W269" s="190"/>
      <c r="X269"/>
      <c r="Y269"/>
      <c r="Z269"/>
      <c r="AA269" s="175"/>
      <c r="AB269"/>
      <c r="AC269"/>
    </row>
    <row r="285" spans="30:30">
      <c r="AD285" s="206"/>
    </row>
    <row r="299" spans="1:29" s="207" customFormat="1">
      <c r="A299"/>
      <c r="B299"/>
      <c r="C299"/>
      <c r="D299" s="188"/>
      <c r="E299" s="188"/>
      <c r="F299" s="188"/>
      <c r="G299" s="188"/>
      <c r="H299" s="188"/>
      <c r="I299"/>
      <c r="J299"/>
      <c r="K299"/>
      <c r="L299" s="188"/>
      <c r="M299"/>
      <c r="N299"/>
      <c r="O299"/>
      <c r="P299"/>
      <c r="Q299" s="187"/>
      <c r="R299" s="188"/>
      <c r="S299"/>
      <c r="T299"/>
      <c r="U299"/>
      <c r="V299" s="189"/>
      <c r="W299" s="190"/>
      <c r="X299"/>
      <c r="Y299"/>
      <c r="Z299"/>
      <c r="AA299" s="175"/>
      <c r="AB299"/>
      <c r="AC299"/>
    </row>
    <row r="316" spans="1:29" s="207" customFormat="1">
      <c r="A316"/>
      <c r="B316"/>
      <c r="C316"/>
      <c r="D316" s="188"/>
      <c r="E316" s="188"/>
      <c r="F316" s="188"/>
      <c r="G316" s="188"/>
      <c r="H316" s="188"/>
      <c r="I316"/>
      <c r="J316"/>
      <c r="K316"/>
      <c r="L316" s="188"/>
      <c r="M316"/>
      <c r="N316"/>
      <c r="O316"/>
      <c r="P316"/>
      <c r="Q316" s="187"/>
      <c r="R316" s="188"/>
      <c r="S316"/>
      <c r="T316"/>
      <c r="U316"/>
      <c r="V316" s="189"/>
      <c r="W316" s="190"/>
      <c r="X316"/>
      <c r="Y316"/>
      <c r="Z316"/>
      <c r="AA316" s="175"/>
      <c r="AB316"/>
      <c r="AC316"/>
    </row>
    <row r="328" spans="1:29" s="207" customFormat="1">
      <c r="A328"/>
      <c r="B328"/>
      <c r="C328"/>
      <c r="D328" s="188"/>
      <c r="E328" s="188"/>
      <c r="F328" s="188"/>
      <c r="G328" s="188"/>
      <c r="H328" s="188"/>
      <c r="I328"/>
      <c r="J328"/>
      <c r="K328"/>
      <c r="L328" s="188"/>
      <c r="M328"/>
      <c r="N328"/>
      <c r="O328"/>
      <c r="P328"/>
      <c r="Q328" s="187"/>
      <c r="R328" s="188"/>
      <c r="S328"/>
      <c r="T328"/>
      <c r="U328"/>
      <c r="V328" s="189"/>
      <c r="W328" s="190"/>
      <c r="X328"/>
      <c r="Y328"/>
      <c r="Z328"/>
      <c r="AA328" s="175"/>
      <c r="AB328"/>
      <c r="AC328"/>
    </row>
    <row r="332" spans="1:29" s="207" customFormat="1">
      <c r="A332"/>
      <c r="B332"/>
      <c r="C332"/>
      <c r="D332" s="188"/>
      <c r="E332" s="188"/>
      <c r="F332" s="188"/>
      <c r="G332" s="188"/>
      <c r="H332" s="188"/>
      <c r="I332"/>
      <c r="J332"/>
      <c r="K332"/>
      <c r="L332" s="188"/>
      <c r="M332"/>
      <c r="N332"/>
      <c r="O332"/>
      <c r="P332"/>
      <c r="Q332" s="187"/>
      <c r="R332" s="188"/>
      <c r="S332"/>
      <c r="T332"/>
      <c r="U332"/>
      <c r="V332" s="189"/>
      <c r="W332" s="190"/>
      <c r="X332"/>
      <c r="Y332"/>
      <c r="Z332"/>
      <c r="AA332" s="175"/>
      <c r="AB332"/>
      <c r="AC332"/>
    </row>
    <row r="457" ht="15" customHeight="1"/>
  </sheetData>
  <mergeCells count="1">
    <mergeCell ref="A8:AB8"/>
  </mergeCells>
  <conditionalFormatting sqref="A1:A1048576">
    <cfRule type="duplicateValues" dxfId="75" priority="1"/>
  </conditionalFormatting>
  <conditionalFormatting sqref="A9">
    <cfRule type="duplicateValues" dxfId="74" priority="68"/>
  </conditionalFormatting>
  <conditionalFormatting sqref="A10:A249">
    <cfRule type="duplicateValues" dxfId="73" priority="949"/>
  </conditionalFormatting>
  <conditionalFormatting sqref="A10:A257">
    <cfRule type="duplicateValues" dxfId="72" priority="828"/>
  </conditionalFormatting>
  <conditionalFormatting sqref="A33:A68 A70 A72:A73 A75:A85">
    <cfRule type="duplicateValues" dxfId="71" priority="67"/>
  </conditionalFormatting>
  <conditionalFormatting sqref="A69">
    <cfRule type="duplicateValues" dxfId="70" priority="6"/>
    <cfRule type="duplicateValues" dxfId="69" priority="7"/>
  </conditionalFormatting>
  <conditionalFormatting sqref="A71">
    <cfRule type="duplicateValues" dxfId="68" priority="5"/>
  </conditionalFormatting>
  <conditionalFormatting sqref="A87:A90">
    <cfRule type="duplicateValues" dxfId="67" priority="8"/>
    <cfRule type="duplicateValues" dxfId="66" priority="9"/>
    <cfRule type="duplicateValues" dxfId="65" priority="10"/>
    <cfRule type="duplicateValues" dxfId="64" priority="11"/>
    <cfRule type="duplicateValues" dxfId="63" priority="12"/>
  </conditionalFormatting>
  <conditionalFormatting sqref="A101:A102 A106:A109">
    <cfRule type="duplicateValues" dxfId="62" priority="4"/>
  </conditionalFormatting>
  <conditionalFormatting sqref="A103:A105">
    <cfRule type="duplicateValues" dxfId="61" priority="2"/>
  </conditionalFormatting>
  <conditionalFormatting sqref="N10:N257">
    <cfRule type="cellIs" dxfId="60" priority="3" operator="equal">
      <formula>0</formula>
    </cfRule>
  </conditionalFormatting>
  <conditionalFormatting sqref="AA10:AA257">
    <cfRule type="expression" dxfId="59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377E-7F1B-4765-A233-5F6B3746AFD2}">
  <dimension ref="A39:E42"/>
  <sheetViews>
    <sheetView workbookViewId="0">
      <selection activeCell="J44" sqref="J44"/>
    </sheetView>
  </sheetViews>
  <sheetFormatPr defaultRowHeight="15"/>
  <cols>
    <col min="4" max="4" width="11.5703125" bestFit="1" customWidth="1"/>
    <col min="5" max="5" width="10.85546875" bestFit="1" customWidth="1"/>
  </cols>
  <sheetData>
    <row r="39" spans="1:5">
      <c r="A39" s="33"/>
      <c r="B39" s="33"/>
      <c r="C39" s="33"/>
      <c r="D39" s="409" t="s">
        <v>602</v>
      </c>
      <c r="E39" s="409" t="s">
        <v>603</v>
      </c>
    </row>
    <row r="40" spans="1:5">
      <c r="A40" s="410" t="s">
        <v>44</v>
      </c>
      <c r="B40" s="33">
        <f>162/2</f>
        <v>81</v>
      </c>
      <c r="C40" s="33">
        <f>B40*1.15</f>
        <v>93.149999999999991</v>
      </c>
      <c r="D40" s="411">
        <f>C40*0.65</f>
        <v>60.547499999999999</v>
      </c>
      <c r="E40" s="411">
        <f>C40-D40</f>
        <v>32.602499999999992</v>
      </c>
    </row>
    <row r="41" spans="1:5">
      <c r="A41" s="410" t="s">
        <v>45</v>
      </c>
      <c r="B41" s="33">
        <f>175.62/3</f>
        <v>58.54</v>
      </c>
      <c r="C41" s="33">
        <f>B41*1.2</f>
        <v>70.24799999999999</v>
      </c>
      <c r="D41" s="411">
        <f t="shared" ref="D41:D42" si="0">C41*0.65</f>
        <v>45.661199999999994</v>
      </c>
      <c r="E41" s="411">
        <f t="shared" ref="E41:E42" si="1">C41-D41</f>
        <v>24.586799999999997</v>
      </c>
    </row>
    <row r="42" spans="1:5">
      <c r="A42" s="410" t="s">
        <v>58</v>
      </c>
      <c r="B42" s="33">
        <f>201.66/6</f>
        <v>33.61</v>
      </c>
      <c r="C42" s="33">
        <f>B42*1.2</f>
        <v>40.332000000000001</v>
      </c>
      <c r="D42" s="411">
        <f t="shared" si="0"/>
        <v>26.215800000000002</v>
      </c>
      <c r="E42" s="411">
        <f t="shared" si="1"/>
        <v>14.116199999999999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812349-904E-4FEB-B97A-79910B993EA7}"/>
</file>

<file path=customXml/itemProps2.xml><?xml version="1.0" encoding="utf-8"?>
<ds:datastoreItem xmlns:ds="http://schemas.openxmlformats.org/officeDocument/2006/customXml" ds:itemID="{565363B5-A169-4309-904C-291406346471}"/>
</file>

<file path=customXml/itemProps3.xml><?xml version="1.0" encoding="utf-8"?>
<ds:datastoreItem xmlns:ds="http://schemas.openxmlformats.org/officeDocument/2006/customXml" ds:itemID="{1EF19789-0DB6-48CB-A3E3-D1D7A1E6CF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Sue  Lu</cp:lastModifiedBy>
  <cp:revision/>
  <dcterms:created xsi:type="dcterms:W3CDTF">2021-04-30T01:45:45Z</dcterms:created>
  <dcterms:modified xsi:type="dcterms:W3CDTF">2025-09-26T14:21:57Z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