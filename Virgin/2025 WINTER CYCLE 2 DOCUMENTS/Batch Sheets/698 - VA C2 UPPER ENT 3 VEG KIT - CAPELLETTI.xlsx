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Templates/"/>
    </mc:Choice>
  </mc:AlternateContent>
  <xr:revisionPtr revIDLastSave="49" documentId="8_{B4FFCC0A-871A-4D31-A651-F11E57B58FF2}" xr6:coauthVersionLast="47" xr6:coauthVersionMax="47" xr10:uidLastSave="{8068A0D9-4170-499B-B402-BB4B3A5BB7CC}"/>
  <bookViews>
    <workbookView xWindow="390" yWindow="390" windowWidth="9630" windowHeight="10770" firstSheet="3" activeTab="3" xr2:uid="{9D773142-25FF-402D-A059-87F5C56EFE7F}"/>
  </bookViews>
  <sheets>
    <sheet name="698 - KIT BUILD" sheetId="9" r:id="rId1"/>
    <sheet name="698 - PLATING" sheetId="7" r:id="rId2"/>
    <sheet name="Cacio pepe Sauce" sheetId="12" r:id="rId3"/>
    <sheet name="Blistered tomato" sheetId="11" r:id="rId4"/>
    <sheet name="Grilled Zucchini 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9" l="1"/>
  <c r="D24" i="12" l="1"/>
  <c r="F23" i="12" s="1"/>
  <c r="G23" i="12" s="1"/>
  <c r="F12" i="12"/>
  <c r="G12" i="12" s="1"/>
  <c r="F10" i="12"/>
  <c r="G10" i="12" s="1"/>
  <c r="F8" i="12" l="1"/>
  <c r="G8" i="12" s="1"/>
  <c r="F14" i="12"/>
  <c r="G14" i="12" s="1"/>
  <c r="F16" i="12"/>
  <c r="G16" i="12" s="1"/>
  <c r="F18" i="12"/>
  <c r="G18" i="12" s="1"/>
  <c r="F20" i="12"/>
  <c r="G20" i="12" s="1"/>
  <c r="F22" i="12"/>
  <c r="G22" i="12" s="1"/>
  <c r="F7" i="12"/>
  <c r="F9" i="12"/>
  <c r="G9" i="12" s="1"/>
  <c r="F11" i="12"/>
  <c r="G11" i="12" s="1"/>
  <c r="F13" i="12"/>
  <c r="G13" i="12" s="1"/>
  <c r="F15" i="12"/>
  <c r="G15" i="12" s="1"/>
  <c r="F17" i="12"/>
  <c r="G17" i="12" s="1"/>
  <c r="F19" i="12"/>
  <c r="G19" i="12" s="1"/>
  <c r="F21" i="12"/>
  <c r="G21" i="12" s="1"/>
  <c r="G7" i="12" l="1"/>
  <c r="G24" i="12" s="1"/>
  <c r="G25" i="12" s="1"/>
  <c r="F24" i="12"/>
  <c r="D24" i="11" l="1"/>
  <c r="F23" i="11" s="1"/>
  <c r="G23" i="11" s="1"/>
  <c r="F22" i="11"/>
  <c r="G22" i="11" s="1"/>
  <c r="F20" i="11"/>
  <c r="G20" i="11" s="1"/>
  <c r="F18" i="11"/>
  <c r="G18" i="11" s="1"/>
  <c r="F16" i="11"/>
  <c r="G16" i="11" s="1"/>
  <c r="F14" i="11"/>
  <c r="G14" i="11" s="1"/>
  <c r="F12" i="11"/>
  <c r="G12" i="11" s="1"/>
  <c r="F10" i="11"/>
  <c r="G10" i="11" s="1"/>
  <c r="F8" i="11"/>
  <c r="G8" i="11" s="1"/>
  <c r="F7" i="11" l="1"/>
  <c r="F9" i="11"/>
  <c r="G9" i="11" s="1"/>
  <c r="F11" i="11"/>
  <c r="G11" i="11" s="1"/>
  <c r="F13" i="11"/>
  <c r="G13" i="11" s="1"/>
  <c r="F15" i="11"/>
  <c r="G15" i="11" s="1"/>
  <c r="F17" i="11"/>
  <c r="G17" i="11" s="1"/>
  <c r="F19" i="11"/>
  <c r="G19" i="11" s="1"/>
  <c r="F21" i="11"/>
  <c r="G21" i="11" s="1"/>
  <c r="G7" i="11" l="1"/>
  <c r="G24" i="11" s="1"/>
  <c r="G25" i="11" s="1"/>
  <c r="F24" i="11"/>
  <c r="F24" i="10"/>
  <c r="D24" i="10"/>
  <c r="F23" i="10"/>
  <c r="G23" i="10" s="1"/>
  <c r="G22" i="10"/>
  <c r="F22" i="10"/>
  <c r="F21" i="10"/>
  <c r="G21" i="10" s="1"/>
  <c r="G20" i="10"/>
  <c r="F20" i="10"/>
  <c r="F19" i="10"/>
  <c r="G19" i="10" s="1"/>
  <c r="G18" i="10"/>
  <c r="F18" i="10"/>
  <c r="F17" i="10"/>
  <c r="G17" i="10" s="1"/>
  <c r="G16" i="10"/>
  <c r="F16" i="10"/>
  <c r="F15" i="10"/>
  <c r="G15" i="10" s="1"/>
  <c r="G14" i="10"/>
  <c r="F14" i="10"/>
  <c r="F13" i="10"/>
  <c r="G13" i="10" s="1"/>
  <c r="G12" i="10"/>
  <c r="F12" i="10"/>
  <c r="F11" i="10"/>
  <c r="G11" i="10" s="1"/>
  <c r="G10" i="10"/>
  <c r="F10" i="10"/>
  <c r="F9" i="10"/>
  <c r="G9" i="10" s="1"/>
  <c r="G8" i="10"/>
  <c r="F8" i="10"/>
  <c r="F7" i="10"/>
  <c r="G7" i="10" s="1"/>
  <c r="G24" i="10" l="1"/>
  <c r="G25" i="10" s="1"/>
  <c r="F23" i="9" l="1"/>
  <c r="F22" i="9"/>
  <c r="F21" i="9"/>
  <c r="F20" i="9"/>
  <c r="F19" i="9"/>
  <c r="F18" i="9"/>
  <c r="F17" i="9"/>
  <c r="F16" i="9"/>
  <c r="F15" i="9"/>
  <c r="F14" i="9"/>
  <c r="F13" i="9"/>
  <c r="F12" i="9"/>
  <c r="F10" i="9"/>
  <c r="F9" i="9"/>
  <c r="F8" i="9"/>
  <c r="F7" i="9"/>
  <c r="D24" i="7" l="1"/>
  <c r="F21" i="7" s="1"/>
  <c r="G21" i="7" s="1"/>
  <c r="F9" i="7" l="1"/>
  <c r="G9" i="7" s="1"/>
  <c r="F14" i="7"/>
  <c r="G14" i="7" s="1"/>
  <c r="F17" i="7"/>
  <c r="G17" i="7" s="1"/>
  <c r="F22" i="7"/>
  <c r="G22" i="7" s="1"/>
  <c r="F13" i="7"/>
  <c r="G13" i="7" s="1"/>
  <c r="F8" i="7"/>
  <c r="G8" i="7" s="1"/>
  <c r="F11" i="7"/>
  <c r="G11" i="7" s="1"/>
  <c r="F16" i="7"/>
  <c r="G16" i="7" s="1"/>
  <c r="F19" i="7"/>
  <c r="G19" i="7" s="1"/>
  <c r="F7" i="7"/>
  <c r="F12" i="7"/>
  <c r="G12" i="7" s="1"/>
  <c r="F15" i="7"/>
  <c r="G15" i="7" s="1"/>
  <c r="F20" i="7"/>
  <c r="G20" i="7" s="1"/>
  <c r="F23" i="7"/>
  <c r="G23" i="7" s="1"/>
  <c r="F10" i="7"/>
  <c r="G10" i="7" s="1"/>
  <c r="F18" i="7"/>
  <c r="G18" i="7" s="1"/>
  <c r="F24" i="7" l="1"/>
  <c r="G7" i="7"/>
  <c r="G24" i="7" s="1"/>
</calcChain>
</file>

<file path=xl/sharedStrings.xml><?xml version="1.0" encoding="utf-8"?>
<sst xmlns="http://schemas.openxmlformats.org/spreadsheetml/2006/main" count="268" uniqueCount="99">
  <si>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</si>
  <si>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</si>
  <si>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</si>
  <si>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</si>
  <si>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</si>
  <si>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</si>
  <si>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</si>
  <si>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</si>
  <si>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</si>
  <si>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</si>
  <si>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</si>
  <si>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</si>
  <si>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</si>
  <si>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</si>
  <si>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</si>
  <si>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</si>
  <si>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</si>
  <si>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</si>
  <si>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</si>
  <si>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</si>
  <si>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</si>
  <si>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BOWLS (ea):</t>
  </si>
  <si>
    <t>Desired QTY (lb):</t>
  </si>
  <si>
    <t>Yield Loss:</t>
  </si>
  <si>
    <t>lb</t>
  </si>
  <si>
    <t>Weight After Yield Loss</t>
  </si>
  <si>
    <t>GM</t>
  </si>
  <si>
    <t>Desired Cases:</t>
  </si>
  <si>
    <t>Desired Qty</t>
  </si>
  <si>
    <t>Each</t>
  </si>
  <si>
    <t>LB</t>
  </si>
  <si>
    <t>Original formula builds one kit.</t>
  </si>
  <si>
    <t xml:space="preserve">Pack all items according to the build and label the master case. </t>
  </si>
  <si>
    <t>Hold under refrigeration below 41 degrees for shipping</t>
  </si>
  <si>
    <t>698 - VA C2 UPPER ENT 3 VEG KIT - CAPELLETTI</t>
  </si>
  <si>
    <t>Grilled Zuchini</t>
  </si>
  <si>
    <t>Blistered Tomatoes</t>
  </si>
  <si>
    <t>Cacio Peppe Cream</t>
  </si>
  <si>
    <t>Grated Pecorino Cheese</t>
  </si>
  <si>
    <t>Grilled Zuchini rounds</t>
  </si>
  <si>
    <t>Original Formula</t>
  </si>
  <si>
    <t>D257</t>
  </si>
  <si>
    <t>OIL BLENDED 75%/25%</t>
  </si>
  <si>
    <t>D090</t>
  </si>
  <si>
    <t>SALT KOSHER</t>
  </si>
  <si>
    <t xml:space="preserve">Toss Ingredients together </t>
  </si>
  <si>
    <t>Store Below 40F until ready for pack out</t>
  </si>
  <si>
    <t xml:space="preserve">Grilled Zucchini </t>
  </si>
  <si>
    <t>C204</t>
  </si>
  <si>
    <t>ZUCCHINI, Half Moons</t>
  </si>
  <si>
    <t>C071</t>
  </si>
  <si>
    <t>Tomato, Cherry or Grape</t>
  </si>
  <si>
    <t>D109</t>
  </si>
  <si>
    <t>Blended Oil</t>
  </si>
  <si>
    <t>Salt , kosher</t>
  </si>
  <si>
    <t>toss all ingredients together</t>
  </si>
  <si>
    <t>Spread Evenly over sheet trays ,do not over crowd</t>
  </si>
  <si>
    <t>Roasted in oven at 375 for 8-10 minutes</t>
  </si>
  <si>
    <t xml:space="preserve">Chill and store below 40F </t>
  </si>
  <si>
    <t>gen 25-027</t>
  </si>
  <si>
    <t>P291</t>
  </si>
  <si>
    <t>CHEESE PARMESAN SHREDDED</t>
  </si>
  <si>
    <t>P297</t>
  </si>
  <si>
    <t>CHEESE MOZZARELLA SHREDDED</t>
  </si>
  <si>
    <t>C110</t>
  </si>
  <si>
    <t>HEAVY WHIPPING CREAM 36%</t>
  </si>
  <si>
    <t>P302</t>
  </si>
  <si>
    <t>MILK WHOLE 4 /1GAL</t>
  </si>
  <si>
    <t>WATER</t>
  </si>
  <si>
    <t>BASE CHICKEN CONCENTRATE EATOM FOODS</t>
  </si>
  <si>
    <t>D089</t>
  </si>
  <si>
    <t>SALT EVAPORATED</t>
  </si>
  <si>
    <t>D142</t>
  </si>
  <si>
    <t>SPICE PEPPER WHITE GROUND L</t>
  </si>
  <si>
    <t>D123</t>
  </si>
  <si>
    <t>SPICE GARLIC POWDER L</t>
  </si>
  <si>
    <t>D218</t>
  </si>
  <si>
    <t>STARCH THERM FLOR</t>
  </si>
  <si>
    <t>C169</t>
  </si>
  <si>
    <t>BUTTER UNSALTED</t>
  </si>
  <si>
    <t>D169</t>
  </si>
  <si>
    <t>WHOLE MILK POWDER</t>
  </si>
  <si>
    <t>D110</t>
  </si>
  <si>
    <t>SODIUM CITRATE</t>
  </si>
  <si>
    <t>D466</t>
  </si>
  <si>
    <t>FLAVOR SAVORY</t>
  </si>
  <si>
    <t>D112</t>
  </si>
  <si>
    <t>SPICE PEPPER B PEPPER COARSE</t>
  </si>
  <si>
    <t>S013</t>
  </si>
  <si>
    <t>BAG 2# - VACUUM 8X10" 3mm</t>
  </si>
  <si>
    <t>S055</t>
  </si>
  <si>
    <t>LABELS 4X6"</t>
  </si>
  <si>
    <t>S023</t>
  </si>
  <si>
    <t>BOX DELTA 64</t>
  </si>
  <si>
    <t>GEN 25-213</t>
  </si>
  <si>
    <t>GEN 25-214</t>
  </si>
  <si>
    <t>25-214</t>
  </si>
  <si>
    <t>Lemon Herb Cappelletti PASTA MAMI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</si>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</sst>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212121"/>
      <name val="Arial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0" xfId="2" applyFont="1" applyFill="1" applyAlignment="1">
      <alignment horizontal="center"/>
    </xf>
    <xf numFmtId="0" fontId="0" fillId="5" borderId="4" xfId="0" applyFill="1" applyBorder="1" applyProtection="1">
      <protection locked="0"/>
    </xf>
    <xf numFmtId="164" fontId="0" fillId="4" borderId="0" xfId="0" applyNumberFormat="1" applyFill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0" fontId="0" fillId="5" borderId="0" xfId="0" applyFill="1"/>
    <xf numFmtId="0" fontId="5" fillId="0" borderId="4" xfId="0" applyFont="1" applyBorder="1" applyAlignment="1">
      <alignment horizontal="center"/>
    </xf>
    <xf numFmtId="0" fontId="0" fillId="0" borderId="10" xfId="0" applyBorder="1"/>
    <xf numFmtId="0" fontId="6" fillId="0" borderId="4" xfId="0" applyFont="1" applyBorder="1"/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2" borderId="2" xfId="0" applyFill="1" applyBorder="1" applyAlignment="1">
      <alignment horizontal="left"/>
    </xf>
    <xf numFmtId="0" fontId="7" fillId="0" borderId="5" xfId="0" applyFont="1" applyBorder="1"/>
    <xf numFmtId="0" fontId="7" fillId="0" borderId="9" xfId="0" applyFont="1" applyBorder="1"/>
    <xf numFmtId="0" fontId="7" fillId="0" borderId="6" xfId="0" applyFont="1" applyBorder="1"/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D500-FC4A-4BA6-80F5-718A216C42DD}">
  <sheetPr>
    <pageSetUpPr fitToPage="1"/>
  </sheetPr>
  <dimension ref="A1:I43"/>
  <sheetViews>
    <sheetView topLeftCell="B1" zoomScaleNormal="100" workbookViewId="0">
      <selection activeCell="B28" sqref="B28:I28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12.5703125" style="2" customWidth="1"/>
    <col min="7" max="8" width="12.5703125" customWidth="1"/>
    <col min="9" max="9" width="37.42578125" customWidth="1"/>
  </cols>
  <sheetData>
    <row r="1" spans="1:9" ht="15.75" thickBot="1" x14ac:dyDescent="0.3"/>
    <row r="2" spans="1:9" ht="15.75" thickBot="1" x14ac:dyDescent="0.3">
      <c r="B2" s="3" t="s">
        <v>0</v>
      </c>
      <c r="C2" s="4" t="s">
        <v>34</v>
      </c>
      <c r="D2" s="5" t="s">
        <v>1</v>
      </c>
      <c r="E2" s="30" t="s">
        <v>95</v>
      </c>
      <c r="F2" s="4"/>
      <c r="G2" s="6" t="s">
        <v>2</v>
      </c>
      <c r="H2" s="7"/>
      <c r="I2" s="8" t="s">
        <v>3</v>
      </c>
    </row>
    <row r="3" spans="1:9" ht="5.25" customHeight="1" x14ac:dyDescent="0.25">
      <c r="B3" s="1"/>
      <c r="D3" s="9"/>
      <c r="G3" s="1"/>
      <c r="H3" s="1"/>
      <c r="I3" s="2"/>
    </row>
    <row r="4" spans="1:9" x14ac:dyDescent="0.25">
      <c r="B4" s="2" t="s">
        <v>27</v>
      </c>
      <c r="C4" s="10">
        <v>1</v>
      </c>
      <c r="D4" s="9"/>
      <c r="F4" s="25"/>
      <c r="H4" s="1"/>
      <c r="I4" s="2"/>
    </row>
    <row r="5" spans="1:9" ht="5.25" customHeight="1" x14ac:dyDescent="0.25">
      <c r="B5" s="1"/>
      <c r="C5">
        <v>5</v>
      </c>
      <c r="D5" s="9"/>
      <c r="G5" s="1"/>
      <c r="H5" s="1"/>
      <c r="I5" s="2"/>
    </row>
    <row r="6" spans="1:9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28</v>
      </c>
      <c r="G6" s="39" t="s">
        <v>10</v>
      </c>
      <c r="H6" s="40"/>
      <c r="I6" s="11" t="s">
        <v>11</v>
      </c>
    </row>
    <row r="7" spans="1:9" x14ac:dyDescent="0.25">
      <c r="A7" s="1">
        <v>1</v>
      </c>
      <c r="B7" s="12" t="s">
        <v>98</v>
      </c>
      <c r="C7" s="31" t="s">
        <v>39</v>
      </c>
      <c r="D7" s="13">
        <v>2</v>
      </c>
      <c r="E7" s="13" t="s">
        <v>30</v>
      </c>
      <c r="F7" s="15">
        <f>C4*D7</f>
        <v>2</v>
      </c>
      <c r="G7" s="37"/>
      <c r="H7" s="38"/>
      <c r="I7" s="26"/>
    </row>
    <row r="8" spans="1:9" x14ac:dyDescent="0.25">
      <c r="A8" s="1">
        <v>2</v>
      </c>
      <c r="B8" s="12" t="s">
        <v>98</v>
      </c>
      <c r="C8" s="31" t="s">
        <v>36</v>
      </c>
      <c r="D8" s="2">
        <v>1.5</v>
      </c>
      <c r="E8" s="13" t="s">
        <v>30</v>
      </c>
      <c r="F8" s="15">
        <f>C4*D8</f>
        <v>1.5</v>
      </c>
      <c r="G8" s="37"/>
      <c r="H8" s="38"/>
      <c r="I8" s="16"/>
    </row>
    <row r="9" spans="1:9" x14ac:dyDescent="0.25">
      <c r="A9" s="1">
        <v>3</v>
      </c>
      <c r="B9" s="12" t="s">
        <v>98</v>
      </c>
      <c r="C9" s="31" t="s">
        <v>37</v>
      </c>
      <c r="D9" s="13">
        <v>3</v>
      </c>
      <c r="E9" s="13" t="s">
        <v>30</v>
      </c>
      <c r="F9" s="15">
        <f>C4*D9</f>
        <v>3</v>
      </c>
      <c r="G9" s="37"/>
      <c r="H9" s="38"/>
      <c r="I9" s="16"/>
    </row>
    <row r="10" spans="1:9" x14ac:dyDescent="0.25">
      <c r="A10" s="1">
        <v>4</v>
      </c>
      <c r="B10" s="12"/>
      <c r="C10" s="31"/>
      <c r="D10" s="13">
        <v>1</v>
      </c>
      <c r="E10" s="13" t="s">
        <v>29</v>
      </c>
      <c r="F10" s="15">
        <f>C4*D10</f>
        <v>1</v>
      </c>
      <c r="G10" s="37"/>
      <c r="H10" s="38"/>
      <c r="I10" s="16"/>
    </row>
    <row r="11" spans="1:9" x14ac:dyDescent="0.25">
      <c r="A11" s="1">
        <v>5</v>
      </c>
      <c r="B11" s="12" t="s">
        <v>88</v>
      </c>
      <c r="C11" s="31" t="s">
        <v>89</v>
      </c>
      <c r="D11" s="13">
        <v>3</v>
      </c>
      <c r="E11" s="13" t="s">
        <v>29</v>
      </c>
      <c r="F11" s="15">
        <f>C4*D11</f>
        <v>3</v>
      </c>
      <c r="G11" s="37"/>
      <c r="H11" s="38"/>
      <c r="I11" s="16"/>
    </row>
    <row r="12" spans="1:9" x14ac:dyDescent="0.25">
      <c r="A12" s="1">
        <v>6</v>
      </c>
      <c r="B12" s="12" t="s">
        <v>90</v>
      </c>
      <c r="C12" s="13" t="s">
        <v>91</v>
      </c>
      <c r="D12" s="13">
        <v>4</v>
      </c>
      <c r="E12" s="13" t="s">
        <v>29</v>
      </c>
      <c r="F12" s="15">
        <f>C4*D12</f>
        <v>4</v>
      </c>
      <c r="G12" s="37"/>
      <c r="H12" s="38"/>
      <c r="I12" s="16"/>
    </row>
    <row r="13" spans="1:9" x14ac:dyDescent="0.25">
      <c r="A13" s="1">
        <v>7</v>
      </c>
      <c r="B13" s="12" t="s">
        <v>92</v>
      </c>
      <c r="C13" s="13" t="s">
        <v>93</v>
      </c>
      <c r="D13" s="13">
        <v>1</v>
      </c>
      <c r="E13" s="13" t="s">
        <v>29</v>
      </c>
      <c r="F13" s="15">
        <f t="shared" ref="F13" si="0">C5*D13</f>
        <v>5</v>
      </c>
      <c r="G13" s="37"/>
      <c r="H13" s="38"/>
      <c r="I13" s="16"/>
    </row>
    <row r="14" spans="1:9" x14ac:dyDescent="0.25">
      <c r="A14" s="1">
        <v>8</v>
      </c>
      <c r="B14" s="12"/>
      <c r="C14" s="13"/>
      <c r="D14" s="13"/>
      <c r="E14" s="13"/>
      <c r="F14" s="15">
        <f>C4*D14</f>
        <v>0</v>
      </c>
      <c r="G14" s="37"/>
      <c r="H14" s="38"/>
      <c r="I14" s="16"/>
    </row>
    <row r="15" spans="1:9" x14ac:dyDescent="0.25">
      <c r="A15" s="1">
        <v>9</v>
      </c>
      <c r="B15" s="12"/>
      <c r="C15" s="12"/>
      <c r="D15" s="13"/>
      <c r="E15" s="13"/>
      <c r="F15" s="15">
        <f>C4*D15</f>
        <v>0</v>
      </c>
      <c r="G15" s="37"/>
      <c r="H15" s="38"/>
      <c r="I15" s="16"/>
    </row>
    <row r="16" spans="1:9" x14ac:dyDescent="0.25">
      <c r="A16" s="1">
        <v>10</v>
      </c>
      <c r="B16" s="12"/>
      <c r="C16" s="12"/>
      <c r="D16" s="13"/>
      <c r="E16" s="13"/>
      <c r="F16" s="15">
        <f>C4*D16</f>
        <v>0</v>
      </c>
      <c r="G16" s="37"/>
      <c r="H16" s="38"/>
      <c r="I16" s="16"/>
    </row>
    <row r="17" spans="1:9" x14ac:dyDescent="0.25">
      <c r="A17" s="1">
        <v>11</v>
      </c>
      <c r="B17" s="12"/>
      <c r="C17" s="12"/>
      <c r="D17" s="13"/>
      <c r="E17" s="13"/>
      <c r="F17" s="15">
        <f>C4*D17</f>
        <v>0</v>
      </c>
      <c r="G17" s="37"/>
      <c r="H17" s="38"/>
      <c r="I17" s="16"/>
    </row>
    <row r="18" spans="1:9" x14ac:dyDescent="0.25">
      <c r="A18" s="1">
        <v>12</v>
      </c>
      <c r="B18" s="12"/>
      <c r="C18" s="12"/>
      <c r="D18" s="13"/>
      <c r="E18" s="13"/>
      <c r="F18" s="15">
        <f>C4*D18</f>
        <v>0</v>
      </c>
      <c r="G18" s="37"/>
      <c r="H18" s="38"/>
      <c r="I18" s="16"/>
    </row>
    <row r="19" spans="1:9" x14ac:dyDescent="0.25">
      <c r="A19" s="1">
        <v>13</v>
      </c>
      <c r="B19" s="12"/>
      <c r="C19" s="12"/>
      <c r="D19" s="13"/>
      <c r="E19" s="13"/>
      <c r="F19" s="15">
        <f>C4*D19</f>
        <v>0</v>
      </c>
      <c r="G19" s="37"/>
      <c r="H19" s="38"/>
      <c r="I19" s="16"/>
    </row>
    <row r="20" spans="1:9" x14ac:dyDescent="0.25">
      <c r="A20" s="1">
        <v>14</v>
      </c>
      <c r="B20" s="12"/>
      <c r="C20" s="12"/>
      <c r="D20" s="13"/>
      <c r="E20" s="13"/>
      <c r="F20" s="15">
        <f>C4*D20</f>
        <v>0</v>
      </c>
      <c r="G20" s="37"/>
      <c r="H20" s="38"/>
      <c r="I20" s="16"/>
    </row>
    <row r="21" spans="1:9" x14ac:dyDescent="0.25">
      <c r="A21" s="1">
        <v>15</v>
      </c>
      <c r="B21" s="12"/>
      <c r="C21" s="12"/>
      <c r="D21" s="13"/>
      <c r="E21" s="13"/>
      <c r="F21" s="15">
        <f>C4*D21</f>
        <v>0</v>
      </c>
      <c r="G21" s="37"/>
      <c r="H21" s="38"/>
      <c r="I21" s="16"/>
    </row>
    <row r="22" spans="1:9" x14ac:dyDescent="0.25">
      <c r="A22" s="1">
        <v>16</v>
      </c>
      <c r="B22" s="12"/>
      <c r="C22" s="12"/>
      <c r="D22" s="13"/>
      <c r="E22" s="13"/>
      <c r="F22" s="15">
        <f>C4*D22</f>
        <v>0</v>
      </c>
      <c r="G22" s="37"/>
      <c r="H22" s="38"/>
      <c r="I22" s="16"/>
    </row>
    <row r="23" spans="1:9" x14ac:dyDescent="0.25">
      <c r="A23" s="1">
        <v>17</v>
      </c>
      <c r="B23" s="12"/>
      <c r="C23" s="12"/>
      <c r="D23" s="13"/>
      <c r="E23" s="13"/>
      <c r="F23" s="15">
        <f>C4*D23</f>
        <v>0</v>
      </c>
      <c r="G23" s="37"/>
      <c r="H23" s="38"/>
      <c r="I23" s="16"/>
    </row>
    <row r="24" spans="1:9" x14ac:dyDescent="0.25">
      <c r="C24" s="17"/>
      <c r="D24" s="1"/>
      <c r="F24" s="32"/>
      <c r="G24" s="33"/>
    </row>
    <row r="25" spans="1:9" x14ac:dyDescent="0.25">
      <c r="F25" s="20"/>
    </row>
    <row r="26" spans="1:9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</row>
    <row r="27" spans="1:9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</row>
    <row r="28" spans="1:9" x14ac:dyDescent="0.25">
      <c r="A28" s="1">
        <v>1</v>
      </c>
      <c r="B28" s="41" t="s">
        <v>31</v>
      </c>
      <c r="C28" s="41"/>
      <c r="D28" s="41"/>
      <c r="E28" s="41"/>
      <c r="F28" s="41"/>
      <c r="G28" s="41"/>
      <c r="H28" s="41"/>
      <c r="I28" s="41"/>
    </row>
    <row r="29" spans="1:9" x14ac:dyDescent="0.25">
      <c r="A29" s="1">
        <v>2</v>
      </c>
      <c r="B29" s="41" t="s">
        <v>32</v>
      </c>
      <c r="C29" s="41"/>
      <c r="D29" s="41"/>
      <c r="E29" s="41"/>
      <c r="F29" s="41"/>
      <c r="G29" s="41"/>
      <c r="H29" s="41"/>
      <c r="I29" s="41"/>
    </row>
    <row r="30" spans="1:9" x14ac:dyDescent="0.25">
      <c r="A30" s="1">
        <v>3</v>
      </c>
      <c r="B30" s="41" t="s">
        <v>33</v>
      </c>
      <c r="C30" s="41"/>
      <c r="D30" s="41"/>
      <c r="E30" s="41"/>
      <c r="F30" s="41"/>
      <c r="G30" s="41"/>
      <c r="H30" s="41"/>
      <c r="I30" s="41"/>
    </row>
    <row r="31" spans="1:9" x14ac:dyDescent="0.25">
      <c r="A31" s="1">
        <v>4</v>
      </c>
      <c r="B31" s="41"/>
      <c r="C31" s="41"/>
      <c r="D31" s="41"/>
      <c r="E31" s="41"/>
      <c r="F31" s="41"/>
      <c r="G31" s="41"/>
      <c r="H31" s="41"/>
      <c r="I31" s="41"/>
    </row>
    <row r="32" spans="1:9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</row>
    <row r="33" spans="1:9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</row>
    <row r="34" spans="1:9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</row>
    <row r="35" spans="1:9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</row>
    <row r="36" spans="1:9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</row>
    <row r="37" spans="1:9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</row>
    <row r="38" spans="1:9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</row>
    <row r="40" spans="1:9" x14ac:dyDescent="0.25">
      <c r="B40" t="s">
        <v>16</v>
      </c>
    </row>
    <row r="42" spans="1:9" x14ac:dyDescent="0.25">
      <c r="B42" s="23"/>
      <c r="C42" s="23"/>
      <c r="D42" s="24"/>
      <c r="E42" s="24"/>
      <c r="G42" s="23"/>
      <c r="H42" s="23"/>
      <c r="I42" s="23"/>
    </row>
    <row r="43" spans="1:9" x14ac:dyDescent="0.25">
      <c r="B43" s="43" t="s">
        <v>17</v>
      </c>
      <c r="C43" s="43"/>
      <c r="E43" s="2" t="s">
        <v>18</v>
      </c>
      <c r="G43" s="44" t="s">
        <v>19</v>
      </c>
      <c r="H43" s="44"/>
      <c r="I43" s="2" t="s">
        <v>20</v>
      </c>
    </row>
  </sheetData>
  <mergeCells count="32">
    <mergeCell ref="B43:C43"/>
    <mergeCell ref="G43:H43"/>
    <mergeCell ref="B33:I33"/>
    <mergeCell ref="B34:I34"/>
    <mergeCell ref="B35:I35"/>
    <mergeCell ref="B36:I36"/>
    <mergeCell ref="B37:I37"/>
    <mergeCell ref="B38:I38"/>
    <mergeCell ref="B32:I32"/>
    <mergeCell ref="G18:H18"/>
    <mergeCell ref="G19:H19"/>
    <mergeCell ref="G20:H20"/>
    <mergeCell ref="G21:H21"/>
    <mergeCell ref="G22:H22"/>
    <mergeCell ref="G23:H23"/>
    <mergeCell ref="B26:I26"/>
    <mergeCell ref="B28:I28"/>
    <mergeCell ref="B29:I29"/>
    <mergeCell ref="B30:I30"/>
    <mergeCell ref="B31:I31"/>
    <mergeCell ref="G17:H17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</mergeCells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974C-121C-4532-9A11-49822329687F}">
  <sheetPr>
    <pageSetUpPr fitToPage="1"/>
  </sheetPr>
  <dimension ref="A1:J43"/>
  <sheetViews>
    <sheetView zoomScale="71" zoomScaleNormal="71" workbookViewId="0">
      <selection activeCell="E9" sqref="E9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34</v>
      </c>
      <c r="D2" s="5" t="s">
        <v>1</v>
      </c>
      <c r="E2" s="45" t="s">
        <v>96</v>
      </c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</v>
      </c>
      <c r="D4" s="9"/>
      <c r="F4" s="2"/>
      <c r="G4" s="25"/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9" t="s">
        <v>10</v>
      </c>
      <c r="I6" s="40"/>
      <c r="J6" s="11" t="s">
        <v>11</v>
      </c>
    </row>
    <row r="7" spans="1:10" x14ac:dyDescent="0.25">
      <c r="A7" s="1">
        <v>1</v>
      </c>
      <c r="B7" s="12"/>
      <c r="C7" s="12" t="s">
        <v>97</v>
      </c>
      <c r="D7" s="13">
        <v>140</v>
      </c>
      <c r="E7" s="13" t="s">
        <v>26</v>
      </c>
      <c r="F7" s="14">
        <f>D7/D$24</f>
        <v>0.4682274247491639</v>
      </c>
      <c r="G7" s="15">
        <f>F7*D24*C4/453.592</f>
        <v>0.30864741882572888</v>
      </c>
      <c r="H7" s="37"/>
      <c r="I7" s="38"/>
      <c r="J7" s="26"/>
    </row>
    <row r="8" spans="1:10" x14ac:dyDescent="0.25">
      <c r="A8" s="1">
        <v>2</v>
      </c>
      <c r="B8" s="12"/>
      <c r="C8" s="12" t="s">
        <v>35</v>
      </c>
      <c r="D8" s="2">
        <v>42</v>
      </c>
      <c r="E8" s="13" t="s">
        <v>26</v>
      </c>
      <c r="F8" s="14">
        <f>D8/D$24</f>
        <v>0.14046822742474915</v>
      </c>
      <c r="G8" s="15">
        <f>F8*D24*C4/453.592</f>
        <v>9.2594225647718659E-2</v>
      </c>
      <c r="H8" s="37"/>
      <c r="I8" s="38"/>
      <c r="J8" s="16"/>
    </row>
    <row r="9" spans="1:10" x14ac:dyDescent="0.25">
      <c r="A9" s="1">
        <v>3</v>
      </c>
      <c r="B9" s="12"/>
      <c r="C9" s="12" t="s">
        <v>36</v>
      </c>
      <c r="D9" s="13">
        <v>28</v>
      </c>
      <c r="E9" s="13" t="s">
        <v>26</v>
      </c>
      <c r="F9" s="14">
        <f t="shared" ref="F9:F23" si="0">D9/D$24</f>
        <v>9.3645484949832769E-2</v>
      </c>
      <c r="G9" s="15">
        <f>F9*D24*C4/453.592</f>
        <v>6.1729483765145761E-2</v>
      </c>
      <c r="H9" s="37"/>
      <c r="I9" s="38"/>
      <c r="J9" s="16"/>
    </row>
    <row r="10" spans="1:10" x14ac:dyDescent="0.25">
      <c r="A10" s="1">
        <v>4</v>
      </c>
      <c r="B10" s="12" t="s">
        <v>94</v>
      </c>
      <c r="C10" s="12" t="s">
        <v>37</v>
      </c>
      <c r="D10" s="13">
        <v>85</v>
      </c>
      <c r="E10" s="13" t="s">
        <v>26</v>
      </c>
      <c r="F10" s="14">
        <f t="shared" si="0"/>
        <v>0.28428093645484948</v>
      </c>
      <c r="G10" s="15">
        <f>C4*D24*F10/453.592</f>
        <v>0.18739307571562108</v>
      </c>
      <c r="H10" s="37"/>
      <c r="I10" s="38"/>
      <c r="J10" s="16"/>
    </row>
    <row r="11" spans="1:10" x14ac:dyDescent="0.25">
      <c r="A11" s="1">
        <v>5</v>
      </c>
      <c r="B11" s="12"/>
      <c r="C11" s="12" t="s">
        <v>38</v>
      </c>
      <c r="D11" s="13">
        <v>4</v>
      </c>
      <c r="E11" s="13" t="s">
        <v>26</v>
      </c>
      <c r="F11" s="14">
        <f t="shared" si="0"/>
        <v>1.3377926421404682E-2</v>
      </c>
      <c r="G11" s="15">
        <f>C4*F11*D24/453.592</f>
        <v>8.8184976807351104E-3</v>
      </c>
      <c r="H11" s="37"/>
      <c r="I11" s="38"/>
      <c r="J11" s="16"/>
    </row>
    <row r="12" spans="1:10" x14ac:dyDescent="0.25">
      <c r="A12" s="1">
        <v>6</v>
      </c>
      <c r="B12" s="12"/>
      <c r="C12" s="12"/>
      <c r="D12" s="13"/>
      <c r="E12" s="13" t="s">
        <v>26</v>
      </c>
      <c r="F12" s="14">
        <f t="shared" si="0"/>
        <v>0</v>
      </c>
      <c r="G12" s="15">
        <f>C4*F12*D24/453.592</f>
        <v>0</v>
      </c>
      <c r="H12" s="37"/>
      <c r="I12" s="38"/>
      <c r="J12" s="16"/>
    </row>
    <row r="13" spans="1:10" x14ac:dyDescent="0.25">
      <c r="A13" s="1">
        <v>7</v>
      </c>
      <c r="B13" s="12"/>
      <c r="C13" s="12"/>
      <c r="D13" s="13"/>
      <c r="E13" s="13" t="s">
        <v>26</v>
      </c>
      <c r="F13" s="14">
        <f t="shared" si="0"/>
        <v>0</v>
      </c>
      <c r="G13" s="15">
        <f>C4*F13*D24/453.592</f>
        <v>0</v>
      </c>
      <c r="H13" s="37"/>
      <c r="I13" s="38"/>
      <c r="J13" s="16"/>
    </row>
    <row r="14" spans="1:10" x14ac:dyDescent="0.25">
      <c r="A14" s="1">
        <v>8</v>
      </c>
      <c r="B14" s="12"/>
      <c r="C14" s="12"/>
      <c r="D14" s="13"/>
      <c r="E14" s="13" t="s">
        <v>26</v>
      </c>
      <c r="F14" s="14">
        <f t="shared" si="0"/>
        <v>0</v>
      </c>
      <c r="G14" s="15">
        <f>C4*F14*D24/453.592</f>
        <v>0</v>
      </c>
      <c r="H14" s="37"/>
      <c r="I14" s="38"/>
      <c r="J14" s="16"/>
    </row>
    <row r="15" spans="1:10" x14ac:dyDescent="0.25">
      <c r="A15" s="1">
        <v>9</v>
      </c>
      <c r="B15" s="12"/>
      <c r="C15" s="12"/>
      <c r="D15" s="13"/>
      <c r="E15" s="13" t="s">
        <v>26</v>
      </c>
      <c r="F15" s="14">
        <f t="shared" si="0"/>
        <v>0</v>
      </c>
      <c r="G15" s="15">
        <f>C4*F15*D24/453.592</f>
        <v>0</v>
      </c>
      <c r="H15" s="37"/>
      <c r="I15" s="38"/>
      <c r="J15" s="16"/>
    </row>
    <row r="16" spans="1:10" x14ac:dyDescent="0.25">
      <c r="A16" s="1">
        <v>10</v>
      </c>
      <c r="B16" s="12"/>
      <c r="C16" s="12"/>
      <c r="D16" s="13"/>
      <c r="E16" s="13" t="s">
        <v>26</v>
      </c>
      <c r="F16" s="14">
        <f t="shared" si="0"/>
        <v>0</v>
      </c>
      <c r="G16" s="15">
        <f>C4*F16*D24/453.592</f>
        <v>0</v>
      </c>
      <c r="H16" s="37"/>
      <c r="I16" s="38"/>
      <c r="J16" s="16"/>
    </row>
    <row r="17" spans="1:10" x14ac:dyDescent="0.25">
      <c r="A17" s="1">
        <v>11</v>
      </c>
      <c r="B17" s="12"/>
      <c r="C17" s="12"/>
      <c r="D17" s="13"/>
      <c r="E17" s="13" t="s">
        <v>26</v>
      </c>
      <c r="F17" s="14">
        <f t="shared" si="0"/>
        <v>0</v>
      </c>
      <c r="G17" s="15">
        <f>C4*F17*D24/453.592</f>
        <v>0</v>
      </c>
      <c r="H17" s="37"/>
      <c r="I17" s="38"/>
      <c r="J17" s="16"/>
    </row>
    <row r="18" spans="1:10" x14ac:dyDescent="0.25">
      <c r="A18" s="1">
        <v>12</v>
      </c>
      <c r="B18" s="12"/>
      <c r="C18" s="12"/>
      <c r="D18" s="13"/>
      <c r="E18" s="13" t="s">
        <v>26</v>
      </c>
      <c r="F18" s="14">
        <f t="shared" si="0"/>
        <v>0</v>
      </c>
      <c r="G18" s="15">
        <f>C4*F18*D24/453.592</f>
        <v>0</v>
      </c>
      <c r="H18" s="37"/>
      <c r="I18" s="38"/>
      <c r="J18" s="16"/>
    </row>
    <row r="19" spans="1:10" x14ac:dyDescent="0.25">
      <c r="A19" s="1">
        <v>13</v>
      </c>
      <c r="B19" s="12"/>
      <c r="C19" s="12"/>
      <c r="D19" s="13"/>
      <c r="E19" s="13" t="s">
        <v>26</v>
      </c>
      <c r="F19" s="14">
        <f t="shared" si="0"/>
        <v>0</v>
      </c>
      <c r="G19" s="15">
        <f>C4*F19*D24/453.592</f>
        <v>0</v>
      </c>
      <c r="H19" s="37"/>
      <c r="I19" s="38"/>
      <c r="J19" s="16"/>
    </row>
    <row r="20" spans="1:10" x14ac:dyDescent="0.25">
      <c r="A20" s="1">
        <v>14</v>
      </c>
      <c r="B20" s="12"/>
      <c r="C20" s="12"/>
      <c r="D20" s="13"/>
      <c r="E20" s="13" t="s">
        <v>26</v>
      </c>
      <c r="F20" s="14">
        <f t="shared" si="0"/>
        <v>0</v>
      </c>
      <c r="G20" s="15">
        <f>C4*F20*D24/453.592</f>
        <v>0</v>
      </c>
      <c r="H20" s="37"/>
      <c r="I20" s="38"/>
      <c r="J20" s="16"/>
    </row>
    <row r="21" spans="1:10" x14ac:dyDescent="0.25">
      <c r="A21" s="1">
        <v>15</v>
      </c>
      <c r="B21" s="12"/>
      <c r="C21" s="12"/>
      <c r="D21" s="13"/>
      <c r="E21" s="13" t="s">
        <v>26</v>
      </c>
      <c r="F21" s="14">
        <f>D21/D$24</f>
        <v>0</v>
      </c>
      <c r="G21" s="15">
        <f>C4*F21*D24/453.592</f>
        <v>0</v>
      </c>
      <c r="H21" s="37"/>
      <c r="I21" s="38"/>
      <c r="J21" s="16"/>
    </row>
    <row r="22" spans="1:10" x14ac:dyDescent="0.25">
      <c r="A22" s="1">
        <v>16</v>
      </c>
      <c r="B22" s="12"/>
      <c r="C22" s="12"/>
      <c r="D22" s="13"/>
      <c r="E22" s="13" t="s">
        <v>26</v>
      </c>
      <c r="F22" s="14">
        <f t="shared" si="0"/>
        <v>0</v>
      </c>
      <c r="G22" s="15">
        <f>C4*F22*D24/453.592</f>
        <v>0</v>
      </c>
      <c r="H22" s="37"/>
      <c r="I22" s="38"/>
      <c r="J22" s="16"/>
    </row>
    <row r="23" spans="1:10" x14ac:dyDescent="0.25">
      <c r="A23" s="1">
        <v>17</v>
      </c>
      <c r="B23" s="12"/>
      <c r="C23" s="12"/>
      <c r="D23" s="13"/>
      <c r="E23" s="13" t="s">
        <v>26</v>
      </c>
      <c r="F23" s="14">
        <f t="shared" si="0"/>
        <v>0</v>
      </c>
      <c r="G23" s="15">
        <f>C4*F23*D24/453.592</f>
        <v>0</v>
      </c>
      <c r="H23" s="37"/>
      <c r="I23" s="38"/>
      <c r="J23" s="16"/>
    </row>
    <row r="24" spans="1:10" x14ac:dyDescent="0.25">
      <c r="C24" s="17" t="s">
        <v>12</v>
      </c>
      <c r="D24" s="1">
        <f>SUM(D7:D23)</f>
        <v>299</v>
      </c>
      <c r="E24" s="13" t="s">
        <v>26</v>
      </c>
      <c r="F24" s="18">
        <f>SUM(F7:F23)</f>
        <v>1</v>
      </c>
      <c r="G24" s="27">
        <f>SUM(G7:G23)</f>
        <v>0.65918270163494941</v>
      </c>
      <c r="H24" s="19" t="s">
        <v>13</v>
      </c>
    </row>
    <row r="25" spans="1:10" x14ac:dyDescent="0.25">
      <c r="F25" s="25"/>
      <c r="G25" s="20"/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1"/>
      <c r="C28" s="41"/>
      <c r="D28" s="41"/>
      <c r="E28" s="41"/>
      <c r="F28" s="41"/>
      <c r="G28" s="41"/>
      <c r="H28" s="41"/>
      <c r="I28" s="41"/>
      <c r="J28" s="41"/>
    </row>
    <row r="29" spans="1:10" x14ac:dyDescent="0.25">
      <c r="A29" s="1">
        <v>2</v>
      </c>
      <c r="B29" s="41"/>
      <c r="C29" s="41"/>
      <c r="D29" s="41"/>
      <c r="E29" s="41"/>
      <c r="F29" s="41"/>
      <c r="G29" s="41"/>
      <c r="H29" s="41"/>
      <c r="I29" s="41"/>
      <c r="J29" s="41"/>
    </row>
    <row r="30" spans="1:10" x14ac:dyDescent="0.25">
      <c r="A30" s="1">
        <v>3</v>
      </c>
      <c r="B30" s="41"/>
      <c r="C30" s="41"/>
      <c r="D30" s="41"/>
      <c r="E30" s="41"/>
      <c r="F30" s="41"/>
      <c r="G30" s="41"/>
      <c r="H30" s="41"/>
      <c r="I30" s="41"/>
      <c r="J30" s="41"/>
    </row>
    <row r="31" spans="1:10" x14ac:dyDescent="0.25">
      <c r="A31" s="1">
        <v>4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3" t="s">
        <v>17</v>
      </c>
      <c r="C43" s="43"/>
      <c r="E43" s="43" t="s">
        <v>18</v>
      </c>
      <c r="F43" s="43"/>
      <c r="H43" s="44" t="s">
        <v>19</v>
      </c>
      <c r="I43" s="44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0F35-702A-4AFC-AA9E-BC71B6FE4DFD}">
  <dimension ref="A1:J43"/>
  <sheetViews>
    <sheetView workbookViewId="0">
      <selection activeCell="D22" sqref="D2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37</v>
      </c>
      <c r="D2" s="5" t="s">
        <v>1</v>
      </c>
      <c r="E2" s="45" t="s">
        <v>94</v>
      </c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1000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9" t="s">
        <v>10</v>
      </c>
      <c r="I6" s="40"/>
      <c r="J6" s="11" t="s">
        <v>11</v>
      </c>
    </row>
    <row r="7" spans="1:10" x14ac:dyDescent="0.25">
      <c r="A7" s="1">
        <v>1</v>
      </c>
      <c r="B7" s="34" t="s">
        <v>60</v>
      </c>
      <c r="C7" s="35" t="s">
        <v>61</v>
      </c>
      <c r="D7" s="13">
        <v>136.69999999999999</v>
      </c>
      <c r="E7" s="13" t="s">
        <v>24</v>
      </c>
      <c r="F7" s="14">
        <f>D7/D$24</f>
        <v>0.13642714570858283</v>
      </c>
      <c r="G7" s="15">
        <f>C4*F7</f>
        <v>136.42714570858283</v>
      </c>
      <c r="H7" s="37"/>
      <c r="I7" s="38"/>
      <c r="J7" s="16"/>
    </row>
    <row r="8" spans="1:10" x14ac:dyDescent="0.25">
      <c r="A8" s="1">
        <v>2</v>
      </c>
      <c r="B8" s="34" t="s">
        <v>62</v>
      </c>
      <c r="C8" s="12" t="s">
        <v>63</v>
      </c>
      <c r="D8" s="13">
        <v>94</v>
      </c>
      <c r="E8" s="13" t="s">
        <v>24</v>
      </c>
      <c r="F8" s="14">
        <f t="shared" ref="F8:F23" si="0">D8/D$24</f>
        <v>9.3812375249500993E-2</v>
      </c>
      <c r="G8" s="15">
        <f>C4*F8</f>
        <v>93.812375249500988</v>
      </c>
      <c r="H8" s="37"/>
      <c r="I8" s="38"/>
      <c r="J8" s="16"/>
    </row>
    <row r="9" spans="1:10" x14ac:dyDescent="0.25">
      <c r="A9" s="1">
        <v>3</v>
      </c>
      <c r="B9" s="34" t="s">
        <v>64</v>
      </c>
      <c r="C9" s="12" t="s">
        <v>65</v>
      </c>
      <c r="D9" s="13">
        <v>280</v>
      </c>
      <c r="E9" s="13" t="s">
        <v>24</v>
      </c>
      <c r="F9" s="14">
        <f t="shared" si="0"/>
        <v>0.27944111776447106</v>
      </c>
      <c r="G9" s="15">
        <f>C4*F9</f>
        <v>279.44111776447107</v>
      </c>
      <c r="H9" s="37"/>
      <c r="I9" s="38"/>
      <c r="J9" s="16"/>
    </row>
    <row r="10" spans="1:10" x14ac:dyDescent="0.25">
      <c r="A10" s="1">
        <v>4</v>
      </c>
      <c r="B10" s="34" t="s">
        <v>66</v>
      </c>
      <c r="C10" s="12" t="s">
        <v>67</v>
      </c>
      <c r="D10" s="13">
        <v>60</v>
      </c>
      <c r="E10" s="13" t="s">
        <v>24</v>
      </c>
      <c r="F10" s="14">
        <f t="shared" si="0"/>
        <v>5.9880239520958084E-2</v>
      </c>
      <c r="G10" s="15">
        <f>C4*F10</f>
        <v>59.880239520958085</v>
      </c>
      <c r="H10" s="37"/>
      <c r="I10" s="38"/>
      <c r="J10" s="16"/>
    </row>
    <row r="11" spans="1:10" x14ac:dyDescent="0.25">
      <c r="A11" s="1">
        <v>5</v>
      </c>
      <c r="B11" s="34"/>
      <c r="C11" s="12" t="s">
        <v>68</v>
      </c>
      <c r="D11" s="13">
        <v>346</v>
      </c>
      <c r="E11" s="13" t="s">
        <v>24</v>
      </c>
      <c r="F11" s="14">
        <f t="shared" si="0"/>
        <v>0.34530938123752497</v>
      </c>
      <c r="G11" s="15">
        <f>C4*F11</f>
        <v>345.30938123752497</v>
      </c>
      <c r="H11" s="37"/>
      <c r="I11" s="38"/>
      <c r="J11" s="16"/>
    </row>
    <row r="12" spans="1:10" x14ac:dyDescent="0.25">
      <c r="A12" s="1">
        <v>6</v>
      </c>
      <c r="B12" s="34">
        <v>0</v>
      </c>
      <c r="C12" s="36" t="s">
        <v>69</v>
      </c>
      <c r="D12" s="13">
        <v>18.5</v>
      </c>
      <c r="E12" s="13" t="s">
        <v>24</v>
      </c>
      <c r="F12" s="14">
        <f t="shared" si="0"/>
        <v>1.8463073852295408E-2</v>
      </c>
      <c r="G12" s="15">
        <f>C4*F12</f>
        <v>18.463073852295409</v>
      </c>
      <c r="H12" s="37"/>
      <c r="I12" s="38"/>
      <c r="J12" s="16"/>
    </row>
    <row r="13" spans="1:10" x14ac:dyDescent="0.25">
      <c r="A13" s="1">
        <v>7</v>
      </c>
      <c r="B13" s="34" t="s">
        <v>70</v>
      </c>
      <c r="C13" s="36" t="s">
        <v>71</v>
      </c>
      <c r="D13" s="13">
        <v>4.5</v>
      </c>
      <c r="E13" s="13" t="s">
        <v>24</v>
      </c>
      <c r="F13" s="14">
        <f t="shared" si="0"/>
        <v>4.4910179640718561E-3</v>
      </c>
      <c r="G13" s="15">
        <f>C4*F13</f>
        <v>4.4910179640718564</v>
      </c>
      <c r="H13" s="37"/>
      <c r="I13" s="38"/>
      <c r="J13" s="16"/>
    </row>
    <row r="14" spans="1:10" x14ac:dyDescent="0.25">
      <c r="A14" s="1">
        <v>8</v>
      </c>
      <c r="B14" s="34" t="s">
        <v>72</v>
      </c>
      <c r="C14" s="36" t="s">
        <v>73</v>
      </c>
      <c r="D14" s="13">
        <v>0.5</v>
      </c>
      <c r="E14" s="13" t="s">
        <v>24</v>
      </c>
      <c r="F14" s="14">
        <f t="shared" si="0"/>
        <v>4.9900199600798399E-4</v>
      </c>
      <c r="G14" s="15">
        <f>C4*F14</f>
        <v>0.49900199600798401</v>
      </c>
      <c r="H14" s="37"/>
      <c r="I14" s="38"/>
      <c r="J14" s="16"/>
    </row>
    <row r="15" spans="1:10" x14ac:dyDescent="0.25">
      <c r="A15" s="1">
        <v>9</v>
      </c>
      <c r="B15" s="34" t="s">
        <v>74</v>
      </c>
      <c r="C15" s="36" t="s">
        <v>75</v>
      </c>
      <c r="D15" s="13">
        <v>3.8</v>
      </c>
      <c r="E15" s="13" t="s">
        <v>24</v>
      </c>
      <c r="F15" s="14">
        <f t="shared" si="0"/>
        <v>3.7924151696606787E-3</v>
      </c>
      <c r="G15" s="15">
        <f>C4*F15</f>
        <v>3.7924151696606785</v>
      </c>
      <c r="H15" s="37"/>
      <c r="I15" s="38"/>
      <c r="J15" s="16"/>
    </row>
    <row r="16" spans="1:10" x14ac:dyDescent="0.25">
      <c r="A16" s="1">
        <v>10</v>
      </c>
      <c r="B16" s="34" t="s">
        <v>76</v>
      </c>
      <c r="C16" s="36" t="s">
        <v>77</v>
      </c>
      <c r="D16" s="13">
        <v>25</v>
      </c>
      <c r="E16" s="13" t="s">
        <v>24</v>
      </c>
      <c r="F16" s="14">
        <f t="shared" si="0"/>
        <v>2.4950099800399202E-2</v>
      </c>
      <c r="G16" s="15">
        <f>C4*F16</f>
        <v>24.950099800399201</v>
      </c>
      <c r="H16" s="37"/>
      <c r="I16" s="38"/>
      <c r="J16" s="16"/>
    </row>
    <row r="17" spans="1:10" x14ac:dyDescent="0.25">
      <c r="A17" s="1">
        <v>11</v>
      </c>
      <c r="B17" s="13" t="s">
        <v>78</v>
      </c>
      <c r="C17" s="36" t="s">
        <v>79</v>
      </c>
      <c r="D17" s="13">
        <v>14.9</v>
      </c>
      <c r="E17" s="13" t="s">
        <v>24</v>
      </c>
      <c r="F17" s="14">
        <f t="shared" si="0"/>
        <v>1.4870259481037925E-2</v>
      </c>
      <c r="G17" s="15">
        <f>C4*F17</f>
        <v>14.870259481037925</v>
      </c>
      <c r="H17" s="37"/>
      <c r="I17" s="38"/>
      <c r="J17" s="16"/>
    </row>
    <row r="18" spans="1:10" x14ac:dyDescent="0.25">
      <c r="A18" s="1">
        <v>12</v>
      </c>
      <c r="B18" s="13" t="s">
        <v>80</v>
      </c>
      <c r="C18" s="36" t="s">
        <v>81</v>
      </c>
      <c r="D18" s="13">
        <v>6.5</v>
      </c>
      <c r="E18" s="13" t="s">
        <v>24</v>
      </c>
      <c r="F18" s="14">
        <f t="shared" si="0"/>
        <v>6.4870259481037921E-3</v>
      </c>
      <c r="G18" s="15">
        <f>C4*F18</f>
        <v>6.487025948103792</v>
      </c>
      <c r="H18" s="37"/>
      <c r="I18" s="38"/>
      <c r="J18" s="16"/>
    </row>
    <row r="19" spans="1:10" x14ac:dyDescent="0.25">
      <c r="A19" s="1">
        <v>13</v>
      </c>
      <c r="B19" s="13" t="s">
        <v>82</v>
      </c>
      <c r="C19" s="36" t="s">
        <v>83</v>
      </c>
      <c r="D19" s="13">
        <v>5.6</v>
      </c>
      <c r="E19" s="13" t="s">
        <v>24</v>
      </c>
      <c r="F19" s="14">
        <f t="shared" si="0"/>
        <v>5.5888223552894205E-3</v>
      </c>
      <c r="G19" s="15">
        <f>C4*F19</f>
        <v>5.5888223552894205</v>
      </c>
      <c r="H19" s="37"/>
      <c r="I19" s="38"/>
      <c r="J19" s="16"/>
    </row>
    <row r="20" spans="1:10" x14ac:dyDescent="0.25">
      <c r="A20" s="1">
        <v>14</v>
      </c>
      <c r="B20" s="13" t="s">
        <v>84</v>
      </c>
      <c r="C20" s="36" t="s">
        <v>85</v>
      </c>
      <c r="D20" s="13">
        <v>4</v>
      </c>
      <c r="E20" s="13" t="s">
        <v>24</v>
      </c>
      <c r="F20" s="14">
        <f t="shared" si="0"/>
        <v>3.9920159680638719E-3</v>
      </c>
      <c r="G20" s="15">
        <f>C4*F20</f>
        <v>3.992015968063872</v>
      </c>
      <c r="H20" s="37"/>
      <c r="I20" s="38"/>
      <c r="J20" s="16"/>
    </row>
    <row r="21" spans="1:10" x14ac:dyDescent="0.25">
      <c r="A21" s="1">
        <v>15</v>
      </c>
      <c r="B21" s="13" t="s">
        <v>86</v>
      </c>
      <c r="C21" s="12" t="s">
        <v>87</v>
      </c>
      <c r="D21" s="13">
        <v>2</v>
      </c>
      <c r="E21" s="13" t="s">
        <v>24</v>
      </c>
      <c r="F21" s="14">
        <f>D21/D$24</f>
        <v>1.996007984031936E-3</v>
      </c>
      <c r="G21" s="15">
        <f>C4*F21</f>
        <v>1.996007984031936</v>
      </c>
      <c r="H21" s="37"/>
      <c r="I21" s="38"/>
      <c r="J21" s="16"/>
    </row>
    <row r="22" spans="1:10" x14ac:dyDescent="0.25">
      <c r="A22" s="1">
        <v>16</v>
      </c>
      <c r="B22" s="13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7"/>
      <c r="I22" s="38"/>
      <c r="J22" s="16"/>
    </row>
    <row r="23" spans="1:10" x14ac:dyDescent="0.25">
      <c r="A23" s="1">
        <v>17</v>
      </c>
      <c r="B23" s="13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7"/>
      <c r="I23" s="38"/>
      <c r="J23" s="16"/>
    </row>
    <row r="24" spans="1:10" x14ac:dyDescent="0.25">
      <c r="C24" s="17" t="s">
        <v>12</v>
      </c>
      <c r="D24" s="1">
        <f>SUM(D7:D23)</f>
        <v>1002</v>
      </c>
      <c r="E24" s="1" t="s">
        <v>24</v>
      </c>
      <c r="F24" s="18">
        <f>SUM(F7:F23)</f>
        <v>1</v>
      </c>
      <c r="G24" s="29">
        <f>SUM(G7:G23)</f>
        <v>1000.0000000000001</v>
      </c>
      <c r="H24" s="19" t="s">
        <v>13</v>
      </c>
    </row>
    <row r="25" spans="1:10" x14ac:dyDescent="0.25">
      <c r="F25" s="28" t="s">
        <v>25</v>
      </c>
      <c r="G25" s="20">
        <f>-G24*G4+C4</f>
        <v>1000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ht="18.75" x14ac:dyDescent="0.3">
      <c r="A28" s="1">
        <v>1</v>
      </c>
      <c r="B28" s="46"/>
      <c r="C28" s="47"/>
      <c r="D28" s="47"/>
      <c r="E28" s="47"/>
      <c r="F28" s="47"/>
      <c r="G28" s="47"/>
      <c r="H28" s="47"/>
      <c r="I28" s="47"/>
      <c r="J28" s="48"/>
    </row>
    <row r="29" spans="1:10" ht="18.75" x14ac:dyDescent="0.3">
      <c r="A29" s="1">
        <v>2</v>
      </c>
      <c r="B29" s="46"/>
      <c r="C29" s="47"/>
      <c r="D29" s="47"/>
      <c r="E29" s="47"/>
      <c r="F29" s="47"/>
      <c r="G29" s="47"/>
      <c r="H29" s="47"/>
      <c r="I29" s="47"/>
      <c r="J29" s="48"/>
    </row>
    <row r="30" spans="1:10" ht="18.75" x14ac:dyDescent="0.3">
      <c r="A30" s="1">
        <v>3</v>
      </c>
      <c r="B30" s="46"/>
      <c r="C30" s="47"/>
      <c r="D30" s="47"/>
      <c r="E30" s="47"/>
      <c r="F30" s="47"/>
      <c r="G30" s="47"/>
      <c r="H30" s="47"/>
      <c r="I30" s="47"/>
      <c r="J30" s="48"/>
    </row>
    <row r="31" spans="1:10" ht="18.75" x14ac:dyDescent="0.3">
      <c r="A31" s="1">
        <v>4</v>
      </c>
      <c r="B31" s="46"/>
      <c r="C31" s="47"/>
      <c r="D31" s="47"/>
      <c r="E31" s="47"/>
      <c r="F31" s="47"/>
      <c r="G31" s="47"/>
      <c r="H31" s="47"/>
      <c r="I31" s="47"/>
      <c r="J31" s="48"/>
    </row>
    <row r="32" spans="1:10" ht="18.75" x14ac:dyDescent="0.3">
      <c r="A32" s="1">
        <v>5</v>
      </c>
      <c r="B32" s="46"/>
      <c r="C32" s="47"/>
      <c r="D32" s="47"/>
      <c r="E32" s="47"/>
      <c r="F32" s="47"/>
      <c r="G32" s="47"/>
      <c r="H32" s="47"/>
      <c r="I32" s="47"/>
      <c r="J32" s="48"/>
    </row>
    <row r="33" spans="1:10" ht="18.75" x14ac:dyDescent="0.3">
      <c r="A33" s="1">
        <v>6</v>
      </c>
      <c r="B33" s="46"/>
      <c r="C33" s="47"/>
      <c r="D33" s="47"/>
      <c r="E33" s="47"/>
      <c r="F33" s="47"/>
      <c r="G33" s="47"/>
      <c r="H33" s="47"/>
      <c r="I33" s="47"/>
      <c r="J33" s="48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3" t="s">
        <v>17</v>
      </c>
      <c r="C43" s="43"/>
      <c r="E43" s="43" t="s">
        <v>18</v>
      </c>
      <c r="F43" s="43"/>
      <c r="H43" s="44" t="s">
        <v>19</v>
      </c>
      <c r="I43" s="44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FE4C-92AF-4A1B-B277-AE940D457322}">
  <sheetPr>
    <pageSetUpPr fitToPage="1"/>
  </sheetPr>
  <dimension ref="A1:J43"/>
  <sheetViews>
    <sheetView tabSelected="1" workbookViewId="0">
      <selection activeCell="E2" sqref="E2:F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36</v>
      </c>
      <c r="D2" s="5" t="s">
        <v>1</v>
      </c>
      <c r="E2" s="45" t="s">
        <v>59</v>
      </c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20</v>
      </c>
      <c r="D4" s="9"/>
      <c r="F4" s="2" t="s">
        <v>23</v>
      </c>
      <c r="G4" s="28">
        <v>0.25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9" t="s">
        <v>10</v>
      </c>
      <c r="I6" s="40"/>
      <c r="J6" s="11" t="s">
        <v>11</v>
      </c>
    </row>
    <row r="7" spans="1:10" x14ac:dyDescent="0.25">
      <c r="A7" s="1">
        <v>1</v>
      </c>
      <c r="B7" s="12" t="s">
        <v>50</v>
      </c>
      <c r="C7" s="12" t="s">
        <v>51</v>
      </c>
      <c r="D7" s="13">
        <v>19.828680203045685</v>
      </c>
      <c r="E7" s="13" t="s">
        <v>24</v>
      </c>
      <c r="F7" s="14">
        <f t="shared" ref="F7:F23" si="0">D7/D$24</f>
        <v>0.99143401015228427</v>
      </c>
      <c r="G7" s="15">
        <f>C4*F7</f>
        <v>19.828680203045685</v>
      </c>
      <c r="H7" s="37"/>
      <c r="I7" s="38"/>
      <c r="J7" s="16"/>
    </row>
    <row r="8" spans="1:10" x14ac:dyDescent="0.25">
      <c r="A8" s="1">
        <v>2</v>
      </c>
      <c r="B8" s="12" t="s">
        <v>52</v>
      </c>
      <c r="C8" s="12" t="s">
        <v>53</v>
      </c>
      <c r="D8" s="13">
        <v>0.11897208121827413</v>
      </c>
      <c r="E8" s="13" t="s">
        <v>24</v>
      </c>
      <c r="F8" s="14">
        <f t="shared" si="0"/>
        <v>5.9486040609137061E-3</v>
      </c>
      <c r="G8" s="15">
        <f>C4*F8</f>
        <v>0.11897208121827413</v>
      </c>
      <c r="H8" s="37"/>
      <c r="I8" s="38"/>
      <c r="J8" s="16"/>
    </row>
    <row r="9" spans="1:10" x14ac:dyDescent="0.25">
      <c r="A9" s="1">
        <v>3</v>
      </c>
      <c r="B9" s="12" t="s">
        <v>43</v>
      </c>
      <c r="C9" s="12" t="s">
        <v>54</v>
      </c>
      <c r="D9" s="13">
        <v>5.2347715736040606E-2</v>
      </c>
      <c r="E9" s="13" t="s">
        <v>24</v>
      </c>
      <c r="F9" s="14">
        <f t="shared" si="0"/>
        <v>2.6173857868020305E-3</v>
      </c>
      <c r="G9" s="15">
        <f>C4*F9</f>
        <v>5.2347715736040606E-2</v>
      </c>
      <c r="H9" s="37"/>
      <c r="I9" s="38"/>
      <c r="J9" s="16"/>
    </row>
    <row r="10" spans="1:10" x14ac:dyDescent="0.25">
      <c r="A10" s="1">
        <v>4</v>
      </c>
      <c r="B10" s="12"/>
      <c r="C10" s="12"/>
      <c r="D10" s="13"/>
      <c r="E10" s="13" t="s">
        <v>24</v>
      </c>
      <c r="F10" s="14">
        <f t="shared" si="0"/>
        <v>0</v>
      </c>
      <c r="G10" s="15">
        <f>C4*F10</f>
        <v>0</v>
      </c>
      <c r="H10" s="37"/>
      <c r="I10" s="38"/>
      <c r="J10" s="16"/>
    </row>
    <row r="11" spans="1:10" x14ac:dyDescent="0.25">
      <c r="A11" s="1">
        <v>5</v>
      </c>
      <c r="B11" s="12"/>
      <c r="C11" s="12"/>
      <c r="D11" s="13"/>
      <c r="E11" s="13" t="s">
        <v>24</v>
      </c>
      <c r="F11" s="14">
        <f t="shared" si="0"/>
        <v>0</v>
      </c>
      <c r="G11" s="15">
        <f>C4*F11</f>
        <v>0</v>
      </c>
      <c r="H11" s="37"/>
      <c r="I11" s="38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37"/>
      <c r="I12" s="38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37"/>
      <c r="I13" s="38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7"/>
      <c r="I14" s="38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7"/>
      <c r="I15" s="38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7"/>
      <c r="I16" s="38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7"/>
      <c r="I17" s="38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7"/>
      <c r="I18" s="38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7"/>
      <c r="I19" s="38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7"/>
      <c r="I20" s="38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7"/>
      <c r="I21" s="38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7"/>
      <c r="I22" s="38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7"/>
      <c r="I23" s="38"/>
      <c r="J23" s="16"/>
    </row>
    <row r="24" spans="1:10" x14ac:dyDescent="0.25">
      <c r="C24" s="17" t="s">
        <v>12</v>
      </c>
      <c r="D24" s="1">
        <f>SUM(D7:D23)</f>
        <v>20</v>
      </c>
      <c r="E24" s="1" t="s">
        <v>24</v>
      </c>
      <c r="F24" s="18">
        <f>SUM(F7:F23)</f>
        <v>1</v>
      </c>
      <c r="G24" s="29">
        <f>SUM(G7:G23)</f>
        <v>20</v>
      </c>
      <c r="H24" s="19" t="s">
        <v>13</v>
      </c>
    </row>
    <row r="25" spans="1:10" x14ac:dyDescent="0.25">
      <c r="F25" s="28" t="s">
        <v>25</v>
      </c>
      <c r="G25" s="20">
        <f>-G24*G4+C4</f>
        <v>15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9" t="s">
        <v>55</v>
      </c>
      <c r="C28" s="50"/>
      <c r="D28" s="50"/>
      <c r="E28" s="50"/>
      <c r="F28" s="50"/>
      <c r="G28" s="50"/>
      <c r="H28" s="50"/>
      <c r="I28" s="50"/>
      <c r="J28" s="51"/>
    </row>
    <row r="29" spans="1:10" x14ac:dyDescent="0.25">
      <c r="A29" s="1">
        <v>2</v>
      </c>
      <c r="B29" s="49" t="s">
        <v>56</v>
      </c>
      <c r="C29" s="50"/>
      <c r="D29" s="50"/>
      <c r="E29" s="50"/>
      <c r="F29" s="50"/>
      <c r="G29" s="50"/>
      <c r="H29" s="50"/>
      <c r="I29" s="50"/>
      <c r="J29" s="51"/>
    </row>
    <row r="30" spans="1:10" x14ac:dyDescent="0.25">
      <c r="A30" s="1">
        <v>3</v>
      </c>
      <c r="B30" s="52" t="s">
        <v>57</v>
      </c>
      <c r="C30" s="53"/>
      <c r="D30" s="53"/>
      <c r="E30" s="53"/>
      <c r="F30" s="53"/>
      <c r="G30" s="53"/>
      <c r="H30" s="53"/>
      <c r="I30" s="53"/>
      <c r="J30" s="54"/>
    </row>
    <row r="31" spans="1:10" x14ac:dyDescent="0.25">
      <c r="A31" s="1">
        <v>4</v>
      </c>
      <c r="B31" s="41" t="s">
        <v>58</v>
      </c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3" t="s">
        <v>17</v>
      </c>
      <c r="C43" s="43"/>
      <c r="E43" s="43" t="s">
        <v>18</v>
      </c>
      <c r="F43" s="43"/>
      <c r="H43" s="44" t="s">
        <v>19</v>
      </c>
      <c r="I43" s="44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2D34-0244-421B-9C52-1C0B63DF487C}">
  <sheetPr>
    <pageSetUpPr fitToPage="1"/>
  </sheetPr>
  <dimension ref="A1:J43"/>
  <sheetViews>
    <sheetView topLeftCell="A2" workbookViewId="0">
      <selection activeCell="C4" sqref="C4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47</v>
      </c>
      <c r="D2" s="5" t="s">
        <v>1</v>
      </c>
      <c r="E2" s="45"/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4</v>
      </c>
      <c r="D4" s="9"/>
      <c r="F4" s="2" t="s">
        <v>23</v>
      </c>
      <c r="G4" s="28">
        <v>0.1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40</v>
      </c>
      <c r="E6" s="11" t="s">
        <v>7</v>
      </c>
      <c r="F6" s="11" t="s">
        <v>8</v>
      </c>
      <c r="G6" s="11" t="s">
        <v>9</v>
      </c>
      <c r="H6" s="39" t="s">
        <v>10</v>
      </c>
      <c r="I6" s="40"/>
      <c r="J6" s="11" t="s">
        <v>11</v>
      </c>
    </row>
    <row r="7" spans="1:10" x14ac:dyDescent="0.25">
      <c r="A7" s="1">
        <v>1</v>
      </c>
      <c r="B7" s="12" t="s">
        <v>48</v>
      </c>
      <c r="C7" s="12" t="s">
        <v>49</v>
      </c>
      <c r="D7" s="13">
        <v>16</v>
      </c>
      <c r="E7" s="13" t="s">
        <v>24</v>
      </c>
      <c r="F7" s="14">
        <f t="shared" ref="F7:F23" si="0">D7/D$24</f>
        <v>0.94955489614243316</v>
      </c>
      <c r="G7" s="15">
        <f>C4*F7</f>
        <v>3.7982195845697326</v>
      </c>
      <c r="H7" s="37"/>
      <c r="I7" s="38"/>
      <c r="J7" s="16"/>
    </row>
    <row r="8" spans="1:10" x14ac:dyDescent="0.25">
      <c r="A8" s="1">
        <v>2</v>
      </c>
      <c r="B8" s="12" t="s">
        <v>41</v>
      </c>
      <c r="C8" s="12" t="s">
        <v>42</v>
      </c>
      <c r="D8" s="13">
        <v>0.75</v>
      </c>
      <c r="E8" s="13" t="s">
        <v>24</v>
      </c>
      <c r="F8" s="14">
        <f t="shared" si="0"/>
        <v>4.4510385756676554E-2</v>
      </c>
      <c r="G8" s="15">
        <f>C4*F8</f>
        <v>0.17804154302670622</v>
      </c>
      <c r="H8" s="37"/>
      <c r="I8" s="38"/>
      <c r="J8" s="16"/>
    </row>
    <row r="9" spans="1:10" x14ac:dyDescent="0.25">
      <c r="A9" s="1">
        <v>3</v>
      </c>
      <c r="B9" s="12" t="s">
        <v>43</v>
      </c>
      <c r="C9" s="12" t="s">
        <v>44</v>
      </c>
      <c r="D9" s="13">
        <v>0.1</v>
      </c>
      <c r="E9" s="13" t="s">
        <v>24</v>
      </c>
      <c r="F9" s="14">
        <f t="shared" si="0"/>
        <v>5.9347181008902079E-3</v>
      </c>
      <c r="G9" s="15">
        <f>C4*F9</f>
        <v>2.3738872403560832E-2</v>
      </c>
      <c r="H9" s="37"/>
      <c r="I9" s="38"/>
      <c r="J9" s="16"/>
    </row>
    <row r="10" spans="1:10" x14ac:dyDescent="0.25">
      <c r="A10" s="1">
        <v>4</v>
      </c>
      <c r="B10" s="12"/>
      <c r="C10" s="12"/>
      <c r="D10" s="13"/>
      <c r="E10" s="13" t="s">
        <v>24</v>
      </c>
      <c r="F10" s="14">
        <f t="shared" si="0"/>
        <v>0</v>
      </c>
      <c r="G10" s="15">
        <f>C4*F10</f>
        <v>0</v>
      </c>
      <c r="H10" s="37"/>
      <c r="I10" s="38"/>
      <c r="J10" s="16"/>
    </row>
    <row r="11" spans="1:10" x14ac:dyDescent="0.25">
      <c r="A11" s="1">
        <v>5</v>
      </c>
      <c r="B11" s="12"/>
      <c r="C11" s="12"/>
      <c r="D11" s="13"/>
      <c r="E11" s="13" t="s">
        <v>24</v>
      </c>
      <c r="F11" s="14">
        <f t="shared" si="0"/>
        <v>0</v>
      </c>
      <c r="G11" s="15">
        <f>C4*F11</f>
        <v>0</v>
      </c>
      <c r="H11" s="37"/>
      <c r="I11" s="38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37"/>
      <c r="I12" s="38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37"/>
      <c r="I13" s="38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7"/>
      <c r="I14" s="38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7"/>
      <c r="I15" s="38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7"/>
      <c r="I16" s="38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7"/>
      <c r="I17" s="38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7"/>
      <c r="I18" s="38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7"/>
      <c r="I19" s="38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7"/>
      <c r="I20" s="38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7"/>
      <c r="I21" s="38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7"/>
      <c r="I22" s="38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7"/>
      <c r="I23" s="38"/>
      <c r="J23" s="16"/>
    </row>
    <row r="24" spans="1:10" x14ac:dyDescent="0.25">
      <c r="C24" s="17" t="s">
        <v>12</v>
      </c>
      <c r="D24" s="1">
        <f>SUM(D7:D23)</f>
        <v>16.850000000000001</v>
      </c>
      <c r="E24" s="1" t="s">
        <v>24</v>
      </c>
      <c r="F24" s="18">
        <f>SUM(F7:F23)</f>
        <v>0.99999999999999989</v>
      </c>
      <c r="G24" s="29">
        <f>SUM(G7:G23)</f>
        <v>3.9999999999999996</v>
      </c>
      <c r="H24" s="19" t="s">
        <v>13</v>
      </c>
    </row>
    <row r="25" spans="1:10" x14ac:dyDescent="0.25">
      <c r="F25" s="28" t="s">
        <v>25</v>
      </c>
      <c r="G25" s="20">
        <f>-G24*G4+C4</f>
        <v>3.6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9" t="s">
        <v>45</v>
      </c>
      <c r="C28" s="50"/>
      <c r="D28" s="50"/>
      <c r="E28" s="50"/>
      <c r="F28" s="50"/>
      <c r="G28" s="50"/>
      <c r="H28" s="50"/>
      <c r="I28" s="50"/>
      <c r="J28" s="51"/>
    </row>
    <row r="29" spans="1:10" x14ac:dyDescent="0.25">
      <c r="A29" s="1">
        <v>2</v>
      </c>
      <c r="B29" s="49" t="s">
        <v>46</v>
      </c>
      <c r="C29" s="50"/>
      <c r="D29" s="50"/>
      <c r="E29" s="50"/>
      <c r="F29" s="50"/>
      <c r="G29" s="50"/>
      <c r="H29" s="50"/>
      <c r="I29" s="50"/>
      <c r="J29" s="51"/>
    </row>
    <row r="30" spans="1:10" x14ac:dyDescent="0.25">
      <c r="A30" s="1">
        <v>3</v>
      </c>
      <c r="B30" s="52"/>
      <c r="C30" s="53"/>
      <c r="D30" s="53"/>
      <c r="E30" s="53"/>
      <c r="F30" s="53"/>
      <c r="G30" s="53"/>
      <c r="H30" s="53"/>
      <c r="I30" s="53"/>
      <c r="J30" s="54"/>
    </row>
    <row r="31" spans="1:10" x14ac:dyDescent="0.25">
      <c r="A31" s="1">
        <v>4</v>
      </c>
      <c r="B31" s="49"/>
      <c r="C31" s="50"/>
      <c r="D31" s="50"/>
      <c r="E31" s="50"/>
      <c r="F31" s="50"/>
      <c r="G31" s="50"/>
      <c r="H31" s="50"/>
      <c r="I31" s="50"/>
      <c r="J31" s="51"/>
    </row>
    <row r="32" spans="1:10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3" t="s">
        <v>17</v>
      </c>
      <c r="C43" s="43"/>
      <c r="E43" s="43" t="s">
        <v>18</v>
      </c>
      <c r="F43" s="43"/>
      <c r="H43" s="44" t="s">
        <v>19</v>
      </c>
      <c r="I43" s="44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72C74B-56F1-4133-89D1-EB65C8752796}"/>
</file>

<file path=customXml/itemProps2.xml><?xml version="1.0" encoding="utf-8"?>
<ds:datastoreItem xmlns:ds="http://schemas.openxmlformats.org/officeDocument/2006/customXml" ds:itemID="{E9B52B97-EBCA-45C7-911B-8A76872E61B1}"/>
</file>

<file path=customXml/itemProps3.xml><?xml version="1.0" encoding="utf-8"?>
<ds:datastoreItem xmlns:ds="http://schemas.openxmlformats.org/officeDocument/2006/customXml" ds:itemID="{DC0CABC5-4406-46F2-9D77-984E97980B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698 - KIT BUILD</vt:lpstr>
      <vt:lpstr>698 - PLATING</vt:lpstr>
      <vt:lpstr>Cacio pepe Sauce</vt:lpstr>
      <vt:lpstr>Blistered tomato</vt:lpstr>
      <vt:lpstr>Grilled Zucchini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2025-08-26T19:33:43Z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