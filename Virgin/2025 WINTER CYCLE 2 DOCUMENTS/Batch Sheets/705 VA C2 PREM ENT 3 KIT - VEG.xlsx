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39" documentId="8_{52B408E9-23FD-4C43-9F0D-1D4F32B5CA3E}" xr6:coauthVersionLast="47" xr6:coauthVersionMax="47" xr10:uidLastSave="{FAF0F343-65E3-493D-95C6-5A3B5CBC7097}"/>
  <bookViews>
    <workbookView xWindow="10140" yWindow="0" windowWidth="10455" windowHeight="10905" xr2:uid="{9D773142-25FF-402D-A059-87F5C56EFE7F}"/>
  </bookViews>
  <sheets>
    <sheet name="705 Kit build" sheetId="9" r:id="rId1"/>
    <sheet name="705 - PREM PASTA  PLATE BUILD" sheetId="7" r:id="rId2"/>
    <sheet name="Sauteed Shitake Mushroom (2)" sheetId="15" r:id="rId3"/>
    <sheet name="Sauteed Beech Mushroom" sheetId="14" r:id="rId4"/>
    <sheet name="Conserva Liquid" sheetId="13" r:id="rId5"/>
    <sheet name="Wild Mushroom Conserva (2)" sheetId="12" r:id="rId6"/>
    <sheet name="Blistered tomato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5" l="1"/>
  <c r="F22" i="15" s="1"/>
  <c r="G22" i="15" s="1"/>
  <c r="F10" i="15"/>
  <c r="G10" i="15" s="1"/>
  <c r="F8" i="15"/>
  <c r="G8" i="15" s="1"/>
  <c r="D24" i="14"/>
  <c r="F23" i="14" s="1"/>
  <c r="G23" i="14" s="1"/>
  <c r="F8" i="14"/>
  <c r="G8" i="14" s="1"/>
  <c r="D24" i="13"/>
  <c r="F23" i="13" s="1"/>
  <c r="G23" i="13" s="1"/>
  <c r="D24" i="12"/>
  <c r="F23" i="12"/>
  <c r="G23" i="12" s="1"/>
  <c r="G22" i="12"/>
  <c r="F22" i="12"/>
  <c r="F21" i="12"/>
  <c r="G21" i="12" s="1"/>
  <c r="G20" i="12"/>
  <c r="F20" i="12"/>
  <c r="F19" i="12"/>
  <c r="G19" i="12" s="1"/>
  <c r="G18" i="12"/>
  <c r="F18" i="12"/>
  <c r="F17" i="12"/>
  <c r="G17" i="12" s="1"/>
  <c r="G16" i="12"/>
  <c r="F16" i="12"/>
  <c r="F15" i="12"/>
  <c r="G15" i="12" s="1"/>
  <c r="G14" i="12"/>
  <c r="F14" i="12"/>
  <c r="F13" i="12"/>
  <c r="G13" i="12" s="1"/>
  <c r="G12" i="12"/>
  <c r="F12" i="12"/>
  <c r="F11" i="12"/>
  <c r="G11" i="12" s="1"/>
  <c r="G10" i="12"/>
  <c r="F10" i="12"/>
  <c r="F9" i="12"/>
  <c r="G9" i="12" s="1"/>
  <c r="G8" i="12"/>
  <c r="F8" i="12"/>
  <c r="F7" i="12"/>
  <c r="F24" i="12" s="1"/>
  <c r="F7" i="15" l="1"/>
  <c r="F9" i="15"/>
  <c r="G9" i="15" s="1"/>
  <c r="F11" i="15"/>
  <c r="G11" i="15" s="1"/>
  <c r="F13" i="15"/>
  <c r="G13" i="15" s="1"/>
  <c r="F15" i="15"/>
  <c r="G15" i="15" s="1"/>
  <c r="F17" i="15"/>
  <c r="G17" i="15" s="1"/>
  <c r="F19" i="15"/>
  <c r="G19" i="15" s="1"/>
  <c r="F21" i="15"/>
  <c r="G21" i="15" s="1"/>
  <c r="F23" i="15"/>
  <c r="G23" i="15" s="1"/>
  <c r="F12" i="15"/>
  <c r="G12" i="15" s="1"/>
  <c r="F14" i="15"/>
  <c r="G14" i="15" s="1"/>
  <c r="F16" i="15"/>
  <c r="G16" i="15" s="1"/>
  <c r="F18" i="15"/>
  <c r="G18" i="15" s="1"/>
  <c r="F20" i="15"/>
  <c r="G20" i="15" s="1"/>
  <c r="F10" i="14"/>
  <c r="G10" i="14" s="1"/>
  <c r="F12" i="14"/>
  <c r="G12" i="14" s="1"/>
  <c r="F14" i="14"/>
  <c r="G14" i="14" s="1"/>
  <c r="F16" i="14"/>
  <c r="G16" i="14" s="1"/>
  <c r="F18" i="14"/>
  <c r="G18" i="14" s="1"/>
  <c r="F20" i="14"/>
  <c r="G20" i="14" s="1"/>
  <c r="F22" i="14"/>
  <c r="G22" i="14" s="1"/>
  <c r="F7" i="14"/>
  <c r="F9" i="14"/>
  <c r="G9" i="14" s="1"/>
  <c r="F11" i="14"/>
  <c r="G11" i="14" s="1"/>
  <c r="F13" i="14"/>
  <c r="G13" i="14" s="1"/>
  <c r="F15" i="14"/>
  <c r="G15" i="14" s="1"/>
  <c r="F17" i="14"/>
  <c r="G17" i="14" s="1"/>
  <c r="F19" i="14"/>
  <c r="G19" i="14" s="1"/>
  <c r="F21" i="14"/>
  <c r="G21" i="14" s="1"/>
  <c r="F8" i="13"/>
  <c r="G8" i="13" s="1"/>
  <c r="F10" i="13"/>
  <c r="G10" i="13" s="1"/>
  <c r="F12" i="13"/>
  <c r="G12" i="13" s="1"/>
  <c r="F14" i="13"/>
  <c r="G14" i="13" s="1"/>
  <c r="F16" i="13"/>
  <c r="G16" i="13" s="1"/>
  <c r="F18" i="13"/>
  <c r="G18" i="13" s="1"/>
  <c r="F20" i="13"/>
  <c r="G20" i="13" s="1"/>
  <c r="F22" i="13"/>
  <c r="G22" i="13" s="1"/>
  <c r="F7" i="13"/>
  <c r="F9" i="13"/>
  <c r="G9" i="13" s="1"/>
  <c r="F11" i="13"/>
  <c r="G11" i="13" s="1"/>
  <c r="F13" i="13"/>
  <c r="G13" i="13" s="1"/>
  <c r="F15" i="13"/>
  <c r="G15" i="13" s="1"/>
  <c r="F17" i="13"/>
  <c r="G17" i="13" s="1"/>
  <c r="F19" i="13"/>
  <c r="G19" i="13" s="1"/>
  <c r="F21" i="13"/>
  <c r="G21" i="13" s="1"/>
  <c r="G7" i="12"/>
  <c r="G24" i="12" s="1"/>
  <c r="G25" i="12" s="1"/>
  <c r="G7" i="15" l="1"/>
  <c r="G24" i="15" s="1"/>
  <c r="G25" i="15" s="1"/>
  <c r="F24" i="15"/>
  <c r="G7" i="14"/>
  <c r="G24" i="14" s="1"/>
  <c r="G25" i="14" s="1"/>
  <c r="F24" i="14"/>
  <c r="G7" i="13"/>
  <c r="G24" i="13" s="1"/>
  <c r="G25" i="13" s="1"/>
  <c r="F24" i="13"/>
  <c r="D24" i="11" l="1"/>
  <c r="F23" i="11" s="1"/>
  <c r="G23" i="11" s="1"/>
  <c r="F12" i="11"/>
  <c r="G12" i="11" s="1"/>
  <c r="F10" i="11"/>
  <c r="G10" i="11" s="1"/>
  <c r="F8" i="11"/>
  <c r="G8" i="11" s="1"/>
  <c r="F14" i="11" l="1"/>
  <c r="G14" i="11" s="1"/>
  <c r="F16" i="11"/>
  <c r="G16" i="11" s="1"/>
  <c r="F18" i="11"/>
  <c r="G18" i="11" s="1"/>
  <c r="F20" i="11"/>
  <c r="G20" i="11" s="1"/>
  <c r="F22" i="11"/>
  <c r="G22" i="11" s="1"/>
  <c r="F7" i="11"/>
  <c r="F9" i="11"/>
  <c r="G9" i="11" s="1"/>
  <c r="F11" i="11"/>
  <c r="G11" i="11" s="1"/>
  <c r="F13" i="11"/>
  <c r="G13" i="11" s="1"/>
  <c r="F15" i="11"/>
  <c r="G15" i="11" s="1"/>
  <c r="F17" i="11"/>
  <c r="G17" i="11" s="1"/>
  <c r="F19" i="11"/>
  <c r="G19" i="11" s="1"/>
  <c r="F21" i="11"/>
  <c r="G21" i="11" s="1"/>
  <c r="G7" i="11" l="1"/>
  <c r="G24" i="11" s="1"/>
  <c r="G25" i="11" s="1"/>
  <c r="F24" i="11"/>
  <c r="F23" i="9" l="1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D24" i="7"/>
  <c r="F21" i="7" s="1"/>
  <c r="G21" i="7" s="1"/>
  <c r="F9" i="7" l="1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F24" i="7" l="1"/>
  <c r="G7" i="7"/>
  <c r="G24" i="7" s="1"/>
</calcChain>
</file>

<file path=xl/sharedStrings.xml><?xml version="1.0" encoding="utf-8"?>
<sst xmlns="http://schemas.openxmlformats.org/spreadsheetml/2006/main" count="352" uniqueCount="89">
  <si>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</si>
  <si>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</si>
  <si>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</si>
  <si>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</si>
  <si>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</si>
  <si>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</si>
  <si>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</si>
  <si>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</si>
  <si>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</si>
  <si>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</si>
  <si>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</si>
  <si>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</si>
  <si>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</si>
  <si>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</si>
  <si>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</si>
  <si>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</si>
  <si>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</si>
  <si>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</si>
  <si>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</si>
  <si>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</si>
  <si>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</si>
  <si>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</si>
  <si>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</si>
  <si>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</si>
  <si>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</si>
  <si>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</si>
  <si>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</si>
  <si>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705 VA C2 PREM ENT 3 KIT - VEG</t>
  </si>
  <si>
    <t>Wild Mushroom Conserva</t>
  </si>
  <si>
    <t>Blistered Tomato</t>
  </si>
  <si>
    <t>Desired Cases:</t>
  </si>
  <si>
    <t>Desired Qty</t>
  </si>
  <si>
    <t>Each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</si>
  <si>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</si>
  <si>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</si>
  <si>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</si>
  <si>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</si>
  <si>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D110</t>
  </si>
  <si>
    <t>Blistered Tomatoes</t>
  </si>
  <si>
    <t>gen 25-027</t>
  </si>
  <si>
    <t>C071</t>
  </si>
  <si>
    <t>Tomato, Cherry or Grape</t>
  </si>
  <si>
    <t>D109</t>
  </si>
  <si>
    <t>Blended Oil</t>
  </si>
  <si>
    <t>D090</t>
  </si>
  <si>
    <t>Salt , kosher</t>
  </si>
  <si>
    <t>toss all ingredients together</t>
  </si>
  <si>
    <t>Spread Evenly over sheet trays ,do not over crowd</t>
  </si>
  <si>
    <t>Roasted in oven at 375 for 8-10 minutes</t>
  </si>
  <si>
    <t xml:space="preserve">Chill and store below 40F </t>
  </si>
  <si>
    <t>Sauteed Beech Mushrooms</t>
  </si>
  <si>
    <t xml:space="preserve">Cooked Shitake Mushrooms </t>
  </si>
  <si>
    <t>Conserva Liquid</t>
  </si>
  <si>
    <t>Toss Ingredients Cold Together</t>
  </si>
  <si>
    <t>Store Below 40F</t>
  </si>
  <si>
    <t>Red Wine Vinegar</t>
  </si>
  <si>
    <t>Shallots , Minced</t>
  </si>
  <si>
    <t>D051</t>
  </si>
  <si>
    <t>Garlic Mince , Rehydrated</t>
  </si>
  <si>
    <t>Crushed Red Peppers</t>
  </si>
  <si>
    <t>D160</t>
  </si>
  <si>
    <t>Sugar, White Granulated</t>
  </si>
  <si>
    <t>Salt, Kosher</t>
  </si>
  <si>
    <t>Extra Virgen Olive Oil</t>
  </si>
  <si>
    <t>5 % used for sautee, Reserve</t>
  </si>
  <si>
    <t>C11</t>
  </si>
  <si>
    <t>Thyme , Herb Fresh, Plucked</t>
  </si>
  <si>
    <t>Add Small Amount of the total EVOO with shallots and garlic to a cook over medium high heat</t>
  </si>
  <si>
    <t>Sautee for 3-5 Minutes until Shallots Are Translucent and Garlic is Fragrant</t>
  </si>
  <si>
    <t>Add all remaining ingredients and lower Heat</t>
  </si>
  <si>
    <t>Alow mixture to Steep at Low Heat for 10 Minutes</t>
  </si>
  <si>
    <t xml:space="preserve">Remove From Heat for Use or Cool To Below 40F </t>
  </si>
  <si>
    <t>Sauteed Beech Mushroom</t>
  </si>
  <si>
    <t>Beech Mushroom</t>
  </si>
  <si>
    <t>Add oil to pan and bring up to heat with flame on medium high</t>
  </si>
  <si>
    <t>Add Mushrooms</t>
  </si>
  <si>
    <t>Sautee until Mushrooms have softened</t>
  </si>
  <si>
    <t>Place into perferated pan to drain while cooling</t>
  </si>
  <si>
    <t xml:space="preserve">Cool and Store at 40F </t>
  </si>
  <si>
    <t>Sauteed Shitake Mushroom</t>
  </si>
  <si>
    <t>Shitake Mushroom</t>
  </si>
  <si>
    <t>Cacio Pepe Cream Sauce</t>
  </si>
  <si>
    <t>P405</t>
  </si>
  <si>
    <t>PASTA MAMI MUSHROOM CONSERVA RAVIOLI 10DZ/CS</t>
  </si>
  <si>
    <t>wip</t>
  </si>
  <si>
    <t>C164</t>
  </si>
  <si>
    <t>CHEESE PARMESAN BLEND GRATED</t>
  </si>
  <si>
    <t>25-228</t>
  </si>
  <si>
    <t>25-009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</si>
</sst>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2" fontId="0" fillId="3" borderId="4" xfId="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44" fontId="0" fillId="0" borderId="5" xfId="3" applyFont="1" applyBorder="1" applyAlignment="1" applyProtection="1">
      <alignment horizontal="center"/>
      <protection locked="0"/>
    </xf>
    <xf numFmtId="44" fontId="0" fillId="0" borderId="6" xfId="3" applyFont="1" applyBorder="1" applyAlignment="1" applyProtection="1">
      <alignment horizontal="center"/>
      <protection locked="0"/>
    </xf>
    <xf numFmtId="0" fontId="0" fillId="5" borderId="4" xfId="0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</cellXfs>
  <cellStyles count="4">
    <cellStyle name="Currency" xfId="1" builtinId="4"/>
    <cellStyle name="Currency 2" xfId="3" xr:uid="{2872A7DC-E461-41B0-8AB4-95E154C06B61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8968-7267-407B-ADF6-9871ABDB5002}">
  <sheetPr>
    <pageSetUpPr fitToPage="1"/>
  </sheetPr>
  <dimension ref="A1:I43"/>
  <sheetViews>
    <sheetView tabSelected="1" topLeftCell="C1" zoomScale="130" zoomScaleNormal="130"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27</v>
      </c>
      <c r="D2" s="5" t="s">
        <v>1</v>
      </c>
      <c r="E2" s="30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30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31</v>
      </c>
      <c r="G6" s="41" t="s">
        <v>10</v>
      </c>
      <c r="H6" s="42"/>
      <c r="I6" s="11" t="s">
        <v>11</v>
      </c>
    </row>
    <row r="7" spans="1:9" x14ac:dyDescent="0.25">
      <c r="A7" s="1">
        <v>1</v>
      </c>
      <c r="B7" s="12"/>
      <c r="C7" s="31" t="s">
        <v>81</v>
      </c>
      <c r="D7" s="13">
        <v>4</v>
      </c>
      <c r="E7" s="13" t="s">
        <v>32</v>
      </c>
      <c r="F7" s="15">
        <f>C4*D7</f>
        <v>4</v>
      </c>
      <c r="G7" s="39"/>
      <c r="H7" s="40"/>
      <c r="I7" s="26"/>
    </row>
    <row r="8" spans="1:9" x14ac:dyDescent="0.25">
      <c r="A8" s="1">
        <v>2</v>
      </c>
      <c r="B8" s="12"/>
      <c r="C8" s="31" t="s">
        <v>28</v>
      </c>
      <c r="D8" s="2">
        <v>1.5</v>
      </c>
      <c r="E8" s="13" t="s">
        <v>33</v>
      </c>
      <c r="F8" s="15">
        <f>C4*D8</f>
        <v>1.5</v>
      </c>
      <c r="G8" s="39"/>
      <c r="H8" s="40"/>
      <c r="I8" s="16"/>
    </row>
    <row r="9" spans="1:9" x14ac:dyDescent="0.25">
      <c r="A9" s="1">
        <v>3</v>
      </c>
      <c r="B9" s="12"/>
      <c r="C9" s="31" t="s">
        <v>29</v>
      </c>
      <c r="D9" s="13">
        <v>1</v>
      </c>
      <c r="E9" s="13" t="s">
        <v>32</v>
      </c>
      <c r="F9" s="15">
        <f>C4*D9</f>
        <v>1</v>
      </c>
      <c r="G9" s="39"/>
      <c r="H9" s="40"/>
      <c r="I9" s="16"/>
    </row>
    <row r="10" spans="1:9" x14ac:dyDescent="0.25">
      <c r="A10" s="1">
        <v>4</v>
      </c>
      <c r="B10" s="12"/>
      <c r="C10" s="31"/>
      <c r="D10" s="13"/>
      <c r="E10" s="13" t="s">
        <v>32</v>
      </c>
      <c r="F10" s="15">
        <f>C4*D10</f>
        <v>0</v>
      </c>
      <c r="G10" s="39"/>
      <c r="H10" s="40"/>
      <c r="I10" s="16"/>
    </row>
    <row r="11" spans="1:9" x14ac:dyDescent="0.25">
      <c r="A11" s="1">
        <v>5</v>
      </c>
      <c r="B11" s="12"/>
      <c r="C11" s="31"/>
      <c r="D11" s="13"/>
      <c r="E11" s="13" t="s">
        <v>32</v>
      </c>
      <c r="F11" s="15">
        <f>C4*D11</f>
        <v>0</v>
      </c>
      <c r="G11" s="39"/>
      <c r="H11" s="40"/>
      <c r="I11" s="16"/>
    </row>
    <row r="12" spans="1:9" x14ac:dyDescent="0.25">
      <c r="A12" s="1">
        <v>6</v>
      </c>
      <c r="B12" s="12"/>
      <c r="C12" s="13"/>
      <c r="D12" s="13"/>
      <c r="E12" s="13" t="s">
        <v>32</v>
      </c>
      <c r="F12" s="15">
        <f>C4*D12</f>
        <v>0</v>
      </c>
      <c r="G12" s="39"/>
      <c r="H12" s="40"/>
      <c r="I12" s="16"/>
    </row>
    <row r="13" spans="1:9" x14ac:dyDescent="0.25">
      <c r="A13" s="1">
        <v>7</v>
      </c>
      <c r="B13" s="12"/>
      <c r="C13" s="12"/>
      <c r="D13" s="13"/>
      <c r="E13" s="13"/>
      <c r="F13" s="15">
        <f t="shared" ref="F13" si="0">C5*D13</f>
        <v>0</v>
      </c>
      <c r="G13" s="39"/>
      <c r="H13" s="40"/>
      <c r="I13" s="16"/>
    </row>
    <row r="14" spans="1:9" x14ac:dyDescent="0.25">
      <c r="A14" s="1">
        <v>8</v>
      </c>
      <c r="B14" s="12"/>
      <c r="C14" s="12"/>
      <c r="D14" s="13"/>
      <c r="E14" s="13"/>
      <c r="F14" s="15">
        <f>C4*D14</f>
        <v>0</v>
      </c>
      <c r="G14" s="39"/>
      <c r="H14" s="40"/>
      <c r="I14" s="16"/>
    </row>
    <row r="15" spans="1:9" x14ac:dyDescent="0.25">
      <c r="A15" s="1">
        <v>9</v>
      </c>
      <c r="B15" s="12"/>
      <c r="C15" s="12"/>
      <c r="D15" s="13"/>
      <c r="E15" s="13"/>
      <c r="F15" s="15">
        <f>C4*D15</f>
        <v>0</v>
      </c>
      <c r="G15" s="39"/>
      <c r="H15" s="40"/>
      <c r="I15" s="16"/>
    </row>
    <row r="16" spans="1:9" x14ac:dyDescent="0.25">
      <c r="A16" s="1">
        <v>10</v>
      </c>
      <c r="B16" s="12"/>
      <c r="C16" s="12"/>
      <c r="D16" s="13"/>
      <c r="E16" s="13"/>
      <c r="F16" s="15">
        <f>C4*D16</f>
        <v>0</v>
      </c>
      <c r="G16" s="39"/>
      <c r="H16" s="40"/>
      <c r="I16" s="16"/>
    </row>
    <row r="17" spans="1:9" x14ac:dyDescent="0.25">
      <c r="A17" s="1">
        <v>11</v>
      </c>
      <c r="B17" s="12"/>
      <c r="C17" s="12"/>
      <c r="D17" s="13"/>
      <c r="E17" s="13"/>
      <c r="F17" s="15">
        <f>C4*D17</f>
        <v>0</v>
      </c>
      <c r="G17" s="39"/>
      <c r="H17" s="40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9"/>
      <c r="H18" s="40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9"/>
      <c r="H19" s="40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9"/>
      <c r="H20" s="40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9"/>
      <c r="H21" s="40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9"/>
      <c r="H22" s="40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9"/>
      <c r="H23" s="40"/>
      <c r="I23" s="16"/>
    </row>
    <row r="24" spans="1:9" x14ac:dyDescent="0.25">
      <c r="C24" s="17"/>
      <c r="D24" s="1"/>
      <c r="F24" s="32"/>
      <c r="G24" s="33"/>
    </row>
    <row r="25" spans="1:9" x14ac:dyDescent="0.25">
      <c r="F25" s="20"/>
    </row>
    <row r="26" spans="1:9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37" t="s">
        <v>34</v>
      </c>
      <c r="C28" s="37"/>
      <c r="D28" s="37"/>
      <c r="E28" s="37"/>
      <c r="F28" s="37"/>
      <c r="G28" s="37"/>
      <c r="H28" s="37"/>
      <c r="I28" s="37"/>
    </row>
    <row r="29" spans="1:9" x14ac:dyDescent="0.25">
      <c r="A29" s="1">
        <v>2</v>
      </c>
      <c r="B29" s="37" t="s">
        <v>35</v>
      </c>
      <c r="C29" s="37"/>
      <c r="D29" s="37"/>
      <c r="E29" s="37"/>
      <c r="F29" s="37"/>
      <c r="G29" s="37"/>
      <c r="H29" s="37"/>
      <c r="I29" s="37"/>
    </row>
    <row r="30" spans="1:9" x14ac:dyDescent="0.25">
      <c r="A30" s="1">
        <v>3</v>
      </c>
      <c r="B30" s="37" t="s">
        <v>36</v>
      </c>
      <c r="C30" s="37"/>
      <c r="D30" s="37"/>
      <c r="E30" s="37"/>
      <c r="F30" s="37"/>
      <c r="G30" s="37"/>
      <c r="H30" s="37"/>
      <c r="I30" s="37"/>
    </row>
    <row r="31" spans="1:9" x14ac:dyDescent="0.25">
      <c r="A31" s="1">
        <v>4</v>
      </c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1">
        <v>5</v>
      </c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35" t="s">
        <v>17</v>
      </c>
      <c r="C43" s="35"/>
      <c r="E43" s="2" t="s">
        <v>18</v>
      </c>
      <c r="G43" s="36" t="s">
        <v>19</v>
      </c>
      <c r="H43" s="36"/>
      <c r="I43" s="2" t="s">
        <v>20</v>
      </c>
    </row>
  </sheetData>
  <mergeCells count="32">
    <mergeCell ref="G17:H17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B32:I32"/>
    <mergeCell ref="G18:H18"/>
    <mergeCell ref="G19:H19"/>
    <mergeCell ref="G20:H20"/>
    <mergeCell ref="G21:H21"/>
    <mergeCell ref="G22:H22"/>
    <mergeCell ref="G23:H23"/>
    <mergeCell ref="B26:I26"/>
    <mergeCell ref="B28:I28"/>
    <mergeCell ref="B29:I29"/>
    <mergeCell ref="B30:I30"/>
    <mergeCell ref="B31:I31"/>
    <mergeCell ref="B43:C43"/>
    <mergeCell ref="G43:H43"/>
    <mergeCell ref="B33:I33"/>
    <mergeCell ref="B34:I34"/>
    <mergeCell ref="B35:I35"/>
    <mergeCell ref="B36:I36"/>
    <mergeCell ref="B37:I37"/>
    <mergeCell ref="B38:I38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zoomScale="70" zoomScaleNormal="70" workbookViewId="0">
      <selection activeCell="C16" sqref="C16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27</v>
      </c>
      <c r="D2" s="5" t="s">
        <v>1</v>
      </c>
      <c r="E2" s="43" t="s">
        <v>87</v>
      </c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 t="s">
        <v>82</v>
      </c>
      <c r="C7" s="12" t="s">
        <v>83</v>
      </c>
      <c r="D7" s="13">
        <v>100</v>
      </c>
      <c r="E7" s="13" t="s">
        <v>26</v>
      </c>
      <c r="F7" s="14">
        <f>D7/D$24</f>
        <v>0.45871559633027525</v>
      </c>
      <c r="G7" s="15">
        <f>F7*D24*C4/453.592</f>
        <v>0.22046244201837775</v>
      </c>
      <c r="H7" s="39"/>
      <c r="I7" s="40"/>
      <c r="J7" s="26"/>
    </row>
    <row r="8" spans="1:10" x14ac:dyDescent="0.25">
      <c r="A8" s="1">
        <v>2</v>
      </c>
      <c r="B8" s="12" t="s">
        <v>84</v>
      </c>
      <c r="C8" s="12" t="s">
        <v>81</v>
      </c>
      <c r="D8" s="2">
        <v>75</v>
      </c>
      <c r="E8" s="13" t="s">
        <v>26</v>
      </c>
      <c r="F8" s="14">
        <f>D8/D$24</f>
        <v>0.34403669724770641</v>
      </c>
      <c r="G8" s="15">
        <f>F8*D24*C4/453.592</f>
        <v>0.16534683151378332</v>
      </c>
      <c r="H8" s="39"/>
      <c r="I8" s="40"/>
      <c r="J8" s="16"/>
    </row>
    <row r="9" spans="1:10" x14ac:dyDescent="0.25">
      <c r="A9" s="1">
        <v>3</v>
      </c>
      <c r="B9" s="12" t="s">
        <v>84</v>
      </c>
      <c r="C9" s="12" t="s">
        <v>28</v>
      </c>
      <c r="D9" s="13">
        <v>28</v>
      </c>
      <c r="E9" s="13" t="s">
        <v>26</v>
      </c>
      <c r="F9" s="14">
        <f t="shared" ref="F9:F23" si="0">D9/D$24</f>
        <v>0.12844036697247707</v>
      </c>
      <c r="G9" s="15">
        <f>F9*D24*C4/453.592</f>
        <v>6.1729483765145775E-2</v>
      </c>
      <c r="H9" s="39"/>
      <c r="I9" s="40"/>
      <c r="J9" s="16"/>
    </row>
    <row r="10" spans="1:10" x14ac:dyDescent="0.25">
      <c r="A10" s="1">
        <v>4</v>
      </c>
      <c r="B10" s="12" t="s">
        <v>84</v>
      </c>
      <c r="C10" s="12" t="s">
        <v>29</v>
      </c>
      <c r="D10" s="13">
        <v>14</v>
      </c>
      <c r="E10" s="13" t="s">
        <v>26</v>
      </c>
      <c r="F10" s="14">
        <f t="shared" si="0"/>
        <v>6.4220183486238536E-2</v>
      </c>
      <c r="G10" s="15">
        <f>C4*D24*F10/453.592</f>
        <v>3.0864741882572887E-2</v>
      </c>
      <c r="H10" s="39"/>
      <c r="I10" s="40"/>
      <c r="J10" s="16"/>
    </row>
    <row r="11" spans="1:10" x14ac:dyDescent="0.25">
      <c r="A11" s="1">
        <v>5</v>
      </c>
      <c r="B11" s="12" t="s">
        <v>85</v>
      </c>
      <c r="C11" s="12" t="s">
        <v>86</v>
      </c>
      <c r="D11" s="13">
        <v>1</v>
      </c>
      <c r="E11" s="13" t="s">
        <v>26</v>
      </c>
      <c r="F11" s="14">
        <f t="shared" si="0"/>
        <v>4.5871559633027525E-3</v>
      </c>
      <c r="G11" s="15">
        <f>C4*F11*D24/453.592</f>
        <v>2.2046244201837776E-3</v>
      </c>
      <c r="H11" s="39"/>
      <c r="I11" s="40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9"/>
      <c r="I12" s="40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9"/>
      <c r="I13" s="40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9"/>
      <c r="I14" s="40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9"/>
      <c r="I15" s="40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9"/>
      <c r="I16" s="40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9"/>
      <c r="I17" s="40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9"/>
      <c r="I18" s="40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9"/>
      <c r="I19" s="40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9"/>
      <c r="I20" s="40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9"/>
      <c r="I21" s="40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9"/>
      <c r="I22" s="40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9"/>
      <c r="I23" s="40"/>
      <c r="J23" s="16"/>
    </row>
    <row r="24" spans="1:10" x14ac:dyDescent="0.25">
      <c r="C24" s="17" t="s">
        <v>12</v>
      </c>
      <c r="D24" s="1">
        <f>SUM(D7:D23)</f>
        <v>218</v>
      </c>
      <c r="E24" s="13" t="s">
        <v>26</v>
      </c>
      <c r="F24" s="18">
        <f>SUM(F7:F23)</f>
        <v>0.99999999999999989</v>
      </c>
      <c r="G24" s="27">
        <f>SUM(G7:G23)</f>
        <v>0.4806081236000635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10" x14ac:dyDescent="0.25">
      <c r="A29" s="1">
        <v>2</v>
      </c>
      <c r="B29" s="37"/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1">
        <v>3</v>
      </c>
      <c r="B30" s="37"/>
      <c r="C30" s="37"/>
      <c r="D30" s="37"/>
      <c r="E30" s="37"/>
      <c r="F30" s="37"/>
      <c r="G30" s="37"/>
      <c r="H30" s="37"/>
      <c r="I30" s="37"/>
      <c r="J30" s="37"/>
    </row>
    <row r="31" spans="1:10" x14ac:dyDescent="0.25">
      <c r="A31" s="1">
        <v>4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12E6-1F71-47EC-A250-EB0655902422}">
  <sheetPr>
    <pageSetUpPr fitToPage="1"/>
  </sheetPr>
  <dimension ref="A1:J43"/>
  <sheetViews>
    <sheetView workbookViewId="0">
      <selection activeCell="H12" sqref="H12:I1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79</v>
      </c>
      <c r="D2" s="5" t="s">
        <v>1</v>
      </c>
      <c r="E2" s="43"/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20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/>
      <c r="C7" s="12" t="s">
        <v>80</v>
      </c>
      <c r="D7" s="13">
        <v>2.8</v>
      </c>
      <c r="E7" s="13" t="s">
        <v>24</v>
      </c>
      <c r="F7" s="14">
        <f t="shared" ref="F7:F23" si="0">D7/D$24</f>
        <v>0.93333333333333324</v>
      </c>
      <c r="G7" s="34">
        <f>C4*F7</f>
        <v>18.666666666666664</v>
      </c>
      <c r="H7" s="47"/>
      <c r="I7" s="48"/>
      <c r="J7" s="16"/>
    </row>
    <row r="8" spans="1:10" x14ac:dyDescent="0.25">
      <c r="A8" s="1">
        <v>2</v>
      </c>
      <c r="B8" s="12" t="s">
        <v>42</v>
      </c>
      <c r="C8" s="12" t="s">
        <v>43</v>
      </c>
      <c r="D8" s="13">
        <v>0.2</v>
      </c>
      <c r="E8" s="13" t="s">
        <v>24</v>
      </c>
      <c r="F8" s="14">
        <f t="shared" si="0"/>
        <v>6.6666666666666666E-2</v>
      </c>
      <c r="G8" s="34">
        <f>C4*F8</f>
        <v>1.3333333333333333</v>
      </c>
      <c r="H8" s="47"/>
      <c r="I8" s="48"/>
      <c r="J8" s="16"/>
    </row>
    <row r="9" spans="1:10" x14ac:dyDescent="0.25">
      <c r="A9" s="1">
        <v>3</v>
      </c>
      <c r="B9" s="12"/>
      <c r="C9" s="12"/>
      <c r="D9" s="13"/>
      <c r="E9" s="13" t="s">
        <v>24</v>
      </c>
      <c r="F9" s="14">
        <f t="shared" si="0"/>
        <v>0</v>
      </c>
      <c r="G9" s="34">
        <f>C4*F9</f>
        <v>0</v>
      </c>
      <c r="H9" s="47"/>
      <c r="I9" s="48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34">
        <f>C4*F10</f>
        <v>0</v>
      </c>
      <c r="H10" s="47"/>
      <c r="I10" s="48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34">
        <f>C4*F11</f>
        <v>0</v>
      </c>
      <c r="H11" s="47"/>
      <c r="I11" s="48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34">
        <f>C4*F12</f>
        <v>0</v>
      </c>
      <c r="H12" s="47"/>
      <c r="I12" s="48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34">
        <f>C4*F13</f>
        <v>0</v>
      </c>
      <c r="H13" s="47"/>
      <c r="I13" s="48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34">
        <f>C4*F14</f>
        <v>0</v>
      </c>
      <c r="H14" s="47"/>
      <c r="I14" s="48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34">
        <f>C4*F15</f>
        <v>0</v>
      </c>
      <c r="H15" s="47"/>
      <c r="I15" s="48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34">
        <f>C4*F16</f>
        <v>0</v>
      </c>
      <c r="H16" s="47"/>
      <c r="I16" s="4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34">
        <f>C4*F17</f>
        <v>0</v>
      </c>
      <c r="H17" s="47"/>
      <c r="I17" s="4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34">
        <f>C4*F18</f>
        <v>0</v>
      </c>
      <c r="H18" s="47"/>
      <c r="I18" s="4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34">
        <f>C4*F19</f>
        <v>0</v>
      </c>
      <c r="H19" s="47"/>
      <c r="I19" s="4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34">
        <f>C4*F20</f>
        <v>0</v>
      </c>
      <c r="H20" s="47"/>
      <c r="I20" s="4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34">
        <f>C4*F21</f>
        <v>0</v>
      </c>
      <c r="H21" s="47"/>
      <c r="I21" s="4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34">
        <f>C4*F22</f>
        <v>0</v>
      </c>
      <c r="H22" s="47"/>
      <c r="I22" s="4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34">
        <f>C4*F23</f>
        <v>0</v>
      </c>
      <c r="H23" s="47"/>
      <c r="I23" s="48"/>
      <c r="J23" s="16"/>
    </row>
    <row r="24" spans="1:10" x14ac:dyDescent="0.25">
      <c r="C24" s="17" t="s">
        <v>12</v>
      </c>
      <c r="D24" s="1">
        <f>SUM(D7:D23)</f>
        <v>3</v>
      </c>
      <c r="E24" s="1" t="s">
        <v>24</v>
      </c>
      <c r="F24" s="18">
        <f>SUM(F7:F23)</f>
        <v>0.99999999999999989</v>
      </c>
      <c r="G24" s="29">
        <f>SUM(G7:G23)</f>
        <v>19.999999999999996</v>
      </c>
      <c r="H24" s="19" t="s">
        <v>13</v>
      </c>
    </row>
    <row r="25" spans="1:10" x14ac:dyDescent="0.25">
      <c r="F25" s="28" t="s">
        <v>25</v>
      </c>
      <c r="G25" s="20">
        <f>-G24*G4+C4</f>
        <v>18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7" t="s">
        <v>74</v>
      </c>
      <c r="C28" s="37"/>
      <c r="D28" s="37"/>
      <c r="E28" s="37"/>
      <c r="F28" s="37"/>
      <c r="G28" s="37"/>
      <c r="H28" s="37"/>
      <c r="I28" s="37"/>
      <c r="J28" s="37"/>
    </row>
    <row r="29" spans="1:10" x14ac:dyDescent="0.25">
      <c r="A29" s="1">
        <v>2</v>
      </c>
      <c r="B29" s="37" t="s">
        <v>75</v>
      </c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1">
        <v>3</v>
      </c>
      <c r="B30" s="49" t="s">
        <v>76</v>
      </c>
      <c r="C30" s="49"/>
      <c r="D30" s="49"/>
      <c r="E30" s="49"/>
      <c r="F30" s="49"/>
      <c r="G30" s="49"/>
      <c r="H30" s="49"/>
      <c r="I30" s="49"/>
      <c r="J30" s="49"/>
    </row>
    <row r="31" spans="1:10" x14ac:dyDescent="0.25">
      <c r="A31" s="1">
        <v>4</v>
      </c>
      <c r="B31" s="37" t="s">
        <v>77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44" t="s">
        <v>78</v>
      </c>
      <c r="C32" s="45"/>
      <c r="D32" s="45"/>
      <c r="E32" s="45"/>
      <c r="F32" s="45"/>
      <c r="G32" s="45"/>
      <c r="H32" s="45"/>
      <c r="I32" s="45"/>
      <c r="J32" s="46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C5EA-7D73-47D9-972B-A696623BC885}">
  <sheetPr>
    <pageSetUpPr fitToPage="1"/>
  </sheetPr>
  <dimension ref="A1:J43"/>
  <sheetViews>
    <sheetView workbookViewId="0">
      <selection activeCell="C5" sqref="C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72</v>
      </c>
      <c r="D2" s="5" t="s">
        <v>1</v>
      </c>
      <c r="E2" s="43"/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8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/>
      <c r="C7" s="12" t="s">
        <v>73</v>
      </c>
      <c r="D7" s="13">
        <v>2.8</v>
      </c>
      <c r="E7" s="13" t="s">
        <v>24</v>
      </c>
      <c r="F7" s="14">
        <f t="shared" ref="F7:F23" si="0">D7/D$24</f>
        <v>1</v>
      </c>
      <c r="G7" s="34">
        <f>C4*F7</f>
        <v>8</v>
      </c>
      <c r="H7" s="47"/>
      <c r="I7" s="48"/>
      <c r="J7" s="16"/>
    </row>
    <row r="8" spans="1:10" x14ac:dyDescent="0.25">
      <c r="A8" s="1">
        <v>2</v>
      </c>
      <c r="B8" s="12" t="s">
        <v>42</v>
      </c>
      <c r="C8" s="12" t="s">
        <v>43</v>
      </c>
      <c r="D8" s="13"/>
      <c r="E8" s="13" t="s">
        <v>24</v>
      </c>
      <c r="F8" s="14">
        <f t="shared" si="0"/>
        <v>0</v>
      </c>
      <c r="G8" s="34">
        <f>C4*F8</f>
        <v>0</v>
      </c>
      <c r="H8" s="47"/>
      <c r="I8" s="48"/>
      <c r="J8" s="16"/>
    </row>
    <row r="9" spans="1:10" x14ac:dyDescent="0.25">
      <c r="A9" s="1">
        <v>3</v>
      </c>
      <c r="B9" s="12"/>
      <c r="C9" s="12"/>
      <c r="D9" s="13"/>
      <c r="E9" s="13" t="s">
        <v>24</v>
      </c>
      <c r="F9" s="14">
        <f t="shared" si="0"/>
        <v>0</v>
      </c>
      <c r="G9" s="34">
        <f>C4*F9</f>
        <v>0</v>
      </c>
      <c r="H9" s="47"/>
      <c r="I9" s="48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34">
        <f>C4*F10</f>
        <v>0</v>
      </c>
      <c r="H10" s="47"/>
      <c r="I10" s="48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34">
        <f>C4*F11</f>
        <v>0</v>
      </c>
      <c r="H11" s="47"/>
      <c r="I11" s="48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34">
        <f>C4*F12</f>
        <v>0</v>
      </c>
      <c r="H12" s="47"/>
      <c r="I12" s="48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34">
        <f>C4*F13</f>
        <v>0</v>
      </c>
      <c r="H13" s="47"/>
      <c r="I13" s="48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34">
        <f>C4*F14</f>
        <v>0</v>
      </c>
      <c r="H14" s="47"/>
      <c r="I14" s="48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34">
        <f>C4*F15</f>
        <v>0</v>
      </c>
      <c r="H15" s="47"/>
      <c r="I15" s="48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34">
        <f>C4*F16</f>
        <v>0</v>
      </c>
      <c r="H16" s="47"/>
      <c r="I16" s="4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34">
        <f>C4*F17</f>
        <v>0</v>
      </c>
      <c r="H17" s="47"/>
      <c r="I17" s="4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34">
        <f>C4*F18</f>
        <v>0</v>
      </c>
      <c r="H18" s="47"/>
      <c r="I18" s="4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34">
        <f>C4*F19</f>
        <v>0</v>
      </c>
      <c r="H19" s="47"/>
      <c r="I19" s="4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34">
        <f>C4*F20</f>
        <v>0</v>
      </c>
      <c r="H20" s="47"/>
      <c r="I20" s="4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34">
        <f>C4*F21</f>
        <v>0</v>
      </c>
      <c r="H21" s="47"/>
      <c r="I21" s="4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34">
        <f>C4*F22</f>
        <v>0</v>
      </c>
      <c r="H22" s="47"/>
      <c r="I22" s="4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34">
        <f>C4*F23</f>
        <v>0</v>
      </c>
      <c r="H23" s="47"/>
      <c r="I23" s="48"/>
      <c r="J23" s="16"/>
    </row>
    <row r="24" spans="1:10" x14ac:dyDescent="0.25">
      <c r="C24" s="17" t="s">
        <v>12</v>
      </c>
      <c r="D24" s="1">
        <f>SUM(D7:D23)</f>
        <v>2.8</v>
      </c>
      <c r="E24" s="1" t="s">
        <v>24</v>
      </c>
      <c r="F24" s="18">
        <f>SUM(F7:F23)</f>
        <v>1</v>
      </c>
      <c r="G24" s="29">
        <f>SUM(G7:G23)</f>
        <v>8</v>
      </c>
      <c r="H24" s="19" t="s">
        <v>13</v>
      </c>
    </row>
    <row r="25" spans="1:10" x14ac:dyDescent="0.25">
      <c r="F25" s="28" t="s">
        <v>25</v>
      </c>
      <c r="G25" s="20">
        <f>-G24*G4+C4</f>
        <v>7.2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7" t="s">
        <v>74</v>
      </c>
      <c r="C28" s="37"/>
      <c r="D28" s="37"/>
      <c r="E28" s="37"/>
      <c r="F28" s="37"/>
      <c r="G28" s="37"/>
      <c r="H28" s="37"/>
      <c r="I28" s="37"/>
      <c r="J28" s="37"/>
    </row>
    <row r="29" spans="1:10" x14ac:dyDescent="0.25">
      <c r="A29" s="1">
        <v>2</v>
      </c>
      <c r="B29" s="37" t="s">
        <v>75</v>
      </c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1">
        <v>3</v>
      </c>
      <c r="B30" s="49" t="s">
        <v>76</v>
      </c>
      <c r="C30" s="49"/>
      <c r="D30" s="49"/>
      <c r="E30" s="49"/>
      <c r="F30" s="49"/>
      <c r="G30" s="49"/>
      <c r="H30" s="49"/>
      <c r="I30" s="49"/>
      <c r="J30" s="49"/>
    </row>
    <row r="31" spans="1:10" x14ac:dyDescent="0.25">
      <c r="A31" s="1">
        <v>4</v>
      </c>
      <c r="B31" s="37" t="s">
        <v>77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 t="s">
        <v>78</v>
      </c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9933-7B55-4C4C-BB76-7A3861FBD473}">
  <sheetPr>
    <pageSetUpPr fitToPage="1"/>
  </sheetPr>
  <dimension ref="A1:J43"/>
  <sheetViews>
    <sheetView workbookViewId="0">
      <selection activeCell="C5" sqref="C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52</v>
      </c>
      <c r="D2" s="5" t="s">
        <v>1</v>
      </c>
      <c r="E2" s="43"/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G3" s="2">
        <v>2</v>
      </c>
      <c r="H3" s="1"/>
      <c r="I3" s="1"/>
      <c r="J3" s="2"/>
    </row>
    <row r="4" spans="1:10" x14ac:dyDescent="0.25">
      <c r="B4" s="2" t="s">
        <v>22</v>
      </c>
      <c r="C4" s="10">
        <v>1</v>
      </c>
      <c r="D4" s="9"/>
      <c r="F4" s="2" t="s">
        <v>23</v>
      </c>
      <c r="G4" s="28">
        <v>0.02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/>
      <c r="C7" s="12" t="s">
        <v>55</v>
      </c>
      <c r="D7" s="13">
        <v>0.12</v>
      </c>
      <c r="E7" s="13" t="s">
        <v>24</v>
      </c>
      <c r="F7" s="14">
        <f t="shared" ref="F7:F23" si="0">D7/D$24</f>
        <v>0.18264840182648401</v>
      </c>
      <c r="G7" s="15">
        <f>C4*F7</f>
        <v>0.18264840182648401</v>
      </c>
      <c r="H7" s="39"/>
      <c r="I7" s="40"/>
      <c r="J7" s="16"/>
    </row>
    <row r="8" spans="1:10" x14ac:dyDescent="0.25">
      <c r="A8" s="1">
        <v>2</v>
      </c>
      <c r="B8" s="12"/>
      <c r="C8" s="12" t="s">
        <v>56</v>
      </c>
      <c r="D8" s="13">
        <v>0.08</v>
      </c>
      <c r="E8" s="13" t="s">
        <v>24</v>
      </c>
      <c r="F8" s="14">
        <f t="shared" si="0"/>
        <v>0.12176560121765601</v>
      </c>
      <c r="G8" s="15">
        <f>C4*F8</f>
        <v>0.12176560121765601</v>
      </c>
      <c r="H8" s="39"/>
      <c r="I8" s="40"/>
      <c r="J8" s="16"/>
    </row>
    <row r="9" spans="1:10" x14ac:dyDescent="0.25">
      <c r="A9" s="1">
        <v>3</v>
      </c>
      <c r="B9" s="12" t="s">
        <v>57</v>
      </c>
      <c r="C9" s="12" t="s">
        <v>58</v>
      </c>
      <c r="D9" s="13">
        <v>8.1000000000000003E-2</v>
      </c>
      <c r="E9" s="13" t="s">
        <v>24</v>
      </c>
      <c r="F9" s="14">
        <f t="shared" si="0"/>
        <v>0.12328767123287671</v>
      </c>
      <c r="G9" s="15">
        <f>C4*F9</f>
        <v>0.12328767123287671</v>
      </c>
      <c r="H9" s="39"/>
      <c r="I9" s="40"/>
      <c r="J9" s="16"/>
    </row>
    <row r="10" spans="1:10" x14ac:dyDescent="0.25">
      <c r="A10" s="1">
        <v>4</v>
      </c>
      <c r="B10" s="12"/>
      <c r="C10" s="12" t="s">
        <v>59</v>
      </c>
      <c r="D10" s="13">
        <v>6.0000000000000001E-3</v>
      </c>
      <c r="E10" s="13" t="s">
        <v>24</v>
      </c>
      <c r="F10" s="14">
        <f t="shared" si="0"/>
        <v>9.1324200913242004E-3</v>
      </c>
      <c r="G10" s="15">
        <f>C4*F10</f>
        <v>9.1324200913242004E-3</v>
      </c>
      <c r="H10" s="39"/>
      <c r="I10" s="40"/>
      <c r="J10" s="16"/>
    </row>
    <row r="11" spans="1:10" x14ac:dyDescent="0.25">
      <c r="A11" s="1">
        <v>5</v>
      </c>
      <c r="B11" s="12" t="s">
        <v>60</v>
      </c>
      <c r="C11" s="12" t="s">
        <v>61</v>
      </c>
      <c r="D11" s="13">
        <v>0.05</v>
      </c>
      <c r="E11" s="13" t="s">
        <v>24</v>
      </c>
      <c r="F11" s="14">
        <f t="shared" si="0"/>
        <v>7.6103500761035003E-2</v>
      </c>
      <c r="G11" s="15">
        <f>C4*F11</f>
        <v>7.6103500761035003E-2</v>
      </c>
      <c r="H11" s="39"/>
      <c r="I11" s="40"/>
      <c r="J11" s="16"/>
    </row>
    <row r="12" spans="1:10" x14ac:dyDescent="0.25">
      <c r="A12" s="1">
        <v>6</v>
      </c>
      <c r="B12" s="12" t="s">
        <v>44</v>
      </c>
      <c r="C12" s="12" t="s">
        <v>62</v>
      </c>
      <c r="D12" s="13">
        <v>0.05</v>
      </c>
      <c r="E12" s="13" t="s">
        <v>24</v>
      </c>
      <c r="F12" s="14">
        <f t="shared" si="0"/>
        <v>7.6103500761035003E-2</v>
      </c>
      <c r="G12" s="15">
        <f>C4*F12</f>
        <v>7.6103500761035003E-2</v>
      </c>
      <c r="H12" s="39"/>
      <c r="I12" s="40"/>
      <c r="J12" s="16"/>
    </row>
    <row r="13" spans="1:10" x14ac:dyDescent="0.25">
      <c r="A13" s="1">
        <v>7</v>
      </c>
      <c r="B13" s="12" t="s">
        <v>37</v>
      </c>
      <c r="C13" s="12" t="s">
        <v>63</v>
      </c>
      <c r="D13" s="13">
        <v>0.25</v>
      </c>
      <c r="E13" s="13" t="s">
        <v>24</v>
      </c>
      <c r="F13" s="14">
        <f t="shared" si="0"/>
        <v>0.38051750380517502</v>
      </c>
      <c r="G13" s="15">
        <f>C4*F13</f>
        <v>0.38051750380517502</v>
      </c>
      <c r="H13" s="39"/>
      <c r="I13" s="40"/>
      <c r="J13" s="16" t="s">
        <v>64</v>
      </c>
    </row>
    <row r="14" spans="1:10" x14ac:dyDescent="0.25">
      <c r="A14" s="1">
        <v>8</v>
      </c>
      <c r="B14" s="12" t="s">
        <v>65</v>
      </c>
      <c r="C14" s="12" t="s">
        <v>66</v>
      </c>
      <c r="D14" s="13">
        <v>0.02</v>
      </c>
      <c r="E14" s="13" t="s">
        <v>24</v>
      </c>
      <c r="F14" s="14">
        <f t="shared" si="0"/>
        <v>3.0441400304414001E-2</v>
      </c>
      <c r="G14" s="15">
        <f>C4*F14</f>
        <v>3.0441400304414001E-2</v>
      </c>
      <c r="H14" s="39"/>
      <c r="I14" s="40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9"/>
      <c r="I15" s="40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9"/>
      <c r="I16" s="40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9"/>
      <c r="I17" s="40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9"/>
      <c r="I18" s="40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9"/>
      <c r="I19" s="40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9"/>
      <c r="I20" s="40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9"/>
      <c r="I21" s="40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9"/>
      <c r="I22" s="40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9"/>
      <c r="I23" s="40"/>
      <c r="J23" s="16"/>
    </row>
    <row r="24" spans="1:10" x14ac:dyDescent="0.25">
      <c r="C24" s="17" t="s">
        <v>12</v>
      </c>
      <c r="D24" s="1">
        <f>SUM(D7:D23)</f>
        <v>0.65700000000000003</v>
      </c>
      <c r="E24" s="1" t="s">
        <v>24</v>
      </c>
      <c r="F24" s="18">
        <f>SUM(F7:F23)</f>
        <v>1</v>
      </c>
      <c r="G24" s="29">
        <f>SUM(G7:G23)</f>
        <v>1</v>
      </c>
      <c r="H24" s="19" t="s">
        <v>13</v>
      </c>
    </row>
    <row r="25" spans="1:10" x14ac:dyDescent="0.25">
      <c r="F25" s="28" t="s">
        <v>25</v>
      </c>
      <c r="G25" s="20">
        <f>-G24*G4+C4</f>
        <v>0.98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4" t="s">
        <v>67</v>
      </c>
      <c r="C28" s="45"/>
      <c r="D28" s="45"/>
      <c r="E28" s="45"/>
      <c r="F28" s="45"/>
      <c r="G28" s="45"/>
      <c r="H28" s="45"/>
      <c r="I28" s="45"/>
      <c r="J28" s="46"/>
    </row>
    <row r="29" spans="1:10" x14ac:dyDescent="0.25">
      <c r="A29" s="1">
        <v>2</v>
      </c>
      <c r="B29" s="44" t="s">
        <v>68</v>
      </c>
      <c r="C29" s="45"/>
      <c r="D29" s="45"/>
      <c r="E29" s="45"/>
      <c r="F29" s="45"/>
      <c r="G29" s="45"/>
      <c r="H29" s="45"/>
      <c r="I29" s="45"/>
      <c r="J29" s="46"/>
    </row>
    <row r="30" spans="1:10" x14ac:dyDescent="0.25">
      <c r="A30" s="1">
        <v>3</v>
      </c>
      <c r="B30" s="50" t="s">
        <v>67</v>
      </c>
      <c r="C30" s="51"/>
      <c r="D30" s="51"/>
      <c r="E30" s="51"/>
      <c r="F30" s="51"/>
      <c r="G30" s="51"/>
      <c r="H30" s="51"/>
      <c r="I30" s="51"/>
      <c r="J30" s="52"/>
    </row>
    <row r="31" spans="1:10" x14ac:dyDescent="0.25">
      <c r="A31" s="1">
        <v>4</v>
      </c>
      <c r="B31" s="37" t="s">
        <v>69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 t="s">
        <v>70</v>
      </c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 t="s">
        <v>71</v>
      </c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874D-1186-402B-B9F1-276591CCE765}">
  <sheetPr>
    <pageSetUpPr fitToPage="1"/>
  </sheetPr>
  <dimension ref="A1:J43"/>
  <sheetViews>
    <sheetView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28</v>
      </c>
      <c r="D2" s="5" t="s">
        <v>1</v>
      </c>
      <c r="E2" s="43" t="s">
        <v>88</v>
      </c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/>
      <c r="C7" s="12" t="s">
        <v>50</v>
      </c>
      <c r="D7" s="13">
        <v>1</v>
      </c>
      <c r="E7" s="13" t="s">
        <v>24</v>
      </c>
      <c r="F7" s="14">
        <f t="shared" ref="F7:F23" si="0">D7/D$24</f>
        <v>0.66666666666666663</v>
      </c>
      <c r="G7" s="15">
        <f>C4*F7</f>
        <v>20</v>
      </c>
      <c r="H7" s="39"/>
      <c r="I7" s="40"/>
      <c r="J7" s="16"/>
    </row>
    <row r="8" spans="1:10" x14ac:dyDescent="0.25">
      <c r="A8" s="1">
        <v>2</v>
      </c>
      <c r="B8" s="12"/>
      <c r="C8" s="12" t="s">
        <v>51</v>
      </c>
      <c r="D8" s="13">
        <v>0.375</v>
      </c>
      <c r="E8" s="13" t="s">
        <v>24</v>
      </c>
      <c r="F8" s="14">
        <f t="shared" si="0"/>
        <v>0.25</v>
      </c>
      <c r="G8" s="15">
        <f>C4*F8</f>
        <v>7.5</v>
      </c>
      <c r="H8" s="39"/>
      <c r="I8" s="40"/>
      <c r="J8" s="16"/>
    </row>
    <row r="9" spans="1:10" x14ac:dyDescent="0.25">
      <c r="A9" s="1">
        <v>3</v>
      </c>
      <c r="B9" s="12"/>
      <c r="C9" s="12" t="s">
        <v>52</v>
      </c>
      <c r="D9" s="13">
        <v>0.125</v>
      </c>
      <c r="E9" s="13" t="s">
        <v>24</v>
      </c>
      <c r="F9" s="14">
        <f t="shared" si="0"/>
        <v>8.3333333333333329E-2</v>
      </c>
      <c r="G9" s="15">
        <f>C4*F9</f>
        <v>2.5</v>
      </c>
      <c r="H9" s="39"/>
      <c r="I9" s="40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9"/>
      <c r="I10" s="40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9"/>
      <c r="I11" s="40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9"/>
      <c r="I12" s="40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9"/>
      <c r="I13" s="40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9"/>
      <c r="I14" s="40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9"/>
      <c r="I15" s="40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9"/>
      <c r="I16" s="40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9"/>
      <c r="I17" s="40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9"/>
      <c r="I18" s="40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9"/>
      <c r="I19" s="40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9"/>
      <c r="I20" s="40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9"/>
      <c r="I21" s="40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9"/>
      <c r="I22" s="40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9"/>
      <c r="I23" s="40"/>
      <c r="J23" s="16"/>
    </row>
    <row r="24" spans="1:10" x14ac:dyDescent="0.25">
      <c r="C24" s="17" t="s">
        <v>12</v>
      </c>
      <c r="D24" s="1">
        <f>SUM(D7:D23)</f>
        <v>1.5</v>
      </c>
      <c r="E24" s="1" t="s">
        <v>24</v>
      </c>
      <c r="F24" s="18">
        <f>SUM(F7:F23)</f>
        <v>1</v>
      </c>
      <c r="G24" s="29">
        <f>SUM(G7:G23)</f>
        <v>30</v>
      </c>
      <c r="H24" s="19" t="s">
        <v>13</v>
      </c>
    </row>
    <row r="25" spans="1:10" x14ac:dyDescent="0.25">
      <c r="F25" s="28" t="s">
        <v>25</v>
      </c>
      <c r="G25" s="20">
        <f>-G24*G4+C4</f>
        <v>30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4" t="s">
        <v>53</v>
      </c>
      <c r="C28" s="45"/>
      <c r="D28" s="45"/>
      <c r="E28" s="45"/>
      <c r="F28" s="45"/>
      <c r="G28" s="45"/>
      <c r="H28" s="45"/>
      <c r="I28" s="45"/>
      <c r="J28" s="46"/>
    </row>
    <row r="29" spans="1:10" x14ac:dyDescent="0.25">
      <c r="A29" s="1">
        <v>2</v>
      </c>
      <c r="B29" s="44" t="s">
        <v>54</v>
      </c>
      <c r="C29" s="45"/>
      <c r="D29" s="45"/>
      <c r="E29" s="45"/>
      <c r="F29" s="45"/>
      <c r="G29" s="45"/>
      <c r="H29" s="45"/>
      <c r="I29" s="45"/>
      <c r="J29" s="46"/>
    </row>
    <row r="30" spans="1:10" x14ac:dyDescent="0.25">
      <c r="A30" s="1">
        <v>3</v>
      </c>
      <c r="B30" s="44"/>
      <c r="C30" s="45"/>
      <c r="D30" s="45"/>
      <c r="E30" s="45"/>
      <c r="F30" s="45"/>
      <c r="G30" s="45"/>
      <c r="H30" s="45"/>
      <c r="I30" s="45"/>
      <c r="J30" s="46"/>
    </row>
    <row r="31" spans="1:10" x14ac:dyDescent="0.25">
      <c r="A31" s="1">
        <v>4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F7B6-0011-4066-9CB2-4FB3868F58A8}">
  <sheetPr>
    <pageSetUpPr fitToPage="1"/>
  </sheetPr>
  <dimension ref="A1:J43"/>
  <sheetViews>
    <sheetView workbookViewId="0">
      <selection activeCell="B23" sqref="B2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38</v>
      </c>
      <c r="D2" s="5" t="s">
        <v>1</v>
      </c>
      <c r="E2" s="43" t="s">
        <v>39</v>
      </c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20</v>
      </c>
      <c r="D4" s="9"/>
      <c r="F4" s="2" t="s">
        <v>23</v>
      </c>
      <c r="G4" s="28">
        <v>0.25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1" t="s">
        <v>10</v>
      </c>
      <c r="I6" s="42"/>
      <c r="J6" s="11" t="s">
        <v>11</v>
      </c>
    </row>
    <row r="7" spans="1:10" x14ac:dyDescent="0.25">
      <c r="A7" s="1">
        <v>1</v>
      </c>
      <c r="B7" s="12" t="s">
        <v>40</v>
      </c>
      <c r="C7" s="12" t="s">
        <v>41</v>
      </c>
      <c r="D7" s="13">
        <v>19.828680203045685</v>
      </c>
      <c r="E7" s="13" t="s">
        <v>24</v>
      </c>
      <c r="F7" s="14">
        <f t="shared" ref="F7:F23" si="0">D7/D$24</f>
        <v>0.99143401015228427</v>
      </c>
      <c r="G7" s="15">
        <f>C4*F7</f>
        <v>19.828680203045685</v>
      </c>
      <c r="H7" s="39"/>
      <c r="I7" s="40"/>
      <c r="J7" s="16"/>
    </row>
    <row r="8" spans="1:10" x14ac:dyDescent="0.25">
      <c r="A8" s="1">
        <v>2</v>
      </c>
      <c r="B8" s="12" t="s">
        <v>42</v>
      </c>
      <c r="C8" s="12" t="s">
        <v>43</v>
      </c>
      <c r="D8" s="13">
        <v>0.11897208121827413</v>
      </c>
      <c r="E8" s="13" t="s">
        <v>24</v>
      </c>
      <c r="F8" s="14">
        <f t="shared" si="0"/>
        <v>5.9486040609137061E-3</v>
      </c>
      <c r="G8" s="15">
        <f>C4*F8</f>
        <v>0.11897208121827413</v>
      </c>
      <c r="H8" s="39"/>
      <c r="I8" s="40"/>
      <c r="J8" s="16"/>
    </row>
    <row r="9" spans="1:10" x14ac:dyDescent="0.25">
      <c r="A9" s="1">
        <v>3</v>
      </c>
      <c r="B9" s="12" t="s">
        <v>44</v>
      </c>
      <c r="C9" s="12" t="s">
        <v>45</v>
      </c>
      <c r="D9" s="13">
        <v>5.2347715736040606E-2</v>
      </c>
      <c r="E9" s="13" t="s">
        <v>24</v>
      </c>
      <c r="F9" s="14">
        <f t="shared" si="0"/>
        <v>2.6173857868020305E-3</v>
      </c>
      <c r="G9" s="15">
        <f>C4*F9</f>
        <v>5.2347715736040606E-2</v>
      </c>
      <c r="H9" s="39"/>
      <c r="I9" s="40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9"/>
      <c r="I10" s="40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9"/>
      <c r="I11" s="40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9"/>
      <c r="I12" s="40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9"/>
      <c r="I13" s="40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9"/>
      <c r="I14" s="40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9"/>
      <c r="I15" s="40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9"/>
      <c r="I16" s="40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9"/>
      <c r="I17" s="40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9"/>
      <c r="I18" s="40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9"/>
      <c r="I19" s="40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9"/>
      <c r="I20" s="40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9"/>
      <c r="I21" s="40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9"/>
      <c r="I22" s="40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9"/>
      <c r="I23" s="40"/>
      <c r="J23" s="16"/>
    </row>
    <row r="24" spans="1:10" x14ac:dyDescent="0.25">
      <c r="C24" s="17" t="s">
        <v>12</v>
      </c>
      <c r="D24" s="1">
        <f>SUM(D7:D23)</f>
        <v>20</v>
      </c>
      <c r="E24" s="1" t="s">
        <v>24</v>
      </c>
      <c r="F24" s="18">
        <f>SUM(F7:F23)</f>
        <v>1</v>
      </c>
      <c r="G24" s="29">
        <f>SUM(G7:G23)</f>
        <v>20</v>
      </c>
      <c r="H24" s="19" t="s">
        <v>13</v>
      </c>
    </row>
    <row r="25" spans="1:10" x14ac:dyDescent="0.25">
      <c r="F25" s="28" t="s">
        <v>25</v>
      </c>
      <c r="G25" s="20">
        <f>-G24*G4+C4</f>
        <v>15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4" t="s">
        <v>46</v>
      </c>
      <c r="C28" s="45"/>
      <c r="D28" s="45"/>
      <c r="E28" s="45"/>
      <c r="F28" s="45"/>
      <c r="G28" s="45"/>
      <c r="H28" s="45"/>
      <c r="I28" s="45"/>
      <c r="J28" s="46"/>
    </row>
    <row r="29" spans="1:10" x14ac:dyDescent="0.25">
      <c r="A29" s="1">
        <v>2</v>
      </c>
      <c r="B29" s="44" t="s">
        <v>47</v>
      </c>
      <c r="C29" s="45"/>
      <c r="D29" s="45"/>
      <c r="E29" s="45"/>
      <c r="F29" s="45"/>
      <c r="G29" s="45"/>
      <c r="H29" s="45"/>
      <c r="I29" s="45"/>
      <c r="J29" s="46"/>
    </row>
    <row r="30" spans="1:10" x14ac:dyDescent="0.25">
      <c r="A30" s="1">
        <v>3</v>
      </c>
      <c r="B30" s="50" t="s">
        <v>48</v>
      </c>
      <c r="C30" s="51"/>
      <c r="D30" s="51"/>
      <c r="E30" s="51"/>
      <c r="F30" s="51"/>
      <c r="G30" s="51"/>
      <c r="H30" s="51"/>
      <c r="I30" s="51"/>
      <c r="J30" s="52"/>
    </row>
    <row r="31" spans="1:10" x14ac:dyDescent="0.25">
      <c r="A31" s="1">
        <v>4</v>
      </c>
      <c r="B31" s="37" t="s">
        <v>49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5" t="s">
        <v>17</v>
      </c>
      <c r="C43" s="35"/>
      <c r="E43" s="35" t="s">
        <v>18</v>
      </c>
      <c r="F43" s="35"/>
      <c r="H43" s="36" t="s">
        <v>19</v>
      </c>
      <c r="I43" s="36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6C374F-E5AA-4EE6-90F9-58030E46EE26}"/>
</file>

<file path=customXml/itemProps2.xml><?xml version="1.0" encoding="utf-8"?>
<ds:datastoreItem xmlns:ds="http://schemas.openxmlformats.org/officeDocument/2006/customXml" ds:itemID="{F8D742A2-91EC-4DB0-A4D6-A5C7F9BF2097}"/>
</file>

<file path=customXml/itemProps3.xml><?xml version="1.0" encoding="utf-8"?>
<ds:datastoreItem xmlns:ds="http://schemas.openxmlformats.org/officeDocument/2006/customXml" ds:itemID="{B254226B-3A5F-4C24-B87B-291E91227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705 Kit build</vt:lpstr>
      <vt:lpstr>705 - PREM PASTA  PLATE BUILD</vt:lpstr>
      <vt:lpstr>Sauteed Shitake Mushroom (2)</vt:lpstr>
      <vt:lpstr>Sauteed Beech Mushroom</vt:lpstr>
      <vt:lpstr>Conserva Liquid</vt:lpstr>
      <vt:lpstr>Wild Mushroom Conserva (2)</vt:lpstr>
      <vt:lpstr>Blistered tomato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2025-08-08T13:58:47Z</cp:lastPrinted>
  <dcterms:created xsi:type="dcterms:W3CDTF">2023-08-17T15:10:54Z</dcterms:created>
  <dcterms:modified xsi:type="dcterms:W3CDTF">2025-09-01T18:44:23Z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