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53" documentId="8_{E45E9690-71FF-4C65-864C-8A6C906243B6}" xr6:coauthVersionLast="47" xr6:coauthVersionMax="47" xr10:uidLastSave="{C492C29D-E77A-4C58-B5FF-0F1FC03F38F1}"/>
  <bookViews>
    <workbookView xWindow="10140" yWindow="0" windowWidth="10455" windowHeight="10905" firstSheet="6" activeTab="6" xr2:uid="{9D773142-25FF-402D-A059-87F5C56EFE7F}"/>
  </bookViews>
  <sheets>
    <sheet name="699 - KIT BUILD" sheetId="9" r:id="rId1"/>
    <sheet name="699 -PLATING " sheetId="7" r:id="rId2"/>
    <sheet name="Coconut Carrot Soup" sheetId="19" r:id="rId3"/>
    <sheet name="SANDWICH BUILD" sheetId="15" r:id="rId4"/>
    <sheet name="Drunken Spread" sheetId="16" r:id="rId5"/>
    <sheet name="Drunken Mustard Brine" sheetId="18" r:id="rId6"/>
    <sheet name="Drunken Mustard 1-gal" sheetId="1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9" l="1"/>
  <c r="F23" i="19" s="1"/>
  <c r="G23" i="19" s="1"/>
  <c r="F8" i="19" l="1"/>
  <c r="G8" i="19" s="1"/>
  <c r="F10" i="19"/>
  <c r="G10" i="19" s="1"/>
  <c r="F12" i="19"/>
  <c r="G12" i="19" s="1"/>
  <c r="F14" i="19"/>
  <c r="G14" i="19" s="1"/>
  <c r="F16" i="19"/>
  <c r="G16" i="19" s="1"/>
  <c r="F7" i="19"/>
  <c r="F9" i="19"/>
  <c r="G9" i="19" s="1"/>
  <c r="F11" i="19"/>
  <c r="G11" i="19" s="1"/>
  <c r="F13" i="19"/>
  <c r="G13" i="19" s="1"/>
  <c r="F15" i="19"/>
  <c r="G15" i="19" s="1"/>
  <c r="G7" i="19" l="1"/>
  <c r="G24" i="19" s="1"/>
  <c r="G25" i="19" s="1"/>
  <c r="F24" i="19"/>
  <c r="D23" i="18"/>
  <c r="F20" i="18" s="1"/>
  <c r="G20" i="18" s="1"/>
  <c r="F12" i="18"/>
  <c r="G12" i="18" s="1"/>
  <c r="F10" i="18"/>
  <c r="G10" i="18" s="1"/>
  <c r="F8" i="18"/>
  <c r="G8" i="18" s="1"/>
  <c r="D23" i="17"/>
  <c r="F22" i="17" s="1"/>
  <c r="G22" i="17" s="1"/>
  <c r="F7" i="18" l="1"/>
  <c r="F9" i="18"/>
  <c r="G9" i="18" s="1"/>
  <c r="F11" i="18"/>
  <c r="G11" i="18" s="1"/>
  <c r="F13" i="18"/>
  <c r="G13" i="18" s="1"/>
  <c r="F15" i="18"/>
  <c r="G15" i="18" s="1"/>
  <c r="F17" i="18"/>
  <c r="G17" i="18" s="1"/>
  <c r="F19" i="18"/>
  <c r="G19" i="18" s="1"/>
  <c r="F22" i="18"/>
  <c r="G22" i="18" s="1"/>
  <c r="F14" i="18"/>
  <c r="G14" i="18" s="1"/>
  <c r="F16" i="18"/>
  <c r="G16" i="18" s="1"/>
  <c r="F18" i="18"/>
  <c r="G18" i="18" s="1"/>
  <c r="F8" i="17"/>
  <c r="G8" i="17" s="1"/>
  <c r="F10" i="17"/>
  <c r="G10" i="17" s="1"/>
  <c r="F12" i="17"/>
  <c r="G12" i="17" s="1"/>
  <c r="F14" i="17"/>
  <c r="G14" i="17" s="1"/>
  <c r="F16" i="17"/>
  <c r="G16" i="17" s="1"/>
  <c r="F18" i="17"/>
  <c r="G18" i="17" s="1"/>
  <c r="F20" i="17"/>
  <c r="G20" i="17" s="1"/>
  <c r="F7" i="17"/>
  <c r="F9" i="17"/>
  <c r="G9" i="17" s="1"/>
  <c r="F11" i="17"/>
  <c r="G11" i="17" s="1"/>
  <c r="F13" i="17"/>
  <c r="G13" i="17" s="1"/>
  <c r="F15" i="17"/>
  <c r="G15" i="17" s="1"/>
  <c r="F17" i="17"/>
  <c r="G17" i="17" s="1"/>
  <c r="F19" i="17"/>
  <c r="G19" i="17" s="1"/>
  <c r="G7" i="18" l="1"/>
  <c r="G23" i="18" s="1"/>
  <c r="G24" i="18" s="1"/>
  <c r="F23" i="18"/>
  <c r="G7" i="17"/>
  <c r="G23" i="17" s="1"/>
  <c r="G24" i="17" s="1"/>
  <c r="F23" i="17"/>
  <c r="D24" i="16"/>
  <c r="F23" i="16" s="1"/>
  <c r="G23" i="16" s="1"/>
  <c r="F22" i="16"/>
  <c r="G22" i="16" s="1"/>
  <c r="F20" i="16"/>
  <c r="G20" i="16" s="1"/>
  <c r="F18" i="16"/>
  <c r="G18" i="16" s="1"/>
  <c r="F16" i="16"/>
  <c r="G16" i="16" s="1"/>
  <c r="F14" i="16"/>
  <c r="G14" i="16" s="1"/>
  <c r="F12" i="16"/>
  <c r="G12" i="16" s="1"/>
  <c r="F10" i="16"/>
  <c r="G10" i="16" s="1"/>
  <c r="F8" i="16"/>
  <c r="G8" i="16" s="1"/>
  <c r="F7" i="16" l="1"/>
  <c r="F9" i="16"/>
  <c r="G9" i="16" s="1"/>
  <c r="F11" i="16"/>
  <c r="G11" i="16" s="1"/>
  <c r="F13" i="16"/>
  <c r="G13" i="16" s="1"/>
  <c r="F15" i="16"/>
  <c r="G15" i="16" s="1"/>
  <c r="F17" i="16"/>
  <c r="G17" i="16" s="1"/>
  <c r="F19" i="16"/>
  <c r="G19" i="16" s="1"/>
  <c r="F21" i="16"/>
  <c r="G21" i="16" s="1"/>
  <c r="G7" i="16" l="1"/>
  <c r="G24" i="16" s="1"/>
  <c r="G25" i="16" s="1"/>
  <c r="F24" i="16"/>
  <c r="D24" i="15" l="1"/>
  <c r="F22" i="15" s="1"/>
  <c r="G22" i="15" s="1"/>
  <c r="F15" i="15" l="1"/>
  <c r="G15" i="15" s="1"/>
  <c r="F12" i="15"/>
  <c r="G12" i="15" s="1"/>
  <c r="F18" i="15"/>
  <c r="G18" i="15" s="1"/>
  <c r="F23" i="15"/>
  <c r="G23" i="15" s="1"/>
  <c r="F9" i="15"/>
  <c r="G9" i="15" s="1"/>
  <c r="F13" i="15"/>
  <c r="G13" i="15" s="1"/>
  <c r="F16" i="15"/>
  <c r="G16" i="15" s="1"/>
  <c r="F19" i="15"/>
  <c r="G19" i="15" s="1"/>
  <c r="F7" i="15"/>
  <c r="G7" i="15" s="1"/>
  <c r="F10" i="15"/>
  <c r="G10" i="15" s="1"/>
  <c r="F14" i="15"/>
  <c r="G14" i="15" s="1"/>
  <c r="F20" i="15"/>
  <c r="G20" i="15" s="1"/>
  <c r="F8" i="15"/>
  <c r="G8" i="15" s="1"/>
  <c r="F11" i="15"/>
  <c r="G11" i="15" s="1"/>
  <c r="F17" i="15"/>
  <c r="G17" i="15" s="1"/>
  <c r="F21" i="15"/>
  <c r="G21" i="15" s="1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D24" i="7"/>
  <c r="F21" i="7" s="1"/>
  <c r="G21" i="7" s="1"/>
  <c r="G24" i="15" l="1"/>
  <c r="F24" i="15"/>
  <c r="F9" i="7"/>
  <c r="G9" i="7" s="1"/>
  <c r="F14" i="7"/>
  <c r="G14" i="7" s="1"/>
  <c r="F17" i="7"/>
  <c r="G17" i="7" s="1"/>
  <c r="F22" i="7"/>
  <c r="G22" i="7" s="1"/>
  <c r="F13" i="7"/>
  <c r="G13" i="7" s="1"/>
  <c r="F8" i="7"/>
  <c r="G8" i="7" s="1"/>
  <c r="F11" i="7"/>
  <c r="G11" i="7" s="1"/>
  <c r="F16" i="7"/>
  <c r="G16" i="7" s="1"/>
  <c r="F19" i="7"/>
  <c r="G19" i="7" s="1"/>
  <c r="F7" i="7"/>
  <c r="F12" i="7"/>
  <c r="G12" i="7" s="1"/>
  <c r="F15" i="7"/>
  <c r="G15" i="7" s="1"/>
  <c r="F20" i="7"/>
  <c r="G20" i="7" s="1"/>
  <c r="F23" i="7"/>
  <c r="G23" i="7" s="1"/>
  <c r="F10" i="7"/>
  <c r="G10" i="7" s="1"/>
  <c r="F18" i="7"/>
  <c r="G18" i="7" s="1"/>
  <c r="F24" i="7" l="1"/>
  <c r="G7" i="7"/>
  <c r="G24" i="7" s="1"/>
</calcChain>
</file>

<file path=xl/sharedStrings.xml><?xml version="1.0" encoding="utf-8"?>
<sst xmlns="http://schemas.openxmlformats.org/spreadsheetml/2006/main" count="371" uniqueCount="124">
  <si>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</si>
  <si>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</si>
  <si>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</si>
  <si>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</si>
  <si>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</si>
  <si>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</si>
  <si>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</si>
  <si>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</si>
  <si>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</si>
  <si>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</si>
  <si>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</si>
  <si>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</si>
  <si>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</si>
  <si>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</si>
  <si>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</si>
  <si>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</si>
  <si>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</si>
  <si>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</si>
  <si>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</si>
  <si>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</si>
  <si>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</si>
  <si>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</si>
  <si>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</si>
  <si>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</si>
  <si>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</si>
  <si>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</si>
  <si>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</si>
  <si>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Desired Cases:</t>
  </si>
  <si>
    <t>Desired Qty</t>
  </si>
  <si>
    <t>Each</t>
  </si>
  <si>
    <t>Original formula builds one kit.</t>
  </si>
  <si>
    <t xml:space="preserve">Pack all items according to the build and label the master case. </t>
  </si>
  <si>
    <t>Hold under refrigeration below 41 degrees for shipping</t>
  </si>
  <si>
    <t>LBS</t>
  </si>
  <si>
    <t>D089</t>
  </si>
  <si>
    <t>NEW</t>
  </si>
  <si>
    <t>C028</t>
  </si>
  <si>
    <t>D090</t>
  </si>
  <si>
    <t xml:space="preserve">QA to sign off on Batch Sheet to make sure all measurements are correct. </t>
  </si>
  <si>
    <t>Salt, Kosher</t>
  </si>
  <si>
    <t>Chill to 70 degrees in 2 hours and to 41 degrees or lower in 4 or less hours.</t>
  </si>
  <si>
    <t>WIP</t>
  </si>
  <si>
    <t>S196</t>
  </si>
  <si>
    <t xml:space="preserve">BAG 5# - VACUUM 10X16" 3mm </t>
  </si>
  <si>
    <t>S087</t>
  </si>
  <si>
    <t>PAN HALF SIZE ALUMINUM 84OZ</t>
  </si>
  <si>
    <t>S042</t>
  </si>
  <si>
    <t>LID HALF SIZE ALUMINUM TABLE</t>
  </si>
  <si>
    <t>S055</t>
  </si>
  <si>
    <t>LABELS 4X6"</t>
  </si>
  <si>
    <t>S023</t>
  </si>
  <si>
    <t>BOX DELTA 64</t>
  </si>
  <si>
    <t>GRUYERE SANDWICH BUILD</t>
  </si>
  <si>
    <t>699 -  VA C2 UPPER ENT 4 EXPRESS - GRUYERE CHZ - CARROT SOUP</t>
  </si>
  <si>
    <t>GRUYERE GRILLED CHEESE - HALVES</t>
  </si>
  <si>
    <t>CARROT GINGER COCONUT SOUP</t>
  </si>
  <si>
    <t>F261</t>
  </si>
  <si>
    <t>BREAD CIABATA THIN DL</t>
  </si>
  <si>
    <t>GRUYERE CHEESE , SLICED</t>
  </si>
  <si>
    <t>DRUNKEN MUSTARD SPREAD</t>
  </si>
  <si>
    <t>Drunken Mustard Spread</t>
  </si>
  <si>
    <t>Cream Cheese,</t>
  </si>
  <si>
    <t>D565</t>
  </si>
  <si>
    <t>Garlic, Granulated</t>
  </si>
  <si>
    <t>D457</t>
  </si>
  <si>
    <t>Ticaloid</t>
  </si>
  <si>
    <t>D501</t>
  </si>
  <si>
    <t>Caramelized Onion Jam (Diavana)</t>
  </si>
  <si>
    <t>C418</t>
  </si>
  <si>
    <t>Drunken Mustard (Doux South)</t>
  </si>
  <si>
    <t>Make sure all ingredients are 41F before starting</t>
  </si>
  <si>
    <t>Add the Cream Cheese, Garlic, Salt to a standing mixer and paddle for 7 minutes on high.</t>
  </si>
  <si>
    <t>Add the Ticaloid, Onion Jam and Druken Mustard and paddle until well mixed making sure to scrape the sides of the bowl.</t>
  </si>
  <si>
    <t>Have R&amp;D and QA sign off on mix</t>
  </si>
  <si>
    <t>Pack out and hold at 41F.</t>
  </si>
  <si>
    <t>Drunken Mustard Assembly</t>
  </si>
  <si>
    <t>xx-xxx</t>
  </si>
  <si>
    <t>DS Standard Brine</t>
  </si>
  <si>
    <t>D285</t>
  </si>
  <si>
    <t>200G VINEGAR</t>
  </si>
  <si>
    <t>Water</t>
  </si>
  <si>
    <t>D132</t>
  </si>
  <si>
    <t>Yellow Mustard Seed</t>
  </si>
  <si>
    <t>N/A</t>
  </si>
  <si>
    <t>Brown Mustard Seed</t>
  </si>
  <si>
    <t>Salt</t>
  </si>
  <si>
    <t>D345</t>
  </si>
  <si>
    <t>Sugar</t>
  </si>
  <si>
    <t>Red Wine</t>
  </si>
  <si>
    <t>pH Target: 3.0-3.3</t>
  </si>
  <si>
    <t>**BATCH MAKES (27) 1-GAL PAILS</t>
  </si>
  <si>
    <t>Mix all ingredients in Buckets and Soak mustard overnight</t>
  </si>
  <si>
    <t xml:space="preserve"> The following morning, Mix the liquid and solid ingredients thoroughly using a sanitized paddle</t>
  </si>
  <si>
    <t xml:space="preserve">Turn on heat and cook to ≥185 F until thickened. </t>
  </si>
  <si>
    <t>Sanitize the required number of pails and lids using 50-150 PPM Peracetic acid and stage on sanitized tables</t>
  </si>
  <si>
    <t xml:space="preserve">Fill Pails one at a time to the fill line and cover but do not seal the lids. </t>
  </si>
  <si>
    <t>Once the pails have cooled sufficiently, seal the lids</t>
  </si>
  <si>
    <t>Apply the QA approved  Drunken Mustard 1 Gallon label and palletize 25 to a layer</t>
  </si>
  <si>
    <t xml:space="preserve"> Each completed pallet must have "Lot Pending pH release" sticker applied.</t>
  </si>
  <si>
    <t>QA USE ONLY - When 24hr pH testing is complete, remove "pH release pending" sticker from finished product</t>
  </si>
  <si>
    <t>Drunken Mustard Brine</t>
  </si>
  <si>
    <t xml:space="preserve">Mix all ingredients until solids are dissolved, reserve brine. </t>
  </si>
  <si>
    <t xml:space="preserve">Onion, Yellow, Julienned </t>
  </si>
  <si>
    <t>Garlic, Minced</t>
  </si>
  <si>
    <t>Carrots, 1/2" Dice</t>
  </si>
  <si>
    <t>Oil, Blended</t>
  </si>
  <si>
    <t>Spice, Curry Powder</t>
  </si>
  <si>
    <t xml:space="preserve">Water </t>
  </si>
  <si>
    <t xml:space="preserve">Ginger, Paste </t>
  </si>
  <si>
    <t xml:space="preserve">Coconut Milk, Unsweetened </t>
  </si>
  <si>
    <t xml:space="preserve">Lime, Juice </t>
  </si>
  <si>
    <t xml:space="preserve">In steam kettle, saute onions and carrrots with oil and salt until onions are translucet. </t>
  </si>
  <si>
    <t xml:space="preserve">Add garlic, ginger and curry powder and cook for another 5minutes until fragrant. </t>
  </si>
  <si>
    <t xml:space="preserve">Add water bring to a simmer. Close lid to steam kettle and cook until vegetables are very tender. </t>
  </si>
  <si>
    <t xml:space="preserve">Blend with immersion blender. </t>
  </si>
  <si>
    <t xml:space="preserve">Add coconut milk and brig back to simmer. </t>
  </si>
  <si>
    <t xml:space="preserve">Add lime juice and immersion blend again to incorporate. </t>
  </si>
  <si>
    <t xml:space="preserve">Remove from kettle and place in blast chiller. </t>
  </si>
  <si>
    <t xml:space="preserve">Label and pack into 5# bags, making sure it is kept at 41 degrees or less. </t>
  </si>
  <si>
    <t>GEN 25-215</t>
  </si>
  <si>
    <t xml:space="preserve">Coconut Carrot Ginger Soup </t>
  </si>
  <si>
    <t>GEN 25-216</t>
  </si>
  <si>
    <t>25-216</t>
  </si>
  <si>
    <t>GEN 25-218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</si>
</sst>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212121"/>
      <name val="Arial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0" fontId="5" fillId="0" borderId="4" xfId="0" applyFont="1" applyBorder="1"/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6" fillId="0" borderId="4" xfId="0" applyFont="1" applyBorder="1" applyAlignment="1">
      <alignment horizontal="center"/>
    </xf>
    <xf numFmtId="0" fontId="0" fillId="0" borderId="10" xfId="0" applyBorder="1"/>
    <xf numFmtId="0" fontId="6" fillId="0" borderId="11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9" xfId="0" applyFont="1" applyBorder="1"/>
    <xf numFmtId="0" fontId="7" fillId="0" borderId="6" xfId="0" applyFont="1" applyBorder="1"/>
    <xf numFmtId="0" fontId="8" fillId="0" borderId="4" xfId="0" applyFont="1" applyBorder="1" applyAlignment="1">
      <alignment horizontal="left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 applyProtection="1">
      <alignment horizontal="center" wrapText="1"/>
      <protection locked="0"/>
    </xf>
    <xf numFmtId="10" fontId="0" fillId="0" borderId="0" xfId="0" applyNumberFormat="1"/>
    <xf numFmtId="0" fontId="0" fillId="0" borderId="4" xfId="0" applyBorder="1" applyAlignment="1">
      <alignment horizontal="left" vertical="center" wrapText="1"/>
    </xf>
    <xf numFmtId="0" fontId="2" fillId="8" borderId="4" xfId="0" applyFont="1" applyFill="1" applyBorder="1" applyProtection="1">
      <protection locked="0"/>
    </xf>
    <xf numFmtId="0" fontId="2" fillId="7" borderId="4" xfId="0" applyFont="1" applyFill="1" applyBorder="1" applyProtection="1">
      <protection locked="0"/>
    </xf>
    <xf numFmtId="0" fontId="2" fillId="0" borderId="4" xfId="0" applyFont="1" applyBorder="1" applyProtection="1">
      <protection locked="0"/>
    </xf>
    <xf numFmtId="2" fontId="0" fillId="0" borderId="0" xfId="0" applyNumberFormat="1"/>
    <xf numFmtId="0" fontId="0" fillId="5" borderId="4" xfId="0" applyFill="1" applyBorder="1"/>
    <xf numFmtId="0" fontId="6" fillId="0" borderId="4" xfId="0" applyFont="1" applyBorder="1" applyAlignment="1">
      <alignment horizontal="center" vertical="center"/>
    </xf>
    <xf numFmtId="0" fontId="0" fillId="0" borderId="12" xfId="0" applyBorder="1" applyAlignment="1" applyProtection="1">
      <alignment horizontal="center" wrapText="1"/>
      <protection locked="0"/>
    </xf>
    <xf numFmtId="0" fontId="0" fillId="0" borderId="11" xfId="0" applyBorder="1" applyAlignment="1" applyProtection="1">
      <alignment horizontal="center" wrapText="1"/>
      <protection locked="0"/>
    </xf>
    <xf numFmtId="0" fontId="0" fillId="0" borderId="10" xfId="0" applyBorder="1" applyAlignment="1" applyProtection="1">
      <alignment horizontal="center" wrapText="1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51D8-C304-4D16-91D4-6E0DFCA9A44E}">
  <sheetPr>
    <pageSetUpPr fitToPage="1"/>
  </sheetPr>
  <dimension ref="A1:I43"/>
  <sheetViews>
    <sheetView zoomScale="85" zoomScaleNormal="85" workbookViewId="0">
      <selection activeCell="D6" sqref="D6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53</v>
      </c>
      <c r="D2" s="5" t="s">
        <v>1</v>
      </c>
      <c r="E2" s="30" t="s">
        <v>119</v>
      </c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27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28</v>
      </c>
      <c r="G6" s="39" t="s">
        <v>10</v>
      </c>
      <c r="H6" s="40"/>
      <c r="I6" s="11" t="s">
        <v>11</v>
      </c>
    </row>
    <row r="7" spans="1:9" x14ac:dyDescent="0.25">
      <c r="A7" s="1">
        <v>1</v>
      </c>
      <c r="B7" s="12" t="s">
        <v>41</v>
      </c>
      <c r="C7" s="31" t="s">
        <v>54</v>
      </c>
      <c r="D7" s="13">
        <v>10</v>
      </c>
      <c r="E7" s="13" t="s">
        <v>29</v>
      </c>
      <c r="F7" s="15">
        <f>C4*D7</f>
        <v>10</v>
      </c>
      <c r="G7" s="37"/>
      <c r="H7" s="38"/>
      <c r="I7" s="26"/>
    </row>
    <row r="8" spans="1:9" x14ac:dyDescent="0.25">
      <c r="A8" s="1">
        <v>2</v>
      </c>
      <c r="B8" s="12" t="s">
        <v>41</v>
      </c>
      <c r="C8" s="31" t="s">
        <v>55</v>
      </c>
      <c r="D8" s="2">
        <v>5</v>
      </c>
      <c r="E8" s="13" t="s">
        <v>33</v>
      </c>
      <c r="F8" s="15">
        <f>C4*D8</f>
        <v>5</v>
      </c>
      <c r="G8" s="37"/>
      <c r="H8" s="38"/>
      <c r="I8" s="16"/>
    </row>
    <row r="9" spans="1:9" x14ac:dyDescent="0.25">
      <c r="A9" s="1">
        <v>3</v>
      </c>
      <c r="B9" s="12" t="s">
        <v>41</v>
      </c>
      <c r="C9" s="31"/>
      <c r="D9" s="13"/>
      <c r="E9" s="13" t="s">
        <v>33</v>
      </c>
      <c r="F9" s="15">
        <f>C4*D9</f>
        <v>0</v>
      </c>
      <c r="G9" s="37"/>
      <c r="H9" s="38"/>
      <c r="I9" s="16"/>
    </row>
    <row r="10" spans="1:9" x14ac:dyDescent="0.25">
      <c r="A10" s="1">
        <v>4</v>
      </c>
      <c r="B10" s="12" t="s">
        <v>41</v>
      </c>
      <c r="C10" s="31"/>
      <c r="D10" s="13"/>
      <c r="E10" s="13" t="s">
        <v>33</v>
      </c>
      <c r="F10" s="15">
        <f>C4*D10</f>
        <v>0</v>
      </c>
      <c r="G10" s="37"/>
      <c r="H10" s="38"/>
      <c r="I10" s="16"/>
    </row>
    <row r="11" spans="1:9" x14ac:dyDescent="0.25">
      <c r="A11" s="1">
        <v>5</v>
      </c>
      <c r="B11" s="12"/>
      <c r="C11" s="31"/>
      <c r="D11" s="13"/>
      <c r="E11" s="13"/>
      <c r="F11" s="15">
        <f>C4*D11</f>
        <v>0</v>
      </c>
      <c r="G11" s="37"/>
      <c r="H11" s="38"/>
      <c r="I11" s="16"/>
    </row>
    <row r="12" spans="1:9" x14ac:dyDescent="0.25">
      <c r="A12" s="1">
        <v>6</v>
      </c>
      <c r="B12" s="12"/>
      <c r="C12" s="13"/>
      <c r="D12" s="13"/>
      <c r="E12" s="13" t="s">
        <v>29</v>
      </c>
      <c r="F12" s="15">
        <f>C4*D12</f>
        <v>0</v>
      </c>
      <c r="G12" s="37"/>
      <c r="H12" s="38"/>
      <c r="I12" s="16"/>
    </row>
    <row r="13" spans="1:9" x14ac:dyDescent="0.25">
      <c r="A13" s="1">
        <v>7</v>
      </c>
      <c r="B13" s="12" t="s">
        <v>42</v>
      </c>
      <c r="C13" s="13" t="s">
        <v>43</v>
      </c>
      <c r="D13" s="13">
        <v>1</v>
      </c>
      <c r="E13" s="13" t="s">
        <v>29</v>
      </c>
      <c r="F13" s="15">
        <f t="shared" ref="F13" si="0">C5*D13</f>
        <v>5</v>
      </c>
      <c r="G13" s="37"/>
      <c r="H13" s="38"/>
      <c r="I13" s="16"/>
    </row>
    <row r="14" spans="1:9" x14ac:dyDescent="0.25">
      <c r="A14" s="1">
        <v>8</v>
      </c>
      <c r="B14" s="12" t="s">
        <v>44</v>
      </c>
      <c r="C14" s="13" t="s">
        <v>45</v>
      </c>
      <c r="D14" s="13">
        <v>2</v>
      </c>
      <c r="E14" s="13" t="s">
        <v>29</v>
      </c>
      <c r="F14" s="15">
        <f>C4*D14</f>
        <v>2</v>
      </c>
      <c r="G14" s="37"/>
      <c r="H14" s="38"/>
      <c r="I14" s="16"/>
    </row>
    <row r="15" spans="1:9" x14ac:dyDescent="0.25">
      <c r="A15" s="1">
        <v>9</v>
      </c>
      <c r="B15" s="12" t="s">
        <v>46</v>
      </c>
      <c r="C15" s="13" t="s">
        <v>47</v>
      </c>
      <c r="D15" s="13">
        <v>2</v>
      </c>
      <c r="E15" s="13" t="s">
        <v>29</v>
      </c>
      <c r="F15" s="15">
        <f>C4*D15</f>
        <v>2</v>
      </c>
      <c r="G15" s="37"/>
      <c r="H15" s="38"/>
      <c r="I15" s="16"/>
    </row>
    <row r="16" spans="1:9" x14ac:dyDescent="0.25">
      <c r="A16" s="1">
        <v>10</v>
      </c>
      <c r="B16" s="12" t="s">
        <v>48</v>
      </c>
      <c r="C16" s="13" t="s">
        <v>49</v>
      </c>
      <c r="D16" s="13">
        <v>4</v>
      </c>
      <c r="E16" s="13" t="s">
        <v>29</v>
      </c>
      <c r="F16" s="15">
        <f>C4*D16</f>
        <v>4</v>
      </c>
      <c r="G16" s="37"/>
      <c r="H16" s="38"/>
      <c r="I16" s="16"/>
    </row>
    <row r="17" spans="1:9" x14ac:dyDescent="0.25">
      <c r="A17" s="1">
        <v>11</v>
      </c>
      <c r="B17" s="12" t="s">
        <v>50</v>
      </c>
      <c r="C17" s="13" t="s">
        <v>51</v>
      </c>
      <c r="D17" s="13">
        <v>1</v>
      </c>
      <c r="E17" s="13" t="s">
        <v>29</v>
      </c>
      <c r="F17" s="15">
        <f>C4*D17</f>
        <v>1</v>
      </c>
      <c r="G17" s="37"/>
      <c r="H17" s="38"/>
      <c r="I17" s="16"/>
    </row>
    <row r="18" spans="1:9" x14ac:dyDescent="0.25">
      <c r="A18" s="1">
        <v>12</v>
      </c>
      <c r="B18" s="12"/>
      <c r="C18" s="12"/>
      <c r="D18" s="13"/>
      <c r="E18" s="13"/>
      <c r="F18" s="15">
        <f>C4*D18</f>
        <v>0</v>
      </c>
      <c r="G18" s="37"/>
      <c r="H18" s="38"/>
      <c r="I18" s="16"/>
    </row>
    <row r="19" spans="1:9" x14ac:dyDescent="0.25">
      <c r="A19" s="1">
        <v>13</v>
      </c>
      <c r="B19" s="12"/>
      <c r="C19" s="12"/>
      <c r="D19" s="13"/>
      <c r="E19" s="13"/>
      <c r="F19" s="15">
        <f>C4*D19</f>
        <v>0</v>
      </c>
      <c r="G19" s="37"/>
      <c r="H19" s="38"/>
      <c r="I19" s="16"/>
    </row>
    <row r="20" spans="1:9" x14ac:dyDescent="0.25">
      <c r="A20" s="1">
        <v>14</v>
      </c>
      <c r="B20" s="12"/>
      <c r="C20" s="12"/>
      <c r="D20" s="13"/>
      <c r="E20" s="13"/>
      <c r="F20" s="15">
        <f>C4*D20</f>
        <v>0</v>
      </c>
      <c r="G20" s="37"/>
      <c r="H20" s="38"/>
      <c r="I20" s="16"/>
    </row>
    <row r="21" spans="1:9" x14ac:dyDescent="0.25">
      <c r="A21" s="1">
        <v>15</v>
      </c>
      <c r="B21" s="12"/>
      <c r="C21" s="12"/>
      <c r="D21" s="13"/>
      <c r="E21" s="13"/>
      <c r="F21" s="15">
        <f>C4*D21</f>
        <v>0</v>
      </c>
      <c r="G21" s="37"/>
      <c r="H21" s="38"/>
      <c r="I21" s="16"/>
    </row>
    <row r="22" spans="1:9" x14ac:dyDescent="0.25">
      <c r="A22" s="1">
        <v>16</v>
      </c>
      <c r="B22" s="12"/>
      <c r="C22" s="12"/>
      <c r="D22" s="13"/>
      <c r="E22" s="13"/>
      <c r="F22" s="15">
        <f>C4*D22</f>
        <v>0</v>
      </c>
      <c r="G22" s="37"/>
      <c r="H22" s="38"/>
      <c r="I22" s="16"/>
    </row>
    <row r="23" spans="1:9" x14ac:dyDescent="0.25">
      <c r="A23" s="1">
        <v>17</v>
      </c>
      <c r="B23" s="12"/>
      <c r="C23" s="12"/>
      <c r="D23" s="13"/>
      <c r="E23" s="13"/>
      <c r="F23" s="15">
        <f>C4*D23</f>
        <v>0</v>
      </c>
      <c r="G23" s="37"/>
      <c r="H23" s="38"/>
      <c r="I23" s="16"/>
    </row>
    <row r="24" spans="1:9" x14ac:dyDescent="0.25">
      <c r="C24" s="17"/>
      <c r="D24" s="1"/>
      <c r="F24" s="32"/>
      <c r="G24" s="33"/>
    </row>
    <row r="25" spans="1:9" x14ac:dyDescent="0.25">
      <c r="F25" s="20"/>
    </row>
    <row r="26" spans="1:9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41" t="s">
        <v>30</v>
      </c>
      <c r="C28" s="41"/>
      <c r="D28" s="41"/>
      <c r="E28" s="41"/>
      <c r="F28" s="41"/>
      <c r="G28" s="41"/>
      <c r="H28" s="41"/>
      <c r="I28" s="41"/>
    </row>
    <row r="29" spans="1:9" x14ac:dyDescent="0.25">
      <c r="A29" s="1">
        <v>2</v>
      </c>
      <c r="B29" s="41" t="s">
        <v>31</v>
      </c>
      <c r="C29" s="41"/>
      <c r="D29" s="41"/>
      <c r="E29" s="41"/>
      <c r="F29" s="41"/>
      <c r="G29" s="41"/>
      <c r="H29" s="41"/>
      <c r="I29" s="41"/>
    </row>
    <row r="30" spans="1:9" x14ac:dyDescent="0.25">
      <c r="A30" s="1">
        <v>3</v>
      </c>
      <c r="B30" s="41" t="s">
        <v>32</v>
      </c>
      <c r="C30" s="41"/>
      <c r="D30" s="41"/>
      <c r="E30" s="41"/>
      <c r="F30" s="41"/>
      <c r="G30" s="41"/>
      <c r="H30" s="41"/>
      <c r="I30" s="41"/>
    </row>
    <row r="31" spans="1:9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</row>
    <row r="32" spans="1:9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</row>
    <row r="33" spans="1:9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</row>
    <row r="34" spans="1:9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</row>
    <row r="35" spans="1:9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</row>
    <row r="36" spans="1:9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</row>
    <row r="37" spans="1:9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</row>
    <row r="38" spans="1:9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43" t="s">
        <v>17</v>
      </c>
      <c r="C43" s="43"/>
      <c r="E43" s="2" t="s">
        <v>18</v>
      </c>
      <c r="G43" s="44" t="s">
        <v>19</v>
      </c>
      <c r="H43" s="44"/>
      <c r="I43" s="2" t="s">
        <v>20</v>
      </c>
    </row>
  </sheetData>
  <mergeCells count="32">
    <mergeCell ref="B43:C43"/>
    <mergeCell ref="G43:H43"/>
    <mergeCell ref="B33:I33"/>
    <mergeCell ref="B34:I34"/>
    <mergeCell ref="B35:I35"/>
    <mergeCell ref="B36:I36"/>
    <mergeCell ref="B37:I37"/>
    <mergeCell ref="B38:I38"/>
    <mergeCell ref="B32:I32"/>
    <mergeCell ref="G18:H18"/>
    <mergeCell ref="G19:H19"/>
    <mergeCell ref="G20:H20"/>
    <mergeCell ref="G21:H21"/>
    <mergeCell ref="G22:H22"/>
    <mergeCell ref="G23:H23"/>
    <mergeCell ref="B26:I26"/>
    <mergeCell ref="B28:I28"/>
    <mergeCell ref="B29:I29"/>
    <mergeCell ref="B30:I30"/>
    <mergeCell ref="B31:I31"/>
    <mergeCell ref="G17:H17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74C-121C-4532-9A11-49822329687F}">
  <sheetPr>
    <pageSetUpPr fitToPage="1"/>
  </sheetPr>
  <dimension ref="A1:J43"/>
  <sheetViews>
    <sheetView zoomScale="70" zoomScaleNormal="70" workbookViewId="0">
      <selection activeCell="B37" sqref="B37:J37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53</v>
      </c>
      <c r="D2" s="5" t="s">
        <v>1</v>
      </c>
      <c r="E2" s="45" t="s">
        <v>119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10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12"/>
      <c r="C7" s="12" t="s">
        <v>54</v>
      </c>
      <c r="D7" s="13">
        <v>112</v>
      </c>
      <c r="E7" s="13" t="s">
        <v>26</v>
      </c>
      <c r="F7" s="14">
        <f>D7/D$24</f>
        <v>0.33333333333333331</v>
      </c>
      <c r="G7" s="15">
        <f>F7*D24*C4/453.592</f>
        <v>2.469179350605831</v>
      </c>
      <c r="H7" s="37"/>
      <c r="I7" s="38"/>
      <c r="J7" s="26"/>
    </row>
    <row r="8" spans="1:10" x14ac:dyDescent="0.25">
      <c r="A8" s="1">
        <v>2</v>
      </c>
      <c r="B8" s="12" t="s">
        <v>122</v>
      </c>
      <c r="C8" s="12" t="s">
        <v>55</v>
      </c>
      <c r="D8" s="2">
        <v>224</v>
      </c>
      <c r="E8" s="13" t="s">
        <v>26</v>
      </c>
      <c r="F8" s="14">
        <f>D8/D$24</f>
        <v>0.66666666666666663</v>
      </c>
      <c r="G8" s="15">
        <f>F8*D24*C4/453.592</f>
        <v>4.9383587012116621</v>
      </c>
      <c r="H8" s="37"/>
      <c r="I8" s="38"/>
      <c r="J8" s="16"/>
    </row>
    <row r="9" spans="1:10" x14ac:dyDescent="0.25">
      <c r="A9" s="1">
        <v>3</v>
      </c>
      <c r="B9" s="12"/>
      <c r="C9" s="12"/>
      <c r="D9" s="13"/>
      <c r="E9" s="13" t="s">
        <v>26</v>
      </c>
      <c r="F9" s="14">
        <f t="shared" ref="F9:F23" si="0">D9/D$24</f>
        <v>0</v>
      </c>
      <c r="G9" s="15">
        <f>F9*D24*C4/453.592</f>
        <v>0</v>
      </c>
      <c r="H9" s="37"/>
      <c r="I9" s="38"/>
      <c r="J9" s="16"/>
    </row>
    <row r="10" spans="1:10" x14ac:dyDescent="0.25">
      <c r="A10" s="1">
        <v>4</v>
      </c>
      <c r="B10" s="12"/>
      <c r="C10" s="12"/>
      <c r="D10" s="13"/>
      <c r="E10" s="13" t="s">
        <v>26</v>
      </c>
      <c r="F10" s="14">
        <f t="shared" si="0"/>
        <v>0</v>
      </c>
      <c r="G10" s="15">
        <f>C4*D24*F10/453.592</f>
        <v>0</v>
      </c>
      <c r="H10" s="37"/>
      <c r="I10" s="38"/>
      <c r="J10" s="16"/>
    </row>
    <row r="11" spans="1:10" x14ac:dyDescent="0.25">
      <c r="A11" s="1">
        <v>5</v>
      </c>
      <c r="B11" s="12"/>
      <c r="C11" s="12"/>
      <c r="D11" s="13"/>
      <c r="E11" s="13" t="s">
        <v>26</v>
      </c>
      <c r="F11" s="14">
        <f t="shared" si="0"/>
        <v>0</v>
      </c>
      <c r="G11" s="15">
        <f>C4*F11*D24/453.592</f>
        <v>0</v>
      </c>
      <c r="H11" s="37"/>
      <c r="I11" s="38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7"/>
      <c r="I12" s="38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7"/>
      <c r="I13" s="38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7"/>
      <c r="I14" s="38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7"/>
      <c r="I15" s="38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7"/>
      <c r="I17" s="38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7"/>
      <c r="I18" s="38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7"/>
      <c r="I19" s="38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7"/>
      <c r="I20" s="38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7"/>
      <c r="I21" s="38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7"/>
      <c r="I22" s="38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336</v>
      </c>
      <c r="E24" s="13" t="s">
        <v>26</v>
      </c>
      <c r="F24" s="18">
        <f>SUM(F7:F23)</f>
        <v>1</v>
      </c>
      <c r="G24" s="27">
        <f>SUM(G7:G23)</f>
        <v>7.4075380518174931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1"/>
      <c r="C28" s="41"/>
      <c r="D28" s="41"/>
      <c r="E28" s="41"/>
      <c r="F28" s="41"/>
      <c r="G28" s="41"/>
      <c r="H28" s="41"/>
      <c r="I28" s="41"/>
      <c r="J28" s="41"/>
    </row>
    <row r="29" spans="1:10" x14ac:dyDescent="0.25">
      <c r="A29" s="1">
        <v>2</v>
      </c>
      <c r="B29" s="41"/>
      <c r="C29" s="41"/>
      <c r="D29" s="41"/>
      <c r="E29" s="41"/>
      <c r="F29" s="41"/>
      <c r="G29" s="41"/>
      <c r="H29" s="41"/>
      <c r="I29" s="41"/>
      <c r="J29" s="41"/>
    </row>
    <row r="30" spans="1:10" x14ac:dyDescent="0.25">
      <c r="A30" s="1">
        <v>3</v>
      </c>
      <c r="B30" s="41"/>
      <c r="C30" s="41"/>
      <c r="D30" s="41"/>
      <c r="E30" s="41"/>
      <c r="F30" s="41"/>
      <c r="G30" s="41"/>
      <c r="H30" s="41"/>
      <c r="I30" s="41"/>
      <c r="J30" s="41"/>
    </row>
    <row r="31" spans="1:10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F702-2769-4DF7-AF9C-4771DD4690AB}">
  <sheetPr>
    <pageSetUpPr fitToPage="1"/>
  </sheetPr>
  <dimension ref="A1:J43"/>
  <sheetViews>
    <sheetView zoomScaleNormal="100" workbookViewId="0">
      <selection activeCell="D7" sqref="D7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120</v>
      </c>
      <c r="D2" s="5" t="s">
        <v>1</v>
      </c>
      <c r="E2" s="45" t="s">
        <v>121</v>
      </c>
      <c r="F2" s="45"/>
      <c r="G2" s="4"/>
      <c r="H2" s="6" t="s">
        <v>2</v>
      </c>
      <c r="I2" s="7">
        <v>1</v>
      </c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300</v>
      </c>
      <c r="D4" s="9"/>
      <c r="F4" s="2" t="s">
        <v>23</v>
      </c>
      <c r="G4" s="28">
        <v>0.20499999999999999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12"/>
      <c r="C7" s="12" t="s">
        <v>102</v>
      </c>
      <c r="D7" s="13">
        <v>2.1759599999999999</v>
      </c>
      <c r="E7" s="13" t="s">
        <v>24</v>
      </c>
      <c r="F7" s="14">
        <f t="shared" ref="F7:F23" si="0">D7/D$24</f>
        <v>0.19673094852850934</v>
      </c>
      <c r="G7" s="15">
        <f>C4*F7</f>
        <v>59.019284558552798</v>
      </c>
      <c r="H7" s="37"/>
      <c r="I7" s="38"/>
      <c r="J7" s="16"/>
    </row>
    <row r="8" spans="1:10" x14ac:dyDescent="0.25">
      <c r="A8" s="1">
        <v>2</v>
      </c>
      <c r="B8" s="12"/>
      <c r="C8" s="12" t="s">
        <v>103</v>
      </c>
      <c r="D8" s="13">
        <v>9.3696459999999995E-2</v>
      </c>
      <c r="E8" s="13" t="s">
        <v>24</v>
      </c>
      <c r="F8" s="14">
        <f t="shared" si="0"/>
        <v>8.4712005044042787E-3</v>
      </c>
      <c r="G8" s="15">
        <f>C4*F8</f>
        <v>2.5413601513212836</v>
      </c>
      <c r="H8" s="37"/>
      <c r="I8" s="38"/>
      <c r="J8" s="16"/>
    </row>
    <row r="9" spans="1:10" x14ac:dyDescent="0.25">
      <c r="A9" s="1">
        <v>3</v>
      </c>
      <c r="B9" s="12"/>
      <c r="C9" s="12" t="s">
        <v>104</v>
      </c>
      <c r="D9" s="13">
        <v>2.7381410000000002</v>
      </c>
      <c r="E9" s="13" t="s">
        <v>24</v>
      </c>
      <c r="F9" s="14">
        <f t="shared" si="0"/>
        <v>0.24755835407581075</v>
      </c>
      <c r="G9" s="15">
        <f>C4*F9</f>
        <v>74.267506222743222</v>
      </c>
      <c r="H9" s="37"/>
      <c r="I9" s="38"/>
      <c r="J9" s="16"/>
    </row>
    <row r="10" spans="1:10" x14ac:dyDescent="0.25">
      <c r="A10" s="1">
        <v>4</v>
      </c>
      <c r="B10" s="12"/>
      <c r="C10" s="12" t="s">
        <v>105</v>
      </c>
      <c r="D10" s="13">
        <v>0.25794099999999998</v>
      </c>
      <c r="E10" s="13" t="s">
        <v>24</v>
      </c>
      <c r="F10" s="14">
        <f t="shared" si="0"/>
        <v>2.3320730893211378E-2</v>
      </c>
      <c r="G10" s="15">
        <f>C4*F10</f>
        <v>6.9962192679634132</v>
      </c>
      <c r="H10" s="37"/>
      <c r="I10" s="38"/>
      <c r="J10" s="16"/>
    </row>
    <row r="11" spans="1:10" x14ac:dyDescent="0.25">
      <c r="A11" s="1">
        <v>5</v>
      </c>
      <c r="B11" s="12"/>
      <c r="C11" s="12" t="s">
        <v>106</v>
      </c>
      <c r="D11" s="13">
        <v>1.21254E-2</v>
      </c>
      <c r="E11" s="13" t="s">
        <v>24</v>
      </c>
      <c r="F11" s="14">
        <f t="shared" si="0"/>
        <v>1.0962708153125918E-3</v>
      </c>
      <c r="G11" s="15">
        <f>C4*F11</f>
        <v>0.32888124459377754</v>
      </c>
      <c r="H11" s="37"/>
      <c r="I11" s="38"/>
      <c r="J11" s="16"/>
    </row>
    <row r="12" spans="1:10" x14ac:dyDescent="0.25">
      <c r="A12" s="1">
        <v>6</v>
      </c>
      <c r="B12" s="12"/>
      <c r="C12" s="12" t="s">
        <v>39</v>
      </c>
      <c r="D12" s="13">
        <v>7.0547899999999997E-2</v>
      </c>
      <c r="E12" s="13" t="s">
        <v>24</v>
      </c>
      <c r="F12" s="14">
        <f t="shared" si="0"/>
        <v>6.3783136104038794E-3</v>
      </c>
      <c r="G12" s="15">
        <f>C4*F12</f>
        <v>1.9134940831211638</v>
      </c>
      <c r="H12" s="37"/>
      <c r="I12" s="38"/>
      <c r="J12" s="16"/>
    </row>
    <row r="13" spans="1:10" x14ac:dyDescent="0.25">
      <c r="A13" s="1">
        <v>7</v>
      </c>
      <c r="B13" s="12"/>
      <c r="C13" s="12" t="s">
        <v>107</v>
      </c>
      <c r="D13" s="13">
        <v>1.9841599999999999</v>
      </c>
      <c r="E13" s="13" t="s">
        <v>24</v>
      </c>
      <c r="F13" s="14">
        <f t="shared" si="0"/>
        <v>0.17939009854607949</v>
      </c>
      <c r="G13" s="15">
        <f>C4*F13</f>
        <v>53.817029563823844</v>
      </c>
      <c r="H13" s="37"/>
      <c r="I13" s="38"/>
      <c r="J13" s="16"/>
    </row>
    <row r="14" spans="1:10" x14ac:dyDescent="0.25">
      <c r="A14" s="1">
        <v>8</v>
      </c>
      <c r="B14" s="12"/>
      <c r="C14" s="12" t="s">
        <v>108</v>
      </c>
      <c r="D14" s="13">
        <v>6.1729399999999997E-2</v>
      </c>
      <c r="E14" s="13" t="s">
        <v>24</v>
      </c>
      <c r="F14" s="14">
        <f t="shared" si="0"/>
        <v>5.5810232789645789E-3</v>
      </c>
      <c r="G14" s="15">
        <f>C4*F14</f>
        <v>1.6743069836893736</v>
      </c>
      <c r="H14" s="37"/>
      <c r="I14" s="38"/>
      <c r="J14" s="16"/>
    </row>
    <row r="15" spans="1:10" x14ac:dyDescent="0.25">
      <c r="A15" s="1">
        <v>9</v>
      </c>
      <c r="B15" s="12"/>
      <c r="C15" s="12" t="s">
        <v>109</v>
      </c>
      <c r="D15" s="13">
        <v>3.4458250000000001</v>
      </c>
      <c r="E15" s="13" t="s">
        <v>24</v>
      </c>
      <c r="F15" s="14">
        <f t="shared" si="0"/>
        <v>0.31154084666687382</v>
      </c>
      <c r="G15" s="15">
        <f>C4*F15</f>
        <v>93.462254000062146</v>
      </c>
      <c r="H15" s="37"/>
      <c r="I15" s="38"/>
      <c r="J15" s="16"/>
    </row>
    <row r="16" spans="1:10" x14ac:dyDescent="0.25">
      <c r="A16" s="1">
        <v>10</v>
      </c>
      <c r="B16" s="12"/>
      <c r="C16" s="12" t="s">
        <v>110</v>
      </c>
      <c r="D16" s="13">
        <v>0.22046199999999999</v>
      </c>
      <c r="E16" s="13" t="s">
        <v>24</v>
      </c>
      <c r="F16" s="14">
        <f t="shared" si="0"/>
        <v>1.9932213080429893E-2</v>
      </c>
      <c r="G16" s="15">
        <f>C4*F16</f>
        <v>5.9796639241289675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/>
      <c r="F17" s="14"/>
      <c r="G17" s="15"/>
      <c r="H17" s="35"/>
      <c r="I17" s="36"/>
      <c r="J17" s="16"/>
    </row>
    <row r="18" spans="1:10" x14ac:dyDescent="0.25">
      <c r="A18" s="1">
        <v>12</v>
      </c>
      <c r="B18" s="12"/>
      <c r="C18" s="12"/>
      <c r="D18" s="13"/>
      <c r="E18" s="13"/>
      <c r="F18" s="14"/>
      <c r="G18" s="15"/>
      <c r="H18" s="35"/>
      <c r="I18" s="36"/>
      <c r="J18" s="16"/>
    </row>
    <row r="19" spans="1:10" x14ac:dyDescent="0.25">
      <c r="A19" s="1">
        <v>13</v>
      </c>
      <c r="B19" s="12"/>
      <c r="C19" s="12"/>
      <c r="D19" s="13"/>
      <c r="E19" s="13"/>
      <c r="F19" s="14"/>
      <c r="G19" s="15"/>
      <c r="H19" s="35"/>
      <c r="I19" s="36"/>
      <c r="J19" s="16"/>
    </row>
    <row r="20" spans="1:10" x14ac:dyDescent="0.25">
      <c r="A20" s="1">
        <v>14</v>
      </c>
      <c r="B20" s="12"/>
      <c r="C20" s="12"/>
      <c r="D20" s="13"/>
      <c r="E20" s="13"/>
      <c r="F20" s="14"/>
      <c r="G20" s="15"/>
      <c r="H20" s="35"/>
      <c r="I20" s="36"/>
      <c r="J20" s="16"/>
    </row>
    <row r="21" spans="1:10" x14ac:dyDescent="0.25">
      <c r="A21" s="1">
        <v>15</v>
      </c>
      <c r="B21" s="12"/>
      <c r="C21" s="12"/>
      <c r="D21" s="13"/>
      <c r="E21" s="13"/>
      <c r="F21" s="14"/>
      <c r="G21" s="15"/>
      <c r="H21" s="35"/>
      <c r="I21" s="36"/>
      <c r="J21" s="16"/>
    </row>
    <row r="22" spans="1:10" x14ac:dyDescent="0.25">
      <c r="A22" s="1">
        <v>16</v>
      </c>
      <c r="B22" s="12"/>
      <c r="C22" s="12"/>
      <c r="D22" s="13"/>
      <c r="E22" s="13"/>
      <c r="F22" s="14"/>
      <c r="G22" s="15"/>
      <c r="H22" s="35"/>
      <c r="I22" s="36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11.06058816</v>
      </c>
      <c r="E24" s="1" t="s">
        <v>24</v>
      </c>
      <c r="F24" s="18">
        <f>SUM(F7:F23)</f>
        <v>1</v>
      </c>
      <c r="G24" s="29">
        <f>SUM(G7:G23)</f>
        <v>299.99999999999994</v>
      </c>
      <c r="H24" s="19" t="s">
        <v>13</v>
      </c>
    </row>
    <row r="25" spans="1:10" x14ac:dyDescent="0.25">
      <c r="F25" s="28" t="s">
        <v>25</v>
      </c>
      <c r="G25" s="20">
        <f>-G24*G4+C4</f>
        <v>238.5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ht="18.75" x14ac:dyDescent="0.3">
      <c r="A28" s="1">
        <v>1</v>
      </c>
      <c r="B28" s="53" t="s">
        <v>38</v>
      </c>
      <c r="C28" s="54"/>
      <c r="D28" s="54"/>
      <c r="E28" s="54"/>
      <c r="F28" s="54"/>
      <c r="G28" s="54"/>
      <c r="H28" s="54"/>
      <c r="I28" s="54"/>
      <c r="J28" s="55"/>
    </row>
    <row r="29" spans="1:10" ht="18.75" x14ac:dyDescent="0.3">
      <c r="A29" s="1">
        <v>2</v>
      </c>
      <c r="B29" s="53" t="s">
        <v>111</v>
      </c>
      <c r="C29" s="54"/>
      <c r="D29" s="54"/>
      <c r="E29" s="54"/>
      <c r="F29" s="54"/>
      <c r="G29" s="54"/>
      <c r="H29" s="54"/>
      <c r="I29" s="54"/>
      <c r="J29" s="55"/>
    </row>
    <row r="30" spans="1:10" ht="18.75" x14ac:dyDescent="0.3">
      <c r="A30" s="1">
        <v>3</v>
      </c>
      <c r="B30" s="53" t="s">
        <v>112</v>
      </c>
      <c r="C30" s="54"/>
      <c r="D30" s="54"/>
      <c r="E30" s="54"/>
      <c r="F30" s="54"/>
      <c r="G30" s="54"/>
      <c r="H30" s="54"/>
      <c r="I30" s="54"/>
      <c r="J30" s="55"/>
    </row>
    <row r="31" spans="1:10" ht="18.75" x14ac:dyDescent="0.3">
      <c r="A31" s="1">
        <v>4</v>
      </c>
      <c r="B31" s="53" t="s">
        <v>113</v>
      </c>
      <c r="C31" s="54"/>
      <c r="D31" s="54"/>
      <c r="E31" s="54"/>
      <c r="F31" s="54"/>
      <c r="G31" s="54"/>
      <c r="H31" s="54"/>
      <c r="I31" s="54"/>
      <c r="J31" s="55"/>
    </row>
    <row r="32" spans="1:10" ht="18.75" x14ac:dyDescent="0.3">
      <c r="A32" s="1">
        <v>5</v>
      </c>
      <c r="B32" s="53" t="s">
        <v>114</v>
      </c>
      <c r="C32" s="54"/>
      <c r="D32" s="54"/>
      <c r="E32" s="54"/>
      <c r="F32" s="54"/>
      <c r="G32" s="54"/>
      <c r="H32" s="54"/>
      <c r="I32" s="54"/>
      <c r="J32" s="55"/>
    </row>
    <row r="33" spans="1:10" ht="18.75" x14ac:dyDescent="0.3">
      <c r="A33" s="1">
        <v>6</v>
      </c>
      <c r="B33" s="53" t="s">
        <v>115</v>
      </c>
      <c r="C33" s="54"/>
      <c r="D33" s="54"/>
      <c r="E33" s="54"/>
      <c r="F33" s="54"/>
      <c r="G33" s="54"/>
      <c r="H33" s="54"/>
      <c r="I33" s="54"/>
      <c r="J33" s="55"/>
    </row>
    <row r="34" spans="1:10" ht="18.75" x14ac:dyDescent="0.3">
      <c r="A34" s="1">
        <v>7</v>
      </c>
      <c r="B34" s="53" t="s">
        <v>116</v>
      </c>
      <c r="C34" s="54"/>
      <c r="D34" s="54"/>
      <c r="E34" s="54"/>
      <c r="F34" s="54"/>
      <c r="G34" s="54"/>
      <c r="H34" s="54"/>
      <c r="I34" s="54"/>
      <c r="J34" s="55"/>
    </row>
    <row r="35" spans="1:10" ht="18.75" x14ac:dyDescent="0.3">
      <c r="A35" s="1">
        <v>8</v>
      </c>
      <c r="B35" s="53" t="s">
        <v>117</v>
      </c>
      <c r="C35" s="54"/>
      <c r="D35" s="54"/>
      <c r="E35" s="54"/>
      <c r="F35" s="54"/>
      <c r="G35" s="54"/>
      <c r="H35" s="54"/>
      <c r="I35" s="54"/>
      <c r="J35" s="55"/>
    </row>
    <row r="36" spans="1:10" ht="18.75" customHeight="1" x14ac:dyDescent="0.3">
      <c r="A36" s="1">
        <v>9</v>
      </c>
      <c r="B36" s="53" t="s">
        <v>40</v>
      </c>
      <c r="C36" s="54"/>
      <c r="D36" s="54"/>
      <c r="E36" s="54"/>
      <c r="F36" s="54"/>
      <c r="G36" s="54"/>
      <c r="H36" s="54"/>
      <c r="I36" s="54"/>
      <c r="J36" s="55"/>
    </row>
    <row r="37" spans="1:10" ht="18.75" x14ac:dyDescent="0.3">
      <c r="A37" s="1">
        <v>10</v>
      </c>
      <c r="B37" s="53" t="s">
        <v>118</v>
      </c>
      <c r="C37" s="54"/>
      <c r="D37" s="54"/>
      <c r="E37" s="54"/>
      <c r="F37" s="54"/>
      <c r="G37" s="54"/>
      <c r="H37" s="54"/>
      <c r="I37" s="54"/>
      <c r="J37" s="55"/>
    </row>
    <row r="38" spans="1:10" ht="18.75" x14ac:dyDescent="0.3">
      <c r="A38" s="1">
        <v>11</v>
      </c>
      <c r="B38" s="53"/>
      <c r="C38" s="54"/>
      <c r="D38" s="54"/>
      <c r="E38" s="54"/>
      <c r="F38" s="54"/>
      <c r="G38" s="54"/>
      <c r="H38" s="54"/>
      <c r="I38" s="54"/>
      <c r="J38" s="55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28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4C32-FFF6-4834-9088-F1069E1EEFAF}">
  <sheetPr>
    <pageSetUpPr fitToPage="1"/>
  </sheetPr>
  <dimension ref="A1:J43"/>
  <sheetViews>
    <sheetView zoomScale="70" zoomScaleNormal="70" workbookViewId="0">
      <selection activeCell="C15" sqref="C15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52</v>
      </c>
      <c r="D2" s="5" t="s">
        <v>1</v>
      </c>
      <c r="E2" s="45" t="s">
        <v>123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12" t="s">
        <v>56</v>
      </c>
      <c r="C7" s="12" t="s">
        <v>57</v>
      </c>
      <c r="D7" s="13">
        <v>1</v>
      </c>
      <c r="E7" s="13" t="s">
        <v>26</v>
      </c>
      <c r="F7" s="14">
        <f>D7/D$24</f>
        <v>1.7543859649122806E-2</v>
      </c>
      <c r="G7" s="15">
        <f>F7*D24*C4/453.592</f>
        <v>2.2046244201837776E-3</v>
      </c>
      <c r="H7" s="37"/>
      <c r="I7" s="38"/>
      <c r="J7" s="26"/>
    </row>
    <row r="8" spans="1:10" x14ac:dyDescent="0.25">
      <c r="A8" s="1">
        <v>2</v>
      </c>
      <c r="B8" s="12" t="s">
        <v>35</v>
      </c>
      <c r="C8" s="12" t="s">
        <v>58</v>
      </c>
      <c r="D8" s="2">
        <v>28</v>
      </c>
      <c r="E8" s="13" t="s">
        <v>26</v>
      </c>
      <c r="F8" s="14">
        <f>D8/D$24</f>
        <v>0.49122807017543857</v>
      </c>
      <c r="G8" s="15">
        <f>F8*D24*C4/453.592</f>
        <v>6.1729483765145775E-2</v>
      </c>
      <c r="H8" s="37"/>
      <c r="I8" s="38"/>
      <c r="J8" s="16"/>
    </row>
    <row r="9" spans="1:10" x14ac:dyDescent="0.25">
      <c r="A9" s="1">
        <v>3</v>
      </c>
      <c r="B9" s="12" t="s">
        <v>41</v>
      </c>
      <c r="C9" s="12" t="s">
        <v>59</v>
      </c>
      <c r="D9" s="13">
        <v>28</v>
      </c>
      <c r="E9" s="13" t="s">
        <v>26</v>
      </c>
      <c r="F9" s="14">
        <f t="shared" ref="F9:F23" si="0">D9/D$24</f>
        <v>0.49122807017543857</v>
      </c>
      <c r="G9" s="15">
        <f>F9*D24*C4/453.592</f>
        <v>6.1729483765145775E-2</v>
      </c>
      <c r="H9" s="37"/>
      <c r="I9" s="38"/>
      <c r="J9" s="16"/>
    </row>
    <row r="10" spans="1:10" x14ac:dyDescent="0.25">
      <c r="A10" s="1">
        <v>4</v>
      </c>
      <c r="B10" s="12"/>
      <c r="C10" s="12"/>
      <c r="D10" s="13"/>
      <c r="E10" s="13" t="s">
        <v>26</v>
      </c>
      <c r="F10" s="14">
        <f t="shared" si="0"/>
        <v>0</v>
      </c>
      <c r="G10" s="15">
        <f>C4*D24*F10/453.592</f>
        <v>0</v>
      </c>
      <c r="H10" s="37"/>
      <c r="I10" s="38"/>
      <c r="J10" s="16"/>
    </row>
    <row r="11" spans="1:10" x14ac:dyDescent="0.25">
      <c r="A11" s="1">
        <v>5</v>
      </c>
      <c r="B11" s="12"/>
      <c r="C11" s="12"/>
      <c r="D11" s="13"/>
      <c r="E11" s="13" t="s">
        <v>26</v>
      </c>
      <c r="F11" s="14">
        <f t="shared" si="0"/>
        <v>0</v>
      </c>
      <c r="G11" s="15">
        <f>C4*F11*D24/453.592</f>
        <v>0</v>
      </c>
      <c r="H11" s="37"/>
      <c r="I11" s="38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7"/>
      <c r="I12" s="38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7"/>
      <c r="I13" s="38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7"/>
      <c r="I14" s="38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7"/>
      <c r="I15" s="38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7"/>
      <c r="I17" s="38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7"/>
      <c r="I18" s="38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7"/>
      <c r="I19" s="38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7"/>
      <c r="I20" s="38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7"/>
      <c r="I21" s="38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7"/>
      <c r="I22" s="38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57</v>
      </c>
      <c r="E24" s="13" t="s">
        <v>26</v>
      </c>
      <c r="F24" s="18">
        <f>SUM(F7:F23)</f>
        <v>1</v>
      </c>
      <c r="G24" s="27">
        <f>SUM(G7:G23)</f>
        <v>0.12566359195047533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1"/>
      <c r="C28" s="41"/>
      <c r="D28" s="41"/>
      <c r="E28" s="41"/>
      <c r="F28" s="41"/>
      <c r="G28" s="41"/>
      <c r="H28" s="41"/>
      <c r="I28" s="41"/>
      <c r="J28" s="41"/>
    </row>
    <row r="29" spans="1:10" x14ac:dyDescent="0.25">
      <c r="A29" s="1">
        <v>2</v>
      </c>
      <c r="B29" s="41"/>
      <c r="C29" s="41"/>
      <c r="D29" s="41"/>
      <c r="E29" s="41"/>
      <c r="F29" s="41"/>
      <c r="G29" s="41"/>
      <c r="H29" s="41"/>
      <c r="I29" s="41"/>
      <c r="J29" s="41"/>
    </row>
    <row r="30" spans="1:10" x14ac:dyDescent="0.25">
      <c r="A30" s="1">
        <v>3</v>
      </c>
      <c r="B30" s="41"/>
      <c r="C30" s="41"/>
      <c r="D30" s="41"/>
      <c r="E30" s="41"/>
      <c r="F30" s="41"/>
      <c r="G30" s="41"/>
      <c r="H30" s="41"/>
      <c r="I30" s="41"/>
      <c r="J30" s="41"/>
    </row>
    <row r="31" spans="1:10" x14ac:dyDescent="0.25">
      <c r="A31" s="1">
        <v>4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5">
      <c r="A32" s="1">
        <v>5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6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AC66-CB0E-407F-980C-F62A7DD3BFDE}">
  <dimension ref="A1:J43"/>
  <sheetViews>
    <sheetView workbookViewId="0">
      <selection activeCell="C13" sqref="C13:C1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60</v>
      </c>
      <c r="D2" s="5" t="s">
        <v>1</v>
      </c>
      <c r="E2" s="45" t="s">
        <v>123</v>
      </c>
      <c r="F2" s="45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500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0" x14ac:dyDescent="0.25">
      <c r="A7" s="1">
        <v>1</v>
      </c>
      <c r="B7" s="49" t="s">
        <v>36</v>
      </c>
      <c r="C7" s="50" t="s">
        <v>61</v>
      </c>
      <c r="D7" s="13">
        <v>372</v>
      </c>
      <c r="E7" s="13" t="s">
        <v>24</v>
      </c>
      <c r="F7" s="14">
        <f>D7/D$24</f>
        <v>0.7022180273714016</v>
      </c>
      <c r="G7" s="15">
        <f>C4*F7</f>
        <v>351.1090136857008</v>
      </c>
      <c r="H7" s="37"/>
      <c r="I7" s="38"/>
      <c r="J7" s="16"/>
    </row>
    <row r="8" spans="1:10" x14ac:dyDescent="0.25">
      <c r="A8" s="1">
        <v>2</v>
      </c>
      <c r="B8" s="49" t="s">
        <v>62</v>
      </c>
      <c r="C8" s="12" t="s">
        <v>63</v>
      </c>
      <c r="D8" s="13">
        <v>2</v>
      </c>
      <c r="E8" s="13" t="s">
        <v>24</v>
      </c>
      <c r="F8" s="14">
        <f t="shared" ref="F8:F23" si="0">D8/D$24</f>
        <v>3.7753657385559227E-3</v>
      </c>
      <c r="G8" s="15">
        <f>C4*F8</f>
        <v>1.8876828692779615</v>
      </c>
      <c r="H8" s="37"/>
      <c r="I8" s="38"/>
      <c r="J8" s="16"/>
    </row>
    <row r="9" spans="1:10" x14ac:dyDescent="0.25">
      <c r="A9" s="1">
        <v>3</v>
      </c>
      <c r="B9" s="49" t="s">
        <v>64</v>
      </c>
      <c r="C9" s="12" t="s">
        <v>65</v>
      </c>
      <c r="D9" s="13">
        <v>0.45</v>
      </c>
      <c r="E9" s="13" t="s">
        <v>24</v>
      </c>
      <c r="F9" s="14">
        <f t="shared" si="0"/>
        <v>8.494572911750826E-4</v>
      </c>
      <c r="G9" s="15">
        <f>C4*F9</f>
        <v>0.42472864558754131</v>
      </c>
      <c r="H9" s="37"/>
      <c r="I9" s="38"/>
      <c r="J9" s="16"/>
    </row>
    <row r="10" spans="1:10" x14ac:dyDescent="0.25">
      <c r="A10" s="1">
        <v>4</v>
      </c>
      <c r="B10" s="49" t="s">
        <v>37</v>
      </c>
      <c r="C10" s="12" t="s">
        <v>39</v>
      </c>
      <c r="D10" s="13">
        <v>3.3</v>
      </c>
      <c r="E10" s="13" t="s">
        <v>24</v>
      </c>
      <c r="F10" s="14">
        <f t="shared" si="0"/>
        <v>6.2293534686172717E-3</v>
      </c>
      <c r="G10" s="15">
        <f>C4*F10</f>
        <v>3.1146767343086359</v>
      </c>
      <c r="H10" s="37"/>
      <c r="I10" s="38"/>
      <c r="J10" s="16"/>
    </row>
    <row r="11" spans="1:10" x14ac:dyDescent="0.25">
      <c r="A11" s="1">
        <v>5</v>
      </c>
      <c r="B11" s="49" t="s">
        <v>66</v>
      </c>
      <c r="C11" s="12" t="s">
        <v>67</v>
      </c>
      <c r="D11" s="13">
        <v>112</v>
      </c>
      <c r="E11" s="13" t="s">
        <v>24</v>
      </c>
      <c r="F11" s="14">
        <f t="shared" si="0"/>
        <v>0.21142048135913166</v>
      </c>
      <c r="G11" s="15">
        <f>C4*F11</f>
        <v>105.71024067956583</v>
      </c>
      <c r="H11" s="37"/>
      <c r="I11" s="38"/>
      <c r="J11" s="16"/>
    </row>
    <row r="12" spans="1:10" x14ac:dyDescent="0.25">
      <c r="A12" s="1">
        <v>6</v>
      </c>
      <c r="B12" s="49" t="s">
        <v>68</v>
      </c>
      <c r="C12" s="34" t="s">
        <v>69</v>
      </c>
      <c r="D12" s="13">
        <v>40</v>
      </c>
      <c r="E12" s="13" t="s">
        <v>24</v>
      </c>
      <c r="F12" s="14">
        <f t="shared" si="0"/>
        <v>7.5507314771118453E-2</v>
      </c>
      <c r="G12" s="15">
        <f>C4*F12</f>
        <v>37.753657385559229</v>
      </c>
      <c r="H12" s="37"/>
      <c r="I12" s="38"/>
      <c r="J12" s="16"/>
    </row>
    <row r="13" spans="1:10" x14ac:dyDescent="0.25">
      <c r="A13" s="1">
        <v>7</v>
      </c>
      <c r="B13" s="49"/>
      <c r="C13" s="51"/>
      <c r="D13" s="13"/>
      <c r="E13" s="13" t="s">
        <v>24</v>
      </c>
      <c r="F13" s="14">
        <f t="shared" si="0"/>
        <v>0</v>
      </c>
      <c r="G13" s="15">
        <f>C4*F13</f>
        <v>0</v>
      </c>
      <c r="H13" s="37"/>
      <c r="I13" s="38"/>
      <c r="J13" s="16"/>
    </row>
    <row r="14" spans="1:10" x14ac:dyDescent="0.25">
      <c r="A14" s="1">
        <v>8</v>
      </c>
      <c r="B14" s="49"/>
      <c r="C14" s="52"/>
      <c r="D14" s="13"/>
      <c r="E14" s="13" t="s">
        <v>24</v>
      </c>
      <c r="F14" s="14">
        <f t="shared" si="0"/>
        <v>0</v>
      </c>
      <c r="G14" s="15">
        <f>C4*F14</f>
        <v>0</v>
      </c>
      <c r="H14" s="37"/>
      <c r="I14" s="38"/>
      <c r="J14" s="16"/>
    </row>
    <row r="15" spans="1:10" x14ac:dyDescent="0.25">
      <c r="A15" s="1">
        <v>9</v>
      </c>
      <c r="B15" s="49"/>
      <c r="C15" s="52"/>
      <c r="D15" s="13"/>
      <c r="E15" s="13" t="s">
        <v>24</v>
      </c>
      <c r="F15" s="14">
        <f t="shared" si="0"/>
        <v>0</v>
      </c>
      <c r="G15" s="15">
        <f>C4*F15</f>
        <v>0</v>
      </c>
      <c r="H15" s="37"/>
      <c r="I15" s="38"/>
      <c r="J15" s="16"/>
    </row>
    <row r="16" spans="1:10" x14ac:dyDescent="0.25">
      <c r="A16" s="1">
        <v>10</v>
      </c>
      <c r="B16" s="49"/>
      <c r="C16" s="52"/>
      <c r="D16" s="13"/>
      <c r="E16" s="13" t="s">
        <v>24</v>
      </c>
      <c r="F16" s="14">
        <f t="shared" si="0"/>
        <v>0</v>
      </c>
      <c r="G16" s="15">
        <f>C4*F16</f>
        <v>0</v>
      </c>
      <c r="H16" s="37"/>
      <c r="I16" s="38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7"/>
      <c r="I17" s="38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7"/>
      <c r="I18" s="38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7"/>
      <c r="I19" s="38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7"/>
      <c r="I20" s="38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>D21/D$24</f>
        <v>0</v>
      </c>
      <c r="G21" s="15">
        <f>C4*F21</f>
        <v>0</v>
      </c>
      <c r="H21" s="37"/>
      <c r="I21" s="38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7"/>
      <c r="I23" s="38"/>
      <c r="J23" s="16"/>
    </row>
    <row r="24" spans="1:10" x14ac:dyDescent="0.25">
      <c r="C24" s="17" t="s">
        <v>12</v>
      </c>
      <c r="D24" s="1">
        <f>SUM(D7:D23)</f>
        <v>529.75</v>
      </c>
      <c r="E24" s="1" t="s">
        <v>24</v>
      </c>
      <c r="F24" s="18">
        <f>SUM(F7:F23)</f>
        <v>1.0000000000000002</v>
      </c>
      <c r="G24" s="29">
        <f>SUM(G7:G23)</f>
        <v>500</v>
      </c>
      <c r="H24" s="19" t="s">
        <v>13</v>
      </c>
    </row>
    <row r="25" spans="1:10" x14ac:dyDescent="0.25">
      <c r="F25" s="28" t="s">
        <v>25</v>
      </c>
      <c r="G25" s="20">
        <f>-G24*G4+C4</f>
        <v>500</v>
      </c>
    </row>
    <row r="26" spans="1:10" ht="15.75" x14ac:dyDescent="0.25">
      <c r="A26"/>
      <c r="B26" s="42" t="s">
        <v>14</v>
      </c>
      <c r="C26" s="42"/>
      <c r="D26" s="42"/>
      <c r="E26" s="42"/>
      <c r="F26" s="42"/>
      <c r="G26" s="42"/>
      <c r="H26" s="42"/>
      <c r="I26" s="42"/>
      <c r="J26" s="42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ht="18.75" x14ac:dyDescent="0.3">
      <c r="A28" s="1">
        <v>1</v>
      </c>
      <c r="B28" s="53" t="s">
        <v>70</v>
      </c>
      <c r="C28" s="54"/>
      <c r="D28" s="54"/>
      <c r="E28" s="54"/>
      <c r="F28" s="54"/>
      <c r="G28" s="54"/>
      <c r="H28" s="54"/>
      <c r="I28" s="54"/>
      <c r="J28" s="55"/>
    </row>
    <row r="29" spans="1:10" ht="18.75" x14ac:dyDescent="0.3">
      <c r="A29" s="1">
        <v>2</v>
      </c>
      <c r="B29" s="53" t="s">
        <v>71</v>
      </c>
      <c r="C29" s="54"/>
      <c r="D29" s="54"/>
      <c r="E29" s="54"/>
      <c r="F29" s="54"/>
      <c r="G29" s="54"/>
      <c r="H29" s="54"/>
      <c r="I29" s="54"/>
      <c r="J29" s="55"/>
    </row>
    <row r="30" spans="1:10" ht="18.75" x14ac:dyDescent="0.3">
      <c r="A30" s="1">
        <v>3</v>
      </c>
      <c r="B30" s="53" t="s">
        <v>72</v>
      </c>
      <c r="C30" s="54"/>
      <c r="D30" s="54"/>
      <c r="E30" s="54"/>
      <c r="F30" s="54"/>
      <c r="G30" s="54"/>
      <c r="H30" s="54"/>
      <c r="I30" s="54"/>
      <c r="J30" s="55"/>
    </row>
    <row r="31" spans="1:10" ht="18.75" x14ac:dyDescent="0.3">
      <c r="A31" s="1">
        <v>4</v>
      </c>
      <c r="B31" s="53" t="s">
        <v>73</v>
      </c>
      <c r="C31" s="54"/>
      <c r="D31" s="54"/>
      <c r="E31" s="54"/>
      <c r="F31" s="54"/>
      <c r="G31" s="54"/>
      <c r="H31" s="54"/>
      <c r="I31" s="54"/>
      <c r="J31" s="55"/>
    </row>
    <row r="32" spans="1:10" ht="18.75" x14ac:dyDescent="0.3">
      <c r="A32" s="1">
        <v>5</v>
      </c>
      <c r="B32" s="53" t="s">
        <v>74</v>
      </c>
      <c r="C32" s="54"/>
      <c r="D32" s="54"/>
      <c r="E32" s="54"/>
      <c r="F32" s="54"/>
      <c r="G32" s="54"/>
      <c r="H32" s="54"/>
      <c r="I32" s="54"/>
      <c r="J32" s="55"/>
    </row>
    <row r="33" spans="1:10" ht="18.75" x14ac:dyDescent="0.3">
      <c r="A33" s="1">
        <v>6</v>
      </c>
      <c r="B33" s="53"/>
      <c r="C33" s="54"/>
      <c r="D33" s="54"/>
      <c r="E33" s="54"/>
      <c r="F33" s="54"/>
      <c r="G33" s="54"/>
      <c r="H33" s="54"/>
      <c r="I33" s="54"/>
      <c r="J33" s="55"/>
    </row>
    <row r="34" spans="1:10" x14ac:dyDescent="0.25">
      <c r="A34" s="1">
        <v>7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8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9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10</v>
      </c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5">
      <c r="A38" s="1">
        <v>11</v>
      </c>
      <c r="B38" s="41"/>
      <c r="C38" s="41"/>
      <c r="D38" s="41"/>
      <c r="E38" s="41"/>
      <c r="F38" s="41"/>
      <c r="G38" s="41"/>
      <c r="H38" s="41"/>
      <c r="I38" s="41"/>
      <c r="J38" s="4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3" t="s">
        <v>17</v>
      </c>
      <c r="C43" s="43"/>
      <c r="E43" s="43" t="s">
        <v>18</v>
      </c>
      <c r="F43" s="43"/>
      <c r="H43" s="44" t="s">
        <v>19</v>
      </c>
      <c r="I43" s="44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3E31-3086-402D-8D31-53D6C0AE0A2F}">
  <dimension ref="A1:L42"/>
  <sheetViews>
    <sheetView workbookViewId="0">
      <selection activeCell="C26" sqref="C26"/>
    </sheetView>
  </sheetViews>
  <sheetFormatPr defaultRowHeight="15" x14ac:dyDescent="0.25"/>
  <cols>
    <col min="1" max="1" width="3.5703125" style="1" customWidth="1"/>
    <col min="2" max="2" width="21.42578125" customWidth="1"/>
    <col min="3" max="3" width="49.140625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2" ht="15.75" thickBot="1" x14ac:dyDescent="0.3"/>
    <row r="2" spans="1:12" ht="15.75" thickBot="1" x14ac:dyDescent="0.3">
      <c r="B2" s="3" t="s">
        <v>0</v>
      </c>
      <c r="C2" s="4" t="s">
        <v>100</v>
      </c>
      <c r="D2" s="5" t="s">
        <v>1</v>
      </c>
      <c r="E2" s="45"/>
      <c r="F2" s="45"/>
      <c r="G2" s="4"/>
      <c r="H2" s="6" t="s">
        <v>2</v>
      </c>
      <c r="I2" s="7"/>
      <c r="J2" s="8" t="s">
        <v>3</v>
      </c>
    </row>
    <row r="3" spans="1:12" x14ac:dyDescent="0.25">
      <c r="B3" s="1"/>
      <c r="D3" s="9"/>
      <c r="F3" s="2"/>
      <c r="H3" s="1"/>
      <c r="I3" s="1"/>
      <c r="J3" s="2"/>
    </row>
    <row r="4" spans="1:12" x14ac:dyDescent="0.25">
      <c r="B4" s="2" t="s">
        <v>22</v>
      </c>
      <c r="C4" s="10">
        <v>100</v>
      </c>
      <c r="D4" s="9"/>
      <c r="F4" s="2" t="s">
        <v>23</v>
      </c>
      <c r="G4" s="28">
        <v>0</v>
      </c>
      <c r="I4" s="1"/>
      <c r="J4" s="2"/>
    </row>
    <row r="5" spans="1:12" x14ac:dyDescent="0.25">
      <c r="B5" s="1"/>
      <c r="D5" s="9"/>
      <c r="F5" s="2"/>
      <c r="H5" s="1"/>
      <c r="I5" s="1"/>
      <c r="J5" s="2"/>
    </row>
    <row r="6" spans="1:12" x14ac:dyDescent="0.25">
      <c r="B6" s="11" t="s">
        <v>4</v>
      </c>
      <c r="C6" s="11" t="s">
        <v>5</v>
      </c>
      <c r="D6" s="11" t="s">
        <v>6</v>
      </c>
      <c r="E6" s="11"/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2" x14ac:dyDescent="0.25">
      <c r="A7" s="1">
        <v>1</v>
      </c>
      <c r="B7" s="12"/>
      <c r="C7" s="66" t="s">
        <v>77</v>
      </c>
      <c r="D7" s="57">
        <v>85.25</v>
      </c>
      <c r="E7" s="2" t="s">
        <v>24</v>
      </c>
      <c r="F7" s="14">
        <f t="shared" ref="F7:F22" si="0">D7/D$23</f>
        <v>0.85250000000000004</v>
      </c>
      <c r="G7" s="15">
        <f>C$4*F7</f>
        <v>85.25</v>
      </c>
      <c r="H7" s="37"/>
      <c r="I7" s="38"/>
      <c r="J7" s="67"/>
      <c r="L7" s="59"/>
    </row>
    <row r="8" spans="1:12" x14ac:dyDescent="0.25">
      <c r="A8" s="1">
        <v>2</v>
      </c>
      <c r="B8" s="12"/>
      <c r="C8" s="66" t="s">
        <v>88</v>
      </c>
      <c r="D8" s="57">
        <v>7.84</v>
      </c>
      <c r="E8" s="13" t="s">
        <v>24</v>
      </c>
      <c r="F8" s="14">
        <f t="shared" si="0"/>
        <v>7.8399999999999997E-2</v>
      </c>
      <c r="G8" s="15">
        <f t="shared" ref="G8:G20" si="1">C$4*F8</f>
        <v>7.84</v>
      </c>
      <c r="H8" s="37"/>
      <c r="I8" s="38"/>
      <c r="J8" s="68"/>
      <c r="L8" s="59"/>
    </row>
    <row r="9" spans="1:12" x14ac:dyDescent="0.25">
      <c r="A9" s="1">
        <v>3</v>
      </c>
      <c r="B9" s="12"/>
      <c r="C9" s="66" t="s">
        <v>87</v>
      </c>
      <c r="D9" s="57">
        <v>6.91</v>
      </c>
      <c r="E9" s="13" t="s">
        <v>24</v>
      </c>
      <c r="F9" s="14">
        <f t="shared" si="0"/>
        <v>6.9099999999999995E-2</v>
      </c>
      <c r="G9" s="15">
        <f t="shared" si="1"/>
        <v>6.9099999999999993</v>
      </c>
      <c r="H9" s="37"/>
      <c r="I9" s="38"/>
      <c r="J9" s="69"/>
      <c r="L9" s="59"/>
    </row>
    <row r="10" spans="1:12" x14ac:dyDescent="0.25">
      <c r="A10" s="1">
        <v>4</v>
      </c>
      <c r="B10" s="12"/>
      <c r="C10" s="66"/>
      <c r="D10" s="57"/>
      <c r="E10" s="13" t="s">
        <v>24</v>
      </c>
      <c r="F10" s="14">
        <f t="shared" si="0"/>
        <v>0</v>
      </c>
      <c r="G10" s="15">
        <f t="shared" si="1"/>
        <v>0</v>
      </c>
      <c r="H10" s="37"/>
      <c r="I10" s="38"/>
      <c r="J10" s="16"/>
      <c r="L10" s="59"/>
    </row>
    <row r="11" spans="1:12" x14ac:dyDescent="0.25">
      <c r="A11" s="1">
        <v>5</v>
      </c>
      <c r="B11" s="12"/>
      <c r="C11" s="66"/>
      <c r="D11" s="57"/>
      <c r="E11" s="13" t="s">
        <v>24</v>
      </c>
      <c r="F11" s="14">
        <f t="shared" si="0"/>
        <v>0</v>
      </c>
      <c r="G11" s="15">
        <f t="shared" si="1"/>
        <v>0</v>
      </c>
      <c r="H11" s="37"/>
      <c r="I11" s="38"/>
      <c r="J11" s="16"/>
      <c r="L11" s="59"/>
    </row>
    <row r="12" spans="1:12" x14ac:dyDescent="0.25">
      <c r="A12" s="1">
        <v>6</v>
      </c>
      <c r="B12" s="12"/>
      <c r="C12" s="60"/>
      <c r="D12" s="57"/>
      <c r="E12" s="13" t="s">
        <v>24</v>
      </c>
      <c r="F12" s="14">
        <f t="shared" si="0"/>
        <v>0</v>
      </c>
      <c r="G12" s="15">
        <f t="shared" si="1"/>
        <v>0</v>
      </c>
      <c r="H12" s="37"/>
      <c r="I12" s="38"/>
      <c r="J12" s="16"/>
      <c r="L12" s="59"/>
    </row>
    <row r="13" spans="1:12" x14ac:dyDescent="0.25">
      <c r="A13" s="1">
        <v>7</v>
      </c>
      <c r="B13" s="12"/>
      <c r="C13" s="60"/>
      <c r="D13" s="57"/>
      <c r="E13" s="13" t="s">
        <v>24</v>
      </c>
      <c r="F13" s="14">
        <f t="shared" si="0"/>
        <v>0</v>
      </c>
      <c r="G13" s="15">
        <f t="shared" si="1"/>
        <v>0</v>
      </c>
      <c r="H13" s="37"/>
      <c r="I13" s="38"/>
      <c r="J13" s="16"/>
      <c r="L13" s="59"/>
    </row>
    <row r="14" spans="1:12" x14ac:dyDescent="0.25">
      <c r="A14" s="1">
        <v>8</v>
      </c>
      <c r="B14" s="12"/>
      <c r="C14" s="60"/>
      <c r="D14" s="57"/>
      <c r="E14" s="13" t="s">
        <v>24</v>
      </c>
      <c r="F14" s="14">
        <f t="shared" si="0"/>
        <v>0</v>
      </c>
      <c r="G14" s="15">
        <f t="shared" si="1"/>
        <v>0</v>
      </c>
      <c r="H14" s="37"/>
      <c r="I14" s="38"/>
      <c r="J14" s="16"/>
      <c r="L14" s="59"/>
    </row>
    <row r="15" spans="1:12" x14ac:dyDescent="0.25">
      <c r="A15" s="1">
        <v>9</v>
      </c>
      <c r="B15" s="12"/>
      <c r="C15" s="34"/>
      <c r="D15" s="13"/>
      <c r="E15" s="13" t="s">
        <v>24</v>
      </c>
      <c r="F15" s="14">
        <f t="shared" si="0"/>
        <v>0</v>
      </c>
      <c r="G15" s="15">
        <f t="shared" si="1"/>
        <v>0</v>
      </c>
      <c r="H15" s="37"/>
      <c r="I15" s="38"/>
      <c r="J15" s="16"/>
      <c r="L15" s="59"/>
    </row>
    <row r="16" spans="1:12" x14ac:dyDescent="0.25">
      <c r="A16" s="1">
        <v>10</v>
      </c>
      <c r="B16" s="12"/>
      <c r="C16" s="34"/>
      <c r="D16" s="13"/>
      <c r="E16" s="13" t="s">
        <v>24</v>
      </c>
      <c r="F16" s="14">
        <f t="shared" si="0"/>
        <v>0</v>
      </c>
      <c r="G16" s="15">
        <f t="shared" si="1"/>
        <v>0</v>
      </c>
      <c r="H16" s="37"/>
      <c r="I16" s="38"/>
      <c r="J16" s="16"/>
      <c r="L16" s="59"/>
    </row>
    <row r="17" spans="1:12" x14ac:dyDescent="0.25">
      <c r="A17" s="1">
        <v>12</v>
      </c>
      <c r="B17" s="12"/>
      <c r="C17" s="12"/>
      <c r="D17" s="13"/>
      <c r="E17" s="13" t="s">
        <v>24</v>
      </c>
      <c r="F17" s="14">
        <f t="shared" si="0"/>
        <v>0</v>
      </c>
      <c r="G17" s="15">
        <f t="shared" si="1"/>
        <v>0</v>
      </c>
      <c r="H17" s="37"/>
      <c r="I17" s="38"/>
      <c r="J17" s="16"/>
      <c r="L17" s="59"/>
    </row>
    <row r="18" spans="1:12" x14ac:dyDescent="0.25">
      <c r="A18" s="1">
        <v>13</v>
      </c>
      <c r="B18" s="12"/>
      <c r="C18" s="12"/>
      <c r="D18" s="13"/>
      <c r="E18" s="13" t="s">
        <v>24</v>
      </c>
      <c r="F18" s="14">
        <f t="shared" si="0"/>
        <v>0</v>
      </c>
      <c r="G18" s="15">
        <f t="shared" si="1"/>
        <v>0</v>
      </c>
      <c r="H18" s="35"/>
      <c r="I18" s="36"/>
      <c r="J18" s="16"/>
      <c r="L18" s="59"/>
    </row>
    <row r="19" spans="1:12" x14ac:dyDescent="0.25">
      <c r="A19" s="1">
        <v>14</v>
      </c>
      <c r="B19" s="12"/>
      <c r="C19" s="12"/>
      <c r="D19" s="13"/>
      <c r="E19" s="13" t="s">
        <v>24</v>
      </c>
      <c r="F19" s="14">
        <f t="shared" si="0"/>
        <v>0</v>
      </c>
      <c r="G19" s="15">
        <f t="shared" si="1"/>
        <v>0</v>
      </c>
      <c r="H19" s="35"/>
      <c r="I19" s="36"/>
      <c r="J19" s="16"/>
      <c r="L19" s="59"/>
    </row>
    <row r="20" spans="1:12" x14ac:dyDescent="0.25">
      <c r="A20" s="1">
        <v>15</v>
      </c>
      <c r="B20" s="12"/>
      <c r="C20" s="12"/>
      <c r="D20" s="13"/>
      <c r="E20" s="13" t="s">
        <v>24</v>
      </c>
      <c r="F20" s="14">
        <f t="shared" si="0"/>
        <v>0</v>
      </c>
      <c r="G20" s="15">
        <f t="shared" si="1"/>
        <v>0</v>
      </c>
      <c r="H20" s="35"/>
      <c r="I20" s="36"/>
      <c r="J20" s="16"/>
      <c r="K20" s="64"/>
      <c r="L20" s="59"/>
    </row>
    <row r="21" spans="1:12" x14ac:dyDescent="0.25">
      <c r="A21" s="1">
        <v>16</v>
      </c>
      <c r="B21" s="12"/>
      <c r="C21" s="34"/>
      <c r="D21" s="13"/>
      <c r="E21" s="13"/>
      <c r="F21" s="14"/>
      <c r="G21" s="15"/>
      <c r="H21" s="35"/>
      <c r="I21" s="36"/>
      <c r="J21" s="16"/>
    </row>
    <row r="22" spans="1:12" x14ac:dyDescent="0.25">
      <c r="A22" s="1">
        <v>17</v>
      </c>
      <c r="B22" s="12"/>
      <c r="C22" s="34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2" x14ac:dyDescent="0.25">
      <c r="C23" s="17" t="s">
        <v>12</v>
      </c>
      <c r="D23" s="1">
        <f>SUM(D7:D22)</f>
        <v>100</v>
      </c>
      <c r="E23" s="1" t="s">
        <v>24</v>
      </c>
      <c r="F23" s="18">
        <f>SUM(F7:F22)</f>
        <v>1</v>
      </c>
      <c r="G23" s="29">
        <f>SUM(G7:G22)</f>
        <v>100</v>
      </c>
      <c r="H23" s="19" t="s">
        <v>13</v>
      </c>
    </row>
    <row r="24" spans="1:12" x14ac:dyDescent="0.25">
      <c r="F24" s="28" t="s">
        <v>25</v>
      </c>
      <c r="G24" s="20">
        <f>-G23*G4+C4</f>
        <v>100</v>
      </c>
    </row>
    <row r="25" spans="1:12" ht="15.75" x14ac:dyDescent="0.25">
      <c r="A25"/>
      <c r="B25" s="42" t="s">
        <v>14</v>
      </c>
      <c r="C25" s="42"/>
      <c r="D25" s="42"/>
      <c r="E25" s="42"/>
      <c r="F25" s="42"/>
      <c r="G25" s="42"/>
      <c r="H25" s="42"/>
      <c r="I25" s="42"/>
      <c r="J25" s="42"/>
    </row>
    <row r="26" spans="1:12" ht="15.75" x14ac:dyDescent="0.25">
      <c r="A26"/>
      <c r="B26" s="21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2" x14ac:dyDescent="0.25">
      <c r="A27" s="1">
        <v>1</v>
      </c>
      <c r="B27" s="41" t="s">
        <v>101</v>
      </c>
      <c r="C27" s="41"/>
      <c r="D27" s="41"/>
      <c r="E27" s="41"/>
      <c r="F27" s="41"/>
      <c r="G27" s="41"/>
      <c r="H27" s="41"/>
      <c r="I27" s="41"/>
      <c r="J27" s="41"/>
    </row>
    <row r="28" spans="1:12" x14ac:dyDescent="0.25">
      <c r="A28" s="1">
        <v>2</v>
      </c>
      <c r="B28" s="41"/>
      <c r="C28" s="41"/>
      <c r="D28" s="41"/>
      <c r="E28" s="41"/>
      <c r="F28" s="41"/>
      <c r="G28" s="41"/>
      <c r="H28" s="41"/>
      <c r="I28" s="41"/>
      <c r="J28" s="41"/>
    </row>
    <row r="29" spans="1:12" x14ac:dyDescent="0.25">
      <c r="A29" s="1">
        <v>3</v>
      </c>
      <c r="B29" s="65"/>
      <c r="C29" s="65"/>
      <c r="D29" s="65"/>
      <c r="E29" s="65"/>
      <c r="F29" s="65"/>
      <c r="G29" s="65"/>
      <c r="H29" s="65"/>
      <c r="I29" s="65"/>
      <c r="J29" s="65"/>
    </row>
    <row r="30" spans="1:12" x14ac:dyDescent="0.25">
      <c r="A30" s="1">
        <v>4</v>
      </c>
      <c r="B30" s="41"/>
      <c r="C30" s="41"/>
      <c r="D30" s="41"/>
      <c r="E30" s="41"/>
      <c r="F30" s="41"/>
      <c r="G30" s="41"/>
      <c r="H30" s="41"/>
      <c r="I30" s="41"/>
      <c r="J30" s="41"/>
    </row>
    <row r="31" spans="1:12" x14ac:dyDescent="0.25">
      <c r="A31" s="1">
        <v>5</v>
      </c>
      <c r="B31" s="41"/>
      <c r="C31" s="41"/>
      <c r="D31" s="41"/>
      <c r="E31" s="41"/>
      <c r="F31" s="41"/>
      <c r="G31" s="41"/>
      <c r="H31" s="41"/>
      <c r="I31" s="41"/>
      <c r="J31" s="41"/>
    </row>
    <row r="32" spans="1:12" x14ac:dyDescent="0.25">
      <c r="A32" s="1">
        <v>6</v>
      </c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7</v>
      </c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8</v>
      </c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9</v>
      </c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10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11</v>
      </c>
      <c r="B37" s="41"/>
      <c r="C37" s="41"/>
      <c r="D37" s="41"/>
      <c r="E37" s="41"/>
      <c r="F37" s="41"/>
      <c r="G37" s="41"/>
      <c r="H37" s="41"/>
      <c r="I37" s="41"/>
      <c r="J37" s="41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H41" s="23"/>
      <c r="I41" s="23"/>
      <c r="J41" s="23"/>
    </row>
    <row r="42" spans="1:10" x14ac:dyDescent="0.25">
      <c r="B42" s="43" t="s">
        <v>17</v>
      </c>
      <c r="C42" s="43"/>
      <c r="E42" s="43" t="s">
        <v>18</v>
      </c>
      <c r="F42" s="43"/>
      <c r="H42" s="44" t="s">
        <v>19</v>
      </c>
      <c r="I42" s="44"/>
      <c r="J42" s="2" t="s">
        <v>20</v>
      </c>
    </row>
  </sheetData>
  <mergeCells count="30">
    <mergeCell ref="B35:J35"/>
    <mergeCell ref="B36:J36"/>
    <mergeCell ref="B37:J37"/>
    <mergeCell ref="B42:C42"/>
    <mergeCell ref="E42:F42"/>
    <mergeCell ref="H42:I42"/>
    <mergeCell ref="B29:J29"/>
    <mergeCell ref="B30:J30"/>
    <mergeCell ref="B31:J31"/>
    <mergeCell ref="B32:J32"/>
    <mergeCell ref="B33:J33"/>
    <mergeCell ref="B34:J34"/>
    <mergeCell ref="H16:I16"/>
    <mergeCell ref="H17:I17"/>
    <mergeCell ref="H22:I22"/>
    <mergeCell ref="B25:J25"/>
    <mergeCell ref="B27:J27"/>
    <mergeCell ref="B28:J28"/>
    <mergeCell ref="H10:I10"/>
    <mergeCell ref="H11:I11"/>
    <mergeCell ref="H12:I12"/>
    <mergeCell ref="H13:I13"/>
    <mergeCell ref="H14:I14"/>
    <mergeCell ref="H15:I15"/>
    <mergeCell ref="E2:F2"/>
    <mergeCell ref="H6:I6"/>
    <mergeCell ref="H7:I7"/>
    <mergeCell ref="J7:J9"/>
    <mergeCell ref="H8:I8"/>
    <mergeCell ref="H9:I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769B-81B8-47BC-90BF-3D8E097CEBCD}">
  <dimension ref="A1:L42"/>
  <sheetViews>
    <sheetView tabSelected="1" topLeftCell="B1" zoomScale="85" zoomScaleNormal="85" workbookViewId="0">
      <selection activeCell="B25" sqref="B25:J2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2" ht="15.75" thickBot="1" x14ac:dyDescent="0.3"/>
    <row r="2" spans="1:12" ht="15.75" thickBot="1" x14ac:dyDescent="0.3">
      <c r="B2" s="3" t="s">
        <v>0</v>
      </c>
      <c r="C2" s="4" t="s">
        <v>75</v>
      </c>
      <c r="D2" s="5" t="s">
        <v>1</v>
      </c>
      <c r="E2" s="45" t="s">
        <v>76</v>
      </c>
      <c r="F2" s="45"/>
      <c r="G2" s="4"/>
      <c r="H2" s="6" t="s">
        <v>2</v>
      </c>
      <c r="I2" s="7"/>
      <c r="J2" s="8" t="s">
        <v>3</v>
      </c>
    </row>
    <row r="3" spans="1:12" x14ac:dyDescent="0.25">
      <c r="B3" s="1"/>
      <c r="D3" s="9"/>
      <c r="F3" s="2"/>
      <c r="H3" s="1"/>
      <c r="I3" s="1"/>
      <c r="J3" s="2"/>
    </row>
    <row r="4" spans="1:12" x14ac:dyDescent="0.25">
      <c r="B4" s="2" t="s">
        <v>22</v>
      </c>
      <c r="C4" s="10">
        <v>100</v>
      </c>
      <c r="D4" s="9"/>
      <c r="F4" s="2" t="s">
        <v>23</v>
      </c>
      <c r="G4" s="28">
        <v>0.2</v>
      </c>
      <c r="I4" s="1"/>
      <c r="J4" s="2"/>
    </row>
    <row r="5" spans="1:12" x14ac:dyDescent="0.25">
      <c r="B5" s="1"/>
      <c r="D5" s="9"/>
      <c r="F5" s="2"/>
      <c r="H5" s="1"/>
      <c r="I5" s="1"/>
      <c r="J5" s="2"/>
    </row>
    <row r="6" spans="1:12" x14ac:dyDescent="0.25">
      <c r="B6" s="11" t="s">
        <v>4</v>
      </c>
      <c r="C6" s="11" t="s">
        <v>5</v>
      </c>
      <c r="D6" s="11" t="s">
        <v>6</v>
      </c>
      <c r="E6" s="11"/>
      <c r="F6" s="11" t="s">
        <v>8</v>
      </c>
      <c r="G6" s="11" t="s">
        <v>9</v>
      </c>
      <c r="H6" s="39" t="s">
        <v>10</v>
      </c>
      <c r="I6" s="40"/>
      <c r="J6" s="11" t="s">
        <v>11</v>
      </c>
    </row>
    <row r="7" spans="1:12" x14ac:dyDescent="0.25">
      <c r="A7" s="1">
        <v>1</v>
      </c>
      <c r="B7" s="12"/>
      <c r="C7" s="56" t="s">
        <v>77</v>
      </c>
      <c r="D7" s="57">
        <v>24.23</v>
      </c>
      <c r="E7" s="2" t="s">
        <v>24</v>
      </c>
      <c r="F7" s="14">
        <f t="shared" ref="F7:F22" si="0">D7/D$23</f>
        <v>0.24229999999999996</v>
      </c>
      <c r="G7" s="15">
        <f>C$4*F7</f>
        <v>24.229999999999997</v>
      </c>
      <c r="H7" s="37"/>
      <c r="I7" s="38"/>
      <c r="J7" s="58"/>
      <c r="L7" s="59"/>
    </row>
    <row r="8" spans="1:12" x14ac:dyDescent="0.25">
      <c r="A8" s="1">
        <v>2</v>
      </c>
      <c r="B8" s="12" t="s">
        <v>78</v>
      </c>
      <c r="C8" s="60" t="s">
        <v>79</v>
      </c>
      <c r="D8" s="57">
        <v>11.37</v>
      </c>
      <c r="E8" s="13" t="s">
        <v>24</v>
      </c>
      <c r="F8" s="14">
        <f t="shared" si="0"/>
        <v>0.11369999999999998</v>
      </c>
      <c r="G8" s="15">
        <f t="shared" ref="G8:G20" si="1">C$4*F8</f>
        <v>11.369999999999997</v>
      </c>
      <c r="H8" s="37"/>
      <c r="I8" s="38"/>
      <c r="J8" s="58"/>
      <c r="L8" s="59"/>
    </row>
    <row r="9" spans="1:12" x14ac:dyDescent="0.25">
      <c r="A9" s="1">
        <v>3</v>
      </c>
      <c r="B9" s="12"/>
      <c r="C9" s="60" t="s">
        <v>80</v>
      </c>
      <c r="D9" s="57">
        <v>17.05</v>
      </c>
      <c r="E9" s="13" t="s">
        <v>24</v>
      </c>
      <c r="F9" s="14">
        <f t="shared" si="0"/>
        <v>0.17049999999999998</v>
      </c>
      <c r="G9" s="15">
        <f t="shared" si="1"/>
        <v>17.049999999999997</v>
      </c>
      <c r="H9" s="37"/>
      <c r="I9" s="38"/>
      <c r="J9" s="58"/>
      <c r="L9" s="59"/>
    </row>
    <row r="10" spans="1:12" x14ac:dyDescent="0.25">
      <c r="A10" s="1">
        <v>4</v>
      </c>
      <c r="B10" s="12" t="s">
        <v>81</v>
      </c>
      <c r="C10" s="60" t="s">
        <v>82</v>
      </c>
      <c r="D10" s="57">
        <v>11.37</v>
      </c>
      <c r="E10" s="13" t="s">
        <v>24</v>
      </c>
      <c r="F10" s="14">
        <f t="shared" si="0"/>
        <v>0.11369999999999998</v>
      </c>
      <c r="G10" s="15">
        <f t="shared" si="1"/>
        <v>11.369999999999997</v>
      </c>
      <c r="H10" s="37"/>
      <c r="I10" s="38"/>
      <c r="J10" s="16"/>
      <c r="L10" s="59"/>
    </row>
    <row r="11" spans="1:12" x14ac:dyDescent="0.25">
      <c r="A11" s="1">
        <v>5</v>
      </c>
      <c r="B11" s="12" t="s">
        <v>83</v>
      </c>
      <c r="C11" s="60" t="s">
        <v>84</v>
      </c>
      <c r="D11" s="57">
        <v>11.37</v>
      </c>
      <c r="E11" s="13" t="s">
        <v>24</v>
      </c>
      <c r="F11" s="14">
        <f t="shared" si="0"/>
        <v>0.11369999999999998</v>
      </c>
      <c r="G11" s="15">
        <f t="shared" si="1"/>
        <v>11.369999999999997</v>
      </c>
      <c r="H11" s="37"/>
      <c r="I11" s="38"/>
      <c r="J11" s="16"/>
      <c r="L11" s="59"/>
    </row>
    <row r="12" spans="1:12" x14ac:dyDescent="0.25">
      <c r="A12" s="1">
        <v>6</v>
      </c>
      <c r="B12" s="12" t="s">
        <v>34</v>
      </c>
      <c r="C12" s="60" t="s">
        <v>85</v>
      </c>
      <c r="D12" s="57">
        <v>0.53</v>
      </c>
      <c r="E12" s="13" t="s">
        <v>24</v>
      </c>
      <c r="F12" s="14">
        <f t="shared" si="0"/>
        <v>5.2999999999999992E-3</v>
      </c>
      <c r="G12" s="15">
        <f t="shared" si="1"/>
        <v>0.52999999999999992</v>
      </c>
      <c r="H12" s="37"/>
      <c r="I12" s="38"/>
      <c r="J12" s="16"/>
      <c r="L12" s="59"/>
    </row>
    <row r="13" spans="1:12" x14ac:dyDescent="0.25">
      <c r="A13" s="1">
        <v>7</v>
      </c>
      <c r="B13" s="12" t="s">
        <v>86</v>
      </c>
      <c r="C13" s="60" t="s">
        <v>87</v>
      </c>
      <c r="D13" s="57">
        <v>21.85</v>
      </c>
      <c r="E13" s="13" t="s">
        <v>24</v>
      </c>
      <c r="F13" s="14">
        <f t="shared" si="0"/>
        <v>0.21849999999999997</v>
      </c>
      <c r="G13" s="15">
        <f t="shared" si="1"/>
        <v>21.849999999999998</v>
      </c>
      <c r="H13" s="37"/>
      <c r="I13" s="38"/>
      <c r="J13" s="16"/>
      <c r="L13" s="59"/>
    </row>
    <row r="14" spans="1:12" x14ac:dyDescent="0.25">
      <c r="A14" s="1">
        <v>8</v>
      </c>
      <c r="B14" s="12"/>
      <c r="C14" s="60" t="s">
        <v>88</v>
      </c>
      <c r="D14" s="57">
        <v>2.23</v>
      </c>
      <c r="E14" s="13" t="s">
        <v>24</v>
      </c>
      <c r="F14" s="14">
        <f t="shared" si="0"/>
        <v>2.2299999999999997E-2</v>
      </c>
      <c r="G14" s="15">
        <f t="shared" si="1"/>
        <v>2.2299999999999995</v>
      </c>
      <c r="H14" s="37"/>
      <c r="I14" s="38"/>
      <c r="J14" s="61" t="s">
        <v>89</v>
      </c>
      <c r="L14" s="59"/>
    </row>
    <row r="15" spans="1:12" x14ac:dyDescent="0.25">
      <c r="A15" s="1">
        <v>9</v>
      </c>
      <c r="B15" s="12"/>
      <c r="C15" s="34"/>
      <c r="D15" s="13"/>
      <c r="E15" s="13" t="s">
        <v>24</v>
      </c>
      <c r="F15" s="14">
        <f t="shared" si="0"/>
        <v>0</v>
      </c>
      <c r="G15" s="15">
        <f t="shared" si="1"/>
        <v>0</v>
      </c>
      <c r="H15" s="37"/>
      <c r="I15" s="38"/>
      <c r="J15" s="16"/>
      <c r="L15" s="59"/>
    </row>
    <row r="16" spans="1:12" x14ac:dyDescent="0.25">
      <c r="A16" s="1">
        <v>10</v>
      </c>
      <c r="B16" s="12"/>
      <c r="C16" s="34"/>
      <c r="D16" s="13"/>
      <c r="E16" s="13" t="s">
        <v>24</v>
      </c>
      <c r="F16" s="14">
        <f t="shared" si="0"/>
        <v>0</v>
      </c>
      <c r="G16" s="15">
        <f t="shared" si="1"/>
        <v>0</v>
      </c>
      <c r="H16" s="37"/>
      <c r="I16" s="38"/>
      <c r="J16" s="16"/>
      <c r="L16" s="59"/>
    </row>
    <row r="17" spans="1:12" x14ac:dyDescent="0.25">
      <c r="A17" s="1">
        <v>12</v>
      </c>
      <c r="B17" s="12"/>
      <c r="C17" s="62" t="s">
        <v>90</v>
      </c>
      <c r="D17" s="13"/>
      <c r="E17" s="13" t="s">
        <v>24</v>
      </c>
      <c r="F17" s="14">
        <f t="shared" si="0"/>
        <v>0</v>
      </c>
      <c r="G17" s="15">
        <f t="shared" si="1"/>
        <v>0</v>
      </c>
      <c r="H17" s="37"/>
      <c r="I17" s="38"/>
      <c r="J17" s="63"/>
      <c r="L17" s="59"/>
    </row>
    <row r="18" spans="1:12" x14ac:dyDescent="0.25">
      <c r="A18" s="1">
        <v>13</v>
      </c>
      <c r="B18" s="12"/>
      <c r="C18" s="12"/>
      <c r="D18" s="13"/>
      <c r="E18" s="13" t="s">
        <v>24</v>
      </c>
      <c r="F18" s="14">
        <f t="shared" si="0"/>
        <v>0</v>
      </c>
      <c r="G18" s="15">
        <f t="shared" si="1"/>
        <v>0</v>
      </c>
      <c r="H18" s="35"/>
      <c r="I18" s="36"/>
      <c r="J18" s="16"/>
      <c r="L18" s="59"/>
    </row>
    <row r="19" spans="1:12" x14ac:dyDescent="0.25">
      <c r="A19" s="1">
        <v>14</v>
      </c>
      <c r="B19" s="12"/>
      <c r="C19" s="12"/>
      <c r="D19" s="13"/>
      <c r="E19" s="13" t="s">
        <v>24</v>
      </c>
      <c r="F19" s="14">
        <f t="shared" si="0"/>
        <v>0</v>
      </c>
      <c r="G19" s="15">
        <f t="shared" si="1"/>
        <v>0</v>
      </c>
      <c r="H19" s="35"/>
      <c r="I19" s="36"/>
      <c r="J19" s="16"/>
      <c r="L19" s="59"/>
    </row>
    <row r="20" spans="1:12" x14ac:dyDescent="0.25">
      <c r="A20" s="1">
        <v>15</v>
      </c>
      <c r="B20" s="12"/>
      <c r="C20" s="12"/>
      <c r="D20" s="13"/>
      <c r="E20" s="13" t="s">
        <v>24</v>
      </c>
      <c r="F20" s="14">
        <f t="shared" si="0"/>
        <v>0</v>
      </c>
      <c r="G20" s="15">
        <f t="shared" si="1"/>
        <v>0</v>
      </c>
      <c r="H20" s="35"/>
      <c r="I20" s="36"/>
      <c r="J20" s="16"/>
      <c r="K20" s="64"/>
      <c r="L20" s="59"/>
    </row>
    <row r="21" spans="1:12" x14ac:dyDescent="0.25">
      <c r="A21" s="1">
        <v>16</v>
      </c>
      <c r="B21" s="12"/>
      <c r="C21" s="34"/>
      <c r="D21" s="13"/>
      <c r="E21" s="13"/>
      <c r="F21" s="14"/>
      <c r="G21" s="15"/>
      <c r="H21" s="35"/>
      <c r="I21" s="36"/>
      <c r="J21" s="16"/>
    </row>
    <row r="22" spans="1:12" x14ac:dyDescent="0.25">
      <c r="A22" s="1">
        <v>17</v>
      </c>
      <c r="B22" s="12"/>
      <c r="C22" s="34"/>
      <c r="D22" s="13"/>
      <c r="E22" s="13" t="s">
        <v>24</v>
      </c>
      <c r="F22" s="14">
        <f t="shared" si="0"/>
        <v>0</v>
      </c>
      <c r="G22" s="15">
        <f>C4*F22</f>
        <v>0</v>
      </c>
      <c r="H22" s="37"/>
      <c r="I22" s="38"/>
      <c r="J22" s="16"/>
    </row>
    <row r="23" spans="1:12" x14ac:dyDescent="0.25">
      <c r="C23" s="17" t="s">
        <v>12</v>
      </c>
      <c r="D23" s="1">
        <f>SUM(D7:D22)</f>
        <v>100.00000000000001</v>
      </c>
      <c r="E23" s="1" t="s">
        <v>24</v>
      </c>
      <c r="F23" s="18">
        <f>SUM(F7:F22)</f>
        <v>1</v>
      </c>
      <c r="G23" s="29">
        <f>SUM(G7:G22)</f>
        <v>99.999999999999986</v>
      </c>
      <c r="H23" s="19" t="s">
        <v>13</v>
      </c>
    </row>
    <row r="24" spans="1:12" x14ac:dyDescent="0.25">
      <c r="F24" s="28" t="s">
        <v>25</v>
      </c>
      <c r="G24" s="20">
        <f>-G23*G4+C4</f>
        <v>80</v>
      </c>
    </row>
    <row r="25" spans="1:12" ht="15.75" x14ac:dyDescent="0.25">
      <c r="A25"/>
      <c r="B25" s="42" t="s">
        <v>14</v>
      </c>
      <c r="C25" s="42"/>
      <c r="D25" s="42"/>
      <c r="E25" s="42"/>
      <c r="F25" s="42"/>
      <c r="G25" s="42"/>
      <c r="H25" s="42"/>
      <c r="I25" s="42"/>
      <c r="J25" s="42"/>
    </row>
    <row r="26" spans="1:12" ht="15.75" x14ac:dyDescent="0.25">
      <c r="A26"/>
      <c r="B26" s="21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2" x14ac:dyDescent="0.25">
      <c r="A27" s="1">
        <v>1</v>
      </c>
      <c r="B27" s="41" t="s">
        <v>91</v>
      </c>
      <c r="C27" s="41"/>
      <c r="D27" s="41"/>
      <c r="E27" s="41"/>
      <c r="F27" s="41"/>
      <c r="G27" s="41"/>
      <c r="H27" s="41"/>
      <c r="I27" s="41"/>
      <c r="J27" s="41"/>
    </row>
    <row r="28" spans="1:12" x14ac:dyDescent="0.25">
      <c r="A28" s="1">
        <v>2</v>
      </c>
      <c r="B28" s="41" t="s">
        <v>92</v>
      </c>
      <c r="C28" s="41"/>
      <c r="D28" s="41"/>
      <c r="E28" s="41"/>
      <c r="F28" s="41"/>
      <c r="G28" s="41"/>
      <c r="H28" s="41"/>
      <c r="I28" s="41"/>
      <c r="J28" s="41"/>
    </row>
    <row r="29" spans="1:12" x14ac:dyDescent="0.25">
      <c r="A29" s="1">
        <v>3</v>
      </c>
      <c r="B29" s="65" t="s">
        <v>93</v>
      </c>
      <c r="C29" s="65"/>
      <c r="D29" s="65"/>
      <c r="E29" s="65"/>
      <c r="F29" s="65"/>
      <c r="G29" s="65"/>
      <c r="H29" s="65"/>
      <c r="I29" s="65"/>
      <c r="J29" s="65"/>
    </row>
    <row r="30" spans="1:12" x14ac:dyDescent="0.25">
      <c r="A30" s="1">
        <v>4</v>
      </c>
      <c r="B30" s="41" t="s">
        <v>94</v>
      </c>
      <c r="C30" s="41"/>
      <c r="D30" s="41"/>
      <c r="E30" s="41"/>
      <c r="F30" s="41"/>
      <c r="G30" s="41"/>
      <c r="H30" s="41"/>
      <c r="I30" s="41"/>
      <c r="J30" s="41"/>
    </row>
    <row r="31" spans="1:12" x14ac:dyDescent="0.25">
      <c r="A31" s="1">
        <v>5</v>
      </c>
      <c r="B31" s="46" t="s">
        <v>95</v>
      </c>
      <c r="C31" s="47"/>
      <c r="D31" s="47"/>
      <c r="E31" s="47"/>
      <c r="F31" s="47"/>
      <c r="G31" s="47"/>
      <c r="H31" s="47"/>
      <c r="I31" s="47"/>
      <c r="J31" s="48"/>
    </row>
    <row r="32" spans="1:12" x14ac:dyDescent="0.25">
      <c r="A32" s="1">
        <v>6</v>
      </c>
      <c r="B32" s="41" t="s">
        <v>96</v>
      </c>
      <c r="C32" s="41"/>
      <c r="D32" s="41"/>
      <c r="E32" s="41"/>
      <c r="F32" s="41"/>
      <c r="G32" s="41"/>
      <c r="H32" s="41"/>
      <c r="I32" s="41"/>
      <c r="J32" s="41"/>
    </row>
    <row r="33" spans="1:10" x14ac:dyDescent="0.25">
      <c r="A33" s="1">
        <v>7</v>
      </c>
      <c r="B33" s="41" t="s">
        <v>97</v>
      </c>
      <c r="C33" s="41"/>
      <c r="D33" s="41"/>
      <c r="E33" s="41"/>
      <c r="F33" s="41"/>
      <c r="G33" s="41"/>
      <c r="H33" s="41"/>
      <c r="I33" s="41"/>
      <c r="J33" s="41"/>
    </row>
    <row r="34" spans="1:10" x14ac:dyDescent="0.25">
      <c r="A34" s="1">
        <v>8</v>
      </c>
      <c r="B34" s="41" t="s">
        <v>98</v>
      </c>
      <c r="C34" s="41"/>
      <c r="D34" s="41"/>
      <c r="E34" s="41"/>
      <c r="F34" s="41"/>
      <c r="G34" s="41"/>
      <c r="H34" s="41"/>
      <c r="I34" s="41"/>
      <c r="J34" s="41"/>
    </row>
    <row r="35" spans="1:10" x14ac:dyDescent="0.25">
      <c r="A35" s="1">
        <v>9</v>
      </c>
      <c r="B35" s="41" t="s">
        <v>99</v>
      </c>
      <c r="C35" s="41"/>
      <c r="D35" s="41"/>
      <c r="E35" s="41"/>
      <c r="F35" s="41"/>
      <c r="G35" s="41"/>
      <c r="H35" s="41"/>
      <c r="I35" s="41"/>
      <c r="J35" s="41"/>
    </row>
    <row r="36" spans="1:10" x14ac:dyDescent="0.25">
      <c r="A36" s="1">
        <v>10</v>
      </c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5">
      <c r="A37" s="1">
        <v>11</v>
      </c>
      <c r="B37" s="41"/>
      <c r="C37" s="41"/>
      <c r="D37" s="41"/>
      <c r="E37" s="41"/>
      <c r="F37" s="41"/>
      <c r="G37" s="41"/>
      <c r="H37" s="41"/>
      <c r="I37" s="41"/>
      <c r="J37" s="41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H41" s="23"/>
      <c r="I41" s="23"/>
      <c r="J41" s="23"/>
    </row>
    <row r="42" spans="1:10" x14ac:dyDescent="0.25">
      <c r="B42" s="43" t="s">
        <v>17</v>
      </c>
      <c r="C42" s="43"/>
      <c r="E42" s="43" t="s">
        <v>18</v>
      </c>
      <c r="F42" s="43"/>
      <c r="H42" s="44" t="s">
        <v>19</v>
      </c>
      <c r="I42" s="44"/>
      <c r="J42" s="2" t="s">
        <v>20</v>
      </c>
    </row>
  </sheetData>
  <mergeCells count="29">
    <mergeCell ref="B36:J36"/>
    <mergeCell ref="B37:J37"/>
    <mergeCell ref="B42:C42"/>
    <mergeCell ref="E42:F42"/>
    <mergeCell ref="H42:I42"/>
    <mergeCell ref="B30:J30"/>
    <mergeCell ref="B31:J31"/>
    <mergeCell ref="B32:J32"/>
    <mergeCell ref="B33:J33"/>
    <mergeCell ref="B34:J34"/>
    <mergeCell ref="B35:J35"/>
    <mergeCell ref="H17:I17"/>
    <mergeCell ref="H22:I22"/>
    <mergeCell ref="B25:J25"/>
    <mergeCell ref="B27:J27"/>
    <mergeCell ref="B28:J28"/>
    <mergeCell ref="B29:J29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F6E1D5-73F2-4F45-9E50-2B22E5E6013A}"/>
</file>

<file path=customXml/itemProps2.xml><?xml version="1.0" encoding="utf-8"?>
<ds:datastoreItem xmlns:ds="http://schemas.openxmlformats.org/officeDocument/2006/customXml" ds:itemID="{51BABACA-43E3-48FD-9FFD-32E22C3C94E1}"/>
</file>

<file path=customXml/itemProps3.xml><?xml version="1.0" encoding="utf-8"?>
<ds:datastoreItem xmlns:ds="http://schemas.openxmlformats.org/officeDocument/2006/customXml" ds:itemID="{9123581C-1D5D-4C8A-973D-0910816D6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699 - KIT BUILD</vt:lpstr>
      <vt:lpstr>699 -PLATING </vt:lpstr>
      <vt:lpstr>Coconut Carrot Soup</vt:lpstr>
      <vt:lpstr>SANDWICH BUILD</vt:lpstr>
      <vt:lpstr>Drunken Spread</vt:lpstr>
      <vt:lpstr>Drunken Mustard Brine</vt:lpstr>
      <vt:lpstr>Drunken Mustard 1-gal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2025-08-05T19:32:02Z</cp:lastPrinted>
  <dcterms:created xsi:type="dcterms:W3CDTF">2023-08-17T15:10:54Z</dcterms:created>
  <dcterms:modified xsi:type="dcterms:W3CDTF">2025-08-19T13:40:44Z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