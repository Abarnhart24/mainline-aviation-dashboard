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39" documentId="8_{34017603-BD03-4F02-AC3F-E5FA2632A58E}" xr6:coauthVersionLast="47" xr6:coauthVersionMax="47" xr10:uidLastSave="{3090402F-0AB9-4A91-A9D0-8E3BE6506258}"/>
  <bookViews>
    <workbookView xWindow="10140" yWindow="0" windowWidth="10455" windowHeight="10905" firstSheet="1" activeTab="1" xr2:uid="{9D773142-25FF-402D-A059-87F5C56EFE7F}"/>
  </bookViews>
  <sheets>
    <sheet name="Kit build" sheetId="9" r:id="rId1"/>
    <sheet name="707 pLATING" sheetId="7" r:id="rId2"/>
    <sheet name="JULIENNE VEG" sheetId="5" r:id="rId3"/>
    <sheet name="CREAMY MARINARA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0" l="1"/>
  <c r="F16" i="10" s="1"/>
  <c r="G16" i="10" s="1"/>
  <c r="F10" i="10" l="1"/>
  <c r="G10" i="10" s="1"/>
  <c r="F12" i="10"/>
  <c r="G12" i="10" s="1"/>
  <c r="F14" i="10"/>
  <c r="G14" i="10" s="1"/>
  <c r="F18" i="10"/>
  <c r="G18" i="10" s="1"/>
  <c r="F20" i="10"/>
  <c r="G20" i="10" s="1"/>
  <c r="F22" i="10"/>
  <c r="G22" i="10" s="1"/>
  <c r="F7" i="10"/>
  <c r="F9" i="10"/>
  <c r="G9" i="10" s="1"/>
  <c r="F11" i="10"/>
  <c r="G11" i="10" s="1"/>
  <c r="F13" i="10"/>
  <c r="G13" i="10" s="1"/>
  <c r="F15" i="10"/>
  <c r="G15" i="10" s="1"/>
  <c r="F17" i="10"/>
  <c r="G17" i="10" s="1"/>
  <c r="F19" i="10"/>
  <c r="G19" i="10" s="1"/>
  <c r="F21" i="10"/>
  <c r="G21" i="10" s="1"/>
  <c r="F23" i="10"/>
  <c r="G23" i="10" s="1"/>
  <c r="F8" i="10"/>
  <c r="G8" i="10" s="1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D24" i="7"/>
  <c r="F21" i="7" s="1"/>
  <c r="G21" i="7" s="1"/>
  <c r="G7" i="10" l="1"/>
  <c r="G24" i="10" s="1"/>
  <c r="G25" i="10" s="1"/>
  <c r="F24" i="10"/>
  <c r="F9" i="7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F24" i="7" l="1"/>
  <c r="G7" i="7"/>
  <c r="G24" i="7" s="1"/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<sst xmlns="http://schemas.openxmlformats.org/spreadsheetml/2006/main" count="191" uniqueCount="68">
  <si>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</si>
  <si>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</si>
  <si>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</si>
  <si>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</si>
  <si>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</si>
  <si>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</si>
  <si>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</si>
  <si>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</si>
  <si>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</si>
  <si>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</si>
  <si>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</si>
  <si>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</si>
  <si>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</si>
  <si>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</si>
  <si>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</si>
  <si>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</si>
  <si>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</si>
  <si>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</si>
  <si>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</si>
  <si>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</si>
  <si>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</si>
  <si>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</si>
  <si>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</si>
  <si>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</si>
  <si>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</si>
  <si>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</si>
  <si>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</si>
  <si>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Desired Cases:</t>
  </si>
  <si>
    <t>Desired Qty</t>
  </si>
  <si>
    <t>Each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</si>
  <si>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</si>
  <si>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</si>
  <si>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</si>
  <si>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</si>
  <si>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S023</t>
  </si>
  <si>
    <t>BOX DELTA 64</t>
  </si>
  <si>
    <t>S055</t>
  </si>
  <si>
    <t>LABELS 4X6"</t>
  </si>
  <si>
    <t>S144</t>
  </si>
  <si>
    <t>LABEL WHITE 2X1</t>
  </si>
  <si>
    <t>VA C2 Y VEG ENTREE - MANICOTTI</t>
  </si>
  <si>
    <t>707 - VA C2 Y VEG ENTREE - Manicotti</t>
  </si>
  <si>
    <t>Creamy Marinara Sauce</t>
  </si>
  <si>
    <t>Julienne Veg</t>
  </si>
  <si>
    <t>Grated Pecorino</t>
  </si>
  <si>
    <t>NEW</t>
  </si>
  <si>
    <t>WIP</t>
  </si>
  <si>
    <t>JULIENEE VEG</t>
  </si>
  <si>
    <t>C204</t>
  </si>
  <si>
    <t>ZUCCHINI</t>
  </si>
  <si>
    <t>C152</t>
  </si>
  <si>
    <t>SQUASH YELLOW</t>
  </si>
  <si>
    <t>C040</t>
  </si>
  <si>
    <t>HERB PARSLEY</t>
  </si>
  <si>
    <t>D257</t>
  </si>
  <si>
    <t>OIL BLENDED 75%/25%</t>
  </si>
  <si>
    <t>D089</t>
  </si>
  <si>
    <t>SALT EVAPORATED</t>
  </si>
  <si>
    <t xml:space="preserve">CUT ZUCCHINI AND SQUASH USING THE JULIENNE ATTACHMENT </t>
  </si>
  <si>
    <t>TOSS WITH SEASONINGS AND OIL</t>
  </si>
  <si>
    <t>STORE BELOW 40F</t>
  </si>
  <si>
    <t>CREAMY MARINARA</t>
  </si>
  <si>
    <t>F203</t>
  </si>
  <si>
    <t xml:space="preserve">SAUCE ALFREDO JOSEPH'S </t>
  </si>
  <si>
    <t>P219</t>
  </si>
  <si>
    <t>SAUCE MARINARA</t>
  </si>
  <si>
    <t>Pasta Mami SQUASH Cannelloni</t>
  </si>
  <si>
    <t>25-233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</si>
</sst>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DB68-CDE7-41F8-B635-E46A9008C7FB}">
  <sheetPr>
    <pageSetUpPr fitToPage="1"/>
  </sheetPr>
  <dimension ref="A1:I43"/>
  <sheetViews>
    <sheetView zoomScale="130" zoomScaleNormal="130" workbookViewId="0">
      <selection activeCell="B17" sqref="B17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41</v>
      </c>
      <c r="D2" s="5" t="s">
        <v>1</v>
      </c>
      <c r="E2" s="30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27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28</v>
      </c>
      <c r="G6" s="38" t="s">
        <v>10</v>
      </c>
      <c r="H6" s="39"/>
      <c r="I6" s="11" t="s">
        <v>11</v>
      </c>
    </row>
    <row r="7" spans="1:9" x14ac:dyDescent="0.25">
      <c r="A7" s="1">
        <v>1</v>
      </c>
      <c r="B7" s="12"/>
      <c r="C7" s="46" t="s">
        <v>40</v>
      </c>
      <c r="D7" s="13">
        <v>42</v>
      </c>
      <c r="E7" s="13" t="s">
        <v>29</v>
      </c>
      <c r="F7" s="15">
        <f>C4*D7</f>
        <v>42</v>
      </c>
      <c r="G7" s="34"/>
      <c r="H7" s="35"/>
      <c r="I7" s="26"/>
    </row>
    <row r="8" spans="1:9" x14ac:dyDescent="0.25">
      <c r="A8" s="1">
        <v>2</v>
      </c>
      <c r="B8" s="12"/>
      <c r="C8" s="46"/>
      <c r="E8" s="13" t="s">
        <v>30</v>
      </c>
      <c r="F8" s="15">
        <f>C4*D8</f>
        <v>0</v>
      </c>
      <c r="G8" s="34"/>
      <c r="H8" s="35"/>
      <c r="I8" s="16"/>
    </row>
    <row r="9" spans="1:9" x14ac:dyDescent="0.25">
      <c r="A9" s="1">
        <v>3</v>
      </c>
      <c r="B9" s="12"/>
      <c r="C9" s="46"/>
      <c r="D9" s="13"/>
      <c r="E9" s="13" t="s">
        <v>29</v>
      </c>
      <c r="F9" s="15">
        <f>C4*D9</f>
        <v>0</v>
      </c>
      <c r="G9" s="34"/>
      <c r="H9" s="35"/>
      <c r="I9" s="16"/>
    </row>
    <row r="10" spans="1:9" x14ac:dyDescent="0.25">
      <c r="A10" s="1">
        <v>4</v>
      </c>
      <c r="B10" s="12"/>
      <c r="C10" s="46"/>
      <c r="D10" s="13"/>
      <c r="E10" s="13" t="s">
        <v>29</v>
      </c>
      <c r="F10" s="15">
        <f>C4*D10</f>
        <v>0</v>
      </c>
      <c r="G10" s="34"/>
      <c r="H10" s="35"/>
      <c r="I10" s="16"/>
    </row>
    <row r="11" spans="1:9" x14ac:dyDescent="0.25">
      <c r="A11" s="1">
        <v>5</v>
      </c>
      <c r="B11" s="12" t="s">
        <v>34</v>
      </c>
      <c r="C11" s="46" t="s">
        <v>35</v>
      </c>
      <c r="D11" s="13">
        <v>1</v>
      </c>
      <c r="E11" s="13" t="s">
        <v>29</v>
      </c>
      <c r="F11" s="15">
        <f>C4*D11</f>
        <v>1</v>
      </c>
      <c r="G11" s="34"/>
      <c r="H11" s="35"/>
      <c r="I11" s="16"/>
    </row>
    <row r="12" spans="1:9" x14ac:dyDescent="0.25">
      <c r="A12" s="1">
        <v>6</v>
      </c>
      <c r="B12" s="12" t="s">
        <v>36</v>
      </c>
      <c r="C12" s="13" t="s">
        <v>37</v>
      </c>
      <c r="D12" s="13">
        <v>1</v>
      </c>
      <c r="E12" s="13" t="s">
        <v>29</v>
      </c>
      <c r="F12" s="15">
        <f>C4*D12</f>
        <v>1</v>
      </c>
      <c r="G12" s="34"/>
      <c r="H12" s="35"/>
      <c r="I12" s="16"/>
    </row>
    <row r="13" spans="1:9" x14ac:dyDescent="0.25">
      <c r="A13" s="1">
        <v>7</v>
      </c>
      <c r="B13" s="12" t="s">
        <v>38</v>
      </c>
      <c r="C13" s="13" t="s">
        <v>39</v>
      </c>
      <c r="D13" s="13">
        <v>42</v>
      </c>
      <c r="E13" s="13"/>
      <c r="F13" s="15">
        <f t="shared" ref="F13" si="0">C5*D13</f>
        <v>210</v>
      </c>
      <c r="G13" s="34"/>
      <c r="H13" s="35"/>
      <c r="I13" s="16"/>
    </row>
    <row r="14" spans="1:9" x14ac:dyDescent="0.25">
      <c r="A14" s="1">
        <v>8</v>
      </c>
      <c r="B14" s="12"/>
      <c r="C14" s="12"/>
      <c r="D14" s="13"/>
      <c r="E14" s="13"/>
      <c r="F14" s="15">
        <f>C4*D14</f>
        <v>0</v>
      </c>
      <c r="G14" s="34"/>
      <c r="H14" s="35"/>
      <c r="I14" s="16"/>
    </row>
    <row r="15" spans="1:9" x14ac:dyDescent="0.25">
      <c r="A15" s="1">
        <v>9</v>
      </c>
      <c r="B15" s="12"/>
      <c r="C15" s="12"/>
      <c r="D15" s="13"/>
      <c r="E15" s="13"/>
      <c r="F15" s="15">
        <f>C4*D15</f>
        <v>0</v>
      </c>
      <c r="G15" s="34"/>
      <c r="H15" s="35"/>
      <c r="I15" s="16"/>
    </row>
    <row r="16" spans="1:9" x14ac:dyDescent="0.25">
      <c r="A16" s="1">
        <v>10</v>
      </c>
      <c r="B16" s="12"/>
      <c r="C16" s="12"/>
      <c r="D16" s="13"/>
      <c r="E16" s="13"/>
      <c r="F16" s="15">
        <f>C4*D16</f>
        <v>0</v>
      </c>
      <c r="G16" s="34"/>
      <c r="H16" s="35"/>
      <c r="I16" s="16"/>
    </row>
    <row r="17" spans="1:9" x14ac:dyDescent="0.25">
      <c r="A17" s="1">
        <v>11</v>
      </c>
      <c r="B17" s="12"/>
      <c r="C17" s="12"/>
      <c r="D17" s="13"/>
      <c r="E17" s="13"/>
      <c r="F17" s="15">
        <f>C4*D17</f>
        <v>0</v>
      </c>
      <c r="G17" s="34"/>
      <c r="H17" s="35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4"/>
      <c r="H18" s="35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4"/>
      <c r="H19" s="35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4"/>
      <c r="H20" s="35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4"/>
      <c r="H21" s="35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4"/>
      <c r="H22" s="35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4"/>
      <c r="H23" s="35"/>
      <c r="I23" s="16"/>
    </row>
    <row r="24" spans="1:9" x14ac:dyDescent="0.25">
      <c r="C24" s="17"/>
      <c r="D24" s="1"/>
      <c r="F24" s="47"/>
      <c r="G24" s="48"/>
    </row>
    <row r="25" spans="1:9" x14ac:dyDescent="0.25">
      <c r="F25" s="20"/>
    </row>
    <row r="26" spans="1:9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31" t="s">
        <v>31</v>
      </c>
      <c r="C28" s="31"/>
      <c r="D28" s="31"/>
      <c r="E28" s="31"/>
      <c r="F28" s="31"/>
      <c r="G28" s="31"/>
      <c r="H28" s="31"/>
      <c r="I28" s="31"/>
    </row>
    <row r="29" spans="1:9" x14ac:dyDescent="0.25">
      <c r="A29" s="1">
        <v>2</v>
      </c>
      <c r="B29" s="31" t="s">
        <v>32</v>
      </c>
      <c r="C29" s="31"/>
      <c r="D29" s="31"/>
      <c r="E29" s="31"/>
      <c r="F29" s="31"/>
      <c r="G29" s="31"/>
      <c r="H29" s="31"/>
      <c r="I29" s="31"/>
    </row>
    <row r="30" spans="1:9" x14ac:dyDescent="0.25">
      <c r="A30" s="1">
        <v>3</v>
      </c>
      <c r="B30" s="31" t="s">
        <v>33</v>
      </c>
      <c r="C30" s="31"/>
      <c r="D30" s="31"/>
      <c r="E30" s="31"/>
      <c r="F30" s="31"/>
      <c r="G30" s="31"/>
      <c r="H30" s="31"/>
      <c r="I30" s="31"/>
    </row>
    <row r="31" spans="1:9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</row>
    <row r="32" spans="1:9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</row>
    <row r="33" spans="1:9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</row>
    <row r="34" spans="1:9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</row>
    <row r="35" spans="1:9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32" t="s">
        <v>17</v>
      </c>
      <c r="C43" s="32"/>
      <c r="E43" s="2" t="s">
        <v>18</v>
      </c>
      <c r="G43" s="33" t="s">
        <v>19</v>
      </c>
      <c r="H43" s="33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26:I26"/>
    <mergeCell ref="B28:I28"/>
    <mergeCell ref="B29:I29"/>
    <mergeCell ref="B30:I30"/>
    <mergeCell ref="B31:I31"/>
    <mergeCell ref="B32:I3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tabSelected="1" zoomScale="85" zoomScaleNormal="85"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41</v>
      </c>
      <c r="D2" s="5" t="s">
        <v>1</v>
      </c>
      <c r="E2" s="37" t="s">
        <v>67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45</v>
      </c>
      <c r="C7" s="12" t="s">
        <v>66</v>
      </c>
      <c r="D7" s="13">
        <v>100</v>
      </c>
      <c r="E7" s="13" t="s">
        <v>26</v>
      </c>
      <c r="F7" s="14">
        <f>D7/D$24</f>
        <v>0.46728971962616822</v>
      </c>
      <c r="G7" s="15">
        <f>F7*D24*C4/453.592</f>
        <v>0.22046244201837775</v>
      </c>
      <c r="H7" s="34"/>
      <c r="I7" s="35"/>
      <c r="J7" s="26"/>
    </row>
    <row r="8" spans="1:10" x14ac:dyDescent="0.25">
      <c r="A8" s="1">
        <v>2</v>
      </c>
      <c r="B8" s="12" t="s">
        <v>46</v>
      </c>
      <c r="C8" s="12" t="s">
        <v>42</v>
      </c>
      <c r="D8" s="2">
        <v>85</v>
      </c>
      <c r="E8" s="13" t="s">
        <v>26</v>
      </c>
      <c r="F8" s="14">
        <f>D8/D$24</f>
        <v>0.39719626168224298</v>
      </c>
      <c r="G8" s="15">
        <f>F8*D24*C4/453.592</f>
        <v>0.18739307571562108</v>
      </c>
      <c r="H8" s="34"/>
      <c r="I8" s="35"/>
      <c r="J8" s="16"/>
    </row>
    <row r="9" spans="1:10" x14ac:dyDescent="0.25">
      <c r="A9" s="1">
        <v>3</v>
      </c>
      <c r="B9" s="12" t="s">
        <v>46</v>
      </c>
      <c r="C9" s="12" t="s">
        <v>43</v>
      </c>
      <c r="D9" s="13">
        <v>28</v>
      </c>
      <c r="E9" s="13" t="s">
        <v>26</v>
      </c>
      <c r="F9" s="14">
        <f t="shared" ref="F9:F23" si="0">D9/D$24</f>
        <v>0.13084112149532709</v>
      </c>
      <c r="G9" s="15">
        <f>F9*D24*C4/453.592</f>
        <v>6.1729483765145761E-2</v>
      </c>
      <c r="H9" s="34"/>
      <c r="I9" s="35"/>
      <c r="J9" s="16"/>
    </row>
    <row r="10" spans="1:10" x14ac:dyDescent="0.25">
      <c r="A10" s="1">
        <v>4</v>
      </c>
      <c r="B10" s="12" t="s">
        <v>45</v>
      </c>
      <c r="C10" s="12" t="s">
        <v>44</v>
      </c>
      <c r="D10" s="13">
        <v>1</v>
      </c>
      <c r="E10" s="13" t="s">
        <v>26</v>
      </c>
      <c r="F10" s="14">
        <f t="shared" si="0"/>
        <v>4.6728971962616819E-3</v>
      </c>
      <c r="G10" s="15">
        <f>C4*D24*F10/453.592</f>
        <v>2.2046244201837772E-3</v>
      </c>
      <c r="H10" s="34"/>
      <c r="I10" s="35"/>
      <c r="J10" s="16"/>
    </row>
    <row r="11" spans="1:10" x14ac:dyDescent="0.25">
      <c r="A11" s="1">
        <v>5</v>
      </c>
      <c r="B11" s="12"/>
      <c r="C11" s="12"/>
      <c r="D11" s="13"/>
      <c r="E11" s="13" t="s">
        <v>26</v>
      </c>
      <c r="F11" s="14">
        <f t="shared" si="0"/>
        <v>0</v>
      </c>
      <c r="G11" s="15">
        <f>C4*F11*D24/453.592</f>
        <v>0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214</v>
      </c>
      <c r="E24" s="13" t="s">
        <v>26</v>
      </c>
      <c r="F24" s="18">
        <f>SUM(F7:F23)</f>
        <v>0.99999999999999989</v>
      </c>
      <c r="G24" s="27">
        <f>SUM(G7:G23)</f>
        <v>0.47178962591932838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1">
        <v>2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1">
        <v>3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opLeftCell="B1" workbookViewId="0">
      <selection activeCell="C23" sqref="C2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47</v>
      </c>
      <c r="D2" s="5" t="s">
        <v>1</v>
      </c>
      <c r="E2" s="37"/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</v>
      </c>
      <c r="D4" s="9"/>
      <c r="F4" s="2" t="s">
        <v>23</v>
      </c>
      <c r="G4" s="28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48</v>
      </c>
      <c r="C7" s="12" t="s">
        <v>49</v>
      </c>
      <c r="D7" s="13">
        <v>250</v>
      </c>
      <c r="E7" s="13" t="s">
        <v>24</v>
      </c>
      <c r="F7" s="14">
        <f t="shared" ref="F7:F23" si="0">D7/D$24</f>
        <v>0.46468401486988847</v>
      </c>
      <c r="G7" s="15">
        <f>C4*F7</f>
        <v>1.3940520446096654</v>
      </c>
      <c r="H7" s="34"/>
      <c r="I7" s="35"/>
      <c r="J7" s="16"/>
    </row>
    <row r="8" spans="1:10" x14ac:dyDescent="0.25">
      <c r="A8" s="1">
        <v>2</v>
      </c>
      <c r="B8" s="12" t="s">
        <v>50</v>
      </c>
      <c r="C8" s="12" t="s">
        <v>51</v>
      </c>
      <c r="D8" s="13">
        <v>250</v>
      </c>
      <c r="E8" s="13" t="s">
        <v>24</v>
      </c>
      <c r="F8" s="14">
        <f t="shared" si="0"/>
        <v>0.46468401486988847</v>
      </c>
      <c r="G8" s="15">
        <f>C4*F8</f>
        <v>1.3940520446096654</v>
      </c>
      <c r="H8" s="34"/>
      <c r="I8" s="35"/>
      <c r="J8" s="16"/>
    </row>
    <row r="9" spans="1:10" x14ac:dyDescent="0.25">
      <c r="A9" s="1">
        <v>3</v>
      </c>
      <c r="B9" s="12" t="s">
        <v>52</v>
      </c>
      <c r="C9" s="12" t="s">
        <v>53</v>
      </c>
      <c r="D9" s="13">
        <v>8</v>
      </c>
      <c r="E9" s="13" t="s">
        <v>24</v>
      </c>
      <c r="F9" s="14">
        <f t="shared" si="0"/>
        <v>1.4869888475836431E-2</v>
      </c>
      <c r="G9" s="15">
        <f>C4*F9</f>
        <v>4.4609665427509292E-2</v>
      </c>
      <c r="H9" s="34"/>
      <c r="I9" s="35"/>
      <c r="J9" s="16"/>
    </row>
    <row r="10" spans="1:10" x14ac:dyDescent="0.25">
      <c r="A10" s="1">
        <v>4</v>
      </c>
      <c r="B10" s="12" t="s">
        <v>54</v>
      </c>
      <c r="C10" s="12" t="s">
        <v>55</v>
      </c>
      <c r="D10" s="13">
        <v>28</v>
      </c>
      <c r="E10" s="13" t="s">
        <v>24</v>
      </c>
      <c r="F10" s="14">
        <f t="shared" si="0"/>
        <v>5.204460966542751E-2</v>
      </c>
      <c r="G10" s="15">
        <f>C4*F10</f>
        <v>0.15613382899628253</v>
      </c>
      <c r="H10" s="34"/>
      <c r="I10" s="35"/>
      <c r="J10" s="16"/>
    </row>
    <row r="11" spans="1:10" x14ac:dyDescent="0.25">
      <c r="A11" s="1">
        <v>5</v>
      </c>
      <c r="B11" s="12" t="s">
        <v>56</v>
      </c>
      <c r="C11" s="12" t="s">
        <v>57</v>
      </c>
      <c r="D11" s="13">
        <v>2</v>
      </c>
      <c r="E11" s="13" t="s">
        <v>24</v>
      </c>
      <c r="F11" s="14">
        <f t="shared" si="0"/>
        <v>3.7174721189591076E-3</v>
      </c>
      <c r="G11" s="15">
        <f>C4*F11</f>
        <v>1.1152416356877323E-2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538</v>
      </c>
      <c r="E24" s="1" t="s">
        <v>24</v>
      </c>
      <c r="F24" s="18">
        <f>SUM(F7:F23)</f>
        <v>1</v>
      </c>
      <c r="G24" s="29">
        <f>SUM(G7:G23)</f>
        <v>3</v>
      </c>
      <c r="H24" s="19" t="s">
        <v>13</v>
      </c>
    </row>
    <row r="25" spans="1:10" x14ac:dyDescent="0.25">
      <c r="F25" s="28" t="s">
        <v>25</v>
      </c>
      <c r="G25" s="20" t="e">
        <f>-G24*G4+C4</f>
        <v>#VALUE!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 t="s">
        <v>58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 t="s">
        <v>59</v>
      </c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 t="s">
        <v>60</v>
      </c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A916-8A01-4CEB-A3DF-34F21BC23D08}">
  <sheetPr>
    <pageSetUpPr fitToPage="1"/>
  </sheetPr>
  <dimension ref="A1:J43"/>
  <sheetViews>
    <sheetView workbookViewId="0">
      <selection activeCell="B23" sqref="B2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61</v>
      </c>
      <c r="D2" s="5" t="s">
        <v>1</v>
      </c>
      <c r="E2" s="37"/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</v>
      </c>
      <c r="D4" s="9"/>
      <c r="F4" s="2" t="s">
        <v>23</v>
      </c>
      <c r="G4" s="28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62</v>
      </c>
      <c r="C7" s="12" t="s">
        <v>63</v>
      </c>
      <c r="D7" s="13">
        <v>25</v>
      </c>
      <c r="E7" s="13" t="s">
        <v>24</v>
      </c>
      <c r="F7" s="14">
        <f t="shared" ref="F7:F23" si="0">D7/D$24</f>
        <v>0.25</v>
      </c>
      <c r="G7" s="15">
        <f>C4*F7</f>
        <v>0.75</v>
      </c>
      <c r="H7" s="34"/>
      <c r="I7" s="35"/>
      <c r="J7" s="16"/>
    </row>
    <row r="8" spans="1:10" x14ac:dyDescent="0.25">
      <c r="A8" s="1">
        <v>2</v>
      </c>
      <c r="B8" s="12" t="s">
        <v>64</v>
      </c>
      <c r="C8" s="12" t="s">
        <v>65</v>
      </c>
      <c r="D8" s="13">
        <v>75</v>
      </c>
      <c r="E8" s="13" t="s">
        <v>24</v>
      </c>
      <c r="F8" s="14">
        <f t="shared" si="0"/>
        <v>0.75</v>
      </c>
      <c r="G8" s="15">
        <f>C4*F8</f>
        <v>2.25</v>
      </c>
      <c r="H8" s="34"/>
      <c r="I8" s="35"/>
      <c r="J8" s="16"/>
    </row>
    <row r="9" spans="1:10" x14ac:dyDescent="0.25">
      <c r="A9" s="1">
        <v>3</v>
      </c>
      <c r="B9" s="12"/>
      <c r="C9" s="12"/>
      <c r="D9" s="13"/>
      <c r="E9" s="13" t="s">
        <v>24</v>
      </c>
      <c r="F9" s="14">
        <f t="shared" si="0"/>
        <v>0</v>
      </c>
      <c r="G9" s="15">
        <f>C4*F9</f>
        <v>0</v>
      </c>
      <c r="H9" s="34"/>
      <c r="I9" s="35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4"/>
      <c r="I10" s="35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100</v>
      </c>
      <c r="E24" s="1" t="s">
        <v>24</v>
      </c>
      <c r="F24" s="18">
        <f>SUM(F7:F23)</f>
        <v>1</v>
      </c>
      <c r="G24" s="29">
        <f>SUM(G7:G23)</f>
        <v>3</v>
      </c>
      <c r="H24" s="19" t="s">
        <v>13</v>
      </c>
    </row>
    <row r="25" spans="1:10" x14ac:dyDescent="0.25">
      <c r="F25" s="28" t="s">
        <v>25</v>
      </c>
      <c r="G25" s="20" t="e">
        <f>-G24*G4+C4</f>
        <v>#VALUE!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/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/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/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ED086B-D50A-4238-968B-AD725D797452}"/>
</file>

<file path=customXml/itemProps2.xml><?xml version="1.0" encoding="utf-8"?>
<ds:datastoreItem xmlns:ds="http://schemas.openxmlformats.org/officeDocument/2006/customXml" ds:itemID="{7958333F-5084-4AAC-95B0-3521F91F4E44}"/>
</file>

<file path=customXml/itemProps3.xml><?xml version="1.0" encoding="utf-8"?>
<ds:datastoreItem xmlns:ds="http://schemas.openxmlformats.org/officeDocument/2006/customXml" ds:itemID="{7C4DA98B-985F-45B8-A292-1C4B46774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Kit build</vt:lpstr>
      <vt:lpstr>707 pLATING</vt:lpstr>
      <vt:lpstr>JULIENNE VEG</vt:lpstr>
      <vt:lpstr>CREAMY MARINARA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2025-08-08T13:58:47Z</cp:lastPrinted>
  <dcterms:created xsi:type="dcterms:W3CDTF">2023-08-17T15:10:54Z</dcterms:created>
  <dcterms:modified xsi:type="dcterms:W3CDTF">2025-09-01T19:40:52Z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