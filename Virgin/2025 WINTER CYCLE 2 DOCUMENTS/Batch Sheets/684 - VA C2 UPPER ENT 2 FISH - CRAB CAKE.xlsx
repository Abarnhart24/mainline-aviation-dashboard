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Templates/"/>
    </mc:Choice>
  </mc:AlternateContent>
  <xr:revisionPtr revIDLastSave="84" documentId="8_{CCE1A0D3-01F9-427E-B024-E288E4B48E28}" xr6:coauthVersionLast="47" xr6:coauthVersionMax="47" xr10:uidLastSave="{AFC2C066-1B2C-48C5-817A-63FE50C027CB}"/>
  <bookViews>
    <workbookView xWindow="10140" yWindow="0" windowWidth="10455" windowHeight="10905" xr2:uid="{9D773142-25FF-402D-A059-87F5C56EFE7F}"/>
  </bookViews>
  <sheets>
    <sheet name="684 - KIT BUILD" sheetId="9" r:id="rId1"/>
    <sheet name="684 -PLATING " sheetId="7" r:id="rId2"/>
    <sheet name="Crab Cake Mix" sheetId="12" r:id="rId3"/>
    <sheet name="Mayo Base" sheetId="13" r:id="rId4"/>
    <sheet name="Grilled Aspraragus" sheetId="14" r:id="rId5"/>
    <sheet name="Garlic THyme Mash Potatoes" sheetId="11" r:id="rId6"/>
    <sheet name="Mustard Buerre Blanc" sheetId="10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4" l="1"/>
  <c r="F22" i="14" s="1"/>
  <c r="G22" i="14" s="1"/>
  <c r="F12" i="14"/>
  <c r="G12" i="14" s="1"/>
  <c r="F10" i="14"/>
  <c r="G10" i="14" s="1"/>
  <c r="F8" i="14"/>
  <c r="G8" i="14" s="1"/>
  <c r="F7" i="14" l="1"/>
  <c r="F9" i="14"/>
  <c r="G9" i="14" s="1"/>
  <c r="F11" i="14"/>
  <c r="G11" i="14" s="1"/>
  <c r="F13" i="14"/>
  <c r="G13" i="14" s="1"/>
  <c r="F15" i="14"/>
  <c r="G15" i="14" s="1"/>
  <c r="F17" i="14"/>
  <c r="G17" i="14" s="1"/>
  <c r="F19" i="14"/>
  <c r="G19" i="14" s="1"/>
  <c r="F21" i="14"/>
  <c r="G21" i="14" s="1"/>
  <c r="F23" i="14"/>
  <c r="G23" i="14" s="1"/>
  <c r="F14" i="14"/>
  <c r="G14" i="14" s="1"/>
  <c r="F16" i="14"/>
  <c r="G16" i="14" s="1"/>
  <c r="F18" i="14"/>
  <c r="G18" i="14" s="1"/>
  <c r="F20" i="14"/>
  <c r="G20" i="14" s="1"/>
  <c r="D24" i="13"/>
  <c r="F20" i="13" s="1"/>
  <c r="G20" i="13" s="1"/>
  <c r="F8" i="13"/>
  <c r="G8" i="13" s="1"/>
  <c r="D24" i="12"/>
  <c r="F22" i="12" s="1"/>
  <c r="G22" i="12" s="1"/>
  <c r="F14" i="12"/>
  <c r="G14" i="12" s="1"/>
  <c r="F12" i="12"/>
  <c r="G12" i="12" s="1"/>
  <c r="F10" i="12"/>
  <c r="G10" i="12" s="1"/>
  <c r="F8" i="12"/>
  <c r="G8" i="12" s="1"/>
  <c r="G7" i="14" l="1"/>
  <c r="G24" i="14" s="1"/>
  <c r="G25" i="14" s="1"/>
  <c r="F24" i="14"/>
  <c r="F10" i="13"/>
  <c r="G10" i="13" s="1"/>
  <c r="F14" i="13"/>
  <c r="G14" i="13" s="1"/>
  <c r="F18" i="13"/>
  <c r="G18" i="13" s="1"/>
  <c r="F22" i="13"/>
  <c r="G22" i="13" s="1"/>
  <c r="F7" i="13"/>
  <c r="F9" i="13"/>
  <c r="G9" i="13" s="1"/>
  <c r="F11" i="13"/>
  <c r="G11" i="13" s="1"/>
  <c r="F13" i="13"/>
  <c r="G13" i="13" s="1"/>
  <c r="F15" i="13"/>
  <c r="G15" i="13" s="1"/>
  <c r="F17" i="13"/>
  <c r="G17" i="13" s="1"/>
  <c r="F19" i="13"/>
  <c r="G19" i="13" s="1"/>
  <c r="F21" i="13"/>
  <c r="G21" i="13" s="1"/>
  <c r="F23" i="13"/>
  <c r="G23" i="13" s="1"/>
  <c r="F12" i="13"/>
  <c r="G12" i="13" s="1"/>
  <c r="F16" i="13"/>
  <c r="G16" i="13" s="1"/>
  <c r="F7" i="12"/>
  <c r="F9" i="12"/>
  <c r="G9" i="12" s="1"/>
  <c r="F11" i="12"/>
  <c r="G11" i="12" s="1"/>
  <c r="F13" i="12"/>
  <c r="G13" i="12" s="1"/>
  <c r="F15" i="12"/>
  <c r="G15" i="12" s="1"/>
  <c r="F17" i="12"/>
  <c r="G17" i="12" s="1"/>
  <c r="F19" i="12"/>
  <c r="G19" i="12" s="1"/>
  <c r="F21" i="12"/>
  <c r="G21" i="12" s="1"/>
  <c r="F23" i="12"/>
  <c r="G23" i="12" s="1"/>
  <c r="F16" i="12"/>
  <c r="G16" i="12" s="1"/>
  <c r="F18" i="12"/>
  <c r="G18" i="12" s="1"/>
  <c r="F20" i="12"/>
  <c r="G20" i="12" s="1"/>
  <c r="G7" i="13" l="1"/>
  <c r="G24" i="13" s="1"/>
  <c r="G25" i="13" s="1"/>
  <c r="F24" i="13"/>
  <c r="G7" i="12"/>
  <c r="G24" i="12" s="1"/>
  <c r="G25" i="12" s="1"/>
  <c r="F24" i="12"/>
  <c r="D24" i="11"/>
  <c r="F22" i="11" s="1"/>
  <c r="G22" i="11" s="1"/>
  <c r="F7" i="11" l="1"/>
  <c r="F9" i="11"/>
  <c r="G9" i="11" s="1"/>
  <c r="F11" i="11"/>
  <c r="G11" i="11" s="1"/>
  <c r="F13" i="11"/>
  <c r="G13" i="11" s="1"/>
  <c r="F15" i="11"/>
  <c r="G15" i="11" s="1"/>
  <c r="F17" i="11"/>
  <c r="G17" i="11" s="1"/>
  <c r="F19" i="11"/>
  <c r="G19" i="11" s="1"/>
  <c r="F21" i="11"/>
  <c r="G21" i="11" s="1"/>
  <c r="F23" i="11"/>
  <c r="G23" i="11" s="1"/>
  <c r="F8" i="11"/>
  <c r="G8" i="11" s="1"/>
  <c r="F10" i="11"/>
  <c r="G10" i="11" s="1"/>
  <c r="F12" i="11"/>
  <c r="G12" i="11" s="1"/>
  <c r="F14" i="11"/>
  <c r="G14" i="11" s="1"/>
  <c r="F16" i="11"/>
  <c r="G16" i="11" s="1"/>
  <c r="F18" i="11"/>
  <c r="G18" i="11" s="1"/>
  <c r="F20" i="11"/>
  <c r="G20" i="11" s="1"/>
  <c r="F24" i="11" l="1"/>
  <c r="G7" i="11"/>
  <c r="G24" i="11" s="1"/>
  <c r="G25" i="11" s="1"/>
  <c r="D24" i="10" l="1"/>
  <c r="F17" i="10" s="1"/>
  <c r="G17" i="10" s="1"/>
  <c r="G19" i="10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D24" i="7"/>
  <c r="F21" i="7" s="1"/>
  <c r="G21" i="7" s="1"/>
  <c r="F20" i="10" l="1"/>
  <c r="G20" i="10" s="1"/>
  <c r="F22" i="10"/>
  <c r="G22" i="10" s="1"/>
  <c r="F8" i="10"/>
  <c r="G8" i="10" s="1"/>
  <c r="F12" i="10"/>
  <c r="G12" i="10" s="1"/>
  <c r="F16" i="10"/>
  <c r="G16" i="10" s="1"/>
  <c r="F21" i="10"/>
  <c r="G21" i="10" s="1"/>
  <c r="F23" i="10"/>
  <c r="G23" i="10" s="1"/>
  <c r="F10" i="10"/>
  <c r="G10" i="10" s="1"/>
  <c r="F14" i="10"/>
  <c r="G14" i="10" s="1"/>
  <c r="F18" i="10"/>
  <c r="G18" i="10" s="1"/>
  <c r="F7" i="10"/>
  <c r="F9" i="10"/>
  <c r="G9" i="10" s="1"/>
  <c r="F11" i="10"/>
  <c r="G11" i="10" s="1"/>
  <c r="F13" i="10"/>
  <c r="G13" i="10" s="1"/>
  <c r="F15" i="10"/>
  <c r="G15" i="10" s="1"/>
  <c r="F9" i="7"/>
  <c r="G9" i="7" s="1"/>
  <c r="F14" i="7"/>
  <c r="G14" i="7" s="1"/>
  <c r="F17" i="7"/>
  <c r="G17" i="7" s="1"/>
  <c r="F22" i="7"/>
  <c r="G22" i="7" s="1"/>
  <c r="F13" i="7"/>
  <c r="G13" i="7" s="1"/>
  <c r="F8" i="7"/>
  <c r="G8" i="7" s="1"/>
  <c r="F11" i="7"/>
  <c r="G11" i="7" s="1"/>
  <c r="F16" i="7"/>
  <c r="G16" i="7" s="1"/>
  <c r="F19" i="7"/>
  <c r="G19" i="7" s="1"/>
  <c r="F7" i="7"/>
  <c r="F12" i="7"/>
  <c r="G12" i="7" s="1"/>
  <c r="F15" i="7"/>
  <c r="G15" i="7" s="1"/>
  <c r="F20" i="7"/>
  <c r="G20" i="7" s="1"/>
  <c r="F23" i="7"/>
  <c r="G23" i="7" s="1"/>
  <c r="F10" i="7"/>
  <c r="G10" i="7" s="1"/>
  <c r="F18" i="7"/>
  <c r="G18" i="7" s="1"/>
  <c r="G7" i="10" l="1"/>
  <c r="G24" i="10" s="1"/>
  <c r="G25" i="10" s="1"/>
  <c r="F24" i="10"/>
  <c r="F24" i="7"/>
  <c r="G7" i="7"/>
  <c r="G24" i="7" s="1"/>
</calcChain>
</file>

<file path=xl/sharedStrings.xml><?xml version="1.0" encoding="utf-8"?>
<sst xmlns="http://schemas.openxmlformats.org/spreadsheetml/2006/main" count="415" uniqueCount="143">
  <si>
    <t>Formula Name:</t>
  </si>
  <si>
    <t>R&amp;D ID Number:</t>
  </si>
  <si>
    <t>Version #:</t>
  </si>
  <si>
    <t>Batch Number:</t>
  </si>
  <si>
    <t>Item Number</t>
  </si>
  <si>
    <t>Description</t>
  </si>
  <si>
    <t>Original Fromula</t>
  </si>
  <si>
    <t>UOM</t>
  </si>
  <si>
    <t>%</t>
  </si>
  <si>
    <t>Desired (lb)</t>
  </si>
  <si>
    <t>Lot Code</t>
  </si>
  <si>
    <t>Notes</t>
  </si>
  <si>
    <t>Total Sample Formula Weight:</t>
  </si>
  <si>
    <t>Total Weight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</si>
  <si>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</si>
  <si>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</si>
  <si>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</si>
  <si>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</si>
  <si>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</si>
  <si>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</si>
  <si>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</si>
  <si>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Desired BOWLS (ea):</t>
  </si>
  <si>
    <t>Desired QTY (lb):</t>
  </si>
  <si>
    <t>Yield Loss:</t>
  </si>
  <si>
    <t>lb</t>
  </si>
  <si>
    <t>Weight After Yield Loss</t>
  </si>
  <si>
    <t>GM</t>
  </si>
  <si>
    <t>Desired Cases:</t>
  </si>
  <si>
    <t>Desired Qty</t>
  </si>
  <si>
    <t>Each</t>
  </si>
  <si>
    <t>Original formula builds one kit.</t>
  </si>
  <si>
    <t xml:space="preserve">Pack all items according to the build and label the master case. </t>
  </si>
  <si>
    <t>Hold under refrigeration below 41 degrees for shipping</t>
  </si>
  <si>
    <t>684 - VA C2 UPPER ENT 2 FISH - CRAB CAKE</t>
  </si>
  <si>
    <t>684 - VA C2 UPPER ENT 2 FISH KIT - CRAB CAKE</t>
  </si>
  <si>
    <t>Seared Crab Cake</t>
  </si>
  <si>
    <t>Grain Mustard Beurre Bland</t>
  </si>
  <si>
    <t>Grilled Asparagus</t>
  </si>
  <si>
    <t>Herb Mash Potatoes</t>
  </si>
  <si>
    <t>LBS</t>
  </si>
  <si>
    <t>Mustard Beurre Blanc Sauce</t>
  </si>
  <si>
    <t>C110</t>
  </si>
  <si>
    <t>HEAVY WHIPPING CREAM 36%</t>
  </si>
  <si>
    <t>P302</t>
  </si>
  <si>
    <t>MILK WHOLE 4 /1GAL</t>
  </si>
  <si>
    <t>WATER</t>
  </si>
  <si>
    <t>D257</t>
  </si>
  <si>
    <t>OIL BLENDED 75%/25%</t>
  </si>
  <si>
    <t>D089</t>
  </si>
  <si>
    <t>SALT EVAPORATED</t>
  </si>
  <si>
    <t>D142</t>
  </si>
  <si>
    <t>SPICE PEPPER WHITE GROUND L</t>
  </si>
  <si>
    <t>C298</t>
  </si>
  <si>
    <t>GARLIC PEELED</t>
  </si>
  <si>
    <t>D218</t>
  </si>
  <si>
    <t>STARCH THERM FLOR</t>
  </si>
  <si>
    <t>C169</t>
  </si>
  <si>
    <t>BUTTER UNSALTED</t>
  </si>
  <si>
    <t>D169</t>
  </si>
  <si>
    <t>WHOLE MILK POWDER</t>
  </si>
  <si>
    <t>D160</t>
  </si>
  <si>
    <t>SUGAR GRANULATED</t>
  </si>
  <si>
    <t>C193</t>
  </si>
  <si>
    <t>SHALLOT WHOLE PEELED</t>
  </si>
  <si>
    <t>D197</t>
  </si>
  <si>
    <t>MUSTARD CLASSIC DIJON 2EA/CS</t>
  </si>
  <si>
    <t>NEW</t>
  </si>
  <si>
    <t>WHOLE GRAIN DIJON MUSTARD</t>
  </si>
  <si>
    <t>Add all ingredients highlighted in green to pot and heat over high heat</t>
  </si>
  <si>
    <t>Reserve some water from Recipe for slurry</t>
  </si>
  <si>
    <t>Add Thermflo to reserved water and add to pot of ingredients once mixture reaches 180F</t>
  </si>
  <si>
    <t>Whisk together and remove from heat once thickened</t>
  </si>
  <si>
    <t>Cool to below 40F</t>
  </si>
  <si>
    <t>gen 25-211</t>
  </si>
  <si>
    <t>Garlic Thyme Mash Potatoes</t>
  </si>
  <si>
    <t>GEN 25-127</t>
  </si>
  <si>
    <t>C348</t>
  </si>
  <si>
    <t xml:space="preserve">Yukon Gold Potatoes, cooked mashed </t>
  </si>
  <si>
    <t>Butter, unsalted, melted</t>
  </si>
  <si>
    <t>C028</t>
  </si>
  <si>
    <t xml:space="preserve">Cream Cheese </t>
  </si>
  <si>
    <t>C111</t>
  </si>
  <si>
    <t xml:space="preserve">Thyme, fresh, chopped </t>
  </si>
  <si>
    <t>D051</t>
  </si>
  <si>
    <t xml:space="preserve">Garlic, minced </t>
  </si>
  <si>
    <t>D090</t>
  </si>
  <si>
    <t>Salt , kosher</t>
  </si>
  <si>
    <t xml:space="preserve">While potatoes are still hot, mix all ingredients together in standmixer with paddle attachment. </t>
  </si>
  <si>
    <t>Do not over mix</t>
  </si>
  <si>
    <t>Chill and store below 40F</t>
  </si>
  <si>
    <t>Crab Cake Mix</t>
  </si>
  <si>
    <t>GEN 25-062</t>
  </si>
  <si>
    <t>Crab, Premium Lump</t>
  </si>
  <si>
    <t xml:space="preserve">Inland Seafood </t>
  </si>
  <si>
    <t>Mayo Base</t>
  </si>
  <si>
    <t xml:space="preserve">SUB RECIPE ATTACHED </t>
  </si>
  <si>
    <t xml:space="preserve">Cracker Crumb, Ritz Crushed </t>
  </si>
  <si>
    <t>Sysco - 4321972</t>
  </si>
  <si>
    <t xml:space="preserve">QA to sign off on Batch Sheet to make sure all measurements are correct. </t>
  </si>
  <si>
    <t xml:space="preserve">Take the crab and have QA &amp; RD sign off that the temp is 41 degrees or lower.  </t>
  </si>
  <si>
    <t>Place all ingredients in a large mixing bowl.</t>
  </si>
  <si>
    <t xml:space="preserve">Mix to combine ingredients - Do Not Overmix, there should still be large chunks of cran meat. </t>
  </si>
  <si>
    <t xml:space="preserve">Mayo Base, Crab Cake </t>
  </si>
  <si>
    <t>GEN 25-061</t>
  </si>
  <si>
    <t>P304</t>
  </si>
  <si>
    <t>MAYONNAISE</t>
  </si>
  <si>
    <t>P292</t>
  </si>
  <si>
    <t>Egg, Liquid Whole</t>
  </si>
  <si>
    <t>Salt, Kosher</t>
  </si>
  <si>
    <t>P284</t>
  </si>
  <si>
    <t>Lemon Juice</t>
  </si>
  <si>
    <t xml:space="preserve">Mustard, Dijon </t>
  </si>
  <si>
    <t>D100</t>
  </si>
  <si>
    <t>SAUCE WORCESTERSHIRE LEA PERRINS</t>
  </si>
  <si>
    <t xml:space="preserve">Spice, Old Bay Seasoning </t>
  </si>
  <si>
    <t>D109</t>
  </si>
  <si>
    <t xml:space="preserve">Oil, Blended </t>
  </si>
  <si>
    <t xml:space="preserve">Combine all ingrdients together in a cambro and immersion blend. </t>
  </si>
  <si>
    <t>Chill to 70 degrees in 2 hours and to 41 degrees or lower in 4 or less hours.</t>
  </si>
  <si>
    <t xml:space="preserve">Refrigerate for up to 7 days and use for Crab Cake recipe. </t>
  </si>
  <si>
    <t>WIP</t>
  </si>
  <si>
    <t>S013</t>
  </si>
  <si>
    <t>BAG 2# - VACUUM 8X10" 3mm</t>
  </si>
  <si>
    <t>S196</t>
  </si>
  <si>
    <t xml:space="preserve">BAG 5# - VACUUM 10X16" 3mm </t>
  </si>
  <si>
    <t>S087</t>
  </si>
  <si>
    <t>PAN HALF SIZE ALUMINUM 84OZ</t>
  </si>
  <si>
    <t>S042</t>
  </si>
  <si>
    <t>LID HALF SIZE ALUMINUM TABLE</t>
  </si>
  <si>
    <t>S055</t>
  </si>
  <si>
    <t>LABELS 4X6"</t>
  </si>
  <si>
    <t>S023</t>
  </si>
  <si>
    <t>BOX DELTA 64</t>
  </si>
  <si>
    <t>GRILLED ASPARAGUS</t>
  </si>
  <si>
    <t>Original Formula</t>
  </si>
  <si>
    <t>C344</t>
  </si>
  <si>
    <t>ASPARAGUS FRESH</t>
  </si>
  <si>
    <t>SALT KOSHER</t>
  </si>
  <si>
    <t xml:space="preserve">Toss Ingredients together </t>
  </si>
  <si>
    <t>Add seasoned veg to grill, allow to cook for 45-6seconds befroe flipping, allow grill marks to develop</t>
  </si>
  <si>
    <t>Store Below 40F until ready for pack out</t>
  </si>
  <si>
    <t>GEN 25-212</t>
  </si>
  <si>
    <t>GEN 25-211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</si>
</sst>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2121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3" borderId="0" xfId="0" applyFill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2" fontId="0" fillId="3" borderId="4" xfId="1" applyNumberFormat="1" applyFont="1" applyFill="1" applyBorder="1" applyAlignment="1">
      <alignment horizontal="center"/>
    </xf>
    <xf numFmtId="0" fontId="0" fillId="0" borderId="4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0" fontId="0" fillId="4" borderId="0" xfId="0" applyFill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9" fontId="0" fillId="0" borderId="0" xfId="2" applyFont="1" applyFill="1" applyAlignment="1">
      <alignment horizontal="center"/>
    </xf>
    <xf numFmtId="0" fontId="0" fillId="5" borderId="4" xfId="0" applyFill="1" applyBorder="1" applyProtection="1">
      <protection locked="0"/>
    </xf>
    <xf numFmtId="164" fontId="0" fillId="4" borderId="0" xfId="0" applyNumberFormat="1" applyFill="1" applyAlignment="1">
      <alignment horizontal="center"/>
    </xf>
    <xf numFmtId="9" fontId="0" fillId="6" borderId="0" xfId="2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2" borderId="2" xfId="0" applyFill="1" applyBorder="1" applyAlignment="1">
      <alignment horizontal="left"/>
    </xf>
    <xf numFmtId="0" fontId="4" fillId="0" borderId="4" xfId="0" applyFont="1" applyBorder="1" applyAlignment="1">
      <alignment horizontal="center" vertical="center"/>
    </xf>
    <xf numFmtId="164" fontId="0" fillId="5" borderId="0" xfId="0" applyNumberFormat="1" applyFill="1" applyAlignment="1">
      <alignment horizontal="center"/>
    </xf>
    <xf numFmtId="0" fontId="0" fillId="5" borderId="0" xfId="0" applyFill="1"/>
    <xf numFmtId="0" fontId="0" fillId="7" borderId="10" xfId="0" applyFill="1" applyBorder="1"/>
    <xf numFmtId="0" fontId="0" fillId="7" borderId="4" xfId="0" applyFill="1" applyBorder="1"/>
    <xf numFmtId="0" fontId="5" fillId="7" borderId="4" xfId="0" applyFont="1" applyFill="1" applyBorder="1"/>
    <xf numFmtId="0" fontId="5" fillId="8" borderId="4" xfId="0" applyFont="1" applyFill="1" applyBorder="1"/>
    <xf numFmtId="0" fontId="5" fillId="9" borderId="4" xfId="0" applyFont="1" applyFill="1" applyBorder="1"/>
    <xf numFmtId="0" fontId="5" fillId="0" borderId="4" xfId="0" applyFont="1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3" fillId="2" borderId="4" xfId="0" applyFont="1" applyFill="1" applyBorder="1" applyAlignment="1">
      <alignment horizontal="center"/>
    </xf>
    <xf numFmtId="44" fontId="0" fillId="0" borderId="5" xfId="1" applyFont="1" applyBorder="1" applyAlignment="1" applyProtection="1">
      <alignment horizontal="center"/>
      <protection locked="0"/>
    </xf>
    <xf numFmtId="44" fontId="0" fillId="0" borderId="6" xfId="1" applyFont="1" applyBorder="1" applyAlignment="1" applyProtection="1">
      <alignment horizontal="center"/>
      <protection locked="0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0" borderId="5" xfId="0" applyBorder="1"/>
    <xf numFmtId="0" fontId="0" fillId="0" borderId="9" xfId="0" applyBorder="1"/>
    <xf numFmtId="0" fontId="0" fillId="0" borderId="6" xfId="0" applyBorder="1"/>
    <xf numFmtId="0" fontId="0" fillId="5" borderId="5" xfId="0" applyFill="1" applyBorder="1"/>
    <xf numFmtId="0" fontId="0" fillId="5" borderId="9" xfId="0" applyFill="1" applyBorder="1"/>
    <xf numFmtId="0" fontId="0" fillId="5" borderId="6" xfId="0" applyFill="1" applyBorder="1"/>
    <xf numFmtId="0" fontId="0" fillId="10" borderId="4" xfId="0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E51D8-C304-4D16-91D4-6E0DFCA9A44E}">
  <sheetPr>
    <pageSetUpPr fitToPage="1"/>
  </sheetPr>
  <dimension ref="A1:I43"/>
  <sheetViews>
    <sheetView tabSelected="1" topLeftCell="B1" zoomScale="85" zoomScaleNormal="85" workbookViewId="0">
      <selection activeCell="C21" sqref="C21"/>
    </sheetView>
  </sheetViews>
  <sheetFormatPr defaultRowHeight="15" x14ac:dyDescent="0.25"/>
  <cols>
    <col min="1" max="1" width="3.5703125" style="1" customWidth="1"/>
    <col min="2" max="2" width="21.42578125" customWidth="1"/>
    <col min="3" max="3" width="41.7109375" bestFit="1" customWidth="1"/>
    <col min="4" max="4" width="17.5703125" style="2" customWidth="1"/>
    <col min="5" max="5" width="6.5703125" style="2" customWidth="1"/>
    <col min="6" max="6" width="12.5703125" style="2" customWidth="1"/>
    <col min="7" max="8" width="12.5703125" customWidth="1"/>
    <col min="9" max="9" width="37.42578125" customWidth="1"/>
  </cols>
  <sheetData>
    <row r="1" spans="1:9" ht="15.75" thickBot="1" x14ac:dyDescent="0.3"/>
    <row r="2" spans="1:9" ht="15.75" thickBot="1" x14ac:dyDescent="0.3">
      <c r="B2" s="3" t="s">
        <v>0</v>
      </c>
      <c r="C2" s="4" t="s">
        <v>34</v>
      </c>
      <c r="D2" s="5" t="s">
        <v>1</v>
      </c>
      <c r="E2" s="30"/>
      <c r="F2" s="4"/>
      <c r="G2" s="6" t="s">
        <v>2</v>
      </c>
      <c r="H2" s="7"/>
      <c r="I2" s="8" t="s">
        <v>3</v>
      </c>
    </row>
    <row r="3" spans="1:9" ht="5.25" customHeight="1" x14ac:dyDescent="0.25">
      <c r="B3" s="1"/>
      <c r="D3" s="9"/>
      <c r="G3" s="1"/>
      <c r="H3" s="1"/>
      <c r="I3" s="2"/>
    </row>
    <row r="4" spans="1:9" x14ac:dyDescent="0.25">
      <c r="B4" s="2" t="s">
        <v>27</v>
      </c>
      <c r="C4" s="10">
        <v>1</v>
      </c>
      <c r="D4" s="9"/>
      <c r="F4" s="25"/>
      <c r="H4" s="1"/>
      <c r="I4" s="2"/>
    </row>
    <row r="5" spans="1:9" ht="5.25" customHeight="1" x14ac:dyDescent="0.25">
      <c r="B5" s="1"/>
      <c r="C5">
        <v>5</v>
      </c>
      <c r="D5" s="9"/>
      <c r="G5" s="1"/>
      <c r="H5" s="1"/>
      <c r="I5" s="2"/>
    </row>
    <row r="6" spans="1:9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28</v>
      </c>
      <c r="G6" s="46" t="s">
        <v>10</v>
      </c>
      <c r="H6" s="47"/>
      <c r="I6" s="11" t="s">
        <v>11</v>
      </c>
    </row>
    <row r="7" spans="1:9" x14ac:dyDescent="0.25">
      <c r="A7" s="1">
        <v>1</v>
      </c>
      <c r="B7" s="12" t="s">
        <v>120</v>
      </c>
      <c r="C7" s="31" t="s">
        <v>35</v>
      </c>
      <c r="D7" s="13">
        <v>30</v>
      </c>
      <c r="E7" s="13" t="s">
        <v>29</v>
      </c>
      <c r="F7" s="15">
        <f>C4*D7</f>
        <v>30</v>
      </c>
      <c r="G7" s="44"/>
      <c r="H7" s="45"/>
      <c r="I7" s="26"/>
    </row>
    <row r="8" spans="1:9" x14ac:dyDescent="0.25">
      <c r="A8" s="1">
        <v>2</v>
      </c>
      <c r="B8" s="12" t="s">
        <v>120</v>
      </c>
      <c r="C8" s="31" t="s">
        <v>36</v>
      </c>
      <c r="D8" s="2">
        <v>1.5</v>
      </c>
      <c r="E8" s="13" t="s">
        <v>39</v>
      </c>
      <c r="F8" s="15">
        <f>C4*D8</f>
        <v>1.5</v>
      </c>
      <c r="G8" s="44"/>
      <c r="H8" s="45"/>
      <c r="I8" s="16"/>
    </row>
    <row r="9" spans="1:9" x14ac:dyDescent="0.25">
      <c r="A9" s="1">
        <v>3</v>
      </c>
      <c r="B9" s="12" t="s">
        <v>120</v>
      </c>
      <c r="C9" s="31" t="s">
        <v>37</v>
      </c>
      <c r="D9" s="13">
        <v>2</v>
      </c>
      <c r="E9" s="13" t="s">
        <v>39</v>
      </c>
      <c r="F9" s="15">
        <f>C4*D9</f>
        <v>2</v>
      </c>
      <c r="G9" s="44"/>
      <c r="H9" s="45"/>
      <c r="I9" s="16"/>
    </row>
    <row r="10" spans="1:9" x14ac:dyDescent="0.25">
      <c r="A10" s="1">
        <v>4</v>
      </c>
      <c r="B10" s="12" t="s">
        <v>120</v>
      </c>
      <c r="C10" s="31" t="s">
        <v>38</v>
      </c>
      <c r="D10" s="13">
        <v>3</v>
      </c>
      <c r="E10" s="13" t="s">
        <v>39</v>
      </c>
      <c r="F10" s="15">
        <f>C4*D10</f>
        <v>3</v>
      </c>
      <c r="G10" s="44"/>
      <c r="H10" s="45"/>
      <c r="I10" s="16"/>
    </row>
    <row r="11" spans="1:9" x14ac:dyDescent="0.25">
      <c r="A11" s="1">
        <v>5</v>
      </c>
      <c r="B11" s="12"/>
      <c r="C11" s="31"/>
      <c r="D11" s="13"/>
      <c r="E11" s="13"/>
      <c r="F11" s="15">
        <f>C4*D11</f>
        <v>0</v>
      </c>
      <c r="G11" s="44"/>
      <c r="H11" s="45"/>
      <c r="I11" s="16"/>
    </row>
    <row r="12" spans="1:9" x14ac:dyDescent="0.25">
      <c r="A12" s="1">
        <v>6</v>
      </c>
      <c r="B12" s="12" t="s">
        <v>121</v>
      </c>
      <c r="C12" s="13" t="s">
        <v>122</v>
      </c>
      <c r="D12" s="13">
        <v>2</v>
      </c>
      <c r="E12" s="13" t="s">
        <v>29</v>
      </c>
      <c r="F12" s="15">
        <f>C4*D12</f>
        <v>2</v>
      </c>
      <c r="G12" s="44"/>
      <c r="H12" s="45"/>
      <c r="I12" s="16"/>
    </row>
    <row r="13" spans="1:9" x14ac:dyDescent="0.25">
      <c r="A13" s="1">
        <v>7</v>
      </c>
      <c r="B13" s="12" t="s">
        <v>123</v>
      </c>
      <c r="C13" s="13" t="s">
        <v>124</v>
      </c>
      <c r="D13" s="13">
        <v>1</v>
      </c>
      <c r="E13" s="13" t="s">
        <v>29</v>
      </c>
      <c r="F13" s="15">
        <f t="shared" ref="F13" si="0">C5*D13</f>
        <v>5</v>
      </c>
      <c r="G13" s="44"/>
      <c r="H13" s="45"/>
      <c r="I13" s="16"/>
    </row>
    <row r="14" spans="1:9" x14ac:dyDescent="0.25">
      <c r="A14" s="1">
        <v>8</v>
      </c>
      <c r="B14" s="12" t="s">
        <v>125</v>
      </c>
      <c r="C14" s="13" t="s">
        <v>126</v>
      </c>
      <c r="D14" s="13">
        <v>2</v>
      </c>
      <c r="E14" s="13" t="s">
        <v>29</v>
      </c>
      <c r="F14" s="15">
        <f>C4*D14</f>
        <v>2</v>
      </c>
      <c r="G14" s="44"/>
      <c r="H14" s="45"/>
      <c r="I14" s="16"/>
    </row>
    <row r="15" spans="1:9" x14ac:dyDescent="0.25">
      <c r="A15" s="1">
        <v>9</v>
      </c>
      <c r="B15" s="12" t="s">
        <v>127</v>
      </c>
      <c r="C15" s="13" t="s">
        <v>128</v>
      </c>
      <c r="D15" s="13">
        <v>2</v>
      </c>
      <c r="E15" s="13" t="s">
        <v>29</v>
      </c>
      <c r="F15" s="15">
        <f>C4*D15</f>
        <v>2</v>
      </c>
      <c r="G15" s="44"/>
      <c r="H15" s="45"/>
      <c r="I15" s="16"/>
    </row>
    <row r="16" spans="1:9" x14ac:dyDescent="0.25">
      <c r="A16" s="1">
        <v>10</v>
      </c>
      <c r="B16" s="12" t="s">
        <v>129</v>
      </c>
      <c r="C16" s="13" t="s">
        <v>130</v>
      </c>
      <c r="D16" s="13">
        <v>7</v>
      </c>
      <c r="E16" s="13" t="s">
        <v>29</v>
      </c>
      <c r="F16" s="15">
        <f>C4*D16</f>
        <v>7</v>
      </c>
      <c r="G16" s="44"/>
      <c r="H16" s="45"/>
      <c r="I16" s="16"/>
    </row>
    <row r="17" spans="1:9" x14ac:dyDescent="0.25">
      <c r="A17" s="1">
        <v>11</v>
      </c>
      <c r="B17" s="12" t="s">
        <v>131</v>
      </c>
      <c r="C17" s="13" t="s">
        <v>132</v>
      </c>
      <c r="D17" s="13">
        <v>1</v>
      </c>
      <c r="E17" s="13" t="s">
        <v>29</v>
      </c>
      <c r="F17" s="15">
        <f>C4*D17</f>
        <v>1</v>
      </c>
      <c r="G17" s="44"/>
      <c r="H17" s="45"/>
      <c r="I17" s="16"/>
    </row>
    <row r="18" spans="1:9" x14ac:dyDescent="0.25">
      <c r="A18" s="1">
        <v>12</v>
      </c>
      <c r="B18" s="12"/>
      <c r="C18" s="12"/>
      <c r="D18" s="13"/>
      <c r="E18" s="13"/>
      <c r="F18" s="15">
        <f>C4*D18</f>
        <v>0</v>
      </c>
      <c r="G18" s="44"/>
      <c r="H18" s="45"/>
      <c r="I18" s="16"/>
    </row>
    <row r="19" spans="1:9" x14ac:dyDescent="0.25">
      <c r="A19" s="1">
        <v>13</v>
      </c>
      <c r="B19" s="12"/>
      <c r="C19" s="12"/>
      <c r="D19" s="13"/>
      <c r="E19" s="13"/>
      <c r="F19" s="15">
        <f>C4*D19</f>
        <v>0</v>
      </c>
      <c r="G19" s="44"/>
      <c r="H19" s="45"/>
      <c r="I19" s="16"/>
    </row>
    <row r="20" spans="1:9" x14ac:dyDescent="0.25">
      <c r="A20" s="1">
        <v>14</v>
      </c>
      <c r="B20" s="12"/>
      <c r="C20" s="12"/>
      <c r="D20" s="13"/>
      <c r="E20" s="13"/>
      <c r="F20" s="15">
        <f>C4*D20</f>
        <v>0</v>
      </c>
      <c r="G20" s="44"/>
      <c r="H20" s="45"/>
      <c r="I20" s="16"/>
    </row>
    <row r="21" spans="1:9" x14ac:dyDescent="0.25">
      <c r="A21" s="1">
        <v>15</v>
      </c>
      <c r="B21" s="12"/>
      <c r="C21" s="12"/>
      <c r="D21" s="13"/>
      <c r="E21" s="13"/>
      <c r="F21" s="15">
        <f>C4*D21</f>
        <v>0</v>
      </c>
      <c r="G21" s="44"/>
      <c r="H21" s="45"/>
      <c r="I21" s="16"/>
    </row>
    <row r="22" spans="1:9" x14ac:dyDescent="0.25">
      <c r="A22" s="1">
        <v>16</v>
      </c>
      <c r="B22" s="12"/>
      <c r="C22" s="12"/>
      <c r="D22" s="13"/>
      <c r="E22" s="13"/>
      <c r="F22" s="15">
        <f>C4*D22</f>
        <v>0</v>
      </c>
      <c r="G22" s="44"/>
      <c r="H22" s="45"/>
      <c r="I22" s="16"/>
    </row>
    <row r="23" spans="1:9" x14ac:dyDescent="0.25">
      <c r="A23" s="1">
        <v>17</v>
      </c>
      <c r="B23" s="12"/>
      <c r="C23" s="12"/>
      <c r="D23" s="13"/>
      <c r="E23" s="13"/>
      <c r="F23" s="15">
        <f>C4*D23</f>
        <v>0</v>
      </c>
      <c r="G23" s="44"/>
      <c r="H23" s="45"/>
      <c r="I23" s="16"/>
    </row>
    <row r="24" spans="1:9" x14ac:dyDescent="0.25">
      <c r="C24" s="17"/>
      <c r="D24" s="1"/>
      <c r="F24" s="32"/>
      <c r="G24" s="33"/>
    </row>
    <row r="25" spans="1:9" x14ac:dyDescent="0.25">
      <c r="F25" s="20"/>
    </row>
    <row r="26" spans="1:9" ht="15.75" x14ac:dyDescent="0.25">
      <c r="A26"/>
      <c r="B26" s="43" t="s">
        <v>14</v>
      </c>
      <c r="C26" s="43"/>
      <c r="D26" s="43"/>
      <c r="E26" s="43"/>
      <c r="F26" s="43"/>
      <c r="G26" s="43"/>
      <c r="H26" s="43"/>
      <c r="I26" s="43"/>
    </row>
    <row r="27" spans="1:9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</row>
    <row r="28" spans="1:9" x14ac:dyDescent="0.25">
      <c r="A28" s="1">
        <v>1</v>
      </c>
      <c r="B28" s="42" t="s">
        <v>30</v>
      </c>
      <c r="C28" s="42"/>
      <c r="D28" s="42"/>
      <c r="E28" s="42"/>
      <c r="F28" s="42"/>
      <c r="G28" s="42"/>
      <c r="H28" s="42"/>
      <c r="I28" s="42"/>
    </row>
    <row r="29" spans="1:9" x14ac:dyDescent="0.25">
      <c r="A29" s="1">
        <v>2</v>
      </c>
      <c r="B29" s="42" t="s">
        <v>31</v>
      </c>
      <c r="C29" s="42"/>
      <c r="D29" s="42"/>
      <c r="E29" s="42"/>
      <c r="F29" s="42"/>
      <c r="G29" s="42"/>
      <c r="H29" s="42"/>
      <c r="I29" s="42"/>
    </row>
    <row r="30" spans="1:9" x14ac:dyDescent="0.25">
      <c r="A30" s="1">
        <v>3</v>
      </c>
      <c r="B30" s="42" t="s">
        <v>32</v>
      </c>
      <c r="C30" s="42"/>
      <c r="D30" s="42"/>
      <c r="E30" s="42"/>
      <c r="F30" s="42"/>
      <c r="G30" s="42"/>
      <c r="H30" s="42"/>
      <c r="I30" s="42"/>
    </row>
    <row r="31" spans="1:9" x14ac:dyDescent="0.25">
      <c r="A31" s="1">
        <v>4</v>
      </c>
      <c r="B31" s="42"/>
      <c r="C31" s="42"/>
      <c r="D31" s="42"/>
      <c r="E31" s="42"/>
      <c r="F31" s="42"/>
      <c r="G31" s="42"/>
      <c r="H31" s="42"/>
      <c r="I31" s="42"/>
    </row>
    <row r="32" spans="1:9" x14ac:dyDescent="0.25">
      <c r="A32" s="1">
        <v>5</v>
      </c>
      <c r="B32" s="42"/>
      <c r="C32" s="42"/>
      <c r="D32" s="42"/>
      <c r="E32" s="42"/>
      <c r="F32" s="42"/>
      <c r="G32" s="42"/>
      <c r="H32" s="42"/>
      <c r="I32" s="42"/>
    </row>
    <row r="33" spans="1:9" x14ac:dyDescent="0.25">
      <c r="A33" s="1">
        <v>6</v>
      </c>
      <c r="B33" s="42"/>
      <c r="C33" s="42"/>
      <c r="D33" s="42"/>
      <c r="E33" s="42"/>
      <c r="F33" s="42"/>
      <c r="G33" s="42"/>
      <c r="H33" s="42"/>
      <c r="I33" s="42"/>
    </row>
    <row r="34" spans="1:9" x14ac:dyDescent="0.25">
      <c r="A34" s="1">
        <v>7</v>
      </c>
      <c r="B34" s="42"/>
      <c r="C34" s="42"/>
      <c r="D34" s="42"/>
      <c r="E34" s="42"/>
      <c r="F34" s="42"/>
      <c r="G34" s="42"/>
      <c r="H34" s="42"/>
      <c r="I34" s="42"/>
    </row>
    <row r="35" spans="1:9" x14ac:dyDescent="0.25">
      <c r="A35" s="1">
        <v>8</v>
      </c>
      <c r="B35" s="42"/>
      <c r="C35" s="42"/>
      <c r="D35" s="42"/>
      <c r="E35" s="42"/>
      <c r="F35" s="42"/>
      <c r="G35" s="42"/>
      <c r="H35" s="42"/>
      <c r="I35" s="42"/>
    </row>
    <row r="36" spans="1:9" x14ac:dyDescent="0.25">
      <c r="A36" s="1">
        <v>9</v>
      </c>
      <c r="B36" s="42"/>
      <c r="C36" s="42"/>
      <c r="D36" s="42"/>
      <c r="E36" s="42"/>
      <c r="F36" s="42"/>
      <c r="G36" s="42"/>
      <c r="H36" s="42"/>
      <c r="I36" s="42"/>
    </row>
    <row r="37" spans="1:9" x14ac:dyDescent="0.25">
      <c r="A37" s="1">
        <v>10</v>
      </c>
      <c r="B37" s="42"/>
      <c r="C37" s="42"/>
      <c r="D37" s="42"/>
      <c r="E37" s="42"/>
      <c r="F37" s="42"/>
      <c r="G37" s="42"/>
      <c r="H37" s="42"/>
      <c r="I37" s="42"/>
    </row>
    <row r="38" spans="1:9" x14ac:dyDescent="0.25">
      <c r="A38" s="1">
        <v>11</v>
      </c>
      <c r="B38" s="42"/>
      <c r="C38" s="42"/>
      <c r="D38" s="42"/>
      <c r="E38" s="42"/>
      <c r="F38" s="42"/>
      <c r="G38" s="42"/>
      <c r="H38" s="42"/>
      <c r="I38" s="42"/>
    </row>
    <row r="40" spans="1:9" x14ac:dyDescent="0.25">
      <c r="B40" t="s">
        <v>16</v>
      </c>
    </row>
    <row r="42" spans="1:9" x14ac:dyDescent="0.25">
      <c r="B42" s="23"/>
      <c r="C42" s="23"/>
      <c r="D42" s="24"/>
      <c r="E42" s="24"/>
      <c r="G42" s="23"/>
      <c r="H42" s="23"/>
      <c r="I42" s="23"/>
    </row>
    <row r="43" spans="1:9" x14ac:dyDescent="0.25">
      <c r="B43" s="40" t="s">
        <v>17</v>
      </c>
      <c r="C43" s="40"/>
      <c r="E43" s="2" t="s">
        <v>18</v>
      </c>
      <c r="G43" s="41" t="s">
        <v>19</v>
      </c>
      <c r="H43" s="41"/>
      <c r="I43" s="2" t="s">
        <v>20</v>
      </c>
    </row>
  </sheetData>
  <mergeCells count="32">
    <mergeCell ref="G17:H17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B32:I32"/>
    <mergeCell ref="G18:H18"/>
    <mergeCell ref="G19:H19"/>
    <mergeCell ref="G20:H20"/>
    <mergeCell ref="G21:H21"/>
    <mergeCell ref="G22:H22"/>
    <mergeCell ref="G23:H23"/>
    <mergeCell ref="B26:I26"/>
    <mergeCell ref="B28:I28"/>
    <mergeCell ref="B29:I29"/>
    <mergeCell ref="B30:I30"/>
    <mergeCell ref="B31:I31"/>
    <mergeCell ref="B43:C43"/>
    <mergeCell ref="G43:H43"/>
    <mergeCell ref="B33:I33"/>
    <mergeCell ref="B34:I34"/>
    <mergeCell ref="B35:I35"/>
    <mergeCell ref="B36:I36"/>
    <mergeCell ref="B37:I37"/>
    <mergeCell ref="B38:I38"/>
  </mergeCells>
  <pageMargins left="0.7" right="0.7" top="0.75" bottom="0.75" header="0.3" footer="0.3"/>
  <pageSetup scale="6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D974C-121C-4532-9A11-49822329687F}">
  <sheetPr>
    <pageSetUpPr fitToPage="1"/>
  </sheetPr>
  <dimension ref="A1:J43"/>
  <sheetViews>
    <sheetView zoomScale="70" zoomScaleNormal="70" workbookViewId="0">
      <selection activeCell="C20" sqref="C20"/>
    </sheetView>
  </sheetViews>
  <sheetFormatPr defaultRowHeight="15" x14ac:dyDescent="0.25"/>
  <cols>
    <col min="1" max="1" width="3.5703125" style="1" customWidth="1"/>
    <col min="2" max="2" width="21.42578125" customWidth="1"/>
    <col min="3" max="3" width="41.7109375" bestFit="1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33</v>
      </c>
      <c r="D2" s="5" t="s">
        <v>1</v>
      </c>
      <c r="E2" s="48" t="s">
        <v>141</v>
      </c>
      <c r="F2" s="48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21</v>
      </c>
      <c r="C4" s="10">
        <v>15</v>
      </c>
      <c r="D4" s="9"/>
      <c r="F4" s="2"/>
      <c r="G4" s="25"/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46" t="s">
        <v>10</v>
      </c>
      <c r="I6" s="47"/>
      <c r="J6" s="11" t="s">
        <v>11</v>
      </c>
    </row>
    <row r="7" spans="1:10" x14ac:dyDescent="0.25">
      <c r="A7" s="1">
        <v>1</v>
      </c>
      <c r="B7" s="12" t="s">
        <v>91</v>
      </c>
      <c r="C7" s="12"/>
      <c r="D7" s="13">
        <v>112</v>
      </c>
      <c r="E7" s="13" t="s">
        <v>26</v>
      </c>
      <c r="F7" s="14">
        <f>D7/D$24</f>
        <v>0.38095238095238093</v>
      </c>
      <c r="G7" s="15">
        <f>F7*D24*C4/453.592</f>
        <v>3.7037690259087461</v>
      </c>
      <c r="H7" s="44"/>
      <c r="I7" s="45"/>
      <c r="J7" s="26"/>
    </row>
    <row r="8" spans="1:10" x14ac:dyDescent="0.25">
      <c r="A8" s="1">
        <v>2</v>
      </c>
      <c r="B8" s="12" t="s">
        <v>142</v>
      </c>
      <c r="C8" s="12" t="s">
        <v>36</v>
      </c>
      <c r="D8" s="2">
        <v>42</v>
      </c>
      <c r="E8" s="13" t="s">
        <v>26</v>
      </c>
      <c r="F8" s="14">
        <f>D8/D$24</f>
        <v>0.14285714285714285</v>
      </c>
      <c r="G8" s="15">
        <f>F8*D24*C4/453.592</f>
        <v>1.38891338471578</v>
      </c>
      <c r="H8" s="44"/>
      <c r="I8" s="45"/>
      <c r="J8" s="16"/>
    </row>
    <row r="9" spans="1:10" x14ac:dyDescent="0.25">
      <c r="A9" s="1">
        <v>3</v>
      </c>
      <c r="B9" s="12" t="s">
        <v>120</v>
      </c>
      <c r="C9" s="12" t="s">
        <v>37</v>
      </c>
      <c r="D9" s="13">
        <v>56</v>
      </c>
      <c r="E9" s="13" t="s">
        <v>26</v>
      </c>
      <c r="F9" s="14">
        <f t="shared" ref="F9:F23" si="0">D9/D$24</f>
        <v>0.19047619047619047</v>
      </c>
      <c r="G9" s="15">
        <f>F9*D24*C4/453.592</f>
        <v>1.8518845129543731</v>
      </c>
      <c r="H9" s="44"/>
      <c r="I9" s="45"/>
      <c r="J9" s="16"/>
    </row>
    <row r="10" spans="1:10" x14ac:dyDescent="0.25">
      <c r="A10" s="1">
        <v>4</v>
      </c>
      <c r="B10" s="12" t="s">
        <v>75</v>
      </c>
      <c r="C10" s="12" t="s">
        <v>38</v>
      </c>
      <c r="D10" s="13">
        <v>84</v>
      </c>
      <c r="E10" s="13" t="s">
        <v>26</v>
      </c>
      <c r="F10" s="14">
        <f t="shared" si="0"/>
        <v>0.2857142857142857</v>
      </c>
      <c r="G10" s="15">
        <f>C4*D24*F10/453.592</f>
        <v>2.7778267694315599</v>
      </c>
      <c r="H10" s="44"/>
      <c r="I10" s="45"/>
      <c r="J10" s="16"/>
    </row>
    <row r="11" spans="1:10" x14ac:dyDescent="0.25">
      <c r="A11" s="1">
        <v>5</v>
      </c>
      <c r="B11" s="12"/>
      <c r="C11" s="12"/>
      <c r="D11" s="13"/>
      <c r="E11" s="13" t="s">
        <v>26</v>
      </c>
      <c r="F11" s="14">
        <f t="shared" si="0"/>
        <v>0</v>
      </c>
      <c r="G11" s="15">
        <f>C4*F11*D24/453.592</f>
        <v>0</v>
      </c>
      <c r="H11" s="44"/>
      <c r="I11" s="45"/>
      <c r="J11" s="16"/>
    </row>
    <row r="12" spans="1:10" x14ac:dyDescent="0.25">
      <c r="A12" s="1">
        <v>6</v>
      </c>
      <c r="B12" s="12"/>
      <c r="C12" s="12"/>
      <c r="D12" s="13"/>
      <c r="E12" s="13" t="s">
        <v>26</v>
      </c>
      <c r="F12" s="14">
        <f t="shared" si="0"/>
        <v>0</v>
      </c>
      <c r="G12" s="15">
        <f>C4*F12*D24/453.592</f>
        <v>0</v>
      </c>
      <c r="H12" s="44"/>
      <c r="I12" s="45"/>
      <c r="J12" s="16"/>
    </row>
    <row r="13" spans="1:10" x14ac:dyDescent="0.25">
      <c r="A13" s="1">
        <v>7</v>
      </c>
      <c r="B13" s="12"/>
      <c r="C13" s="12"/>
      <c r="D13" s="13"/>
      <c r="E13" s="13" t="s">
        <v>26</v>
      </c>
      <c r="F13" s="14">
        <f t="shared" si="0"/>
        <v>0</v>
      </c>
      <c r="G13" s="15">
        <f>C4*F13*D24/453.592</f>
        <v>0</v>
      </c>
      <c r="H13" s="44"/>
      <c r="I13" s="45"/>
      <c r="J13" s="16"/>
    </row>
    <row r="14" spans="1:10" x14ac:dyDescent="0.25">
      <c r="A14" s="1">
        <v>8</v>
      </c>
      <c r="B14" s="12"/>
      <c r="C14" s="12"/>
      <c r="D14" s="13"/>
      <c r="E14" s="13" t="s">
        <v>26</v>
      </c>
      <c r="F14" s="14">
        <f t="shared" si="0"/>
        <v>0</v>
      </c>
      <c r="G14" s="15">
        <f>C4*F14*D24/453.592</f>
        <v>0</v>
      </c>
      <c r="H14" s="44"/>
      <c r="I14" s="45"/>
      <c r="J14" s="16"/>
    </row>
    <row r="15" spans="1:10" x14ac:dyDescent="0.25">
      <c r="A15" s="1">
        <v>9</v>
      </c>
      <c r="B15" s="12"/>
      <c r="C15" s="12"/>
      <c r="D15" s="13"/>
      <c r="E15" s="13" t="s">
        <v>26</v>
      </c>
      <c r="F15" s="14">
        <f t="shared" si="0"/>
        <v>0</v>
      </c>
      <c r="G15" s="15">
        <f>C4*F15*D24/453.592</f>
        <v>0</v>
      </c>
      <c r="H15" s="44"/>
      <c r="I15" s="45"/>
      <c r="J15" s="16"/>
    </row>
    <row r="16" spans="1:10" x14ac:dyDescent="0.25">
      <c r="A16" s="1">
        <v>10</v>
      </c>
      <c r="B16" s="12"/>
      <c r="C16" s="12"/>
      <c r="D16" s="13"/>
      <c r="E16" s="13" t="s">
        <v>26</v>
      </c>
      <c r="F16" s="14">
        <f t="shared" si="0"/>
        <v>0</v>
      </c>
      <c r="G16" s="15">
        <f>C4*F16*D24/453.592</f>
        <v>0</v>
      </c>
      <c r="H16" s="44"/>
      <c r="I16" s="45"/>
      <c r="J16" s="16"/>
    </row>
    <row r="17" spans="1:10" x14ac:dyDescent="0.25">
      <c r="A17" s="1">
        <v>11</v>
      </c>
      <c r="B17" s="12"/>
      <c r="C17" s="12"/>
      <c r="D17" s="13"/>
      <c r="E17" s="13" t="s">
        <v>26</v>
      </c>
      <c r="F17" s="14">
        <f t="shared" si="0"/>
        <v>0</v>
      </c>
      <c r="G17" s="15">
        <f>C4*F17*D24/453.592</f>
        <v>0</v>
      </c>
      <c r="H17" s="44"/>
      <c r="I17" s="45"/>
      <c r="J17" s="16"/>
    </row>
    <row r="18" spans="1:10" x14ac:dyDescent="0.25">
      <c r="A18" s="1">
        <v>12</v>
      </c>
      <c r="B18" s="12"/>
      <c r="C18" s="12"/>
      <c r="D18" s="13"/>
      <c r="E18" s="13" t="s">
        <v>26</v>
      </c>
      <c r="F18" s="14">
        <f t="shared" si="0"/>
        <v>0</v>
      </c>
      <c r="G18" s="15">
        <f>C4*F18*D24/453.592</f>
        <v>0</v>
      </c>
      <c r="H18" s="44"/>
      <c r="I18" s="45"/>
      <c r="J18" s="16"/>
    </row>
    <row r="19" spans="1:10" x14ac:dyDescent="0.25">
      <c r="A19" s="1">
        <v>13</v>
      </c>
      <c r="B19" s="12"/>
      <c r="C19" s="12"/>
      <c r="D19" s="13"/>
      <c r="E19" s="13" t="s">
        <v>26</v>
      </c>
      <c r="F19" s="14">
        <f t="shared" si="0"/>
        <v>0</v>
      </c>
      <c r="G19" s="15">
        <f>C4*F19*D24/453.592</f>
        <v>0</v>
      </c>
      <c r="H19" s="44"/>
      <c r="I19" s="45"/>
      <c r="J19" s="16"/>
    </row>
    <row r="20" spans="1:10" x14ac:dyDescent="0.25">
      <c r="A20" s="1">
        <v>14</v>
      </c>
      <c r="B20" s="12"/>
      <c r="C20" s="12"/>
      <c r="D20" s="13"/>
      <c r="E20" s="13" t="s">
        <v>26</v>
      </c>
      <c r="F20" s="14">
        <f t="shared" si="0"/>
        <v>0</v>
      </c>
      <c r="G20" s="15">
        <f>C4*F20*D24/453.592</f>
        <v>0</v>
      </c>
      <c r="H20" s="44"/>
      <c r="I20" s="45"/>
      <c r="J20" s="16"/>
    </row>
    <row r="21" spans="1:10" x14ac:dyDescent="0.25">
      <c r="A21" s="1">
        <v>15</v>
      </c>
      <c r="B21" s="12"/>
      <c r="C21" s="12"/>
      <c r="D21" s="13"/>
      <c r="E21" s="13" t="s">
        <v>26</v>
      </c>
      <c r="F21" s="14">
        <f>D21/D$24</f>
        <v>0</v>
      </c>
      <c r="G21" s="15">
        <f>C4*F21*D24/453.592</f>
        <v>0</v>
      </c>
      <c r="H21" s="44"/>
      <c r="I21" s="45"/>
      <c r="J21" s="16"/>
    </row>
    <row r="22" spans="1:10" x14ac:dyDescent="0.25">
      <c r="A22" s="1">
        <v>16</v>
      </c>
      <c r="B22" s="12"/>
      <c r="C22" s="12"/>
      <c r="D22" s="13"/>
      <c r="E22" s="13" t="s">
        <v>26</v>
      </c>
      <c r="F22" s="14">
        <f t="shared" si="0"/>
        <v>0</v>
      </c>
      <c r="G22" s="15">
        <f>C4*F22*D24/453.592</f>
        <v>0</v>
      </c>
      <c r="H22" s="44"/>
      <c r="I22" s="45"/>
      <c r="J22" s="16"/>
    </row>
    <row r="23" spans="1:10" x14ac:dyDescent="0.25">
      <c r="A23" s="1">
        <v>17</v>
      </c>
      <c r="B23" s="12"/>
      <c r="C23" s="12"/>
      <c r="D23" s="13"/>
      <c r="E23" s="13" t="s">
        <v>26</v>
      </c>
      <c r="F23" s="14">
        <f t="shared" si="0"/>
        <v>0</v>
      </c>
      <c r="G23" s="15">
        <f>C4*F23*D24/453.592</f>
        <v>0</v>
      </c>
      <c r="H23" s="44"/>
      <c r="I23" s="45"/>
      <c r="J23" s="16"/>
    </row>
    <row r="24" spans="1:10" x14ac:dyDescent="0.25">
      <c r="C24" s="17" t="s">
        <v>12</v>
      </c>
      <c r="D24" s="1">
        <f>SUM(D7:D23)</f>
        <v>294</v>
      </c>
      <c r="E24" s="13" t="s">
        <v>26</v>
      </c>
      <c r="F24" s="18">
        <f>SUM(F7:F23)</f>
        <v>0.99999999999999989</v>
      </c>
      <c r="G24" s="27">
        <f>SUM(G7:G23)</f>
        <v>9.72239369301046</v>
      </c>
      <c r="H24" s="19" t="s">
        <v>13</v>
      </c>
    </row>
    <row r="25" spans="1:10" x14ac:dyDescent="0.25">
      <c r="F25" s="25"/>
      <c r="G25" s="20"/>
    </row>
    <row r="26" spans="1:10" ht="15.75" x14ac:dyDescent="0.25">
      <c r="A26"/>
      <c r="B26" s="43" t="s">
        <v>14</v>
      </c>
      <c r="C26" s="43"/>
      <c r="D26" s="43"/>
      <c r="E26" s="43"/>
      <c r="F26" s="43"/>
      <c r="G26" s="43"/>
      <c r="H26" s="43"/>
      <c r="I26" s="43"/>
      <c r="J26" s="43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42"/>
      <c r="C28" s="42"/>
      <c r="D28" s="42"/>
      <c r="E28" s="42"/>
      <c r="F28" s="42"/>
      <c r="G28" s="42"/>
      <c r="H28" s="42"/>
      <c r="I28" s="42"/>
      <c r="J28" s="42"/>
    </row>
    <row r="29" spans="1:10" x14ac:dyDescent="0.25">
      <c r="A29" s="1">
        <v>2</v>
      </c>
      <c r="B29" s="42"/>
      <c r="C29" s="42"/>
      <c r="D29" s="42"/>
      <c r="E29" s="42"/>
      <c r="F29" s="42"/>
      <c r="G29" s="42"/>
      <c r="H29" s="42"/>
      <c r="I29" s="42"/>
      <c r="J29" s="42"/>
    </row>
    <row r="30" spans="1:10" x14ac:dyDescent="0.25">
      <c r="A30" s="1">
        <v>3</v>
      </c>
      <c r="B30" s="42"/>
      <c r="C30" s="42"/>
      <c r="D30" s="42"/>
      <c r="E30" s="42"/>
      <c r="F30" s="42"/>
      <c r="G30" s="42"/>
      <c r="H30" s="42"/>
      <c r="I30" s="42"/>
      <c r="J30" s="42"/>
    </row>
    <row r="31" spans="1:10" x14ac:dyDescent="0.25">
      <c r="A31" s="1">
        <v>4</v>
      </c>
      <c r="B31" s="42"/>
      <c r="C31" s="42"/>
      <c r="D31" s="42"/>
      <c r="E31" s="42"/>
      <c r="F31" s="42"/>
      <c r="G31" s="42"/>
      <c r="H31" s="42"/>
      <c r="I31" s="42"/>
      <c r="J31" s="42"/>
    </row>
    <row r="32" spans="1:10" x14ac:dyDescent="0.25">
      <c r="A32" s="1">
        <v>5</v>
      </c>
      <c r="B32" s="42"/>
      <c r="C32" s="42"/>
      <c r="D32" s="42"/>
      <c r="E32" s="42"/>
      <c r="F32" s="42"/>
      <c r="G32" s="42"/>
      <c r="H32" s="42"/>
      <c r="I32" s="42"/>
      <c r="J32" s="42"/>
    </row>
    <row r="33" spans="1:10" x14ac:dyDescent="0.25">
      <c r="A33" s="1">
        <v>6</v>
      </c>
      <c r="B33" s="42"/>
      <c r="C33" s="42"/>
      <c r="D33" s="42"/>
      <c r="E33" s="42"/>
      <c r="F33" s="42"/>
      <c r="G33" s="42"/>
      <c r="H33" s="42"/>
      <c r="I33" s="42"/>
      <c r="J33" s="42"/>
    </row>
    <row r="34" spans="1:10" x14ac:dyDescent="0.25">
      <c r="A34" s="1">
        <v>7</v>
      </c>
      <c r="B34" s="42"/>
      <c r="C34" s="42"/>
      <c r="D34" s="42"/>
      <c r="E34" s="42"/>
      <c r="F34" s="42"/>
      <c r="G34" s="42"/>
      <c r="H34" s="42"/>
      <c r="I34" s="42"/>
      <c r="J34" s="42"/>
    </row>
    <row r="35" spans="1:10" x14ac:dyDescent="0.25">
      <c r="A35" s="1">
        <v>8</v>
      </c>
      <c r="B35" s="42"/>
      <c r="C35" s="42"/>
      <c r="D35" s="42"/>
      <c r="E35" s="42"/>
      <c r="F35" s="42"/>
      <c r="G35" s="42"/>
      <c r="H35" s="42"/>
      <c r="I35" s="42"/>
      <c r="J35" s="42"/>
    </row>
    <row r="36" spans="1:10" x14ac:dyDescent="0.25">
      <c r="A36" s="1">
        <v>9</v>
      </c>
      <c r="B36" s="42"/>
      <c r="C36" s="42"/>
      <c r="D36" s="42"/>
      <c r="E36" s="42"/>
      <c r="F36" s="42"/>
      <c r="G36" s="42"/>
      <c r="H36" s="42"/>
      <c r="I36" s="42"/>
      <c r="J36" s="42"/>
    </row>
    <row r="37" spans="1:10" x14ac:dyDescent="0.25">
      <c r="A37" s="1">
        <v>10</v>
      </c>
      <c r="B37" s="42"/>
      <c r="C37" s="42"/>
      <c r="D37" s="42"/>
      <c r="E37" s="42"/>
      <c r="F37" s="42"/>
      <c r="G37" s="42"/>
      <c r="H37" s="42"/>
      <c r="I37" s="42"/>
      <c r="J37" s="42"/>
    </row>
    <row r="38" spans="1:10" x14ac:dyDescent="0.25">
      <c r="A38" s="1">
        <v>11</v>
      </c>
      <c r="B38" s="42"/>
      <c r="C38" s="42"/>
      <c r="D38" s="42"/>
      <c r="E38" s="42"/>
      <c r="F38" s="42"/>
      <c r="G38" s="42"/>
      <c r="H38" s="42"/>
      <c r="I38" s="42"/>
      <c r="J38" s="42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40" t="s">
        <v>17</v>
      </c>
      <c r="C43" s="40"/>
      <c r="E43" s="40" t="s">
        <v>18</v>
      </c>
      <c r="F43" s="40"/>
      <c r="H43" s="41" t="s">
        <v>19</v>
      </c>
      <c r="I43" s="41"/>
      <c r="J43" s="2" t="s">
        <v>20</v>
      </c>
    </row>
  </sheetData>
  <mergeCells count="34"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</mergeCells>
  <pageMargins left="0.7" right="0.7" top="0.75" bottom="0.75" header="0.3" footer="0.3"/>
  <pageSetup scale="6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66D6-E42B-4F71-9305-E454FE73C425}">
  <sheetPr>
    <pageSetUpPr fitToPage="1"/>
  </sheetPr>
  <dimension ref="A1:J43"/>
  <sheetViews>
    <sheetView zoomScaleNormal="100" workbookViewId="0">
      <selection activeCell="E2" sqref="E2:F2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90</v>
      </c>
      <c r="D2" s="5" t="s">
        <v>1</v>
      </c>
      <c r="E2" s="48" t="s">
        <v>91</v>
      </c>
      <c r="F2" s="48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22</v>
      </c>
      <c r="C4" s="10">
        <v>5</v>
      </c>
      <c r="D4" s="9"/>
      <c r="F4" s="2" t="s">
        <v>23</v>
      </c>
      <c r="G4" s="28">
        <v>0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46" t="s">
        <v>10</v>
      </c>
      <c r="I6" s="47"/>
      <c r="J6" s="11" t="s">
        <v>11</v>
      </c>
    </row>
    <row r="7" spans="1:10" x14ac:dyDescent="0.25">
      <c r="A7" s="1">
        <v>1</v>
      </c>
      <c r="B7" s="12" t="s">
        <v>120</v>
      </c>
      <c r="C7" s="12" t="s">
        <v>92</v>
      </c>
      <c r="D7" s="13">
        <v>7.7107000000000001</v>
      </c>
      <c r="E7" s="13" t="s">
        <v>24</v>
      </c>
      <c r="F7" s="14">
        <f t="shared" ref="F7:F23" si="0">D7/D$24</f>
        <v>0.77107771077710774</v>
      </c>
      <c r="G7" s="15">
        <f>C4*F7</f>
        <v>3.8553885538855388</v>
      </c>
      <c r="H7" s="44"/>
      <c r="I7" s="45"/>
      <c r="J7" s="16" t="s">
        <v>93</v>
      </c>
    </row>
    <row r="8" spans="1:10" x14ac:dyDescent="0.25">
      <c r="A8" s="1">
        <v>2</v>
      </c>
      <c r="B8" s="12" t="s">
        <v>120</v>
      </c>
      <c r="C8" s="12" t="s">
        <v>94</v>
      </c>
      <c r="D8" s="13">
        <v>0.84340000000000004</v>
      </c>
      <c r="E8" s="13" t="s">
        <v>24</v>
      </c>
      <c r="F8" s="14">
        <f t="shared" si="0"/>
        <v>8.4340843408434091E-2</v>
      </c>
      <c r="G8" s="15">
        <f>C4*F8</f>
        <v>0.42170421704217043</v>
      </c>
      <c r="H8" s="44"/>
      <c r="I8" s="45"/>
      <c r="J8" s="16" t="s">
        <v>95</v>
      </c>
    </row>
    <row r="9" spans="1:10" x14ac:dyDescent="0.25">
      <c r="A9" s="1">
        <v>3</v>
      </c>
      <c r="B9" s="12" t="s">
        <v>66</v>
      </c>
      <c r="C9" s="12" t="s">
        <v>96</v>
      </c>
      <c r="D9" s="13">
        <v>1.4458</v>
      </c>
      <c r="E9" s="13" t="s">
        <v>24</v>
      </c>
      <c r="F9" s="14">
        <f t="shared" si="0"/>
        <v>0.14458144581445814</v>
      </c>
      <c r="G9" s="15">
        <f>C4*F9</f>
        <v>0.72290722907229066</v>
      </c>
      <c r="H9" s="44"/>
      <c r="I9" s="45"/>
      <c r="J9" s="16" t="s">
        <v>97</v>
      </c>
    </row>
    <row r="10" spans="1:10" x14ac:dyDescent="0.25">
      <c r="A10" s="1">
        <v>4</v>
      </c>
      <c r="B10" s="12"/>
      <c r="C10" s="12"/>
      <c r="D10" s="13"/>
      <c r="E10" s="13" t="s">
        <v>24</v>
      </c>
      <c r="F10" s="14">
        <f t="shared" si="0"/>
        <v>0</v>
      </c>
      <c r="G10" s="15">
        <f>C4*F10</f>
        <v>0</v>
      </c>
      <c r="H10" s="44"/>
      <c r="I10" s="45"/>
      <c r="J10" s="16"/>
    </row>
    <row r="11" spans="1:10" x14ac:dyDescent="0.25">
      <c r="A11" s="1">
        <v>5</v>
      </c>
      <c r="B11" s="12"/>
      <c r="C11" s="12"/>
      <c r="D11" s="13"/>
      <c r="E11" s="13" t="s">
        <v>24</v>
      </c>
      <c r="F11" s="14">
        <f t="shared" si="0"/>
        <v>0</v>
      </c>
      <c r="G11" s="15">
        <f>C4*F11</f>
        <v>0</v>
      </c>
      <c r="H11" s="44"/>
      <c r="I11" s="45"/>
      <c r="J11" s="16"/>
    </row>
    <row r="12" spans="1:10" x14ac:dyDescent="0.25">
      <c r="A12" s="1">
        <v>6</v>
      </c>
      <c r="B12" s="12"/>
      <c r="C12" s="12"/>
      <c r="D12" s="13"/>
      <c r="E12" s="13" t="s">
        <v>24</v>
      </c>
      <c r="F12" s="14">
        <f t="shared" si="0"/>
        <v>0</v>
      </c>
      <c r="G12" s="15">
        <f>C4*F12</f>
        <v>0</v>
      </c>
      <c r="H12" s="44"/>
      <c r="I12" s="45"/>
      <c r="J12" s="16"/>
    </row>
    <row r="13" spans="1:10" x14ac:dyDescent="0.25">
      <c r="A13" s="1">
        <v>7</v>
      </c>
      <c r="B13" s="12"/>
      <c r="C13" s="12"/>
      <c r="D13" s="13"/>
      <c r="E13" s="13" t="s">
        <v>24</v>
      </c>
      <c r="F13" s="14">
        <f t="shared" si="0"/>
        <v>0</v>
      </c>
      <c r="G13" s="15">
        <f>C4*F13</f>
        <v>0</v>
      </c>
      <c r="H13" s="44"/>
      <c r="I13" s="45"/>
      <c r="J13" s="16"/>
    </row>
    <row r="14" spans="1:10" x14ac:dyDescent="0.25">
      <c r="A14" s="1">
        <v>8</v>
      </c>
      <c r="B14" s="12"/>
      <c r="C14" s="12"/>
      <c r="D14" s="13"/>
      <c r="E14" s="13" t="s">
        <v>24</v>
      </c>
      <c r="F14" s="14">
        <f t="shared" si="0"/>
        <v>0</v>
      </c>
      <c r="G14" s="15">
        <f>C4*F14</f>
        <v>0</v>
      </c>
      <c r="H14" s="44"/>
      <c r="I14" s="45"/>
      <c r="J14" s="16"/>
    </row>
    <row r="15" spans="1:10" x14ac:dyDescent="0.25">
      <c r="A15" s="1">
        <v>9</v>
      </c>
      <c r="B15" s="12"/>
      <c r="C15" s="12"/>
      <c r="D15" s="13"/>
      <c r="E15" s="13" t="s">
        <v>24</v>
      </c>
      <c r="F15" s="14">
        <f t="shared" si="0"/>
        <v>0</v>
      </c>
      <c r="G15" s="15">
        <f>C4*F15</f>
        <v>0</v>
      </c>
      <c r="H15" s="44"/>
      <c r="I15" s="45"/>
      <c r="J15" s="16"/>
    </row>
    <row r="16" spans="1:10" x14ac:dyDescent="0.25">
      <c r="A16" s="1">
        <v>10</v>
      </c>
      <c r="B16" s="12"/>
      <c r="C16" s="12"/>
      <c r="D16" s="13"/>
      <c r="E16" s="13" t="s">
        <v>24</v>
      </c>
      <c r="F16" s="14">
        <f t="shared" si="0"/>
        <v>0</v>
      </c>
      <c r="G16" s="15">
        <f>C4*F16</f>
        <v>0</v>
      </c>
      <c r="H16" s="44"/>
      <c r="I16" s="45"/>
      <c r="J16" s="16"/>
    </row>
    <row r="17" spans="1:10" x14ac:dyDescent="0.25">
      <c r="A17" s="1">
        <v>11</v>
      </c>
      <c r="B17" s="12"/>
      <c r="C17" s="12"/>
      <c r="D17" s="13"/>
      <c r="E17" s="13" t="s">
        <v>24</v>
      </c>
      <c r="F17" s="14">
        <f t="shared" si="0"/>
        <v>0</v>
      </c>
      <c r="G17" s="15">
        <f>C4*F17</f>
        <v>0</v>
      </c>
      <c r="H17" s="44"/>
      <c r="I17" s="45"/>
      <c r="J17" s="16"/>
    </row>
    <row r="18" spans="1:10" x14ac:dyDescent="0.25">
      <c r="A18" s="1">
        <v>12</v>
      </c>
      <c r="B18" s="12"/>
      <c r="C18" s="12"/>
      <c r="D18" s="13"/>
      <c r="E18" s="13" t="s">
        <v>24</v>
      </c>
      <c r="F18" s="14">
        <f t="shared" si="0"/>
        <v>0</v>
      </c>
      <c r="G18" s="15">
        <f>C4*F18</f>
        <v>0</v>
      </c>
      <c r="H18" s="44"/>
      <c r="I18" s="45"/>
      <c r="J18" s="16"/>
    </row>
    <row r="19" spans="1:10" x14ac:dyDescent="0.25">
      <c r="A19" s="1">
        <v>13</v>
      </c>
      <c r="B19" s="12"/>
      <c r="C19" s="12"/>
      <c r="D19" s="13"/>
      <c r="E19" s="13" t="s">
        <v>24</v>
      </c>
      <c r="F19" s="14">
        <f t="shared" si="0"/>
        <v>0</v>
      </c>
      <c r="G19" s="15">
        <f>C4*F19</f>
        <v>0</v>
      </c>
      <c r="H19" s="44"/>
      <c r="I19" s="45"/>
      <c r="J19" s="16"/>
    </row>
    <row r="20" spans="1:10" x14ac:dyDescent="0.25">
      <c r="A20" s="1">
        <v>14</v>
      </c>
      <c r="B20" s="12"/>
      <c r="C20" s="12"/>
      <c r="D20" s="13"/>
      <c r="E20" s="13" t="s">
        <v>24</v>
      </c>
      <c r="F20" s="14">
        <f t="shared" si="0"/>
        <v>0</v>
      </c>
      <c r="G20" s="15">
        <f>C4*F20</f>
        <v>0</v>
      </c>
      <c r="H20" s="44"/>
      <c r="I20" s="45"/>
      <c r="J20" s="16"/>
    </row>
    <row r="21" spans="1:10" x14ac:dyDescent="0.25">
      <c r="A21" s="1">
        <v>15</v>
      </c>
      <c r="B21" s="12"/>
      <c r="C21" s="12"/>
      <c r="D21" s="13"/>
      <c r="E21" s="13" t="s">
        <v>24</v>
      </c>
      <c r="F21" s="14">
        <f t="shared" si="0"/>
        <v>0</v>
      </c>
      <c r="G21" s="15">
        <f>C4*F21</f>
        <v>0</v>
      </c>
      <c r="H21" s="44"/>
      <c r="I21" s="45"/>
      <c r="J21" s="16"/>
    </row>
    <row r="22" spans="1:10" x14ac:dyDescent="0.25">
      <c r="A22" s="1">
        <v>16</v>
      </c>
      <c r="B22" s="12"/>
      <c r="C22" s="12"/>
      <c r="D22" s="13"/>
      <c r="E22" s="13" t="s">
        <v>24</v>
      </c>
      <c r="F22" s="14">
        <f t="shared" si="0"/>
        <v>0</v>
      </c>
      <c r="G22" s="15">
        <f>C4*F22</f>
        <v>0</v>
      </c>
      <c r="H22" s="44"/>
      <c r="I22" s="45"/>
      <c r="J22" s="16"/>
    </row>
    <row r="23" spans="1:10" x14ac:dyDescent="0.25">
      <c r="A23" s="1">
        <v>17</v>
      </c>
      <c r="B23" s="12"/>
      <c r="C23" s="12"/>
      <c r="D23" s="13"/>
      <c r="E23" s="13" t="s">
        <v>24</v>
      </c>
      <c r="F23" s="14">
        <f t="shared" si="0"/>
        <v>0</v>
      </c>
      <c r="G23" s="15">
        <f>C4*F23</f>
        <v>0</v>
      </c>
      <c r="H23" s="44"/>
      <c r="I23" s="45"/>
      <c r="J23" s="16"/>
    </row>
    <row r="24" spans="1:10" x14ac:dyDescent="0.25">
      <c r="C24" s="17" t="s">
        <v>12</v>
      </c>
      <c r="D24" s="1">
        <f>SUM(D7:D23)</f>
        <v>9.9999000000000002</v>
      </c>
      <c r="E24" s="1" t="s">
        <v>24</v>
      </c>
      <c r="F24" s="18">
        <f>SUM(F7:F23)</f>
        <v>1</v>
      </c>
      <c r="G24" s="29">
        <f>SUM(G7:G23)</f>
        <v>5</v>
      </c>
      <c r="H24" s="19" t="s">
        <v>13</v>
      </c>
    </row>
    <row r="25" spans="1:10" x14ac:dyDescent="0.25">
      <c r="F25" s="28" t="s">
        <v>25</v>
      </c>
      <c r="G25" s="20">
        <f>-G24*G4+C4</f>
        <v>5</v>
      </c>
    </row>
    <row r="26" spans="1:10" ht="15.75" x14ac:dyDescent="0.25">
      <c r="A26"/>
      <c r="B26" s="43" t="s">
        <v>14</v>
      </c>
      <c r="C26" s="43"/>
      <c r="D26" s="43"/>
      <c r="E26" s="43"/>
      <c r="F26" s="43"/>
      <c r="G26" s="43"/>
      <c r="H26" s="43"/>
      <c r="I26" s="43"/>
      <c r="J26" s="43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49" t="s">
        <v>98</v>
      </c>
      <c r="C28" s="50"/>
      <c r="D28" s="50"/>
      <c r="E28" s="50"/>
      <c r="F28" s="50"/>
      <c r="G28" s="50"/>
      <c r="H28" s="50"/>
      <c r="I28" s="50"/>
      <c r="J28" s="51"/>
    </row>
    <row r="29" spans="1:10" x14ac:dyDescent="0.25">
      <c r="A29" s="1">
        <v>2</v>
      </c>
      <c r="B29" s="49" t="s">
        <v>99</v>
      </c>
      <c r="C29" s="50"/>
      <c r="D29" s="50"/>
      <c r="E29" s="50"/>
      <c r="F29" s="50"/>
      <c r="G29" s="50"/>
      <c r="H29" s="50"/>
      <c r="I29" s="50"/>
      <c r="J29" s="51"/>
    </row>
    <row r="30" spans="1:10" x14ac:dyDescent="0.25">
      <c r="A30" s="1">
        <v>3</v>
      </c>
      <c r="B30" s="52" t="s">
        <v>100</v>
      </c>
      <c r="C30" s="53"/>
      <c r="D30" s="53"/>
      <c r="E30" s="53"/>
      <c r="F30" s="53"/>
      <c r="G30" s="53"/>
      <c r="H30" s="53"/>
      <c r="I30" s="53"/>
      <c r="J30" s="54"/>
    </row>
    <row r="31" spans="1:10" x14ac:dyDescent="0.25">
      <c r="A31" s="1">
        <v>4</v>
      </c>
      <c r="B31" s="42" t="s">
        <v>101</v>
      </c>
      <c r="C31" s="42"/>
      <c r="D31" s="42"/>
      <c r="E31" s="42"/>
      <c r="F31" s="42"/>
      <c r="G31" s="42"/>
      <c r="H31" s="42"/>
      <c r="I31" s="42"/>
      <c r="J31" s="42"/>
    </row>
    <row r="32" spans="1:10" x14ac:dyDescent="0.25">
      <c r="A32" s="1">
        <v>5</v>
      </c>
      <c r="B32" s="42"/>
      <c r="C32" s="42"/>
      <c r="D32" s="42"/>
      <c r="E32" s="42"/>
      <c r="F32" s="42"/>
      <c r="G32" s="42"/>
      <c r="H32" s="42"/>
      <c r="I32" s="42"/>
      <c r="J32" s="42"/>
    </row>
    <row r="33" spans="1:10" x14ac:dyDescent="0.25">
      <c r="A33" s="1">
        <v>6</v>
      </c>
      <c r="B33" s="42"/>
      <c r="C33" s="42"/>
      <c r="D33" s="42"/>
      <c r="E33" s="42"/>
      <c r="F33" s="42"/>
      <c r="G33" s="42"/>
      <c r="H33" s="42"/>
      <c r="I33" s="42"/>
      <c r="J33" s="42"/>
    </row>
    <row r="34" spans="1:10" x14ac:dyDescent="0.25">
      <c r="A34" s="1">
        <v>7</v>
      </c>
      <c r="B34" s="42"/>
      <c r="C34" s="42"/>
      <c r="D34" s="42"/>
      <c r="E34" s="42"/>
      <c r="F34" s="42"/>
      <c r="G34" s="42"/>
      <c r="H34" s="42"/>
      <c r="I34" s="42"/>
      <c r="J34" s="42"/>
    </row>
    <row r="35" spans="1:10" x14ac:dyDescent="0.25">
      <c r="A35" s="1">
        <v>8</v>
      </c>
      <c r="B35" s="42"/>
      <c r="C35" s="42"/>
      <c r="D35" s="42"/>
      <c r="E35" s="42"/>
      <c r="F35" s="42"/>
      <c r="G35" s="42"/>
      <c r="H35" s="42"/>
      <c r="I35" s="42"/>
      <c r="J35" s="42"/>
    </row>
    <row r="36" spans="1:10" x14ac:dyDescent="0.25">
      <c r="A36" s="1">
        <v>9</v>
      </c>
      <c r="B36" s="42"/>
      <c r="C36" s="42"/>
      <c r="D36" s="42"/>
      <c r="E36" s="42"/>
      <c r="F36" s="42"/>
      <c r="G36" s="42"/>
      <c r="H36" s="42"/>
      <c r="I36" s="42"/>
      <c r="J36" s="42"/>
    </row>
    <row r="37" spans="1:10" x14ac:dyDescent="0.25">
      <c r="A37" s="1">
        <v>10</v>
      </c>
      <c r="B37" s="42"/>
      <c r="C37" s="42"/>
      <c r="D37" s="42"/>
      <c r="E37" s="42"/>
      <c r="F37" s="42"/>
      <c r="G37" s="42"/>
      <c r="H37" s="42"/>
      <c r="I37" s="42"/>
      <c r="J37" s="42"/>
    </row>
    <row r="38" spans="1:10" x14ac:dyDescent="0.25">
      <c r="A38" s="1">
        <v>11</v>
      </c>
      <c r="B38" s="42"/>
      <c r="C38" s="42"/>
      <c r="D38" s="42"/>
      <c r="E38" s="42"/>
      <c r="F38" s="42"/>
      <c r="G38" s="42"/>
      <c r="H38" s="42"/>
      <c r="I38" s="42"/>
      <c r="J38" s="42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40" t="s">
        <v>17</v>
      </c>
      <c r="C43" s="40"/>
      <c r="E43" s="40" t="s">
        <v>18</v>
      </c>
      <c r="F43" s="40"/>
      <c r="H43" s="41" t="s">
        <v>19</v>
      </c>
      <c r="I43" s="41"/>
      <c r="J43" s="2" t="s">
        <v>20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FFA7D-C16D-4A12-B751-36DB6EB9FFB0}">
  <sheetPr>
    <pageSetUpPr fitToPage="1"/>
  </sheetPr>
  <dimension ref="A1:J43"/>
  <sheetViews>
    <sheetView workbookViewId="0">
      <selection activeCell="B13" sqref="B13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102</v>
      </c>
      <c r="D2" s="5" t="s">
        <v>1</v>
      </c>
      <c r="E2" s="48" t="s">
        <v>103</v>
      </c>
      <c r="F2" s="48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22</v>
      </c>
      <c r="C4" s="10">
        <v>0.5</v>
      </c>
      <c r="D4" s="9"/>
      <c r="F4" s="2" t="s">
        <v>23</v>
      </c>
      <c r="G4" s="28" t="s">
        <v>8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46" t="s">
        <v>10</v>
      </c>
      <c r="I6" s="47"/>
      <c r="J6" s="11" t="s">
        <v>11</v>
      </c>
    </row>
    <row r="7" spans="1:10" x14ac:dyDescent="0.25">
      <c r="A7" s="1">
        <v>1</v>
      </c>
      <c r="B7" s="12" t="s">
        <v>104</v>
      </c>
      <c r="C7" s="12" t="s">
        <v>105</v>
      </c>
      <c r="D7" s="13">
        <v>2.8460000000000001</v>
      </c>
      <c r="E7" s="13" t="s">
        <v>24</v>
      </c>
      <c r="F7" s="14">
        <f t="shared" ref="F7:F23" si="0">D7/D$24</f>
        <v>0.71153557677883894</v>
      </c>
      <c r="G7" s="15">
        <f>C4*F7</f>
        <v>0.35576778838941947</v>
      </c>
      <c r="H7" s="44"/>
      <c r="I7" s="45"/>
      <c r="J7" s="16" t="s">
        <v>93</v>
      </c>
    </row>
    <row r="8" spans="1:10" x14ac:dyDescent="0.25">
      <c r="A8" s="1">
        <v>2</v>
      </c>
      <c r="B8" s="12" t="s">
        <v>106</v>
      </c>
      <c r="C8" s="12" t="s">
        <v>107</v>
      </c>
      <c r="D8" s="13">
        <v>0.76329999999999998</v>
      </c>
      <c r="E8" s="13" t="s">
        <v>24</v>
      </c>
      <c r="F8" s="14">
        <f t="shared" si="0"/>
        <v>0.19083454172708636</v>
      </c>
      <c r="G8" s="15">
        <f>C4*F8</f>
        <v>9.541727086354318E-2</v>
      </c>
      <c r="H8" s="44"/>
      <c r="I8" s="45"/>
      <c r="J8" s="16" t="s">
        <v>95</v>
      </c>
    </row>
    <row r="9" spans="1:10" x14ac:dyDescent="0.25">
      <c r="A9" s="1">
        <v>3</v>
      </c>
      <c r="B9" s="12" t="s">
        <v>85</v>
      </c>
      <c r="C9" s="12" t="s">
        <v>108</v>
      </c>
      <c r="D9" s="13">
        <v>2.35E-2</v>
      </c>
      <c r="E9" s="13" t="s">
        <v>24</v>
      </c>
      <c r="F9" s="14">
        <f t="shared" si="0"/>
        <v>5.8752937646882348E-3</v>
      </c>
      <c r="G9" s="15">
        <f>C4*F9</f>
        <v>2.9376468823441174E-3</v>
      </c>
      <c r="H9" s="44"/>
      <c r="I9" s="45"/>
      <c r="J9" s="16" t="s">
        <v>97</v>
      </c>
    </row>
    <row r="10" spans="1:10" x14ac:dyDescent="0.25">
      <c r="A10" s="1">
        <v>4</v>
      </c>
      <c r="B10" s="12" t="s">
        <v>109</v>
      </c>
      <c r="C10" s="12" t="s">
        <v>110</v>
      </c>
      <c r="D10" s="13">
        <v>6.13E-2</v>
      </c>
      <c r="E10" s="13" t="s">
        <v>24</v>
      </c>
      <c r="F10" s="14">
        <f t="shared" si="0"/>
        <v>1.5325766288314415E-2</v>
      </c>
      <c r="G10" s="15">
        <f>C4*F10</f>
        <v>7.6628831441572075E-3</v>
      </c>
      <c r="H10" s="44"/>
      <c r="I10" s="45"/>
      <c r="J10" s="16"/>
    </row>
    <row r="11" spans="1:10" x14ac:dyDescent="0.25">
      <c r="A11" s="1">
        <v>5</v>
      </c>
      <c r="B11" s="12" t="s">
        <v>64</v>
      </c>
      <c r="C11" s="12" t="s">
        <v>111</v>
      </c>
      <c r="D11" s="13">
        <v>9.4200000000000006E-2</v>
      </c>
      <c r="E11" s="13" t="s">
        <v>24</v>
      </c>
      <c r="F11" s="14">
        <f t="shared" si="0"/>
        <v>2.3551177558877947E-2</v>
      </c>
      <c r="G11" s="15">
        <f>C4*F11</f>
        <v>1.1775588779438973E-2</v>
      </c>
      <c r="H11" s="44"/>
      <c r="I11" s="45"/>
      <c r="J11" s="16"/>
    </row>
    <row r="12" spans="1:10" x14ac:dyDescent="0.25">
      <c r="A12" s="1">
        <v>6</v>
      </c>
      <c r="B12" s="12" t="s">
        <v>112</v>
      </c>
      <c r="C12" s="12" t="s">
        <v>113</v>
      </c>
      <c r="D12" s="13">
        <v>1.41E-2</v>
      </c>
      <c r="E12" s="13" t="s">
        <v>24</v>
      </c>
      <c r="F12" s="14">
        <f t="shared" si="0"/>
        <v>3.5251762588129404E-3</v>
      </c>
      <c r="G12" s="15">
        <f>C4*F12</f>
        <v>1.7625881294064702E-3</v>
      </c>
      <c r="H12" s="44"/>
      <c r="I12" s="45"/>
      <c r="J12" s="16"/>
    </row>
    <row r="13" spans="1:10" x14ac:dyDescent="0.25">
      <c r="A13" s="1">
        <v>7</v>
      </c>
      <c r="B13" s="12" t="s">
        <v>66</v>
      </c>
      <c r="C13" s="12" t="s">
        <v>114</v>
      </c>
      <c r="D13" s="13">
        <v>2.7799999999999998E-2</v>
      </c>
      <c r="E13" s="13" t="s">
        <v>24</v>
      </c>
      <c r="F13" s="14">
        <f t="shared" si="0"/>
        <v>6.9503475173758687E-3</v>
      </c>
      <c r="G13" s="15">
        <f>C4*F13</f>
        <v>3.4751737586879343E-3</v>
      </c>
      <c r="H13" s="44"/>
      <c r="I13" s="45"/>
      <c r="J13" s="16"/>
    </row>
    <row r="14" spans="1:10" x14ac:dyDescent="0.25">
      <c r="A14" s="1">
        <v>8</v>
      </c>
      <c r="B14" s="12" t="s">
        <v>115</v>
      </c>
      <c r="C14" s="12" t="s">
        <v>116</v>
      </c>
      <c r="D14" s="13">
        <v>0.1696</v>
      </c>
      <c r="E14" s="13" t="s">
        <v>24</v>
      </c>
      <c r="F14" s="14">
        <f t="shared" si="0"/>
        <v>4.2402120106005303E-2</v>
      </c>
      <c r="G14" s="15">
        <f>C4*F14</f>
        <v>2.1201060053002652E-2</v>
      </c>
      <c r="H14" s="44"/>
      <c r="I14" s="45"/>
      <c r="J14" s="16"/>
    </row>
    <row r="15" spans="1:10" x14ac:dyDescent="0.25">
      <c r="A15" s="1">
        <v>9</v>
      </c>
      <c r="B15" s="12"/>
      <c r="C15" s="12"/>
      <c r="D15" s="13"/>
      <c r="E15" s="13" t="s">
        <v>24</v>
      </c>
      <c r="F15" s="14">
        <f t="shared" si="0"/>
        <v>0</v>
      </c>
      <c r="G15" s="15">
        <f>C4*F15</f>
        <v>0</v>
      </c>
      <c r="H15" s="44"/>
      <c r="I15" s="45"/>
      <c r="J15" s="16"/>
    </row>
    <row r="16" spans="1:10" x14ac:dyDescent="0.25">
      <c r="A16" s="1">
        <v>10</v>
      </c>
      <c r="B16" s="12"/>
      <c r="C16" s="12"/>
      <c r="D16" s="13"/>
      <c r="E16" s="13" t="s">
        <v>24</v>
      </c>
      <c r="F16" s="14">
        <f t="shared" si="0"/>
        <v>0</v>
      </c>
      <c r="G16" s="15">
        <f>C4*F16</f>
        <v>0</v>
      </c>
      <c r="H16" s="44"/>
      <c r="I16" s="45"/>
      <c r="J16" s="16"/>
    </row>
    <row r="17" spans="1:10" x14ac:dyDescent="0.25">
      <c r="A17" s="1">
        <v>11</v>
      </c>
      <c r="B17" s="12"/>
      <c r="C17" s="12"/>
      <c r="D17" s="13"/>
      <c r="E17" s="13" t="s">
        <v>24</v>
      </c>
      <c r="F17" s="14">
        <f t="shared" si="0"/>
        <v>0</v>
      </c>
      <c r="G17" s="15">
        <f>C4*F17</f>
        <v>0</v>
      </c>
      <c r="H17" s="44"/>
      <c r="I17" s="45"/>
      <c r="J17" s="16"/>
    </row>
    <row r="18" spans="1:10" x14ac:dyDescent="0.25">
      <c r="A18" s="1">
        <v>12</v>
      </c>
      <c r="B18" s="12"/>
      <c r="C18" s="12"/>
      <c r="D18" s="13"/>
      <c r="E18" s="13" t="s">
        <v>24</v>
      </c>
      <c r="F18" s="14">
        <f t="shared" si="0"/>
        <v>0</v>
      </c>
      <c r="G18" s="15">
        <f>C4*F18</f>
        <v>0</v>
      </c>
      <c r="H18" s="44"/>
      <c r="I18" s="45"/>
      <c r="J18" s="16"/>
    </row>
    <row r="19" spans="1:10" x14ac:dyDescent="0.25">
      <c r="A19" s="1">
        <v>13</v>
      </c>
      <c r="B19" s="12"/>
      <c r="C19" s="12"/>
      <c r="D19" s="13"/>
      <c r="E19" s="13" t="s">
        <v>24</v>
      </c>
      <c r="F19" s="14">
        <f t="shared" si="0"/>
        <v>0</v>
      </c>
      <c r="G19" s="15">
        <f>C4*F19</f>
        <v>0</v>
      </c>
      <c r="H19" s="44"/>
      <c r="I19" s="45"/>
      <c r="J19" s="16"/>
    </row>
    <row r="20" spans="1:10" x14ac:dyDescent="0.25">
      <c r="A20" s="1">
        <v>14</v>
      </c>
      <c r="B20" s="12"/>
      <c r="C20" s="12"/>
      <c r="D20" s="13"/>
      <c r="E20" s="13" t="s">
        <v>24</v>
      </c>
      <c r="F20" s="14">
        <f t="shared" si="0"/>
        <v>0</v>
      </c>
      <c r="G20" s="15">
        <f>C4*F20</f>
        <v>0</v>
      </c>
      <c r="H20" s="44"/>
      <c r="I20" s="45"/>
      <c r="J20" s="16"/>
    </row>
    <row r="21" spans="1:10" x14ac:dyDescent="0.25">
      <c r="A21" s="1">
        <v>15</v>
      </c>
      <c r="B21" s="12"/>
      <c r="C21" s="12"/>
      <c r="D21" s="13"/>
      <c r="E21" s="13" t="s">
        <v>24</v>
      </c>
      <c r="F21" s="14">
        <f t="shared" si="0"/>
        <v>0</v>
      </c>
      <c r="G21" s="15">
        <f>C4*F21</f>
        <v>0</v>
      </c>
      <c r="H21" s="44"/>
      <c r="I21" s="45"/>
      <c r="J21" s="16"/>
    </row>
    <row r="22" spans="1:10" x14ac:dyDescent="0.25">
      <c r="A22" s="1">
        <v>16</v>
      </c>
      <c r="B22" s="12"/>
      <c r="C22" s="12"/>
      <c r="D22" s="13"/>
      <c r="E22" s="13" t="s">
        <v>24</v>
      </c>
      <c r="F22" s="14">
        <f t="shared" si="0"/>
        <v>0</v>
      </c>
      <c r="G22" s="15">
        <f>C4*F22</f>
        <v>0</v>
      </c>
      <c r="H22" s="44"/>
      <c r="I22" s="45"/>
      <c r="J22" s="16"/>
    </row>
    <row r="23" spans="1:10" x14ac:dyDescent="0.25">
      <c r="A23" s="1">
        <v>17</v>
      </c>
      <c r="B23" s="12"/>
      <c r="C23" s="12"/>
      <c r="D23" s="13"/>
      <c r="E23" s="13" t="s">
        <v>24</v>
      </c>
      <c r="F23" s="14">
        <f t="shared" si="0"/>
        <v>0</v>
      </c>
      <c r="G23" s="15">
        <f>C4*F23</f>
        <v>0</v>
      </c>
      <c r="H23" s="44"/>
      <c r="I23" s="45"/>
      <c r="J23" s="16"/>
    </row>
    <row r="24" spans="1:10" x14ac:dyDescent="0.25">
      <c r="C24" s="17" t="s">
        <v>12</v>
      </c>
      <c r="D24" s="1">
        <f>SUM(D7:D23)</f>
        <v>3.9998</v>
      </c>
      <c r="E24" s="1" t="s">
        <v>24</v>
      </c>
      <c r="F24" s="18">
        <f>SUM(F7:F23)</f>
        <v>1</v>
      </c>
      <c r="G24" s="29">
        <f>SUM(G7:G23)</f>
        <v>0.5</v>
      </c>
      <c r="H24" s="19" t="s">
        <v>13</v>
      </c>
    </row>
    <row r="25" spans="1:10" x14ac:dyDescent="0.25">
      <c r="F25" s="28" t="s">
        <v>25</v>
      </c>
      <c r="G25" s="20" t="e">
        <f>-G24*G4+C4</f>
        <v>#VALUE!</v>
      </c>
    </row>
    <row r="26" spans="1:10" ht="15.75" x14ac:dyDescent="0.25">
      <c r="A26"/>
      <c r="B26" s="43" t="s">
        <v>14</v>
      </c>
      <c r="C26" s="43"/>
      <c r="D26" s="43"/>
      <c r="E26" s="43"/>
      <c r="F26" s="43"/>
      <c r="G26" s="43"/>
      <c r="H26" s="43"/>
      <c r="I26" s="43"/>
      <c r="J26" s="43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49" t="s">
        <v>98</v>
      </c>
      <c r="C28" s="50"/>
      <c r="D28" s="50"/>
      <c r="E28" s="50"/>
      <c r="F28" s="50"/>
      <c r="G28" s="50"/>
      <c r="H28" s="50"/>
      <c r="I28" s="50"/>
      <c r="J28" s="51"/>
    </row>
    <row r="29" spans="1:10" x14ac:dyDescent="0.25">
      <c r="A29" s="1">
        <v>2</v>
      </c>
      <c r="B29" s="49" t="s">
        <v>117</v>
      </c>
      <c r="C29" s="50"/>
      <c r="D29" s="50"/>
      <c r="E29" s="50"/>
      <c r="F29" s="50"/>
      <c r="G29" s="50"/>
      <c r="H29" s="50"/>
      <c r="I29" s="50"/>
      <c r="J29" s="51"/>
    </row>
    <row r="30" spans="1:10" x14ac:dyDescent="0.25">
      <c r="A30" s="1">
        <v>3</v>
      </c>
      <c r="B30" s="52" t="s">
        <v>118</v>
      </c>
      <c r="C30" s="53"/>
      <c r="D30" s="53"/>
      <c r="E30" s="53"/>
      <c r="F30" s="53"/>
      <c r="G30" s="53"/>
      <c r="H30" s="53"/>
      <c r="I30" s="53"/>
      <c r="J30" s="54"/>
    </row>
    <row r="31" spans="1:10" x14ac:dyDescent="0.25">
      <c r="A31" s="1">
        <v>4</v>
      </c>
      <c r="B31" s="42" t="s">
        <v>119</v>
      </c>
      <c r="C31" s="42"/>
      <c r="D31" s="42"/>
      <c r="E31" s="42"/>
      <c r="F31" s="42"/>
      <c r="G31" s="42"/>
      <c r="H31" s="42"/>
      <c r="I31" s="42"/>
      <c r="J31" s="42"/>
    </row>
    <row r="32" spans="1:10" x14ac:dyDescent="0.25">
      <c r="A32" s="1">
        <v>5</v>
      </c>
      <c r="B32" s="42"/>
      <c r="C32" s="42"/>
      <c r="D32" s="42"/>
      <c r="E32" s="42"/>
      <c r="F32" s="42"/>
      <c r="G32" s="42"/>
      <c r="H32" s="42"/>
      <c r="I32" s="42"/>
      <c r="J32" s="42"/>
    </row>
    <row r="33" spans="1:10" x14ac:dyDescent="0.25">
      <c r="A33" s="1">
        <v>6</v>
      </c>
      <c r="B33" s="42"/>
      <c r="C33" s="42"/>
      <c r="D33" s="42"/>
      <c r="E33" s="42"/>
      <c r="F33" s="42"/>
      <c r="G33" s="42"/>
      <c r="H33" s="42"/>
      <c r="I33" s="42"/>
      <c r="J33" s="42"/>
    </row>
    <row r="34" spans="1:10" x14ac:dyDescent="0.25">
      <c r="A34" s="1">
        <v>7</v>
      </c>
      <c r="B34" s="42"/>
      <c r="C34" s="42"/>
      <c r="D34" s="42"/>
      <c r="E34" s="42"/>
      <c r="F34" s="42"/>
      <c r="G34" s="42"/>
      <c r="H34" s="42"/>
      <c r="I34" s="42"/>
      <c r="J34" s="42"/>
    </row>
    <row r="35" spans="1:10" x14ac:dyDescent="0.25">
      <c r="A35" s="1">
        <v>8</v>
      </c>
      <c r="B35" s="42"/>
      <c r="C35" s="42"/>
      <c r="D35" s="42"/>
      <c r="E35" s="42"/>
      <c r="F35" s="42"/>
      <c r="G35" s="42"/>
      <c r="H35" s="42"/>
      <c r="I35" s="42"/>
      <c r="J35" s="42"/>
    </row>
    <row r="36" spans="1:10" x14ac:dyDescent="0.25">
      <c r="A36" s="1">
        <v>9</v>
      </c>
      <c r="B36" s="42"/>
      <c r="C36" s="42"/>
      <c r="D36" s="42"/>
      <c r="E36" s="42"/>
      <c r="F36" s="42"/>
      <c r="G36" s="42"/>
      <c r="H36" s="42"/>
      <c r="I36" s="42"/>
      <c r="J36" s="42"/>
    </row>
    <row r="37" spans="1:10" x14ac:dyDescent="0.25">
      <c r="A37" s="1">
        <v>10</v>
      </c>
      <c r="B37" s="42"/>
      <c r="C37" s="42"/>
      <c r="D37" s="42"/>
      <c r="E37" s="42"/>
      <c r="F37" s="42"/>
      <c r="G37" s="42"/>
      <c r="H37" s="42"/>
      <c r="I37" s="42"/>
      <c r="J37" s="42"/>
    </row>
    <row r="38" spans="1:10" x14ac:dyDescent="0.25">
      <c r="A38" s="1">
        <v>11</v>
      </c>
      <c r="B38" s="42"/>
      <c r="C38" s="42"/>
      <c r="D38" s="42"/>
      <c r="E38" s="42"/>
      <c r="F38" s="42"/>
      <c r="G38" s="42"/>
      <c r="H38" s="42"/>
      <c r="I38" s="42"/>
      <c r="J38" s="42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40" t="s">
        <v>17</v>
      </c>
      <c r="C43" s="40"/>
      <c r="E43" s="40" t="s">
        <v>18</v>
      </c>
      <c r="F43" s="40"/>
      <c r="H43" s="41" t="s">
        <v>19</v>
      </c>
      <c r="I43" s="41"/>
      <c r="J43" s="2" t="s">
        <v>20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3C24F-4D08-44D8-ADB4-4B1E4A494F46}">
  <sheetPr>
    <pageSetUpPr fitToPage="1"/>
  </sheetPr>
  <dimension ref="A1:J43"/>
  <sheetViews>
    <sheetView topLeftCell="B1" workbookViewId="0">
      <selection activeCell="E2" sqref="E2:F2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133</v>
      </c>
      <c r="D2" s="5" t="s">
        <v>1</v>
      </c>
      <c r="E2" s="48"/>
      <c r="F2" s="48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22</v>
      </c>
      <c r="C4" s="10">
        <v>4</v>
      </c>
      <c r="D4" s="9"/>
      <c r="F4" s="2" t="s">
        <v>23</v>
      </c>
      <c r="G4" s="28">
        <v>0.1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134</v>
      </c>
      <c r="E6" s="11" t="s">
        <v>7</v>
      </c>
      <c r="F6" s="11" t="s">
        <v>8</v>
      </c>
      <c r="G6" s="11" t="s">
        <v>9</v>
      </c>
      <c r="H6" s="46" t="s">
        <v>10</v>
      </c>
      <c r="I6" s="47"/>
      <c r="J6" s="11" t="s">
        <v>11</v>
      </c>
    </row>
    <row r="7" spans="1:10" x14ac:dyDescent="0.25">
      <c r="A7" s="1">
        <v>1</v>
      </c>
      <c r="B7" s="12" t="s">
        <v>135</v>
      </c>
      <c r="C7" s="12" t="s">
        <v>136</v>
      </c>
      <c r="D7" s="13">
        <v>16</v>
      </c>
      <c r="E7" s="13" t="s">
        <v>24</v>
      </c>
      <c r="F7" s="14">
        <f t="shared" ref="F7:F23" si="0">D7/D$24</f>
        <v>0.94955489614243316</v>
      </c>
      <c r="G7" s="15">
        <f>C4*F7</f>
        <v>3.7982195845697326</v>
      </c>
      <c r="H7" s="44"/>
      <c r="I7" s="45"/>
      <c r="J7" s="16"/>
    </row>
    <row r="8" spans="1:10" x14ac:dyDescent="0.25">
      <c r="A8" s="1">
        <v>2</v>
      </c>
      <c r="B8" s="12" t="s">
        <v>46</v>
      </c>
      <c r="C8" s="12" t="s">
        <v>47</v>
      </c>
      <c r="D8" s="13">
        <v>0.75</v>
      </c>
      <c r="E8" s="13" t="s">
        <v>24</v>
      </c>
      <c r="F8" s="14">
        <f t="shared" si="0"/>
        <v>4.4510385756676554E-2</v>
      </c>
      <c r="G8" s="15">
        <f>C4*F8</f>
        <v>0.17804154302670622</v>
      </c>
      <c r="H8" s="44"/>
      <c r="I8" s="45"/>
      <c r="J8" s="16"/>
    </row>
    <row r="9" spans="1:10" x14ac:dyDescent="0.25">
      <c r="A9" s="1">
        <v>3</v>
      </c>
      <c r="B9" s="12" t="s">
        <v>85</v>
      </c>
      <c r="C9" s="12" t="s">
        <v>137</v>
      </c>
      <c r="D9" s="13">
        <v>0.1</v>
      </c>
      <c r="E9" s="13" t="s">
        <v>24</v>
      </c>
      <c r="F9" s="14">
        <f t="shared" si="0"/>
        <v>5.9347181008902079E-3</v>
      </c>
      <c r="G9" s="15">
        <f>C4*F9</f>
        <v>2.3738872403560832E-2</v>
      </c>
      <c r="H9" s="44"/>
      <c r="I9" s="45"/>
      <c r="J9" s="16"/>
    </row>
    <row r="10" spans="1:10" x14ac:dyDescent="0.25">
      <c r="A10" s="1">
        <v>4</v>
      </c>
      <c r="B10" s="12"/>
      <c r="C10" s="12"/>
      <c r="D10" s="13"/>
      <c r="E10" s="13" t="s">
        <v>24</v>
      </c>
      <c r="F10" s="14">
        <f t="shared" si="0"/>
        <v>0</v>
      </c>
      <c r="G10" s="15">
        <f>C4*F10</f>
        <v>0</v>
      </c>
      <c r="H10" s="44"/>
      <c r="I10" s="45"/>
      <c r="J10" s="16"/>
    </row>
    <row r="11" spans="1:10" x14ac:dyDescent="0.25">
      <c r="A11" s="1">
        <v>5</v>
      </c>
      <c r="B11" s="12"/>
      <c r="C11" s="12"/>
      <c r="D11" s="13"/>
      <c r="E11" s="13" t="s">
        <v>24</v>
      </c>
      <c r="F11" s="14">
        <f t="shared" si="0"/>
        <v>0</v>
      </c>
      <c r="G11" s="15">
        <f>C4*F11</f>
        <v>0</v>
      </c>
      <c r="H11" s="44"/>
      <c r="I11" s="45"/>
      <c r="J11" s="16"/>
    </row>
    <row r="12" spans="1:10" x14ac:dyDescent="0.25">
      <c r="A12" s="1">
        <v>6</v>
      </c>
      <c r="B12" s="12"/>
      <c r="C12" s="12"/>
      <c r="D12" s="13"/>
      <c r="E12" s="13" t="s">
        <v>24</v>
      </c>
      <c r="F12" s="14">
        <f t="shared" si="0"/>
        <v>0</v>
      </c>
      <c r="G12" s="15">
        <f>C4*F12</f>
        <v>0</v>
      </c>
      <c r="H12" s="44"/>
      <c r="I12" s="45"/>
      <c r="J12" s="16"/>
    </row>
    <row r="13" spans="1:10" x14ac:dyDescent="0.25">
      <c r="A13" s="1">
        <v>7</v>
      </c>
      <c r="B13" s="12"/>
      <c r="C13" s="12"/>
      <c r="D13" s="13"/>
      <c r="E13" s="13" t="s">
        <v>24</v>
      </c>
      <c r="F13" s="14">
        <f t="shared" si="0"/>
        <v>0</v>
      </c>
      <c r="G13" s="15">
        <f>C4*F13</f>
        <v>0</v>
      </c>
      <c r="H13" s="44"/>
      <c r="I13" s="45"/>
      <c r="J13" s="16"/>
    </row>
    <row r="14" spans="1:10" x14ac:dyDescent="0.25">
      <c r="A14" s="1">
        <v>8</v>
      </c>
      <c r="B14" s="12"/>
      <c r="C14" s="12"/>
      <c r="D14" s="13"/>
      <c r="E14" s="13" t="s">
        <v>24</v>
      </c>
      <c r="F14" s="14">
        <f t="shared" si="0"/>
        <v>0</v>
      </c>
      <c r="G14" s="15">
        <f>C4*F14</f>
        <v>0</v>
      </c>
      <c r="H14" s="44"/>
      <c r="I14" s="45"/>
      <c r="J14" s="16"/>
    </row>
    <row r="15" spans="1:10" x14ac:dyDescent="0.25">
      <c r="A15" s="1">
        <v>9</v>
      </c>
      <c r="B15" s="12"/>
      <c r="C15" s="12"/>
      <c r="D15" s="13"/>
      <c r="E15" s="13" t="s">
        <v>24</v>
      </c>
      <c r="F15" s="14">
        <f t="shared" si="0"/>
        <v>0</v>
      </c>
      <c r="G15" s="15">
        <f>C4*F15</f>
        <v>0</v>
      </c>
      <c r="H15" s="44"/>
      <c r="I15" s="45"/>
      <c r="J15" s="16"/>
    </row>
    <row r="16" spans="1:10" x14ac:dyDescent="0.25">
      <c r="A16" s="1">
        <v>10</v>
      </c>
      <c r="B16" s="12"/>
      <c r="C16" s="12"/>
      <c r="D16" s="13"/>
      <c r="E16" s="13" t="s">
        <v>24</v>
      </c>
      <c r="F16" s="14">
        <f t="shared" si="0"/>
        <v>0</v>
      </c>
      <c r="G16" s="15">
        <f>C4*F16</f>
        <v>0</v>
      </c>
      <c r="H16" s="44"/>
      <c r="I16" s="45"/>
      <c r="J16" s="16"/>
    </row>
    <row r="17" spans="1:10" x14ac:dyDescent="0.25">
      <c r="A17" s="1">
        <v>11</v>
      </c>
      <c r="B17" s="12"/>
      <c r="C17" s="12"/>
      <c r="D17" s="13"/>
      <c r="E17" s="13" t="s">
        <v>24</v>
      </c>
      <c r="F17" s="14">
        <f t="shared" si="0"/>
        <v>0</v>
      </c>
      <c r="G17" s="15">
        <f>C4*F17</f>
        <v>0</v>
      </c>
      <c r="H17" s="44"/>
      <c r="I17" s="45"/>
      <c r="J17" s="16"/>
    </row>
    <row r="18" spans="1:10" x14ac:dyDescent="0.25">
      <c r="A18" s="1">
        <v>12</v>
      </c>
      <c r="B18" s="12"/>
      <c r="C18" s="12"/>
      <c r="D18" s="13"/>
      <c r="E18" s="13" t="s">
        <v>24</v>
      </c>
      <c r="F18" s="14">
        <f t="shared" si="0"/>
        <v>0</v>
      </c>
      <c r="G18" s="15">
        <f>C4*F18</f>
        <v>0</v>
      </c>
      <c r="H18" s="44"/>
      <c r="I18" s="45"/>
      <c r="J18" s="16"/>
    </row>
    <row r="19" spans="1:10" x14ac:dyDescent="0.25">
      <c r="A19" s="1">
        <v>13</v>
      </c>
      <c r="B19" s="12"/>
      <c r="C19" s="12"/>
      <c r="D19" s="13"/>
      <c r="E19" s="13" t="s">
        <v>24</v>
      </c>
      <c r="F19" s="14">
        <f t="shared" si="0"/>
        <v>0</v>
      </c>
      <c r="G19" s="15">
        <f>C4*F19</f>
        <v>0</v>
      </c>
      <c r="H19" s="44"/>
      <c r="I19" s="45"/>
      <c r="J19" s="16"/>
    </row>
    <row r="20" spans="1:10" x14ac:dyDescent="0.25">
      <c r="A20" s="1">
        <v>14</v>
      </c>
      <c r="B20" s="12"/>
      <c r="C20" s="12"/>
      <c r="D20" s="13"/>
      <c r="E20" s="13" t="s">
        <v>24</v>
      </c>
      <c r="F20" s="14">
        <f t="shared" si="0"/>
        <v>0</v>
      </c>
      <c r="G20" s="15">
        <f>C4*F20</f>
        <v>0</v>
      </c>
      <c r="H20" s="44"/>
      <c r="I20" s="45"/>
      <c r="J20" s="16"/>
    </row>
    <row r="21" spans="1:10" x14ac:dyDescent="0.25">
      <c r="A21" s="1">
        <v>15</v>
      </c>
      <c r="B21" s="12"/>
      <c r="C21" s="12"/>
      <c r="D21" s="13"/>
      <c r="E21" s="13" t="s">
        <v>24</v>
      </c>
      <c r="F21" s="14">
        <f t="shared" si="0"/>
        <v>0</v>
      </c>
      <c r="G21" s="15">
        <f>C4*F21</f>
        <v>0</v>
      </c>
      <c r="H21" s="44"/>
      <c r="I21" s="45"/>
      <c r="J21" s="16"/>
    </row>
    <row r="22" spans="1:10" x14ac:dyDescent="0.25">
      <c r="A22" s="1">
        <v>16</v>
      </c>
      <c r="B22" s="12"/>
      <c r="C22" s="12"/>
      <c r="D22" s="13"/>
      <c r="E22" s="13" t="s">
        <v>24</v>
      </c>
      <c r="F22" s="14">
        <f t="shared" si="0"/>
        <v>0</v>
      </c>
      <c r="G22" s="15">
        <f>C4*F22</f>
        <v>0</v>
      </c>
      <c r="H22" s="44"/>
      <c r="I22" s="45"/>
      <c r="J22" s="16"/>
    </row>
    <row r="23" spans="1:10" x14ac:dyDescent="0.25">
      <c r="A23" s="1">
        <v>17</v>
      </c>
      <c r="B23" s="12"/>
      <c r="C23" s="12"/>
      <c r="D23" s="13"/>
      <c r="E23" s="13" t="s">
        <v>24</v>
      </c>
      <c r="F23" s="14">
        <f t="shared" si="0"/>
        <v>0</v>
      </c>
      <c r="G23" s="15">
        <f>C4*F23</f>
        <v>0</v>
      </c>
      <c r="H23" s="44"/>
      <c r="I23" s="45"/>
      <c r="J23" s="16"/>
    </row>
    <row r="24" spans="1:10" x14ac:dyDescent="0.25">
      <c r="C24" s="17" t="s">
        <v>12</v>
      </c>
      <c r="D24" s="1">
        <f>SUM(D7:D23)</f>
        <v>16.850000000000001</v>
      </c>
      <c r="E24" s="1" t="s">
        <v>24</v>
      </c>
      <c r="F24" s="18">
        <f>SUM(F7:F23)</f>
        <v>0.99999999999999989</v>
      </c>
      <c r="G24" s="29">
        <f>SUM(G7:G23)</f>
        <v>3.9999999999999996</v>
      </c>
      <c r="H24" s="19" t="s">
        <v>13</v>
      </c>
    </row>
    <row r="25" spans="1:10" x14ac:dyDescent="0.25">
      <c r="F25" s="28" t="s">
        <v>25</v>
      </c>
      <c r="G25" s="20">
        <f>-G24*G4+C4</f>
        <v>3.6</v>
      </c>
    </row>
    <row r="26" spans="1:10" ht="15.75" x14ac:dyDescent="0.25">
      <c r="A26"/>
      <c r="B26" s="43" t="s">
        <v>14</v>
      </c>
      <c r="C26" s="43"/>
      <c r="D26" s="43"/>
      <c r="E26" s="43"/>
      <c r="F26" s="43"/>
      <c r="G26" s="43"/>
      <c r="H26" s="43"/>
      <c r="I26" s="43"/>
      <c r="J26" s="43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49" t="s">
        <v>138</v>
      </c>
      <c r="C28" s="50"/>
      <c r="D28" s="50"/>
      <c r="E28" s="50"/>
      <c r="F28" s="50"/>
      <c r="G28" s="50"/>
      <c r="H28" s="50"/>
      <c r="I28" s="50"/>
      <c r="J28" s="51"/>
    </row>
    <row r="29" spans="1:10" x14ac:dyDescent="0.25">
      <c r="A29" s="1">
        <v>2</v>
      </c>
      <c r="B29" s="49" t="s">
        <v>139</v>
      </c>
      <c r="C29" s="50"/>
      <c r="D29" s="50"/>
      <c r="E29" s="50"/>
      <c r="F29" s="50"/>
      <c r="G29" s="50"/>
      <c r="H29" s="50"/>
      <c r="I29" s="50"/>
      <c r="J29" s="51"/>
    </row>
    <row r="30" spans="1:10" x14ac:dyDescent="0.25">
      <c r="A30" s="1">
        <v>3</v>
      </c>
      <c r="B30" s="52" t="s">
        <v>140</v>
      </c>
      <c r="C30" s="53"/>
      <c r="D30" s="53"/>
      <c r="E30" s="53"/>
      <c r="F30" s="53"/>
      <c r="G30" s="53"/>
      <c r="H30" s="53"/>
      <c r="I30" s="53"/>
      <c r="J30" s="54"/>
    </row>
    <row r="31" spans="1:10" x14ac:dyDescent="0.25">
      <c r="A31" s="1">
        <v>4</v>
      </c>
      <c r="B31" s="49"/>
      <c r="C31" s="50"/>
      <c r="D31" s="50"/>
      <c r="E31" s="50"/>
      <c r="F31" s="50"/>
      <c r="G31" s="50"/>
      <c r="H31" s="50"/>
      <c r="I31" s="50"/>
      <c r="J31" s="51"/>
    </row>
    <row r="32" spans="1:10" x14ac:dyDescent="0.25">
      <c r="A32" s="1">
        <v>5</v>
      </c>
      <c r="B32" s="42"/>
      <c r="C32" s="42"/>
      <c r="D32" s="42"/>
      <c r="E32" s="42"/>
      <c r="F32" s="42"/>
      <c r="G32" s="42"/>
      <c r="H32" s="42"/>
      <c r="I32" s="42"/>
      <c r="J32" s="42"/>
    </row>
    <row r="33" spans="1:10" x14ac:dyDescent="0.25">
      <c r="A33" s="1">
        <v>6</v>
      </c>
      <c r="B33" s="42"/>
      <c r="C33" s="42"/>
      <c r="D33" s="42"/>
      <c r="E33" s="42"/>
      <c r="F33" s="42"/>
      <c r="G33" s="42"/>
      <c r="H33" s="42"/>
      <c r="I33" s="42"/>
      <c r="J33" s="42"/>
    </row>
    <row r="34" spans="1:10" x14ac:dyDescent="0.25">
      <c r="A34" s="1">
        <v>7</v>
      </c>
      <c r="B34" s="42"/>
      <c r="C34" s="42"/>
      <c r="D34" s="42"/>
      <c r="E34" s="42"/>
      <c r="F34" s="42"/>
      <c r="G34" s="42"/>
      <c r="H34" s="42"/>
      <c r="I34" s="42"/>
      <c r="J34" s="42"/>
    </row>
    <row r="35" spans="1:10" x14ac:dyDescent="0.25">
      <c r="A35" s="1">
        <v>8</v>
      </c>
      <c r="B35" s="42"/>
      <c r="C35" s="42"/>
      <c r="D35" s="42"/>
      <c r="E35" s="42"/>
      <c r="F35" s="42"/>
      <c r="G35" s="42"/>
      <c r="H35" s="42"/>
      <c r="I35" s="42"/>
      <c r="J35" s="42"/>
    </row>
    <row r="36" spans="1:10" x14ac:dyDescent="0.25">
      <c r="A36" s="1">
        <v>9</v>
      </c>
      <c r="B36" s="42"/>
      <c r="C36" s="42"/>
      <c r="D36" s="42"/>
      <c r="E36" s="42"/>
      <c r="F36" s="42"/>
      <c r="G36" s="42"/>
      <c r="H36" s="42"/>
      <c r="I36" s="42"/>
      <c r="J36" s="42"/>
    </row>
    <row r="37" spans="1:10" x14ac:dyDescent="0.25">
      <c r="A37" s="1">
        <v>10</v>
      </c>
      <c r="B37" s="42"/>
      <c r="C37" s="42"/>
      <c r="D37" s="42"/>
      <c r="E37" s="42"/>
      <c r="F37" s="42"/>
      <c r="G37" s="42"/>
      <c r="H37" s="42"/>
      <c r="I37" s="42"/>
      <c r="J37" s="42"/>
    </row>
    <row r="38" spans="1:10" x14ac:dyDescent="0.25">
      <c r="A38" s="1">
        <v>11</v>
      </c>
      <c r="B38" s="42"/>
      <c r="C38" s="42"/>
      <c r="D38" s="42"/>
      <c r="E38" s="42"/>
      <c r="F38" s="42"/>
      <c r="G38" s="42"/>
      <c r="H38" s="42"/>
      <c r="I38" s="42"/>
      <c r="J38" s="42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40" t="s">
        <v>17</v>
      </c>
      <c r="C43" s="40"/>
      <c r="E43" s="40" t="s">
        <v>18</v>
      </c>
      <c r="F43" s="40"/>
      <c r="H43" s="41" t="s">
        <v>19</v>
      </c>
      <c r="I43" s="41"/>
      <c r="J43" s="2" t="s">
        <v>20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19C02-9E02-4366-A582-4F12465CD328}">
  <sheetPr>
    <pageSetUpPr fitToPage="1"/>
  </sheetPr>
  <dimension ref="A1:J43"/>
  <sheetViews>
    <sheetView topLeftCell="B1" workbookViewId="0">
      <selection activeCell="E2" sqref="E2:F2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74</v>
      </c>
      <c r="D2" s="5" t="s">
        <v>1</v>
      </c>
      <c r="E2" s="48" t="s">
        <v>75</v>
      </c>
      <c r="F2" s="48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22</v>
      </c>
      <c r="C4" s="10">
        <v>15</v>
      </c>
      <c r="D4" s="9"/>
      <c r="F4" s="2" t="s">
        <v>23</v>
      </c>
      <c r="G4" s="28">
        <v>0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46" t="s">
        <v>10</v>
      </c>
      <c r="I6" s="47"/>
      <c r="J6" s="11" t="s">
        <v>11</v>
      </c>
    </row>
    <row r="7" spans="1:10" x14ac:dyDescent="0.25">
      <c r="A7" s="1">
        <v>1</v>
      </c>
      <c r="B7" s="12" t="s">
        <v>76</v>
      </c>
      <c r="C7" s="12" t="s">
        <v>77</v>
      </c>
      <c r="D7" s="13">
        <v>7.3929865201212452</v>
      </c>
      <c r="E7" s="13" t="s">
        <v>24</v>
      </c>
      <c r="F7" s="14">
        <f t="shared" ref="F7:F23" si="0">D7/D$24</f>
        <v>0.73929997105197032</v>
      </c>
      <c r="G7" s="15">
        <f>C4*F7</f>
        <v>11.089499565779555</v>
      </c>
      <c r="H7" s="44"/>
      <c r="I7" s="45"/>
      <c r="J7" s="16"/>
    </row>
    <row r="8" spans="1:10" x14ac:dyDescent="0.25">
      <c r="A8" s="1">
        <v>2</v>
      </c>
      <c r="B8" s="12" t="s">
        <v>56</v>
      </c>
      <c r="C8" s="12" t="s">
        <v>78</v>
      </c>
      <c r="D8" s="13">
        <v>1.2321644200202075</v>
      </c>
      <c r="E8" s="13" t="s">
        <v>24</v>
      </c>
      <c r="F8" s="14">
        <f t="shared" si="0"/>
        <v>0.12321666184199505</v>
      </c>
      <c r="G8" s="15">
        <f>C4*F8</f>
        <v>1.8482499276299258</v>
      </c>
      <c r="H8" s="44"/>
      <c r="I8" s="45"/>
      <c r="J8" s="16"/>
    </row>
    <row r="9" spans="1:10" x14ac:dyDescent="0.25">
      <c r="A9" s="1">
        <v>3</v>
      </c>
      <c r="B9" s="12" t="s">
        <v>79</v>
      </c>
      <c r="C9" s="12" t="s">
        <v>80</v>
      </c>
      <c r="D9" s="13">
        <v>1.2321644200202075</v>
      </c>
      <c r="E9" s="13" t="s">
        <v>24</v>
      </c>
      <c r="F9" s="14">
        <f t="shared" si="0"/>
        <v>0.12321666184199505</v>
      </c>
      <c r="G9" s="15">
        <f>C4*F9</f>
        <v>1.8482499276299258</v>
      </c>
      <c r="H9" s="44"/>
      <c r="I9" s="45"/>
      <c r="J9" s="16"/>
    </row>
    <row r="10" spans="1:10" x14ac:dyDescent="0.25">
      <c r="A10" s="1">
        <v>4</v>
      </c>
      <c r="B10" s="12" t="s">
        <v>81</v>
      </c>
      <c r="C10" s="12" t="s">
        <v>82</v>
      </c>
      <c r="D10" s="13">
        <v>1.3582296261613152E-2</v>
      </c>
      <c r="E10" s="13" t="s">
        <v>24</v>
      </c>
      <c r="F10" s="14">
        <f t="shared" si="0"/>
        <v>1.3582320494837327E-3</v>
      </c>
      <c r="G10" s="15">
        <f>C4*F10</f>
        <v>2.0373480742255989E-2</v>
      </c>
      <c r="H10" s="44"/>
      <c r="I10" s="45"/>
      <c r="J10" s="16"/>
    </row>
    <row r="11" spans="1:10" x14ac:dyDescent="0.25">
      <c r="A11" s="1">
        <v>5</v>
      </c>
      <c r="B11" s="12" t="s">
        <v>83</v>
      </c>
      <c r="C11" s="12" t="s">
        <v>84</v>
      </c>
      <c r="D11" s="13">
        <v>9.2412331501515566E-2</v>
      </c>
      <c r="E11" s="13" t="s">
        <v>24</v>
      </c>
      <c r="F11" s="14">
        <f t="shared" si="0"/>
        <v>9.2412496381496286E-3</v>
      </c>
      <c r="G11" s="15">
        <f>C4*F11</f>
        <v>0.13861874457224443</v>
      </c>
      <c r="H11" s="44"/>
      <c r="I11" s="45"/>
      <c r="J11" s="16"/>
    </row>
    <row r="12" spans="1:10" x14ac:dyDescent="0.25">
      <c r="A12" s="1">
        <v>6</v>
      </c>
      <c r="B12" s="12" t="s">
        <v>85</v>
      </c>
      <c r="C12" s="12" t="s">
        <v>86</v>
      </c>
      <c r="D12" s="13">
        <v>3.6672170334409428E-2</v>
      </c>
      <c r="E12" s="13" t="s">
        <v>24</v>
      </c>
      <c r="F12" s="14">
        <f t="shared" si="0"/>
        <v>3.6672235764061939E-3</v>
      </c>
      <c r="G12" s="15">
        <f>C4*F12</f>
        <v>5.5008353646092911E-2</v>
      </c>
      <c r="H12" s="44"/>
      <c r="I12" s="45"/>
      <c r="J12" s="16"/>
    </row>
    <row r="13" spans="1:10" x14ac:dyDescent="0.25">
      <c r="A13" s="1">
        <v>7</v>
      </c>
      <c r="B13" s="12"/>
      <c r="C13" s="12"/>
      <c r="D13" s="13"/>
      <c r="E13" s="13" t="s">
        <v>24</v>
      </c>
      <c r="F13" s="14">
        <f t="shared" si="0"/>
        <v>0</v>
      </c>
      <c r="G13" s="15">
        <f>C4*F13</f>
        <v>0</v>
      </c>
      <c r="H13" s="44"/>
      <c r="I13" s="45"/>
      <c r="J13" s="16"/>
    </row>
    <row r="14" spans="1:10" x14ac:dyDescent="0.25">
      <c r="A14" s="1">
        <v>8</v>
      </c>
      <c r="B14" s="12"/>
      <c r="C14" s="12"/>
      <c r="D14" s="13"/>
      <c r="E14" s="13" t="s">
        <v>24</v>
      </c>
      <c r="F14" s="14">
        <f t="shared" si="0"/>
        <v>0</v>
      </c>
      <c r="G14" s="15">
        <f>C4*F14</f>
        <v>0</v>
      </c>
      <c r="H14" s="44"/>
      <c r="I14" s="45"/>
      <c r="J14" s="16"/>
    </row>
    <row r="15" spans="1:10" x14ac:dyDescent="0.25">
      <c r="A15" s="1">
        <v>9</v>
      </c>
      <c r="B15" s="12"/>
      <c r="C15" s="12"/>
      <c r="D15" s="13"/>
      <c r="E15" s="13" t="s">
        <v>24</v>
      </c>
      <c r="F15" s="14">
        <f t="shared" si="0"/>
        <v>0</v>
      </c>
      <c r="G15" s="15">
        <f>C4*F15</f>
        <v>0</v>
      </c>
      <c r="H15" s="44"/>
      <c r="I15" s="45"/>
      <c r="J15" s="16"/>
    </row>
    <row r="16" spans="1:10" x14ac:dyDescent="0.25">
      <c r="A16" s="1">
        <v>10</v>
      </c>
      <c r="B16" s="12"/>
      <c r="C16" s="12"/>
      <c r="D16" s="13"/>
      <c r="E16" s="13" t="s">
        <v>24</v>
      </c>
      <c r="F16" s="14">
        <f t="shared" si="0"/>
        <v>0</v>
      </c>
      <c r="G16" s="15">
        <f>C4*F16</f>
        <v>0</v>
      </c>
      <c r="H16" s="44"/>
      <c r="I16" s="45"/>
      <c r="J16" s="16"/>
    </row>
    <row r="17" spans="1:10" x14ac:dyDescent="0.25">
      <c r="A17" s="1">
        <v>11</v>
      </c>
      <c r="B17" s="12"/>
      <c r="C17" s="12"/>
      <c r="D17" s="13"/>
      <c r="E17" s="13" t="s">
        <v>24</v>
      </c>
      <c r="F17" s="14">
        <f t="shared" si="0"/>
        <v>0</v>
      </c>
      <c r="G17" s="15">
        <f>C4*F17</f>
        <v>0</v>
      </c>
      <c r="H17" s="44"/>
      <c r="I17" s="45"/>
      <c r="J17" s="16"/>
    </row>
    <row r="18" spans="1:10" x14ac:dyDescent="0.25">
      <c r="A18" s="1">
        <v>12</v>
      </c>
      <c r="B18" s="12"/>
      <c r="C18" s="12"/>
      <c r="D18" s="13"/>
      <c r="E18" s="13" t="s">
        <v>24</v>
      </c>
      <c r="F18" s="14">
        <f t="shared" si="0"/>
        <v>0</v>
      </c>
      <c r="G18" s="15">
        <f>C4*F18</f>
        <v>0</v>
      </c>
      <c r="H18" s="44"/>
      <c r="I18" s="45"/>
      <c r="J18" s="16"/>
    </row>
    <row r="19" spans="1:10" x14ac:dyDescent="0.25">
      <c r="A19" s="1">
        <v>13</v>
      </c>
      <c r="B19" s="12"/>
      <c r="C19" s="12"/>
      <c r="D19" s="13"/>
      <c r="E19" s="13" t="s">
        <v>24</v>
      </c>
      <c r="F19" s="14">
        <f t="shared" si="0"/>
        <v>0</v>
      </c>
      <c r="G19" s="15">
        <f>C4*F19</f>
        <v>0</v>
      </c>
      <c r="H19" s="44"/>
      <c r="I19" s="45"/>
      <c r="J19" s="16"/>
    </row>
    <row r="20" spans="1:10" x14ac:dyDescent="0.25">
      <c r="A20" s="1">
        <v>14</v>
      </c>
      <c r="B20" s="12"/>
      <c r="C20" s="12"/>
      <c r="D20" s="13"/>
      <c r="E20" s="13" t="s">
        <v>24</v>
      </c>
      <c r="F20" s="14">
        <f t="shared" si="0"/>
        <v>0</v>
      </c>
      <c r="G20" s="15">
        <f>C4*F20</f>
        <v>0</v>
      </c>
      <c r="H20" s="44"/>
      <c r="I20" s="45"/>
      <c r="J20" s="16"/>
    </row>
    <row r="21" spans="1:10" x14ac:dyDescent="0.25">
      <c r="A21" s="1">
        <v>15</v>
      </c>
      <c r="B21" s="12"/>
      <c r="C21" s="12"/>
      <c r="D21" s="13"/>
      <c r="E21" s="13" t="s">
        <v>24</v>
      </c>
      <c r="F21" s="14">
        <f t="shared" si="0"/>
        <v>0</v>
      </c>
      <c r="G21" s="15">
        <f>C4*F21</f>
        <v>0</v>
      </c>
      <c r="H21" s="44"/>
      <c r="I21" s="45"/>
      <c r="J21" s="16"/>
    </row>
    <row r="22" spans="1:10" x14ac:dyDescent="0.25">
      <c r="A22" s="1">
        <v>16</v>
      </c>
      <c r="B22" s="12"/>
      <c r="C22" s="12"/>
      <c r="D22" s="13"/>
      <c r="E22" s="13" t="s">
        <v>24</v>
      </c>
      <c r="F22" s="14">
        <f t="shared" si="0"/>
        <v>0</v>
      </c>
      <c r="G22" s="15">
        <f>C4*F22</f>
        <v>0</v>
      </c>
      <c r="H22" s="44"/>
      <c r="I22" s="45"/>
      <c r="J22" s="16"/>
    </row>
    <row r="23" spans="1:10" x14ac:dyDescent="0.25">
      <c r="A23" s="1">
        <v>17</v>
      </c>
      <c r="B23" s="12"/>
      <c r="C23" s="12"/>
      <c r="D23" s="13"/>
      <c r="E23" s="13" t="s">
        <v>24</v>
      </c>
      <c r="F23" s="14">
        <f t="shared" si="0"/>
        <v>0</v>
      </c>
      <c r="G23" s="15">
        <f>C4*F23</f>
        <v>0</v>
      </c>
      <c r="H23" s="44"/>
      <c r="I23" s="45"/>
      <c r="J23" s="16"/>
    </row>
    <row r="24" spans="1:10" x14ac:dyDescent="0.25">
      <c r="C24" s="17" t="s">
        <v>12</v>
      </c>
      <c r="D24" s="1">
        <f>SUM(D7:D23)</f>
        <v>9.9999821582591988</v>
      </c>
      <c r="E24" s="1" t="s">
        <v>24</v>
      </c>
      <c r="F24" s="18">
        <f>SUM(F7:F23)</f>
        <v>1</v>
      </c>
      <c r="G24" s="29">
        <f>SUM(G7:G23)</f>
        <v>15</v>
      </c>
      <c r="H24" s="19" t="s">
        <v>13</v>
      </c>
    </row>
    <row r="25" spans="1:10" x14ac:dyDescent="0.25">
      <c r="F25" s="28" t="s">
        <v>25</v>
      </c>
      <c r="G25" s="20">
        <f>-G24*G4+C4</f>
        <v>15</v>
      </c>
    </row>
    <row r="26" spans="1:10" ht="15.75" x14ac:dyDescent="0.25">
      <c r="A26"/>
      <c r="B26" s="43" t="s">
        <v>14</v>
      </c>
      <c r="C26" s="43"/>
      <c r="D26" s="43"/>
      <c r="E26" s="43"/>
      <c r="F26" s="43"/>
      <c r="G26" s="43"/>
      <c r="H26" s="43"/>
      <c r="I26" s="43"/>
      <c r="J26" s="43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49" t="s">
        <v>87</v>
      </c>
      <c r="C28" s="50"/>
      <c r="D28" s="50"/>
      <c r="E28" s="50"/>
      <c r="F28" s="50"/>
      <c r="G28" s="50"/>
      <c r="H28" s="50"/>
      <c r="I28" s="50"/>
      <c r="J28" s="51"/>
    </row>
    <row r="29" spans="1:10" x14ac:dyDescent="0.25">
      <c r="A29" s="1">
        <v>2</v>
      </c>
      <c r="B29" s="49" t="s">
        <v>88</v>
      </c>
      <c r="C29" s="50"/>
      <c r="D29" s="50"/>
      <c r="E29" s="50"/>
      <c r="F29" s="50"/>
      <c r="G29" s="50"/>
      <c r="H29" s="50"/>
      <c r="I29" s="50"/>
      <c r="J29" s="51"/>
    </row>
    <row r="30" spans="1:10" x14ac:dyDescent="0.25">
      <c r="A30" s="1">
        <v>3</v>
      </c>
      <c r="B30" s="52" t="s">
        <v>89</v>
      </c>
      <c r="C30" s="53"/>
      <c r="D30" s="53"/>
      <c r="E30" s="53"/>
      <c r="F30" s="53"/>
      <c r="G30" s="53"/>
      <c r="H30" s="53"/>
      <c r="I30" s="53"/>
      <c r="J30" s="54"/>
    </row>
    <row r="31" spans="1:10" x14ac:dyDescent="0.25">
      <c r="A31" s="1">
        <v>4</v>
      </c>
      <c r="B31" s="42"/>
      <c r="C31" s="42"/>
      <c r="D31" s="42"/>
      <c r="E31" s="42"/>
      <c r="F31" s="42"/>
      <c r="G31" s="42"/>
      <c r="H31" s="42"/>
      <c r="I31" s="42"/>
      <c r="J31" s="42"/>
    </row>
    <row r="32" spans="1:10" x14ac:dyDescent="0.25">
      <c r="A32" s="1">
        <v>5</v>
      </c>
      <c r="B32" s="42"/>
      <c r="C32" s="42"/>
      <c r="D32" s="42"/>
      <c r="E32" s="42"/>
      <c r="F32" s="42"/>
      <c r="G32" s="42"/>
      <c r="H32" s="42"/>
      <c r="I32" s="42"/>
      <c r="J32" s="42"/>
    </row>
    <row r="33" spans="1:10" x14ac:dyDescent="0.25">
      <c r="A33" s="1">
        <v>6</v>
      </c>
      <c r="B33" s="42"/>
      <c r="C33" s="42"/>
      <c r="D33" s="42"/>
      <c r="E33" s="42"/>
      <c r="F33" s="42"/>
      <c r="G33" s="42"/>
      <c r="H33" s="42"/>
      <c r="I33" s="42"/>
      <c r="J33" s="42"/>
    </row>
    <row r="34" spans="1:10" x14ac:dyDescent="0.25">
      <c r="A34" s="1">
        <v>7</v>
      </c>
      <c r="B34" s="42"/>
      <c r="C34" s="42"/>
      <c r="D34" s="42"/>
      <c r="E34" s="42"/>
      <c r="F34" s="42"/>
      <c r="G34" s="42"/>
      <c r="H34" s="42"/>
      <c r="I34" s="42"/>
      <c r="J34" s="42"/>
    </row>
    <row r="35" spans="1:10" x14ac:dyDescent="0.25">
      <c r="A35" s="1">
        <v>8</v>
      </c>
      <c r="B35" s="42"/>
      <c r="C35" s="42"/>
      <c r="D35" s="42"/>
      <c r="E35" s="42"/>
      <c r="F35" s="42"/>
      <c r="G35" s="42"/>
      <c r="H35" s="42"/>
      <c r="I35" s="42"/>
      <c r="J35" s="42"/>
    </row>
    <row r="36" spans="1:10" x14ac:dyDescent="0.25">
      <c r="A36" s="1">
        <v>9</v>
      </c>
      <c r="B36" s="42"/>
      <c r="C36" s="42"/>
      <c r="D36" s="42"/>
      <c r="E36" s="42"/>
      <c r="F36" s="42"/>
      <c r="G36" s="42"/>
      <c r="H36" s="42"/>
      <c r="I36" s="42"/>
      <c r="J36" s="42"/>
    </row>
    <row r="37" spans="1:10" x14ac:dyDescent="0.25">
      <c r="A37" s="1">
        <v>10</v>
      </c>
      <c r="B37" s="42"/>
      <c r="C37" s="42"/>
      <c r="D37" s="42"/>
      <c r="E37" s="42"/>
      <c r="F37" s="42"/>
      <c r="G37" s="42"/>
      <c r="H37" s="42"/>
      <c r="I37" s="42"/>
      <c r="J37" s="42"/>
    </row>
    <row r="38" spans="1:10" x14ac:dyDescent="0.25">
      <c r="A38" s="1">
        <v>11</v>
      </c>
      <c r="B38" s="42"/>
      <c r="C38" s="42"/>
      <c r="D38" s="42"/>
      <c r="E38" s="42"/>
      <c r="F38" s="42"/>
      <c r="G38" s="42"/>
      <c r="H38" s="42"/>
      <c r="I38" s="42"/>
      <c r="J38" s="42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40" t="s">
        <v>17</v>
      </c>
      <c r="C43" s="40"/>
      <c r="E43" s="40" t="s">
        <v>18</v>
      </c>
      <c r="F43" s="40"/>
      <c r="H43" s="41" t="s">
        <v>19</v>
      </c>
      <c r="I43" s="41"/>
      <c r="J43" s="2" t="s">
        <v>20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B606C-6451-4438-8217-4A8AF96EE0F5}">
  <sheetPr>
    <pageSetUpPr fitToPage="1"/>
  </sheetPr>
  <dimension ref="A1:J43"/>
  <sheetViews>
    <sheetView topLeftCell="C1" zoomScale="70" zoomScaleNormal="70" workbookViewId="0">
      <selection activeCell="D15" sqref="D15"/>
    </sheetView>
  </sheetViews>
  <sheetFormatPr defaultRowHeight="15" x14ac:dyDescent="0.25"/>
  <cols>
    <col min="1" max="1" width="3.5703125" style="1" customWidth="1"/>
    <col min="2" max="2" width="21.42578125" customWidth="1"/>
    <col min="3" max="3" width="58" customWidth="1"/>
    <col min="4" max="4" width="8.42578125" style="2" customWidth="1"/>
    <col min="5" max="5" width="12.140625" style="2" customWidth="1"/>
    <col min="6" max="6" width="9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40</v>
      </c>
      <c r="D2" s="5" t="s">
        <v>1</v>
      </c>
      <c r="E2" s="48" t="s">
        <v>73</v>
      </c>
      <c r="F2" s="48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22</v>
      </c>
      <c r="C4" s="10">
        <v>2</v>
      </c>
      <c r="D4" s="9"/>
      <c r="F4" s="2" t="s">
        <v>23</v>
      </c>
      <c r="G4" s="28">
        <v>0.1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46" t="s">
        <v>10</v>
      </c>
      <c r="I6" s="47"/>
      <c r="J6" s="11" t="s">
        <v>11</v>
      </c>
    </row>
    <row r="7" spans="1:10" x14ac:dyDescent="0.25">
      <c r="A7" s="1">
        <v>1</v>
      </c>
      <c r="B7" s="12" t="s">
        <v>41</v>
      </c>
      <c r="C7" s="34" t="s">
        <v>42</v>
      </c>
      <c r="D7" s="13">
        <v>150</v>
      </c>
      <c r="E7" s="13" t="s">
        <v>24</v>
      </c>
      <c r="F7" s="14">
        <f>D7/D$24</f>
        <v>0.14427654928967845</v>
      </c>
      <c r="G7" s="15">
        <f>C4*F7</f>
        <v>0.2885530985793569</v>
      </c>
      <c r="H7" s="44"/>
      <c r="I7" s="45"/>
      <c r="J7" s="16"/>
    </row>
    <row r="8" spans="1:10" x14ac:dyDescent="0.25">
      <c r="A8" s="1">
        <v>2</v>
      </c>
      <c r="B8" s="12" t="s">
        <v>43</v>
      </c>
      <c r="C8" s="35" t="s">
        <v>44</v>
      </c>
      <c r="D8" s="13">
        <v>80</v>
      </c>
      <c r="E8" s="13" t="s">
        <v>24</v>
      </c>
      <c r="F8" s="14">
        <f t="shared" ref="F8:F23" si="0">D8/D$24</f>
        <v>7.694749295449517E-2</v>
      </c>
      <c r="G8" s="15">
        <f>C4*F8</f>
        <v>0.15389498590899034</v>
      </c>
      <c r="H8" s="44"/>
      <c r="I8" s="45"/>
      <c r="J8" s="16"/>
    </row>
    <row r="9" spans="1:10" x14ac:dyDescent="0.25">
      <c r="A9" s="1">
        <v>3</v>
      </c>
      <c r="B9" s="12"/>
      <c r="C9" s="35" t="s">
        <v>45</v>
      </c>
      <c r="D9" s="13">
        <v>400</v>
      </c>
      <c r="E9" s="13" t="s">
        <v>24</v>
      </c>
      <c r="F9" s="14">
        <f t="shared" si="0"/>
        <v>0.38473746477247583</v>
      </c>
      <c r="G9" s="15">
        <f>C4*F9</f>
        <v>0.76947492954495167</v>
      </c>
      <c r="H9" s="44"/>
      <c r="I9" s="45"/>
      <c r="J9" s="16"/>
    </row>
    <row r="10" spans="1:10" x14ac:dyDescent="0.25">
      <c r="A10" s="1">
        <v>4</v>
      </c>
      <c r="B10" s="12" t="s">
        <v>46</v>
      </c>
      <c r="C10" s="35" t="s">
        <v>47</v>
      </c>
      <c r="D10" s="13">
        <v>10</v>
      </c>
      <c r="E10" s="13" t="s">
        <v>24</v>
      </c>
      <c r="F10" s="14">
        <f t="shared" si="0"/>
        <v>9.6184366193118962E-3</v>
      </c>
      <c r="G10" s="15">
        <f>C4*F10</f>
        <v>1.9236873238623792E-2</v>
      </c>
      <c r="H10" s="44"/>
      <c r="I10" s="45"/>
      <c r="J10" s="16"/>
    </row>
    <row r="11" spans="1:10" x14ac:dyDescent="0.25">
      <c r="A11" s="1">
        <v>5</v>
      </c>
      <c r="B11" s="12" t="s">
        <v>48</v>
      </c>
      <c r="C11" s="35" t="s">
        <v>49</v>
      </c>
      <c r="D11" s="13">
        <v>11</v>
      </c>
      <c r="E11" s="13" t="s">
        <v>24</v>
      </c>
      <c r="F11" s="14">
        <f t="shared" si="0"/>
        <v>1.0580280281243085E-2</v>
      </c>
      <c r="G11" s="15">
        <f>C4*F11</f>
        <v>2.1160560562486171E-2</v>
      </c>
      <c r="H11" s="44"/>
      <c r="I11" s="45"/>
      <c r="J11" s="16"/>
    </row>
    <row r="12" spans="1:10" x14ac:dyDescent="0.25">
      <c r="A12" s="1">
        <v>6</v>
      </c>
      <c r="B12" s="12" t="s">
        <v>50</v>
      </c>
      <c r="C12" s="36" t="s">
        <v>51</v>
      </c>
      <c r="D12" s="13">
        <v>0.67</v>
      </c>
      <c r="E12" s="13" t="s">
        <v>24</v>
      </c>
      <c r="F12" s="14">
        <f t="shared" si="0"/>
        <v>6.4443525349389705E-4</v>
      </c>
      <c r="G12" s="15">
        <f>C4*F12</f>
        <v>1.2888705069877941E-3</v>
      </c>
      <c r="H12" s="44"/>
      <c r="I12" s="45"/>
      <c r="J12" s="16"/>
    </row>
    <row r="13" spans="1:10" x14ac:dyDescent="0.25">
      <c r="A13" s="1">
        <v>7</v>
      </c>
      <c r="B13" s="12" t="s">
        <v>52</v>
      </c>
      <c r="C13" s="36" t="s">
        <v>53</v>
      </c>
      <c r="D13" s="13">
        <v>7</v>
      </c>
      <c r="E13" s="13" t="s">
        <v>24</v>
      </c>
      <c r="F13" s="14">
        <f t="shared" si="0"/>
        <v>6.7329056335183272E-3</v>
      </c>
      <c r="G13" s="15">
        <f>C4*F13</f>
        <v>1.3465811267036654E-2</v>
      </c>
      <c r="H13" s="44"/>
      <c r="I13" s="45"/>
      <c r="J13" s="16"/>
    </row>
    <row r="14" spans="1:10" x14ac:dyDescent="0.25">
      <c r="A14" s="1">
        <v>8</v>
      </c>
      <c r="B14" s="12" t="s">
        <v>54</v>
      </c>
      <c r="C14" s="37" t="s">
        <v>55</v>
      </c>
      <c r="D14" s="13">
        <v>20</v>
      </c>
      <c r="E14" s="13" t="s">
        <v>24</v>
      </c>
      <c r="F14" s="14">
        <f t="shared" si="0"/>
        <v>1.9236873238623792E-2</v>
      </c>
      <c r="G14" s="15">
        <f>C4*F14</f>
        <v>3.8473746477247585E-2</v>
      </c>
      <c r="H14" s="44"/>
      <c r="I14" s="45"/>
      <c r="J14" s="16"/>
    </row>
    <row r="15" spans="1:10" x14ac:dyDescent="0.25">
      <c r="A15" s="1">
        <v>9</v>
      </c>
      <c r="B15" s="12"/>
      <c r="C15" s="37" t="s">
        <v>45</v>
      </c>
      <c r="D15" s="13">
        <v>130</v>
      </c>
      <c r="E15" s="13" t="s">
        <v>24</v>
      </c>
      <c r="F15" s="14">
        <f t="shared" si="0"/>
        <v>0.12503967605105465</v>
      </c>
      <c r="G15" s="15">
        <f>C4*F15</f>
        <v>0.2500793521021093</v>
      </c>
      <c r="H15" s="44"/>
      <c r="I15" s="45"/>
      <c r="J15" s="16"/>
    </row>
    <row r="16" spans="1:10" x14ac:dyDescent="0.25">
      <c r="A16" s="1">
        <v>10</v>
      </c>
      <c r="B16" s="12" t="s">
        <v>56</v>
      </c>
      <c r="C16" s="36" t="s">
        <v>57</v>
      </c>
      <c r="D16" s="13">
        <v>100</v>
      </c>
      <c r="E16" s="13" t="s">
        <v>24</v>
      </c>
      <c r="F16" s="14">
        <f t="shared" si="0"/>
        <v>9.6184366193118959E-2</v>
      </c>
      <c r="G16" s="15">
        <f>C4*F16</f>
        <v>0.19236873238623792</v>
      </c>
      <c r="H16" s="44"/>
      <c r="I16" s="45"/>
      <c r="J16" s="16"/>
    </row>
    <row r="17" spans="1:10" x14ac:dyDescent="0.25">
      <c r="A17" s="1">
        <v>11</v>
      </c>
      <c r="B17" s="12" t="s">
        <v>58</v>
      </c>
      <c r="C17" s="36" t="s">
        <v>59</v>
      </c>
      <c r="D17" s="13">
        <v>20</v>
      </c>
      <c r="E17" s="13" t="s">
        <v>24</v>
      </c>
      <c r="F17" s="14">
        <f t="shared" si="0"/>
        <v>1.9236873238623792E-2</v>
      </c>
      <c r="G17" s="15">
        <f>C4*F17</f>
        <v>3.8473746477247585E-2</v>
      </c>
      <c r="H17" s="44"/>
      <c r="I17" s="45"/>
      <c r="J17" s="16"/>
    </row>
    <row r="18" spans="1:10" x14ac:dyDescent="0.25">
      <c r="A18" s="1">
        <v>12</v>
      </c>
      <c r="B18" s="12" t="s">
        <v>60</v>
      </c>
      <c r="C18" s="36" t="s">
        <v>61</v>
      </c>
      <c r="D18" s="13">
        <v>4</v>
      </c>
      <c r="E18" s="13" t="s">
        <v>24</v>
      </c>
      <c r="F18" s="14">
        <f t="shared" si="0"/>
        <v>3.8473746477247586E-3</v>
      </c>
      <c r="G18" s="15">
        <f>C4*F18</f>
        <v>7.6947492954495171E-3</v>
      </c>
      <c r="H18" s="44"/>
      <c r="I18" s="45"/>
      <c r="J18" s="16"/>
    </row>
    <row r="19" spans="1:10" x14ac:dyDescent="0.25">
      <c r="A19" s="1">
        <v>13</v>
      </c>
      <c r="B19" s="12" t="s">
        <v>62</v>
      </c>
      <c r="C19" s="36" t="s">
        <v>63</v>
      </c>
      <c r="D19" s="13">
        <v>7</v>
      </c>
      <c r="E19" s="13" t="s">
        <v>24</v>
      </c>
      <c r="F19" s="14">
        <v>0</v>
      </c>
      <c r="G19" s="15">
        <f t="shared" ref="G19" si="1">C3*F19</f>
        <v>0</v>
      </c>
      <c r="H19" s="44"/>
      <c r="I19" s="45"/>
      <c r="J19" s="16"/>
    </row>
    <row r="20" spans="1:10" x14ac:dyDescent="0.25">
      <c r="A20" s="1">
        <v>14</v>
      </c>
      <c r="B20" s="12" t="s">
        <v>64</v>
      </c>
      <c r="C20" s="36" t="s">
        <v>65</v>
      </c>
      <c r="D20" s="13">
        <v>75</v>
      </c>
      <c r="E20" s="13" t="s">
        <v>24</v>
      </c>
      <c r="F20" s="14">
        <f t="shared" si="0"/>
        <v>7.2138274644839226E-2</v>
      </c>
      <c r="G20" s="15">
        <f>C4*F20</f>
        <v>0.14427654928967845</v>
      </c>
      <c r="H20" s="44"/>
      <c r="I20" s="45"/>
      <c r="J20" s="16"/>
    </row>
    <row r="21" spans="1:10" x14ac:dyDescent="0.25">
      <c r="A21" s="1">
        <v>15</v>
      </c>
      <c r="B21" s="12" t="s">
        <v>66</v>
      </c>
      <c r="C21" s="38" t="s">
        <v>67</v>
      </c>
      <c r="D21" s="13">
        <v>25</v>
      </c>
      <c r="E21" s="13" t="s">
        <v>24</v>
      </c>
      <c r="F21" s="14">
        <f>D21/D$24</f>
        <v>2.404609154827974E-2</v>
      </c>
      <c r="G21" s="15">
        <f>C4*F21</f>
        <v>4.8092183096559479E-2</v>
      </c>
      <c r="H21" s="44"/>
      <c r="I21" s="45"/>
      <c r="J21" s="16"/>
    </row>
    <row r="22" spans="1:10" x14ac:dyDescent="0.25">
      <c r="A22" s="1">
        <v>16</v>
      </c>
      <c r="B22" s="12"/>
      <c r="C22" s="39"/>
      <c r="D22" s="13"/>
      <c r="E22" s="13" t="s">
        <v>24</v>
      </c>
      <c r="F22" s="14">
        <f t="shared" si="0"/>
        <v>0</v>
      </c>
      <c r="G22" s="15">
        <f>C4*F22</f>
        <v>0</v>
      </c>
      <c r="H22" s="44"/>
      <c r="I22" s="45"/>
      <c r="J22" s="16"/>
    </row>
    <row r="23" spans="1:10" x14ac:dyDescent="0.25">
      <c r="A23" s="1">
        <v>17</v>
      </c>
      <c r="B23" s="12"/>
      <c r="C23" s="39"/>
      <c r="D23" s="13"/>
      <c r="E23" s="13" t="s">
        <v>24</v>
      </c>
      <c r="F23" s="14">
        <f t="shared" si="0"/>
        <v>0</v>
      </c>
      <c r="G23" s="15">
        <f>C4*F23</f>
        <v>0</v>
      </c>
      <c r="H23" s="44"/>
      <c r="I23" s="45"/>
      <c r="J23" s="16"/>
    </row>
    <row r="24" spans="1:10" x14ac:dyDescent="0.25">
      <c r="C24" s="17" t="s">
        <v>12</v>
      </c>
      <c r="D24" s="1">
        <f>SUM(D7:D23)</f>
        <v>1039.67</v>
      </c>
      <c r="E24" s="1" t="s">
        <v>24</v>
      </c>
      <c r="F24" s="18">
        <f>SUM(F7:F23)</f>
        <v>0.99326709436648175</v>
      </c>
      <c r="G24" s="29">
        <f>SUM(G7:G23)</f>
        <v>1.9865341887329635</v>
      </c>
      <c r="H24" s="19" t="s">
        <v>13</v>
      </c>
    </row>
    <row r="25" spans="1:10" x14ac:dyDescent="0.25">
      <c r="F25" s="28" t="s">
        <v>25</v>
      </c>
      <c r="G25" s="20">
        <f>-G24*G4+C4</f>
        <v>1.8013465811267038</v>
      </c>
    </row>
    <row r="26" spans="1:10" ht="15.75" x14ac:dyDescent="0.25">
      <c r="A26"/>
      <c r="B26" s="43" t="s">
        <v>14</v>
      </c>
      <c r="C26" s="43"/>
      <c r="D26" s="43"/>
      <c r="E26" s="43"/>
      <c r="F26" s="43"/>
      <c r="G26" s="43"/>
      <c r="H26" s="43"/>
      <c r="I26" s="43"/>
      <c r="J26" s="43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42" t="s">
        <v>68</v>
      </c>
      <c r="C28" s="42"/>
      <c r="D28" s="42"/>
      <c r="E28" s="42"/>
      <c r="F28" s="42"/>
      <c r="G28" s="42"/>
      <c r="H28" s="42"/>
      <c r="I28" s="42"/>
      <c r="J28" s="42"/>
    </row>
    <row r="29" spans="1:10" x14ac:dyDescent="0.25">
      <c r="A29" s="1">
        <v>2</v>
      </c>
      <c r="B29" s="42" t="s">
        <v>69</v>
      </c>
      <c r="C29" s="42"/>
      <c r="D29" s="42"/>
      <c r="E29" s="42"/>
      <c r="F29" s="42"/>
      <c r="G29" s="42"/>
      <c r="H29" s="42"/>
      <c r="I29" s="42"/>
      <c r="J29" s="42"/>
    </row>
    <row r="30" spans="1:10" x14ac:dyDescent="0.25">
      <c r="A30" s="1">
        <v>3</v>
      </c>
      <c r="B30" s="55" t="s">
        <v>70</v>
      </c>
      <c r="C30" s="55"/>
      <c r="D30" s="55"/>
      <c r="E30" s="55"/>
      <c r="F30" s="55"/>
      <c r="G30" s="55"/>
      <c r="H30" s="55"/>
      <c r="I30" s="55"/>
      <c r="J30" s="55"/>
    </row>
    <row r="31" spans="1:10" x14ac:dyDescent="0.25">
      <c r="A31" s="1">
        <v>4</v>
      </c>
      <c r="B31" s="42" t="s">
        <v>71</v>
      </c>
      <c r="C31" s="42"/>
      <c r="D31" s="42"/>
      <c r="E31" s="42"/>
      <c r="F31" s="42"/>
      <c r="G31" s="42"/>
      <c r="H31" s="42"/>
      <c r="I31" s="42"/>
      <c r="J31" s="42"/>
    </row>
    <row r="32" spans="1:10" x14ac:dyDescent="0.25">
      <c r="A32" s="1">
        <v>5</v>
      </c>
      <c r="B32" s="42" t="s">
        <v>72</v>
      </c>
      <c r="C32" s="42"/>
      <c r="D32" s="42"/>
      <c r="E32" s="42"/>
      <c r="F32" s="42"/>
      <c r="G32" s="42"/>
      <c r="H32" s="42"/>
      <c r="I32" s="42"/>
      <c r="J32" s="42"/>
    </row>
    <row r="33" spans="1:10" x14ac:dyDescent="0.25">
      <c r="A33" s="1">
        <v>6</v>
      </c>
      <c r="B33" s="42"/>
      <c r="C33" s="42"/>
      <c r="D33" s="42"/>
      <c r="E33" s="42"/>
      <c r="F33" s="42"/>
      <c r="G33" s="42"/>
      <c r="H33" s="42"/>
      <c r="I33" s="42"/>
      <c r="J33" s="42"/>
    </row>
    <row r="34" spans="1:10" x14ac:dyDescent="0.25">
      <c r="A34" s="1">
        <v>7</v>
      </c>
      <c r="B34" s="42"/>
      <c r="C34" s="42"/>
      <c r="D34" s="42"/>
      <c r="E34" s="42"/>
      <c r="F34" s="42"/>
      <c r="G34" s="42"/>
      <c r="H34" s="42"/>
      <c r="I34" s="42"/>
      <c r="J34" s="42"/>
    </row>
    <row r="35" spans="1:10" x14ac:dyDescent="0.25">
      <c r="A35" s="1">
        <v>8</v>
      </c>
      <c r="B35" s="42"/>
      <c r="C35" s="42"/>
      <c r="D35" s="42"/>
      <c r="E35" s="42"/>
      <c r="F35" s="42"/>
      <c r="G35" s="42"/>
      <c r="H35" s="42"/>
      <c r="I35" s="42"/>
      <c r="J35" s="42"/>
    </row>
    <row r="36" spans="1:10" x14ac:dyDescent="0.25">
      <c r="A36" s="1">
        <v>9</v>
      </c>
      <c r="B36" s="42"/>
      <c r="C36" s="42"/>
      <c r="D36" s="42"/>
      <c r="E36" s="42"/>
      <c r="F36" s="42"/>
      <c r="G36" s="42"/>
      <c r="H36" s="42"/>
      <c r="I36" s="42"/>
      <c r="J36" s="42"/>
    </row>
    <row r="37" spans="1:10" x14ac:dyDescent="0.25">
      <c r="A37" s="1">
        <v>10</v>
      </c>
      <c r="B37" s="42"/>
      <c r="C37" s="42"/>
      <c r="D37" s="42"/>
      <c r="E37" s="42"/>
      <c r="F37" s="42"/>
      <c r="G37" s="42"/>
      <c r="H37" s="42"/>
      <c r="I37" s="42"/>
      <c r="J37" s="42"/>
    </row>
    <row r="38" spans="1:10" x14ac:dyDescent="0.25">
      <c r="A38" s="1">
        <v>11</v>
      </c>
      <c r="B38" s="42"/>
      <c r="C38" s="42"/>
      <c r="D38" s="42"/>
      <c r="E38" s="42"/>
      <c r="F38" s="42"/>
      <c r="G38" s="42"/>
      <c r="H38" s="42"/>
      <c r="I38" s="42"/>
      <c r="J38" s="42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40" t="s">
        <v>17</v>
      </c>
      <c r="C43" s="40"/>
      <c r="E43" s="40" t="s">
        <v>18</v>
      </c>
      <c r="F43" s="40"/>
      <c r="H43" s="41" t="s">
        <v>19</v>
      </c>
      <c r="I43" s="41"/>
      <c r="J43" s="2" t="s">
        <v>20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4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B97A13-3B2C-464C-8D33-F5B3022FB139}"/>
</file>

<file path=customXml/itemProps2.xml><?xml version="1.0" encoding="utf-8"?>
<ds:datastoreItem xmlns:ds="http://schemas.openxmlformats.org/officeDocument/2006/customXml" ds:itemID="{5DDC74AF-B72F-40F4-ACB6-C47576CD27C1}"/>
</file>

<file path=customXml/itemProps3.xml><?xml version="1.0" encoding="utf-8"?>
<ds:datastoreItem xmlns:ds="http://schemas.openxmlformats.org/officeDocument/2006/customXml" ds:itemID="{8E13182E-A742-4E65-9D67-B1D1EA9B3C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684 - KIT BUILD</vt:lpstr>
      <vt:lpstr>684 -PLATING </vt:lpstr>
      <vt:lpstr>Crab Cake Mix</vt:lpstr>
      <vt:lpstr>Mayo Base</vt:lpstr>
      <vt:lpstr>Grilled Aspraragus</vt:lpstr>
      <vt:lpstr>Garlic THyme Mash Potatoes</vt:lpstr>
      <vt:lpstr>Mustard Buerre Blanc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Huynh</dc:creator>
  <cp:lastModifiedBy>Christian Huynh</cp:lastModifiedBy>
  <cp:lastPrinted>2025-08-05T19:32:02Z</cp:lastPrinted>
  <dcterms:created xsi:type="dcterms:W3CDTF">2023-08-17T15:10:54Z</dcterms:created>
  <dcterms:modified xsi:type="dcterms:W3CDTF">2025-08-18T17:56:37Z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