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Virgin Atlantic/VA Batch Sheets plate builds - NUTRITIONALS/VA MEAL BATCH SHEETS/VA C1 UPPER MEAL BATCH SHEETS/"/>
    </mc:Choice>
  </mc:AlternateContent>
  <xr:revisionPtr revIDLastSave="111" documentId="8_{5217FF6B-CCD3-4928-9668-A339D2D21240}" xr6:coauthVersionLast="47" xr6:coauthVersionMax="47" xr10:uidLastSave="{CD2818C7-75FE-4041-917F-E9F61449FB32}"/>
  <bookViews>
    <workbookView xWindow="-105" yWindow="0" windowWidth="10455" windowHeight="10905" firstSheet="2" activeTab="2" xr2:uid="{9D773142-25FF-402D-A059-87F5C56EFE7F}"/>
  </bookViews>
  <sheets>
    <sheet name="Kit build" sheetId="28" r:id="rId1"/>
    <sheet name="PLATING " sheetId="7" r:id="rId2"/>
    <sheet name="Jollof Rice Sauce Base" sheetId="26" r:id="rId3"/>
    <sheet name="Jollof Rice Mix" sheetId="27" r:id="rId4"/>
    <sheet name="Tri Color Peppers" sheetId="24" r:id="rId5"/>
    <sheet name="Peri Peri CREAM Sauce" sheetId="22" r:id="rId6"/>
    <sheet name="PERI PERI Chicken Leg (2)" sheetId="21" r:id="rId7"/>
    <sheet name="nandos" sheetId="23" r:id="rId8"/>
    <sheet name="PLANTAIN" sheetId="25" r:id="rId9"/>
  </sheets>
  <externalReferences>
    <externalReference r:id="rId10"/>
    <externalReference r:id="rId11"/>
  </externalReferences>
  <definedNames>
    <definedName name="Month">[2]Forecast!$AP$1:$AP$17</definedName>
    <definedName name="viccode">'[1]Inventory updated 080315'!$A:$A</definedName>
    <definedName name="vicitem">'[1]Inventory updated 080315'!$C:$C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8" l="1"/>
  <c r="F11" i="28"/>
  <c r="F10" i="28"/>
  <c r="F9" i="28"/>
  <c r="F8" i="28"/>
  <c r="F7" i="28"/>
  <c r="D23" i="27"/>
  <c r="F21" i="27" s="1"/>
  <c r="G21" i="27" s="1"/>
  <c r="D23" i="26"/>
  <c r="F22" i="26" s="1"/>
  <c r="G22" i="26" s="1"/>
  <c r="F9" i="27" l="1"/>
  <c r="G9" i="27" s="1"/>
  <c r="F11" i="27"/>
  <c r="G11" i="27" s="1"/>
  <c r="F7" i="27"/>
  <c r="G7" i="27" s="1"/>
  <c r="F13" i="27"/>
  <c r="G13" i="27" s="1"/>
  <c r="F8" i="27"/>
  <c r="G8" i="27" s="1"/>
  <c r="F10" i="27"/>
  <c r="G10" i="27" s="1"/>
  <c r="F12" i="27"/>
  <c r="G12" i="27" s="1"/>
  <c r="F14" i="27"/>
  <c r="G14" i="27" s="1"/>
  <c r="F16" i="27"/>
  <c r="G16" i="27" s="1"/>
  <c r="F18" i="27"/>
  <c r="G18" i="27" s="1"/>
  <c r="F20" i="27"/>
  <c r="G20" i="27" s="1"/>
  <c r="F22" i="27"/>
  <c r="G22" i="27" s="1"/>
  <c r="F15" i="27"/>
  <c r="G15" i="27" s="1"/>
  <c r="F17" i="27"/>
  <c r="G17" i="27" s="1"/>
  <c r="F19" i="27"/>
  <c r="G19" i="27" s="1"/>
  <c r="F8" i="26"/>
  <c r="G8" i="26" s="1"/>
  <c r="F11" i="26"/>
  <c r="G11" i="26" s="1"/>
  <c r="F12" i="26"/>
  <c r="G12" i="26" s="1"/>
  <c r="F7" i="26"/>
  <c r="F15" i="26"/>
  <c r="G15" i="26" s="1"/>
  <c r="F19" i="26"/>
  <c r="G19" i="26" s="1"/>
  <c r="F16" i="26"/>
  <c r="G16" i="26" s="1"/>
  <c r="F9" i="26"/>
  <c r="G9" i="26" s="1"/>
  <c r="F13" i="26"/>
  <c r="G13" i="26" s="1"/>
  <c r="F17" i="26"/>
  <c r="G17" i="26" s="1"/>
  <c r="F10" i="26"/>
  <c r="G10" i="26" s="1"/>
  <c r="F14" i="26"/>
  <c r="G14" i="26" s="1"/>
  <c r="F18" i="26"/>
  <c r="G18" i="26" s="1"/>
  <c r="F20" i="26"/>
  <c r="G20" i="26" s="1"/>
  <c r="F21" i="26"/>
  <c r="G21" i="26" s="1"/>
  <c r="G7" i="26"/>
  <c r="G23" i="27" l="1"/>
  <c r="G24" i="27" s="1"/>
  <c r="F23" i="27"/>
  <c r="G23" i="26"/>
  <c r="G24" i="26" s="1"/>
  <c r="F23" i="26"/>
  <c r="D23" i="24"/>
  <c r="F22" i="24" s="1"/>
  <c r="G22" i="24" s="1"/>
  <c r="F21" i="24"/>
  <c r="G21" i="24" s="1"/>
  <c r="F19" i="24"/>
  <c r="G19" i="24" s="1"/>
  <c r="F17" i="24"/>
  <c r="G17" i="24" s="1"/>
  <c r="F15" i="24"/>
  <c r="G15" i="24" s="1"/>
  <c r="F13" i="24"/>
  <c r="G13" i="24" s="1"/>
  <c r="F11" i="24"/>
  <c r="G11" i="24" s="1"/>
  <c r="F9" i="24"/>
  <c r="G9" i="24" s="1"/>
  <c r="F7" i="24"/>
  <c r="G7" i="24" l="1"/>
  <c r="F8" i="24"/>
  <c r="G8" i="24" s="1"/>
  <c r="F10" i="24"/>
  <c r="G10" i="24" s="1"/>
  <c r="F12" i="24"/>
  <c r="G12" i="24" s="1"/>
  <c r="F14" i="24"/>
  <c r="G14" i="24" s="1"/>
  <c r="F16" i="24"/>
  <c r="G16" i="24" s="1"/>
  <c r="F18" i="24"/>
  <c r="G18" i="24" s="1"/>
  <c r="F20" i="24"/>
  <c r="G20" i="24" s="1"/>
  <c r="G23" i="24" l="1"/>
  <c r="G24" i="24" s="1"/>
  <c r="F23" i="24"/>
  <c r="D24" i="22" l="1"/>
  <c r="F22" i="22" s="1"/>
  <c r="G22" i="22" s="1"/>
  <c r="F12" i="22"/>
  <c r="G12" i="22" s="1"/>
  <c r="F10" i="22"/>
  <c r="G10" i="22" s="1"/>
  <c r="F8" i="22"/>
  <c r="G8" i="22" s="1"/>
  <c r="F7" i="22" l="1"/>
  <c r="F9" i="22"/>
  <c r="G9" i="22" s="1"/>
  <c r="F11" i="22"/>
  <c r="G11" i="22" s="1"/>
  <c r="F13" i="22"/>
  <c r="G13" i="22" s="1"/>
  <c r="F15" i="22"/>
  <c r="G15" i="22" s="1"/>
  <c r="F17" i="22"/>
  <c r="G17" i="22" s="1"/>
  <c r="F19" i="22"/>
  <c r="G19" i="22" s="1"/>
  <c r="F21" i="22"/>
  <c r="G21" i="22" s="1"/>
  <c r="F23" i="22"/>
  <c r="G23" i="22" s="1"/>
  <c r="F14" i="22"/>
  <c r="G14" i="22" s="1"/>
  <c r="F16" i="22"/>
  <c r="G16" i="22" s="1"/>
  <c r="F18" i="22"/>
  <c r="G18" i="22" s="1"/>
  <c r="F20" i="22"/>
  <c r="G20" i="22" s="1"/>
  <c r="D24" i="21"/>
  <c r="F7" i="21" s="1"/>
  <c r="G7" i="22" l="1"/>
  <c r="G24" i="22" s="1"/>
  <c r="G25" i="22" s="1"/>
  <c r="F24" i="22"/>
  <c r="G7" i="21"/>
  <c r="F22" i="21"/>
  <c r="G22" i="21" s="1"/>
  <c r="F20" i="21"/>
  <c r="G20" i="21" s="1"/>
  <c r="F18" i="21"/>
  <c r="G18" i="21" s="1"/>
  <c r="F16" i="21"/>
  <c r="G16" i="21" s="1"/>
  <c r="F14" i="21"/>
  <c r="G14" i="21" s="1"/>
  <c r="F12" i="21"/>
  <c r="G12" i="21" s="1"/>
  <c r="F10" i="21"/>
  <c r="G10" i="21" s="1"/>
  <c r="F8" i="21"/>
  <c r="G8" i="21" s="1"/>
  <c r="F23" i="21"/>
  <c r="G23" i="21" s="1"/>
  <c r="F21" i="21"/>
  <c r="G21" i="21" s="1"/>
  <c r="F19" i="21"/>
  <c r="G19" i="21" s="1"/>
  <c r="F17" i="21"/>
  <c r="G17" i="21" s="1"/>
  <c r="F15" i="21"/>
  <c r="G15" i="21" s="1"/>
  <c r="F13" i="21"/>
  <c r="G13" i="21" s="1"/>
  <c r="F11" i="21"/>
  <c r="G11" i="21" s="1"/>
  <c r="F9" i="21"/>
  <c r="G9" i="21" s="1"/>
  <c r="F24" i="21" l="1"/>
  <c r="G24" i="21"/>
  <c r="G25" i="21" s="1"/>
  <c r="D24" i="7" l="1"/>
  <c r="F7" i="7" l="1"/>
  <c r="G7" i="7" s="1"/>
  <c r="F9" i="7"/>
  <c r="G9" i="7" s="1"/>
  <c r="F11" i="7"/>
  <c r="G11" i="7" s="1"/>
  <c r="F13" i="7"/>
  <c r="G13" i="7" s="1"/>
  <c r="F15" i="7"/>
  <c r="G15" i="7" s="1"/>
  <c r="F17" i="7"/>
  <c r="G17" i="7" s="1"/>
  <c r="F19" i="7"/>
  <c r="G19" i="7" s="1"/>
  <c r="F21" i="7"/>
  <c r="G21" i="7" s="1"/>
  <c r="F23" i="7"/>
  <c r="G23" i="7" s="1"/>
  <c r="F8" i="7"/>
  <c r="G8" i="7" s="1"/>
  <c r="F10" i="7"/>
  <c r="G10" i="7" s="1"/>
  <c r="F12" i="7"/>
  <c r="G12" i="7" s="1"/>
  <c r="F14" i="7"/>
  <c r="G14" i="7" s="1"/>
  <c r="F16" i="7"/>
  <c r="G16" i="7" s="1"/>
  <c r="F18" i="7"/>
  <c r="G18" i="7" s="1"/>
  <c r="F20" i="7"/>
  <c r="G20" i="7" s="1"/>
  <c r="F22" i="7"/>
  <c r="G22" i="7" s="1"/>
  <c r="F24" i="7" l="1"/>
  <c r="G24" i="7"/>
</calcChain>
</file>

<file path=xl/sharedStrings.xml><?xml version="1.0" encoding="utf-8"?>
<sst xmlns="http://schemas.openxmlformats.org/spreadsheetml/2006/main" count="363" uniqueCount="113">
  <si>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</si>
  <si>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</si>
  <si>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</si>
  <si>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</si>
  <si>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</si>
  <si>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</si>
  <si>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</si>
  <si>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</si>
  <si>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</si>
  <si>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</si>
  <si>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</si>
  <si>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</si>
  <si>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</si>
  <si>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</si>
  <si>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</si>
  <si>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</si>
  <si>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</si>
  <si>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</si>
  <si>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</si>
  <si>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</si>
  <si>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</si>
  <si>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</si>
  <si>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Desired QTY (lb):</t>
  </si>
  <si>
    <t>Yield Loss:</t>
  </si>
  <si>
    <t>lb</t>
  </si>
  <si>
    <t>Weight After Yield Loss</t>
  </si>
  <si>
    <t>GM</t>
  </si>
  <si>
    <t>Original Formula</t>
  </si>
  <si>
    <t>Reviewed By</t>
  </si>
  <si>
    <t>D321</t>
  </si>
  <si>
    <t>Peri Peri Grilled Chicken Leg</t>
  </si>
  <si>
    <t>Peri Peri Butter Cream Sauce</t>
  </si>
  <si>
    <t>Tri Color Peppers</t>
  </si>
  <si>
    <t>Jollof Rice</t>
  </si>
  <si>
    <t>Plantains</t>
  </si>
  <si>
    <t>Desired (ea):</t>
  </si>
  <si>
    <t>g</t>
  </si>
  <si>
    <t xml:space="preserve">QA to sign off on Batch Sheet to make sure all measurements are correct. </t>
  </si>
  <si>
    <t>Season chicken on both sides with salt.</t>
  </si>
  <si>
    <t>Toss in large bowl with peri peri sauce.</t>
  </si>
  <si>
    <t>Place in appropriately sized container, label, and store in cooler to marinate.</t>
  </si>
  <si>
    <t>Let marinate overnight, up to 24 hours.</t>
  </si>
  <si>
    <t>Place in blast chiller and chill to 70 degrees in 2 hours and to 41 degrees or lower in 4 or less hours.</t>
  </si>
  <si>
    <t>Remove from oven and chill.</t>
  </si>
  <si>
    <t>Place on sheet tray and roast in 375° oven for 20 minutes or until 165° internal temperature.</t>
  </si>
  <si>
    <t>Grill chicken legs on both sides, do not burn.</t>
  </si>
  <si>
    <t>Turn grill on medium high heat and clean thoroughly</t>
  </si>
  <si>
    <t>SALT EVAPORATED</t>
  </si>
  <si>
    <t>D089</t>
  </si>
  <si>
    <t>Peri Peri Sauce(NANDOS)</t>
  </si>
  <si>
    <t>NEW</t>
  </si>
  <si>
    <t>CHICKEN B&amp;E LEG QRT</t>
  </si>
  <si>
    <t>C095</t>
  </si>
  <si>
    <t>PERI PERI Marinated Chicken Leg</t>
  </si>
  <si>
    <t>Desired #</t>
  </si>
  <si>
    <t>DEADSTOCK?</t>
  </si>
  <si>
    <t>Cuisine Solutions Beurre Blanc</t>
  </si>
  <si>
    <t>D080</t>
  </si>
  <si>
    <t>PEPPER ROASTED RED STRIPS</t>
  </si>
  <si>
    <t>D438</t>
  </si>
  <si>
    <t>Peri Peri Sauce, Nando's Brand, Mild</t>
  </si>
  <si>
    <t>Recommended batch size is 3# per blender batch.</t>
  </si>
  <si>
    <t>Combine all ingredients into cambro and blend in small batches into vitamix until smooth</t>
  </si>
  <si>
    <t>As you work through the batches add blended sauce to large cambo and whisk to fully incorporate.</t>
  </si>
  <si>
    <t>Chill to 70 degrees in 2 hours and to 41 degrees or lower in 4 or less hours.</t>
  </si>
  <si>
    <t xml:space="preserve">Label and pack into 5# bags, 2 bags to a case making sure it is kept at 41 degrees or less. </t>
  </si>
  <si>
    <t>Peri Peri Cream Sauce</t>
  </si>
  <si>
    <t>GEN 25-095</t>
  </si>
  <si>
    <t>C205</t>
  </si>
  <si>
    <t>PEPPER BELL GREEN , 1/2 IN DICE</t>
  </si>
  <si>
    <t>C134</t>
  </si>
  <si>
    <t>PEPPER BELL RED, 1/2 IN DICE</t>
  </si>
  <si>
    <t>C058</t>
  </si>
  <si>
    <t>PEPPER BELL YELLOW, 1/2 IN DICE</t>
  </si>
  <si>
    <t>D257</t>
  </si>
  <si>
    <t>OIL BLENDED 75%/25%</t>
  </si>
  <si>
    <t>Mix all ingredients</t>
  </si>
  <si>
    <t>Spread onto baking sheet evenly, do not over crowd</t>
  </si>
  <si>
    <t xml:space="preserve">Bake at 350 degrees for 12 minutes </t>
  </si>
  <si>
    <t>GEN 25-197</t>
  </si>
  <si>
    <t>GEN 25-201</t>
  </si>
  <si>
    <t>GEN - 25-202</t>
  </si>
  <si>
    <t>C070</t>
  </si>
  <si>
    <t>TOMATO ROMA</t>
  </si>
  <si>
    <t>C198</t>
  </si>
  <si>
    <t xml:space="preserve">PEPPER RED BELL 1/4"  DICED </t>
  </si>
  <si>
    <t>F206</t>
  </si>
  <si>
    <t>PUREE GINGER</t>
  </si>
  <si>
    <t>C298</t>
  </si>
  <si>
    <t>GARLIC PEELED</t>
  </si>
  <si>
    <t>BASE CHICKEN CONCENTRATE EATOM FOODS</t>
  </si>
  <si>
    <t>D114</t>
  </si>
  <si>
    <t>SPICE CAYENE</t>
  </si>
  <si>
    <t>SPICE PEPPER BLACK FINE L</t>
  </si>
  <si>
    <t>Jollof Rice Sauce Base</t>
  </si>
  <si>
    <t>GEN 25-203</t>
  </si>
  <si>
    <t>Add all ingredients together and cold blend in vitamix</t>
  </si>
  <si>
    <t>Blend until smooth consistency</t>
  </si>
  <si>
    <t>Store below 40F until ready for use</t>
  </si>
  <si>
    <t xml:space="preserve">Fold Sauce into rice </t>
  </si>
  <si>
    <t>Ensure evenly covered all rice grains</t>
  </si>
  <si>
    <t>F028</t>
  </si>
  <si>
    <t>IQF WHITE RICE</t>
  </si>
  <si>
    <t>WIP</t>
  </si>
  <si>
    <t>Jollof Rice Mix</t>
  </si>
  <si>
    <t>Desired Cases:</t>
  </si>
  <si>
    <t>Desired Qty</t>
  </si>
  <si>
    <t>LB</t>
  </si>
  <si>
    <t>Original formula builds one kit.</t>
  </si>
  <si>
    <t xml:space="preserve">Pack all items according to the build and label the master case. </t>
  </si>
  <si>
    <t>Hold under refrigeration below 41 degrees for shipping</t>
  </si>
  <si>
    <t>VA C2 UPPER ENTRÉE 1 CK - Peri Peri Ck Leg</t>
  </si>
  <si>
    <t>689 - VA C2 UPPER ENTRÉE 1 CK - Peri Peri Ck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</si>
</sst>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5" borderId="4" xfId="0" applyFill="1" applyBorder="1" applyProtection="1">
      <protection locked="0"/>
    </xf>
    <xf numFmtId="164" fontId="0" fillId="4" borderId="0" xfId="0" applyNumberFormat="1" applyFill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9" fontId="0" fillId="4" borderId="0" xfId="2" applyFont="1" applyFill="1" applyAlignment="1">
      <alignment horizontal="center"/>
    </xf>
    <xf numFmtId="2" fontId="0" fillId="3" borderId="4" xfId="3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4" fillId="0" borderId="4" xfId="0" applyFont="1" applyBorder="1"/>
    <xf numFmtId="44" fontId="0" fillId="0" borderId="5" xfId="3" applyFont="1" applyBorder="1" applyAlignment="1" applyProtection="1">
      <alignment horizontal="center"/>
      <protection locked="0"/>
    </xf>
    <xf numFmtId="44" fontId="0" fillId="0" borderId="6" xfId="3" applyFont="1" applyBorder="1" applyAlignment="1" applyProtection="1">
      <alignment horizontal="center"/>
      <protection locked="0"/>
    </xf>
    <xf numFmtId="0" fontId="0" fillId="5" borderId="4" xfId="0" applyFill="1" applyBorder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3" borderId="2" xfId="0" applyFill="1" applyBorder="1" applyAlignment="1">
      <alignment horizontal="center"/>
    </xf>
    <xf numFmtId="9" fontId="0" fillId="3" borderId="0" xfId="2" applyFont="1" applyFill="1" applyAlignment="1">
      <alignment horizontal="center"/>
    </xf>
    <xf numFmtId="0" fontId="5" fillId="3" borderId="4" xfId="0" applyFont="1" applyFill="1" applyBorder="1"/>
    <xf numFmtId="0" fontId="5" fillId="3" borderId="6" xfId="0" applyFont="1" applyFill="1" applyBorder="1"/>
    <xf numFmtId="0" fontId="5" fillId="3" borderId="11" xfId="0" applyFont="1" applyFill="1" applyBorder="1"/>
    <xf numFmtId="2" fontId="0" fillId="0" borderId="5" xfId="1" applyNumberFormat="1" applyFont="1" applyBorder="1" applyAlignment="1" applyProtection="1">
      <alignment horizontal="center"/>
      <protection locked="0"/>
    </xf>
    <xf numFmtId="0" fontId="5" fillId="3" borderId="10" xfId="0" applyFont="1" applyFill="1" applyBorder="1"/>
    <xf numFmtId="0" fontId="0" fillId="3" borderId="4" xfId="0" applyFill="1" applyBorder="1"/>
    <xf numFmtId="0" fontId="5" fillId="0" borderId="11" xfId="0" applyFont="1" applyBorder="1"/>
    <xf numFmtId="0" fontId="4" fillId="3" borderId="4" xfId="0" applyFont="1" applyFill="1" applyBorder="1"/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10" fontId="0" fillId="0" borderId="4" xfId="4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0" fillId="0" borderId="4" xfId="0" applyBorder="1" applyAlignment="1">
      <alignment horizontal="left"/>
    </xf>
    <xf numFmtId="165" fontId="0" fillId="0" borderId="4" xfId="0" applyNumberForma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0" fontId="0" fillId="5" borderId="0" xfId="0" applyFill="1"/>
  </cellXfs>
  <cellStyles count="5">
    <cellStyle name="Currency" xfId="1" builtinId="4"/>
    <cellStyle name="Currency 2" xfId="3" xr:uid="{FE806E2C-2936-4281-8108-CDB615125968}"/>
    <cellStyle name="Normal" xfId="0" builtinId="0"/>
    <cellStyle name="Percent" xfId="2" builtinId="5"/>
    <cellStyle name="Percent 2" xfId="4" xr:uid="{73103DB7-3F76-4C06-8B95-D19B29F6D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257636</xdr:colOff>
      <xdr:row>24</xdr:row>
      <xdr:rowOff>95901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81D969-41E2-4951-4AB6-F8F7ABA22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05636" cy="4667901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0</xdr:row>
      <xdr:rowOff>57150</xdr:rowOff>
    </xdr:from>
    <xdr:to>
      <xdr:col>12</xdr:col>
      <xdr:colOff>248256</xdr:colOff>
      <xdr:row>8</xdr:row>
      <xdr:rowOff>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61E1FC-7420-A05C-1D18-92DBABE7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9450" y="57150"/>
          <a:ext cx="4344006" cy="1467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333847</xdr:colOff>
      <xdr:row>24</xdr:row>
      <xdr:rowOff>48217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EEDB50-4083-A533-CC60-95393A1BA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3381847" cy="423921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</xdr:row>
      <xdr:rowOff>95250</xdr:rowOff>
    </xdr:from>
    <xdr:to>
      <xdr:col>9</xdr:col>
      <xdr:colOff>400413</xdr:colOff>
      <xdr:row>7</xdr:row>
      <xdr:rowOff>181146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736A56-4E38-6AC8-BD6A-3DA16D233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6125" y="285750"/>
          <a:ext cx="2600688" cy="12288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nventory\Inventory%20Coding\vi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GGPROCUREMENT/Shared%20Documents/General/EVERGREEN/EVERGREEN%20ORDER%20GUIDE%202024.xlsb" TargetMode="External"/><Relationship Id="rId1" Type="http://schemas.openxmlformats.org/officeDocument/2006/relationships/externalLinkPath" Target="/sites/GGPROCUREMENT/Shared%20Documents/General/EVERGREEN/EVERGREEN%20ORDER%20GUIDE%20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updated 080315"/>
      <sheetName val="Sheet1"/>
    </sheetNames>
    <sheetDataSet>
      <sheetData sheetId="0" refreshError="1">
        <row r="1">
          <cell r="A1"/>
          <cell r="C1" t="str">
            <v>Vanguard Culinary Group, Inc.</v>
          </cell>
        </row>
        <row r="2">
          <cell r="A2"/>
          <cell r="C2"/>
        </row>
        <row r="4">
          <cell r="A4" t="str">
            <v>Code #</v>
          </cell>
          <cell r="C4" t="str">
            <v>Item Description</v>
          </cell>
        </row>
        <row r="5">
          <cell r="A5"/>
          <cell r="C5"/>
        </row>
        <row r="6">
          <cell r="A6" t="str">
            <v>W100</v>
          </cell>
          <cell r="C6" t="str">
            <v>Water</v>
          </cell>
        </row>
        <row r="7">
          <cell r="A7" t="str">
            <v>W100-1</v>
          </cell>
          <cell r="C7" t="str">
            <v>Water-1</v>
          </cell>
        </row>
        <row r="8">
          <cell r="A8" t="str">
            <v>W100-2</v>
          </cell>
          <cell r="C8" t="str">
            <v>Water-2</v>
          </cell>
        </row>
        <row r="9">
          <cell r="A9" t="str">
            <v>W100-3</v>
          </cell>
          <cell r="C9" t="str">
            <v>Water-3</v>
          </cell>
        </row>
        <row r="10">
          <cell r="A10"/>
          <cell r="C10"/>
        </row>
        <row r="11">
          <cell r="A11" t="str">
            <v>A193C</v>
          </cell>
          <cell r="C11" t="str">
            <v>Bacon Bits 3/8 Natural 63934 (2/5#)</v>
          </cell>
        </row>
        <row r="12">
          <cell r="A12" t="str">
            <v>A227C</v>
          </cell>
          <cell r="C12" t="str">
            <v>Bacon, Bits 3/8", Sugard(2/5#)</v>
          </cell>
        </row>
        <row r="13">
          <cell r="A13" t="str">
            <v>A169C</v>
          </cell>
          <cell r="C13" t="str">
            <v>Bacon, Pork 18-22 Slb Hckry, Patuxent (15#)</v>
          </cell>
        </row>
        <row r="14">
          <cell r="A14"/>
          <cell r="C14" t="str">
            <v>Bacon, Pork Real PC .25" HWD, Patuxent (2/5#)</v>
          </cell>
        </row>
        <row r="15">
          <cell r="A15" t="str">
            <v>A167C</v>
          </cell>
          <cell r="C15" t="str">
            <v>Bacon, Pork Real PC .5" HWD, Roseli (2/5#)</v>
          </cell>
        </row>
        <row r="16">
          <cell r="A16" t="str">
            <v>A100C</v>
          </cell>
          <cell r="C16" t="str">
            <v>Bacon, Sliced, Raw (15#)</v>
          </cell>
        </row>
        <row r="17">
          <cell r="A17" t="str">
            <v>A188C</v>
          </cell>
          <cell r="C17" t="str">
            <v>Bacon, Topping, 1/4" Precooked, Patuxent (2/5#)</v>
          </cell>
        </row>
        <row r="18">
          <cell r="A18" t="str">
            <v>A216C</v>
          </cell>
          <cell r="C18" t="str">
            <v xml:space="preserve">Bacon, Topping, 3/8" (2/5#) Hormel </v>
          </cell>
        </row>
        <row r="19">
          <cell r="A19" t="str">
            <v>A189C</v>
          </cell>
          <cell r="C19" t="str">
            <v>Bacon, Topping, 3/8" (2/5#) West Ceek</v>
          </cell>
        </row>
        <row r="20">
          <cell r="A20" t="str">
            <v>A170C</v>
          </cell>
          <cell r="C20" t="str">
            <v>Bacon, Topping, Precooked, Roseli (10#)</v>
          </cell>
        </row>
        <row r="21">
          <cell r="A21" t="str">
            <v>A201C</v>
          </cell>
          <cell r="C21" t="str">
            <v>Bacon,Sliced  Country (4/2.5#)</v>
          </cell>
        </row>
        <row r="22">
          <cell r="A22" t="str">
            <v>A102C</v>
          </cell>
          <cell r="C22" t="str">
            <v>Beef Trim (50#)</v>
          </cell>
        </row>
        <row r="23">
          <cell r="A23" t="str">
            <v>A103C</v>
          </cell>
          <cell r="C23" t="str">
            <v>Beef Trim (60#)</v>
          </cell>
        </row>
        <row r="24">
          <cell r="A24" t="str">
            <v>A175C</v>
          </cell>
          <cell r="C24" t="str">
            <v>Beef Trim 50/50 (60#)</v>
          </cell>
        </row>
        <row r="25">
          <cell r="A25" t="str">
            <v>A202C</v>
          </cell>
          <cell r="C25" t="str">
            <v>Beef Trim 73/27</v>
          </cell>
        </row>
        <row r="26">
          <cell r="A26" t="str">
            <v>A104C</v>
          </cell>
          <cell r="C26" t="str">
            <v>Beef Trim 75/25 (60#)</v>
          </cell>
        </row>
        <row r="27">
          <cell r="A27" t="str">
            <v>A203C</v>
          </cell>
          <cell r="C27" t="str">
            <v>Beef Trim 80/20</v>
          </cell>
        </row>
        <row r="28">
          <cell r="A28" t="str">
            <v>A151C</v>
          </cell>
          <cell r="C28" t="str">
            <v>Beef Trim 81/19 (70#)</v>
          </cell>
        </row>
        <row r="29">
          <cell r="A29" t="str">
            <v>A239C</v>
          </cell>
          <cell r="C29" t="str">
            <v>Beef Trim 85%, (50#)</v>
          </cell>
        </row>
        <row r="30">
          <cell r="A30" t="str">
            <v>A142C</v>
          </cell>
          <cell r="C30" t="str">
            <v>Beef Trim Spcl, Packer (70#)</v>
          </cell>
        </row>
        <row r="31">
          <cell r="A31" t="str">
            <v>A191C</v>
          </cell>
          <cell r="C31" t="str">
            <v>Beef Trim, Boneless, Natural, 73/27 (70#)</v>
          </cell>
        </row>
        <row r="32">
          <cell r="A32" t="str">
            <v>A219C</v>
          </cell>
          <cell r="C32" t="str">
            <v>Beef, Bnls, chunck Drop</v>
          </cell>
        </row>
        <row r="33">
          <cell r="A33" t="str">
            <v>A250C</v>
          </cell>
          <cell r="C33" t="str">
            <v>Beef, bnls, Short Rib (6 oz)</v>
          </cell>
        </row>
        <row r="34">
          <cell r="A34" t="str">
            <v>A164C</v>
          </cell>
          <cell r="C34" t="str">
            <v>Beef, Botm Srln Flap Meat Raw, Packer (60#)</v>
          </cell>
        </row>
        <row r="35">
          <cell r="A35" t="str">
            <v>A166C</v>
          </cell>
          <cell r="C35" t="str">
            <v>Beef, Chuck Eye Roll, N/Off 1x1, Excel (60#)</v>
          </cell>
        </row>
        <row r="36">
          <cell r="A36" t="str">
            <v>A105C</v>
          </cell>
          <cell r="C36" t="str">
            <v>Beef, Chuck Roll, Cho 116A 1x1, Strlg Slvr (3/21#)</v>
          </cell>
        </row>
        <row r="37">
          <cell r="A37" t="str">
            <v>A211C</v>
          </cell>
          <cell r="C37" t="str">
            <v xml:space="preserve">Beef, Chuck shlder, clod arm </v>
          </cell>
        </row>
        <row r="38">
          <cell r="A38" t="str">
            <v>A150C</v>
          </cell>
          <cell r="C38" t="str">
            <v>Beef, Chuck Shldr Clod Ref (3/16-22#)</v>
          </cell>
        </row>
        <row r="39">
          <cell r="A39" t="str">
            <v>A190C</v>
          </cell>
          <cell r="C39" t="str">
            <v>Beef, Chuck Shldr Clod XT (70#)</v>
          </cell>
        </row>
        <row r="40">
          <cell r="A40" t="str">
            <v>A106C</v>
          </cell>
          <cell r="C40" t="str">
            <v>Beef, Chuck Shldr Tender Raw IBP (6/10#)</v>
          </cell>
        </row>
        <row r="41">
          <cell r="A41" t="str">
            <v>A194C</v>
          </cell>
          <cell r="C41" t="str">
            <v>Beef, Chuck Tender (80 lb)</v>
          </cell>
        </row>
        <row r="42">
          <cell r="A42" t="str">
            <v>A199C</v>
          </cell>
          <cell r="C42" t="str">
            <v xml:space="preserve">Beef, Chuck Tenders </v>
          </cell>
        </row>
        <row r="43">
          <cell r="A43" t="str">
            <v>A204C</v>
          </cell>
          <cell r="C43" t="str">
            <v xml:space="preserve">Beef, Chuck Tenders </v>
          </cell>
        </row>
        <row r="44">
          <cell r="A44" t="str">
            <v>A171C</v>
          </cell>
          <cell r="C44" t="str">
            <v>Beef, Chuck Tenders (65-80#)</v>
          </cell>
        </row>
        <row r="45">
          <cell r="A45" t="str">
            <v>A176C</v>
          </cell>
          <cell r="C45" t="str">
            <v>Beef, Chuck Tenders 116B Ref 2.5, Packer (75#)</v>
          </cell>
        </row>
        <row r="46">
          <cell r="A46" t="str">
            <v>A181C</v>
          </cell>
          <cell r="C46" t="str">
            <v>Beef, Chuck Tenders Sele 5/4 pc Bag (70-80#)</v>
          </cell>
        </row>
        <row r="47">
          <cell r="A47" t="str">
            <v>A155A</v>
          </cell>
          <cell r="C47" t="str">
            <v>Beef, Chuck, Neck off 1x1 Raw, Packer (85#)</v>
          </cell>
        </row>
        <row r="48">
          <cell r="A48" t="str">
            <v>A107C</v>
          </cell>
          <cell r="C48" t="str">
            <v>Beef, Extra Fat Trim, In House</v>
          </cell>
        </row>
        <row r="49">
          <cell r="A49" t="str">
            <v>A183C</v>
          </cell>
          <cell r="C49" t="str">
            <v>Beef, Ground 100% (34.5#)</v>
          </cell>
        </row>
        <row r="50">
          <cell r="A50" t="str">
            <v>A220C</v>
          </cell>
          <cell r="C50" t="str">
            <v>Beef, Ground 73%</v>
          </cell>
        </row>
        <row r="51">
          <cell r="A51" t="str">
            <v>A141C</v>
          </cell>
          <cell r="C51" t="str">
            <v>Beef, Ground 73/27 (8/10#)</v>
          </cell>
        </row>
        <row r="52">
          <cell r="A52" t="str">
            <v>A184C</v>
          </cell>
          <cell r="C52" t="str">
            <v>Beef, Ground 73/27 (avg 43.61#)</v>
          </cell>
        </row>
        <row r="53">
          <cell r="A53" t="str">
            <v>A108C</v>
          </cell>
          <cell r="C53" t="str">
            <v>Beef, Ground 80/20 (60#)</v>
          </cell>
        </row>
        <row r="54">
          <cell r="A54" t="str">
            <v>A213C</v>
          </cell>
          <cell r="C54" t="str">
            <v>Beef, Ground 80/20 (60#)</v>
          </cell>
        </row>
        <row r="55">
          <cell r="A55" t="str">
            <v>A109C</v>
          </cell>
          <cell r="C55" t="str">
            <v>Beef, Ground 80/20 Fine Raw IBP (8/10#)</v>
          </cell>
        </row>
        <row r="56">
          <cell r="A56" t="str">
            <v>A137C</v>
          </cell>
          <cell r="C56" t="str">
            <v>Beef, Ground 81/19 Fine Raw Ref (8/10#)</v>
          </cell>
        </row>
        <row r="57">
          <cell r="A57" t="str">
            <v>A159C</v>
          </cell>
          <cell r="C57" t="str">
            <v>Beef, Lifter Meat Trimmed</v>
          </cell>
        </row>
        <row r="58">
          <cell r="A58" t="str">
            <v>A160C</v>
          </cell>
          <cell r="C58" t="str">
            <v>Beef, Lifter Meat Untrimmed</v>
          </cell>
        </row>
        <row r="59">
          <cell r="A59" t="str">
            <v>A215C</v>
          </cell>
          <cell r="C59" t="str">
            <v>Beef, Round outside, flat</v>
          </cell>
        </row>
        <row r="60">
          <cell r="A60" t="str">
            <v>A214C</v>
          </cell>
          <cell r="C60" t="str">
            <v>Beef, round, Tip knuckle, Peeled</v>
          </cell>
        </row>
        <row r="61">
          <cell r="A61" t="str">
            <v>A157C</v>
          </cell>
          <cell r="C61" t="str">
            <v>Beef, Top Inside Rnd Cho Raw, Packer (3/18#)</v>
          </cell>
        </row>
        <row r="62">
          <cell r="A62" t="str">
            <v>A135C</v>
          </cell>
          <cell r="C62" t="str">
            <v>Beef, Top Inside Rounds Lifter</v>
          </cell>
        </row>
        <row r="63">
          <cell r="A63" t="str">
            <v>A210C</v>
          </cell>
          <cell r="C63" t="str">
            <v>Beef, Trim Blended Grassfed, Trim 75%</v>
          </cell>
        </row>
        <row r="64">
          <cell r="A64" t="str">
            <v>A112A</v>
          </cell>
          <cell r="C64" t="str">
            <v>Chicken Breast b/s, Diced 3/4, ABF</v>
          </cell>
        </row>
        <row r="65">
          <cell r="A65" t="str">
            <v>A111A</v>
          </cell>
          <cell r="C65" t="str">
            <v>Chicken Breast, Boneless</v>
          </cell>
        </row>
        <row r="66">
          <cell r="A66" t="str">
            <v>A246C</v>
          </cell>
          <cell r="C66" t="str">
            <v>Chicken Breast, Boneless 3 oz</v>
          </cell>
        </row>
        <row r="67">
          <cell r="A67" t="str">
            <v>A113A</v>
          </cell>
          <cell r="C67" t="str">
            <v>Chicken Thing b/s Diced 3/4, ABF</v>
          </cell>
        </row>
        <row r="68">
          <cell r="A68" t="str">
            <v>A249C</v>
          </cell>
          <cell r="C68" t="str">
            <v>Chicken, Breast (halal, ABF Free Ant.)</v>
          </cell>
        </row>
        <row r="69">
          <cell r="A69" t="str">
            <v>A146C</v>
          </cell>
          <cell r="C69" t="str">
            <v>Chicken, Breast Random Jmb Bnls, Patuxent (4/10#)</v>
          </cell>
        </row>
        <row r="70">
          <cell r="A70" t="str">
            <v>A136C</v>
          </cell>
          <cell r="C70" t="str">
            <v>Chicken, Breast Trim Meat (4/5#)</v>
          </cell>
        </row>
        <row r="71">
          <cell r="A71" t="str">
            <v>A110C</v>
          </cell>
          <cell r="C71" t="str">
            <v>Chicken, Breast Trim Meat, 04219 (40#)</v>
          </cell>
        </row>
        <row r="72">
          <cell r="A72" t="str">
            <v>A152C</v>
          </cell>
          <cell r="C72" t="str">
            <v>Chicken, Breast Trim Meat, Fillet, 04226 (40#)</v>
          </cell>
        </row>
        <row r="73">
          <cell r="A73" t="str">
            <v>A139C</v>
          </cell>
          <cell r="C73" t="str">
            <v>Chicken, Breast, 5oz Boneless (64/5oz) (20#)</v>
          </cell>
        </row>
        <row r="74">
          <cell r="A74" t="str">
            <v>A161C</v>
          </cell>
          <cell r="C74" t="str">
            <v>Chicken, Breast, Bone In, 20 oz Avg, 88889 (40#)</v>
          </cell>
        </row>
        <row r="75">
          <cell r="A75" t="str">
            <v>A218C</v>
          </cell>
          <cell r="C75" t="str">
            <v>Chicken, Breast, Boneless, 5.5 Oz filets #E32055 (50#)</v>
          </cell>
        </row>
        <row r="76">
          <cell r="A76" t="str">
            <v>A195C</v>
          </cell>
          <cell r="C76" t="str">
            <v>Chicken, Breast, Boneless, 5oz Split, #E3205H (50#)</v>
          </cell>
        </row>
        <row r="77">
          <cell r="A77" t="str">
            <v>A185C</v>
          </cell>
          <cell r="C77" t="str">
            <v>Chicken, Breast, Boneless, 6oz Split, #E3206H (50#)</v>
          </cell>
        </row>
        <row r="78">
          <cell r="A78" t="str">
            <v>A228C</v>
          </cell>
          <cell r="C78" t="str">
            <v>Chicken, Breast, Boneless, 7oz, #E3207E (50#)</v>
          </cell>
        </row>
        <row r="79">
          <cell r="A79" t="str">
            <v>A224C</v>
          </cell>
          <cell r="C79" t="str">
            <v>Chicken, Breast, Boneless, Diced Chunks, E-3270 (50#)</v>
          </cell>
        </row>
        <row r="80">
          <cell r="A80" t="str">
            <v>A111C</v>
          </cell>
          <cell r="C80" t="str">
            <v>Chicken, Breast, Boneless, Marinated (4/10#)</v>
          </cell>
        </row>
        <row r="81">
          <cell r="A81" t="str">
            <v>A221C</v>
          </cell>
          <cell r="C81" t="str">
            <v>Chicken, Breast, Boneless, Unsized 61108</v>
          </cell>
        </row>
        <row r="82">
          <cell r="A82" t="str">
            <v>A223C</v>
          </cell>
          <cell r="C82" t="str">
            <v>Chicken, Breast, Fresh Trim 61173</v>
          </cell>
        </row>
        <row r="83">
          <cell r="A83" t="str">
            <v>A144C</v>
          </cell>
          <cell r="C83" t="str">
            <v>Chicken, Breast, Lg BI SkOn Raw (2/10#)</v>
          </cell>
        </row>
        <row r="84">
          <cell r="A84" t="str">
            <v>A225C</v>
          </cell>
          <cell r="C84" t="str">
            <v>Chicken, Breast, Trim meat, #E3405 (50#)</v>
          </cell>
        </row>
        <row r="85">
          <cell r="A85" t="str">
            <v>A222C</v>
          </cell>
          <cell r="C85" t="str">
            <v>Chicken, Breast, Trim Meat, Ashley (1/20#)</v>
          </cell>
        </row>
        <row r="86">
          <cell r="A86" t="str">
            <v>A186C</v>
          </cell>
          <cell r="C86" t="str">
            <v>Chicken, Breast, Whole (40#)</v>
          </cell>
        </row>
        <row r="87">
          <cell r="A87" t="str">
            <v>A116C</v>
          </cell>
          <cell r="C87" t="str">
            <v>Chicken, MDM (50#)</v>
          </cell>
        </row>
        <row r="88">
          <cell r="A88" t="str">
            <v>A112C</v>
          </cell>
          <cell r="C88" t="str">
            <v>Chicken, Patties, Breaded, (20#)</v>
          </cell>
        </row>
        <row r="89">
          <cell r="A89" t="str">
            <v>A113C</v>
          </cell>
          <cell r="C89" t="str">
            <v>Chicken, Patties, Grilled (10#)</v>
          </cell>
        </row>
        <row r="90">
          <cell r="A90" t="str">
            <v>A114C</v>
          </cell>
          <cell r="C90" t="str">
            <v>Chicken, Patties, Grilled (10#)</v>
          </cell>
        </row>
        <row r="91">
          <cell r="A91" t="str">
            <v>A148C</v>
          </cell>
          <cell r="C91" t="str">
            <v>Chicken, Tender Clipd Jmbo Raw (4/10#)</v>
          </cell>
        </row>
        <row r="92">
          <cell r="A92" t="str">
            <v>A192C</v>
          </cell>
          <cell r="C92" t="str">
            <v>Chicken, Tender Clipd Jmbo Raw, West Creek (4/10#)</v>
          </cell>
        </row>
        <row r="93">
          <cell r="A93" t="str">
            <v>A226C</v>
          </cell>
          <cell r="C93" t="str">
            <v>Chicken, Tender Jumbo, Case Farm #E3320</v>
          </cell>
        </row>
        <row r="94">
          <cell r="A94" t="str">
            <v>A177C</v>
          </cell>
          <cell r="C94" t="str">
            <v>Chicken, Tender Jumbo, Fresh CVP Wax CO2 (4/10#)</v>
          </cell>
        </row>
        <row r="95">
          <cell r="A95" t="str">
            <v>A196C</v>
          </cell>
          <cell r="C95" t="str">
            <v>Chicken, Tender Trim Pieces (4/10#)</v>
          </cell>
        </row>
        <row r="96">
          <cell r="A96" t="str">
            <v>A248C</v>
          </cell>
          <cell r="C96" t="str">
            <v>Chicken, Thigh (Hala, ABF free ant.)</v>
          </cell>
        </row>
        <row r="97">
          <cell r="A97" t="str">
            <v>A117C</v>
          </cell>
          <cell r="C97" t="str">
            <v>Chicken, Thigh BoneIn SkinOn (96/4.66oz) (27.96#)</v>
          </cell>
        </row>
        <row r="98">
          <cell r="A98" t="str">
            <v>A118C</v>
          </cell>
          <cell r="C98" t="str">
            <v>Chicken, Thigh BoneIn SkinOn, HOR (40#)</v>
          </cell>
        </row>
        <row r="99">
          <cell r="A99" t="str">
            <v>A158C</v>
          </cell>
          <cell r="C99" t="str">
            <v>Chicken, Thigh Fil Bnls CVP, Patuxent (4/5#)</v>
          </cell>
        </row>
        <row r="100">
          <cell r="A100" t="str">
            <v>A153C</v>
          </cell>
          <cell r="C100" t="str">
            <v>Chicken, Thigh Meat Rndm Blsl, Patuxent (4/10#)</v>
          </cell>
        </row>
        <row r="101">
          <cell r="A101" t="str">
            <v>A119C</v>
          </cell>
          <cell r="C101" t="str">
            <v>Chicken, Thigh w/Back Ice Glzd (96/5.87oz) (35.22#)</v>
          </cell>
        </row>
        <row r="102">
          <cell r="A102" t="str">
            <v>A238C</v>
          </cell>
          <cell r="C102" t="str">
            <v>Chicken, Thighs Boneless E-5040</v>
          </cell>
        </row>
        <row r="103">
          <cell r="A103" t="str">
            <v>A120C</v>
          </cell>
          <cell r="C103" t="str">
            <v>Chicken, Trim (40#)</v>
          </cell>
        </row>
        <row r="104">
          <cell r="A104" t="str">
            <v>A156C</v>
          </cell>
          <cell r="C104" t="str">
            <v>Chicken, Trim, In House, Extreme Trim (40#)</v>
          </cell>
        </row>
        <row r="105">
          <cell r="A105" t="str">
            <v>A145C</v>
          </cell>
          <cell r="C105" t="str">
            <v>Chicken, Wing 6-9 Ct (4/10#)</v>
          </cell>
        </row>
        <row r="106">
          <cell r="A106" t="str">
            <v>A243C</v>
          </cell>
          <cell r="C106" t="str">
            <v>Crawfish, Cooked</v>
          </cell>
        </row>
        <row r="107">
          <cell r="A107" t="str">
            <v>A121C</v>
          </cell>
          <cell r="C107" t="str">
            <v>Fish Fingers, 1oz Breaded (10#)</v>
          </cell>
        </row>
        <row r="108">
          <cell r="A108" t="str">
            <v>A122C</v>
          </cell>
          <cell r="C108" t="str">
            <v>Fish, Lemon Pepper Haddock (28#)</v>
          </cell>
        </row>
        <row r="109">
          <cell r="A109" t="str">
            <v>A205C</v>
          </cell>
          <cell r="C109" t="str">
            <v>Ham, City Bean (10#)</v>
          </cell>
        </row>
        <row r="110">
          <cell r="A110" t="str">
            <v>A123C</v>
          </cell>
          <cell r="C110" t="str">
            <v>Ham, Diced .25" W/A Fzn Pork, Patuxent (4/2.5#)</v>
          </cell>
        </row>
        <row r="111">
          <cell r="A111" t="str">
            <v>A229B</v>
          </cell>
          <cell r="C111" t="str">
            <v>Ham, Prosciutto (12 oz)</v>
          </cell>
        </row>
        <row r="112">
          <cell r="A112" t="str">
            <v>A126C</v>
          </cell>
          <cell r="C112" t="str">
            <v>Meatballs, Beef &amp; Chicken, FC (20#)</v>
          </cell>
        </row>
        <row r="113">
          <cell r="A113" t="str">
            <v>A124C</v>
          </cell>
          <cell r="C113" t="str">
            <v>Meatballs, Cooked, Old World (10#)</v>
          </cell>
        </row>
        <row r="114">
          <cell r="A114" t="str">
            <v>A125C</v>
          </cell>
          <cell r="C114" t="str">
            <v>Meatballs, Italian (10#)</v>
          </cell>
        </row>
        <row r="115">
          <cell r="A115" t="str">
            <v>A237C</v>
          </cell>
          <cell r="C115" t="str">
            <v>Pork Smoked SGE, Richards</v>
          </cell>
        </row>
        <row r="116">
          <cell r="A116" t="str">
            <v>A207C</v>
          </cell>
          <cell r="C116" t="str">
            <v>Pork Trim  (60+#)</v>
          </cell>
        </row>
        <row r="117">
          <cell r="A117" t="str">
            <v>A130C</v>
          </cell>
          <cell r="C117" t="str">
            <v>Pork Trim (60#) 72% Lean</v>
          </cell>
        </row>
        <row r="118">
          <cell r="A118" t="str">
            <v>A206C</v>
          </cell>
          <cell r="C118" t="str">
            <v>Pork Trim 72%</v>
          </cell>
        </row>
        <row r="119">
          <cell r="A119" t="str">
            <v>A179C</v>
          </cell>
          <cell r="C119" t="str">
            <v>Pork Trim Z 72% (50#)</v>
          </cell>
        </row>
        <row r="120">
          <cell r="A120" t="str">
            <v>A172C</v>
          </cell>
          <cell r="C120" t="str">
            <v>Pork Trim Z 72% (60+#) 11686</v>
          </cell>
        </row>
        <row r="121">
          <cell r="A121" t="str">
            <v>A129C</v>
          </cell>
          <cell r="C121" t="str">
            <v>Pork Trim, Boston Butt (65#)</v>
          </cell>
        </row>
        <row r="122">
          <cell r="A122" t="str">
            <v>A178T</v>
          </cell>
          <cell r="C122" t="str">
            <v>Pork, Bld, Shld, Bnls, Fresh (2,028# tote)</v>
          </cell>
        </row>
        <row r="123">
          <cell r="A123" t="str">
            <v>A154A</v>
          </cell>
          <cell r="C123" t="str">
            <v>Pork, Boston Butt Trimd (65#)</v>
          </cell>
        </row>
        <row r="124">
          <cell r="A124" t="str">
            <v>A168C</v>
          </cell>
          <cell r="C124" t="str">
            <v>Pork, Boston Butt, B/I ree, Smithfield (varies +/-66#)</v>
          </cell>
        </row>
        <row r="125">
          <cell r="A125" t="str">
            <v>A208C</v>
          </cell>
          <cell r="C125" t="str">
            <v xml:space="preserve">Pork, Butt Boneless </v>
          </cell>
        </row>
        <row r="126">
          <cell r="A126" t="str">
            <v>A154C</v>
          </cell>
          <cell r="C126" t="str">
            <v>Pork, Butt, Shld, Bnls (54.6# avg)</v>
          </cell>
        </row>
        <row r="127">
          <cell r="A127" t="str">
            <v>A143C</v>
          </cell>
          <cell r="C127" t="str">
            <v>Pork, Chop CC Bnls Raw (32/5oz) (10#)</v>
          </cell>
        </row>
        <row r="128">
          <cell r="A128" t="str">
            <v>A138C</v>
          </cell>
          <cell r="C128" t="str">
            <v>Pork, Ground 80/20 Raw Fzn (2/5#)</v>
          </cell>
        </row>
        <row r="129">
          <cell r="A129" t="str">
            <v>A127C</v>
          </cell>
          <cell r="C129" t="str">
            <v>Pork, Loin Bnls 6-9# (6/6-9#)</v>
          </cell>
        </row>
        <row r="130">
          <cell r="A130" t="str">
            <v>A155C</v>
          </cell>
          <cell r="C130" t="str">
            <v>Pork, Loin CC Bnls Raw, Packer (6/5-8#)</v>
          </cell>
        </row>
        <row r="131">
          <cell r="A131" t="str">
            <v>A182C</v>
          </cell>
          <cell r="C131" t="str">
            <v>Pork, Shld, Bnls, Pork (60+#)</v>
          </cell>
        </row>
        <row r="132">
          <cell r="A132" t="str">
            <v>A140C</v>
          </cell>
          <cell r="C132" t="str">
            <v>Pork, Shldr Bstn Butt Bnls Raw (10 ea)</v>
          </cell>
        </row>
        <row r="133">
          <cell r="A133" t="str">
            <v>A128C</v>
          </cell>
          <cell r="C133" t="str">
            <v>Pork, Shoulder Picnic Cushions (60#)</v>
          </cell>
        </row>
        <row r="134">
          <cell r="A134" t="str">
            <v>A217C</v>
          </cell>
          <cell r="C134" t="str">
            <v>Pork, Tend, 6-2 PC, 14616</v>
          </cell>
        </row>
        <row r="135">
          <cell r="A135" t="str">
            <v>A230C</v>
          </cell>
          <cell r="C135" t="str">
            <v>Pork, Tenderloin, 2pk (6/2pk)</v>
          </cell>
        </row>
        <row r="136">
          <cell r="A136" t="str">
            <v>A131C</v>
          </cell>
          <cell r="C136" t="str">
            <v>Salmon, Atlantic, PBO Sknls, Harbor Bnk (10#)</v>
          </cell>
        </row>
        <row r="137">
          <cell r="A137" t="str">
            <v>A242C</v>
          </cell>
          <cell r="C137" t="str">
            <v>Sausage, Andouille 3/8"</v>
          </cell>
        </row>
        <row r="138">
          <cell r="A138" t="str">
            <v>A245C</v>
          </cell>
          <cell r="C138" t="str">
            <v>Sausage, Andouille, sliced</v>
          </cell>
        </row>
        <row r="139">
          <cell r="A139" t="str">
            <v>A162C</v>
          </cell>
          <cell r="C139" t="str">
            <v>Sausage, Chicken, Smoked All Nat w/Mozz Cheese #29346</v>
          </cell>
        </row>
        <row r="140">
          <cell r="A140" t="str">
            <v>A134C</v>
          </cell>
          <cell r="C140" t="str">
            <v>Sausage, Itln Mild Rope, Roseli</v>
          </cell>
        </row>
        <row r="141">
          <cell r="A141" t="str">
            <v>A187C</v>
          </cell>
          <cell r="C141" t="str">
            <v>Sausage, Pork Bulk Mild Raw, Wampler's Farm (10#)</v>
          </cell>
        </row>
        <row r="142">
          <cell r="A142" t="str">
            <v>A244C</v>
          </cell>
          <cell r="C142" t="str">
            <v>Shrimp (110/130 peeled and deveined) Raw</v>
          </cell>
        </row>
        <row r="143">
          <cell r="A143" t="str">
            <v>A165C</v>
          </cell>
          <cell r="C143" t="str">
            <v>Shrimp, Raw 16-20 Wht P&amp;D T/On (4/2.5#)</v>
          </cell>
        </row>
        <row r="144">
          <cell r="A144" t="str">
            <v>A149C</v>
          </cell>
          <cell r="C144" t="str">
            <v>Shrimp, Raw 41-50 Wht P&amp;D (4/2.5#)</v>
          </cell>
        </row>
        <row r="145">
          <cell r="A145" t="str">
            <v>A240C</v>
          </cell>
          <cell r="C145" t="str">
            <v>Shrimp, Salad, Cooked, 150-250</v>
          </cell>
        </row>
        <row r="146">
          <cell r="A146" t="str">
            <v>A252C</v>
          </cell>
          <cell r="C146" t="str">
            <v>Shrimps, Vegan 26.5 lbs/cs, 52 cs/pallet</v>
          </cell>
        </row>
        <row r="147">
          <cell r="A147" t="str">
            <v>A251C</v>
          </cell>
          <cell r="C147" t="str">
            <v>Turkey Breast, bnls, Fully cook</v>
          </cell>
        </row>
        <row r="148">
          <cell r="A148" t="str">
            <v>A132C</v>
          </cell>
          <cell r="C148" t="str">
            <v>Turkey Medallions (25#)</v>
          </cell>
        </row>
        <row r="149">
          <cell r="A149" t="str">
            <v>A133C</v>
          </cell>
          <cell r="C149" t="str">
            <v>Turkey Medallions, Sliced (30#)</v>
          </cell>
        </row>
        <row r="150">
          <cell r="A150" t="str">
            <v>A235C</v>
          </cell>
          <cell r="C150" t="str">
            <v>Turkey, B/s Thigh meat</v>
          </cell>
        </row>
        <row r="151">
          <cell r="A151" t="str">
            <v>A147C</v>
          </cell>
          <cell r="C151" t="str">
            <v>Turkey, Breast &amp; Thigh Rst (4/9-11#)</v>
          </cell>
        </row>
        <row r="152">
          <cell r="A152" t="str">
            <v>A198C</v>
          </cell>
          <cell r="C152" t="str">
            <v>Turkey, Breast Bnls Raw (2/9.1#) (butterBall)</v>
          </cell>
        </row>
        <row r="153">
          <cell r="A153" t="str">
            <v>A200C</v>
          </cell>
          <cell r="C153" t="str">
            <v>Turkey, Breast Meat</v>
          </cell>
        </row>
        <row r="154">
          <cell r="A154" t="str">
            <v>A197C</v>
          </cell>
          <cell r="C154" t="str">
            <v>Turkey, Breast Meat, Bnls (10011)</v>
          </cell>
        </row>
        <row r="155">
          <cell r="A155" t="str">
            <v>A180T</v>
          </cell>
          <cell r="C155" t="str">
            <v>Turkey, Breast Meat, Bnls (2,000# +/- tote)</v>
          </cell>
        </row>
        <row r="156">
          <cell r="A156" t="str">
            <v>A163C</v>
          </cell>
          <cell r="C156" t="str">
            <v>Turkey, Breast Meat, Young, W/O Fillet, #35710 HOR</v>
          </cell>
        </row>
        <row r="157">
          <cell r="A157" t="str">
            <v>A173C</v>
          </cell>
          <cell r="C157" t="str">
            <v>Turkey, Breast Skon Raw Foil, Jennie-O (2/9-10#)</v>
          </cell>
        </row>
        <row r="158">
          <cell r="A158" t="str">
            <v>A231C</v>
          </cell>
          <cell r="C158" t="str">
            <v>Turkey, Brest Meat, Bnls, Fresh</v>
          </cell>
        </row>
        <row r="159">
          <cell r="A159" t="str">
            <v>A174C</v>
          </cell>
          <cell r="C159" t="str">
            <v>Turkey, Ground, Raw Frn Dark Meat, HOR (2/10#)</v>
          </cell>
        </row>
        <row r="160">
          <cell r="A160" t="str">
            <v>A234C</v>
          </cell>
          <cell r="C160" t="str">
            <v>Turkey, Mature Blsl Thighs (52635)</v>
          </cell>
        </row>
        <row r="161">
          <cell r="A161" t="str">
            <v>A247C</v>
          </cell>
          <cell r="C161" t="str">
            <v>Turkey, Sausage</v>
          </cell>
        </row>
        <row r="162">
          <cell r="A162" t="str">
            <v>A233C</v>
          </cell>
          <cell r="C162" t="str">
            <v>Turkey, Tenderloin (40#)</v>
          </cell>
        </row>
        <row r="163">
          <cell r="A163" t="str">
            <v>A232C</v>
          </cell>
          <cell r="C163" t="str">
            <v>Turkey, Tenders</v>
          </cell>
        </row>
        <row r="164">
          <cell r="A164"/>
          <cell r="C164" t="str">
            <v xml:space="preserve"> </v>
          </cell>
        </row>
        <row r="165">
          <cell r="A165" t="str">
            <v>C209C</v>
          </cell>
          <cell r="C165" t="str">
            <v>Apples, Empire, Sliced IQF (40#)</v>
          </cell>
        </row>
        <row r="166">
          <cell r="A166" t="str">
            <v>C308C</v>
          </cell>
          <cell r="C166" t="str">
            <v>Apples, Granny Smith, Sliced, (40#)</v>
          </cell>
        </row>
        <row r="167">
          <cell r="A167" t="str">
            <v>C256C</v>
          </cell>
          <cell r="C167" t="str">
            <v>Apples, Granny Smith, Sliced, IQF</v>
          </cell>
        </row>
        <row r="168">
          <cell r="A168" t="str">
            <v>C279C</v>
          </cell>
          <cell r="C168" t="str">
            <v>Apples, Granny Smith, Sliced, IQF (40#)</v>
          </cell>
        </row>
        <row r="169">
          <cell r="A169" t="str">
            <v>C236C</v>
          </cell>
          <cell r="C169" t="str">
            <v>Apples, Red, IDA, Sliced (40#)</v>
          </cell>
        </row>
        <row r="170">
          <cell r="A170" t="str">
            <v>C100N</v>
          </cell>
          <cell r="C170" t="str">
            <v>Apples, Solid Pack (6/#10)</v>
          </cell>
        </row>
        <row r="171">
          <cell r="A171" t="str">
            <v>C101N</v>
          </cell>
          <cell r="C171" t="str">
            <v>Applesauce, Unsweetened (6/#10)</v>
          </cell>
        </row>
        <row r="172">
          <cell r="A172" t="str">
            <v>C230C</v>
          </cell>
          <cell r="C172" t="str">
            <v>Artichoke, Diced 3/8", IQF #R19 (40#)</v>
          </cell>
        </row>
        <row r="173">
          <cell r="A173" t="str">
            <v>C365C</v>
          </cell>
          <cell r="C173" t="str">
            <v>Artichoke, Diced Heart, 1/4 Peru, (10/2.2#) 40212</v>
          </cell>
        </row>
        <row r="174">
          <cell r="A174" t="str">
            <v>C175C</v>
          </cell>
          <cell r="C174" t="str">
            <v>Artichoke, Heart 40-50ct (6/3kg)</v>
          </cell>
        </row>
        <row r="175">
          <cell r="A175" t="str">
            <v>C391C</v>
          </cell>
          <cell r="C175" t="str">
            <v>Arugula, Chopped, Frozen (30#)16875</v>
          </cell>
        </row>
        <row r="176">
          <cell r="A176" t="str">
            <v>C257C</v>
          </cell>
          <cell r="C176" t="str">
            <v>Asparagus, Cut &amp; Tip Grd A (6/2.5#)</v>
          </cell>
        </row>
        <row r="177">
          <cell r="A177" t="str">
            <v>C102N</v>
          </cell>
          <cell r="C177" t="str">
            <v>Bean Sprouts (6/#10)</v>
          </cell>
        </row>
        <row r="178">
          <cell r="A178" t="str">
            <v>C392T</v>
          </cell>
          <cell r="C178" t="str">
            <v>Bean, Black, IQF, Paris (totes)</v>
          </cell>
        </row>
        <row r="179">
          <cell r="A179" t="str">
            <v>C277T</v>
          </cell>
          <cell r="C179" t="str">
            <v>Bean, Great Northern (45#)</v>
          </cell>
        </row>
        <row r="180">
          <cell r="A180" t="str">
            <v>C433C</v>
          </cell>
          <cell r="C180" t="str">
            <v>Beans, Baby lima (20 lbs/cs)</v>
          </cell>
        </row>
        <row r="181">
          <cell r="A181" t="str">
            <v>C186B</v>
          </cell>
          <cell r="C181" t="str">
            <v>Beans, Black, Dry</v>
          </cell>
        </row>
        <row r="182">
          <cell r="A182" t="str">
            <v>C247C</v>
          </cell>
          <cell r="C182" t="str">
            <v>Beans, Black, IQF, Hanover (20#)</v>
          </cell>
        </row>
        <row r="183">
          <cell r="A183" t="str">
            <v>C248C</v>
          </cell>
          <cell r="C183" t="str">
            <v>Beans, Black, IQF, Hanover (50#)</v>
          </cell>
        </row>
        <row r="184">
          <cell r="A184" t="str">
            <v>C238T</v>
          </cell>
          <cell r="C184" t="str">
            <v>Beans, Black, IQF, Hanover (tote)</v>
          </cell>
        </row>
        <row r="185">
          <cell r="A185" t="str">
            <v>C210C</v>
          </cell>
          <cell r="C185" t="str">
            <v>Beans, Black, IQF, Paris, Totes</v>
          </cell>
        </row>
        <row r="186">
          <cell r="A186" t="str">
            <v>C103T</v>
          </cell>
          <cell r="C186" t="str">
            <v>Beans, Black, IQF, Seabrook (totes)</v>
          </cell>
        </row>
        <row r="187">
          <cell r="A187" t="str">
            <v>C276T</v>
          </cell>
          <cell r="C187" t="str">
            <v>Beans, Dark Red Kidney, (totes)</v>
          </cell>
        </row>
        <row r="188">
          <cell r="A188" t="str">
            <v>C393T</v>
          </cell>
          <cell r="C188" t="str">
            <v>Beans, Dark Red Kidney, (totes)</v>
          </cell>
        </row>
        <row r="189">
          <cell r="A189" t="str">
            <v>C105N</v>
          </cell>
          <cell r="C189" t="str">
            <v>Beans, Dark Red Kidney, El Pasado (6/#10)</v>
          </cell>
        </row>
        <row r="190">
          <cell r="A190" t="str">
            <v>C366B</v>
          </cell>
          <cell r="C190" t="str">
            <v>Beans, Garbanzo , Earth (1/10#)</v>
          </cell>
        </row>
        <row r="191">
          <cell r="A191" t="str">
            <v>C360C</v>
          </cell>
          <cell r="C191" t="str">
            <v>Beans, Garbanzo 93456 (45#)</v>
          </cell>
        </row>
        <row r="192">
          <cell r="A192" t="str">
            <v>C440C</v>
          </cell>
          <cell r="C192" t="str">
            <v>Beans, Great northern (45 lbs/cs)</v>
          </cell>
        </row>
        <row r="193">
          <cell r="A193" t="str">
            <v>C107T</v>
          </cell>
          <cell r="C193" t="str">
            <v>Beans, Green 1/2 - 3/4", IQF (totes)</v>
          </cell>
        </row>
        <row r="194">
          <cell r="A194" t="str">
            <v>C291</v>
          </cell>
          <cell r="C194" t="str">
            <v>Beans, Green Whole Frost (12/2#)</v>
          </cell>
        </row>
        <row r="195">
          <cell r="A195" t="str">
            <v>C280C</v>
          </cell>
          <cell r="C195" t="str">
            <v>Beans, Green, Cut IQF (20#)</v>
          </cell>
        </row>
        <row r="196">
          <cell r="A196" t="str">
            <v>C240T</v>
          </cell>
          <cell r="C196" t="str">
            <v>Beans, Green, Cut, IQF (totes)</v>
          </cell>
        </row>
        <row r="197">
          <cell r="A197" t="str">
            <v>C317B</v>
          </cell>
          <cell r="C197" t="str">
            <v>Beans, Green, Haircot Vert, Packer (10/1kg)</v>
          </cell>
        </row>
        <row r="198">
          <cell r="A198" t="str">
            <v>C356C</v>
          </cell>
          <cell r="C198" t="str">
            <v>Beans, Green, Haircot Vert, Packer (10/1kg)</v>
          </cell>
        </row>
        <row r="199">
          <cell r="A199" t="str">
            <v>C309C</v>
          </cell>
          <cell r="C199" t="str">
            <v>Beans, Green, Italian #41070 (1/20#)</v>
          </cell>
        </row>
        <row r="200">
          <cell r="A200" t="str">
            <v>C106C</v>
          </cell>
          <cell r="C200" t="str">
            <v>Beans, Green, Short 1/2- 3/4" IQF (20#)</v>
          </cell>
        </row>
        <row r="201">
          <cell r="A201" t="str">
            <v>C231T</v>
          </cell>
          <cell r="C201" t="str">
            <v>Beans, Green, Short Cut, IQF #92400 (totes)</v>
          </cell>
        </row>
        <row r="202">
          <cell r="A202" t="str">
            <v>C281T</v>
          </cell>
          <cell r="C202" t="str">
            <v>Beans, Green, Whole 2-3 Sieve, IQF#94430 (totes 460kg)</v>
          </cell>
        </row>
        <row r="203">
          <cell r="A203" t="str">
            <v>C189T</v>
          </cell>
          <cell r="C203" t="str">
            <v>Beans, Green, Whole Petite, 2-3" Sieve, IQF (totes)</v>
          </cell>
        </row>
        <row r="204">
          <cell r="A204" t="str">
            <v>C258T</v>
          </cell>
          <cell r="C204" t="str">
            <v>Beans, Green, Whole Petite, IQF (tote)</v>
          </cell>
        </row>
        <row r="205">
          <cell r="A205" t="str">
            <v>C290</v>
          </cell>
          <cell r="C205" t="str">
            <v>Beans, Green, Whole, #41141 (20#)</v>
          </cell>
        </row>
        <row r="206">
          <cell r="A206" t="str">
            <v>C215C</v>
          </cell>
          <cell r="C206" t="str">
            <v>Beans, Green, Whole, IQF #51144 (12/32oz)</v>
          </cell>
        </row>
        <row r="207">
          <cell r="A207" t="str">
            <v>C282C</v>
          </cell>
          <cell r="C207" t="str">
            <v>Beans, Green, Whole, West Creek IQF (12/2#)</v>
          </cell>
        </row>
        <row r="208">
          <cell r="A208" t="str">
            <v>C108T</v>
          </cell>
          <cell r="C208" t="str">
            <v>Beans, Lima, Baby, IQF (totes)</v>
          </cell>
        </row>
        <row r="209">
          <cell r="A209" t="str">
            <v>C109N</v>
          </cell>
          <cell r="C209" t="str">
            <v>Beans, Refried (6/#10)</v>
          </cell>
        </row>
        <row r="210">
          <cell r="A210" t="str">
            <v>C226C</v>
          </cell>
          <cell r="C210" t="str">
            <v>Blackberries, Mrn Whl Dmstc IQF, Monarch (2/5#)</v>
          </cell>
        </row>
        <row r="211">
          <cell r="A211" t="str">
            <v>C259C</v>
          </cell>
          <cell r="C211" t="str">
            <v>Blueberry, Dmstc Cltvd IQG (2/5#)</v>
          </cell>
        </row>
        <row r="212">
          <cell r="A212" t="str">
            <v>C110T</v>
          </cell>
          <cell r="C212" t="str">
            <v>Broccoli, Cuts (1/2 cut &amp; 1/2 heads), IQF (totes)</v>
          </cell>
        </row>
        <row r="213">
          <cell r="A213" t="str">
            <v>C283C</v>
          </cell>
          <cell r="C213" t="str">
            <v>Broccoli, Florets 20-40MM (35#)</v>
          </cell>
        </row>
        <row r="214">
          <cell r="A214" t="str">
            <v>C278T</v>
          </cell>
          <cell r="C214" t="str">
            <v>Broccoli, Florets IQF (totes)</v>
          </cell>
        </row>
        <row r="215">
          <cell r="A215" t="str">
            <v>C292</v>
          </cell>
          <cell r="C215" t="str">
            <v>Broccoli, florets IQF West Creek(12/2#)</v>
          </cell>
        </row>
        <row r="216">
          <cell r="A216" t="str">
            <v>C184T</v>
          </cell>
          <cell r="C216" t="str">
            <v>Broccoli, Florets Petite 3/4" 1 3/4", IQF, Hanover (tote)</v>
          </cell>
        </row>
        <row r="217">
          <cell r="A217" t="str">
            <v>C377C</v>
          </cell>
          <cell r="C217" t="str">
            <v>Broccoli, Florets Petite15-30 mm, IQF P4224</v>
          </cell>
        </row>
        <row r="218">
          <cell r="A218" t="str">
            <v>C191C</v>
          </cell>
          <cell r="C218" t="str">
            <v>Broccoli, Florets, IQF Monarch (12/2#)</v>
          </cell>
        </row>
        <row r="219">
          <cell r="A219" t="str">
            <v>C111T</v>
          </cell>
          <cell r="C219" t="str">
            <v>Brussel Sprouts, IQF (totes)</v>
          </cell>
        </row>
        <row r="220">
          <cell r="A220" t="str">
            <v>C318C</v>
          </cell>
          <cell r="C220" t="str">
            <v>Brussel Sprouts, IQF, petite #41361 (20#)</v>
          </cell>
        </row>
        <row r="221">
          <cell r="A221" t="str">
            <v>C378C</v>
          </cell>
          <cell r="C221" t="str">
            <v>Brussel, Sprouts, IQF (24#)</v>
          </cell>
        </row>
        <row r="222">
          <cell r="A222" t="str">
            <v>C418C</v>
          </cell>
          <cell r="C222" t="str">
            <v>Butternut Squash, Fresh Diced</v>
          </cell>
        </row>
        <row r="223">
          <cell r="A223" t="str">
            <v>C327C</v>
          </cell>
          <cell r="C223" t="str">
            <v>Cabbage Leaves (20#)24983</v>
          </cell>
        </row>
        <row r="224">
          <cell r="A224" t="str">
            <v>C112C</v>
          </cell>
          <cell r="C224" t="str">
            <v>Cabbage, Diced (40#)</v>
          </cell>
        </row>
        <row r="225">
          <cell r="A225" t="str">
            <v>C394B</v>
          </cell>
          <cell r="C225" t="str">
            <v>Cabbage, Green Bag (45#)</v>
          </cell>
        </row>
        <row r="226">
          <cell r="A226" t="str">
            <v>C113C</v>
          </cell>
          <cell r="C226" t="str">
            <v>Cabbage, Green Medium</v>
          </cell>
        </row>
        <row r="227">
          <cell r="A227" t="str">
            <v>C336B</v>
          </cell>
          <cell r="C227" t="str">
            <v>Cabbage, Green, Bag (50#)</v>
          </cell>
        </row>
        <row r="228">
          <cell r="A228" t="str">
            <v>C337C</v>
          </cell>
          <cell r="C228" t="str">
            <v>Cabbage, Red, Shredded (4/5#)</v>
          </cell>
        </row>
        <row r="229">
          <cell r="A229" t="str">
            <v>C335B</v>
          </cell>
          <cell r="C229" t="str">
            <v>Cabbage, Red, Whole, Fresh (50#)</v>
          </cell>
        </row>
        <row r="230">
          <cell r="A230" t="str">
            <v>C338C</v>
          </cell>
          <cell r="C230" t="str">
            <v>Cabbage, Shredded, no color (4/5#)</v>
          </cell>
        </row>
        <row r="231">
          <cell r="A231" t="str">
            <v>C241T</v>
          </cell>
          <cell r="C231" t="str">
            <v>Carrots, (Julienne) Shoestring, IQF (totes)</v>
          </cell>
        </row>
        <row r="232">
          <cell r="A232" t="str">
            <v>C114T</v>
          </cell>
          <cell r="C232" t="str">
            <v>Carrots, Baby, IQF (totes)</v>
          </cell>
        </row>
        <row r="233">
          <cell r="A233" t="str">
            <v>C232C</v>
          </cell>
          <cell r="C233" t="str">
            <v>Carrots, Baby, Whole IQF #41470 (20#)</v>
          </cell>
        </row>
        <row r="234">
          <cell r="A234" t="str">
            <v>C185C</v>
          </cell>
          <cell r="C234" t="str">
            <v>Carrots, Coin Cut, Medium (20#)</v>
          </cell>
        </row>
        <row r="235">
          <cell r="A235" t="str">
            <v>C194T</v>
          </cell>
          <cell r="C235" t="str">
            <v>Carrots, Crinkle Cut, IQF #92468 (totes)</v>
          </cell>
        </row>
        <row r="236">
          <cell r="A236" t="str">
            <v>C115T</v>
          </cell>
          <cell r="C236" t="str">
            <v>Carrots, Crinkle Cut, IQF (totes)</v>
          </cell>
        </row>
        <row r="237">
          <cell r="A237" t="str">
            <v>C233C</v>
          </cell>
          <cell r="C237" t="str">
            <v>Carrots, Crinkle Cut, Small IQF #42511 (20#)</v>
          </cell>
        </row>
        <row r="238">
          <cell r="A238" t="str">
            <v>C367C</v>
          </cell>
          <cell r="C238" t="str">
            <v>Carrots, Diced (20#)</v>
          </cell>
        </row>
        <row r="239">
          <cell r="A239" t="str">
            <v>C195T</v>
          </cell>
          <cell r="C239" t="str">
            <v>Carrots, Diced, IQF #92856, Paris (totes)</v>
          </cell>
        </row>
        <row r="240">
          <cell r="A240" t="str">
            <v>C117T</v>
          </cell>
          <cell r="C240" t="str">
            <v>Carrots, Diced, IQF, Seabrook (totes)</v>
          </cell>
        </row>
        <row r="241">
          <cell r="A241" t="str">
            <v>C116T</v>
          </cell>
          <cell r="C241" t="str">
            <v>Carrots, Diced, IQF, US Foods (20#)</v>
          </cell>
        </row>
        <row r="242">
          <cell r="A242" t="str">
            <v>C254C</v>
          </cell>
          <cell r="C242" t="str">
            <v>Carrots, Julienne (more of a chunk style), IQF (20#)</v>
          </cell>
        </row>
        <row r="243">
          <cell r="A243" t="str">
            <v>C118T</v>
          </cell>
          <cell r="C243" t="str">
            <v>Carrots, Julienne (more of a chunk style), IQF (totes)</v>
          </cell>
        </row>
        <row r="244">
          <cell r="A244" t="str">
            <v>C329C</v>
          </cell>
          <cell r="C244" t="str">
            <v>Carrots, Shoestrings</v>
          </cell>
        </row>
        <row r="245">
          <cell r="A245" t="str">
            <v>C339C</v>
          </cell>
          <cell r="C245" t="str">
            <v>Carrots, Shred (4/5#)</v>
          </cell>
        </row>
        <row r="246">
          <cell r="A246" t="str">
            <v>C176C</v>
          </cell>
          <cell r="C246" t="str">
            <v>Carrots, Shredded, IQF (2/5#)</v>
          </cell>
        </row>
        <row r="247">
          <cell r="A247" t="str">
            <v>C319C</v>
          </cell>
          <cell r="C247" t="str">
            <v>Carrots, Sliced Crinkle (20#)</v>
          </cell>
        </row>
        <row r="248">
          <cell r="A248" t="str">
            <v>C255C</v>
          </cell>
          <cell r="C248" t="str">
            <v>Carrots, Sliced, Medium, Smooth #41435 (20#)</v>
          </cell>
        </row>
        <row r="249">
          <cell r="A249" t="str">
            <v>C196T</v>
          </cell>
          <cell r="C249" t="str">
            <v>Carrots, Sliced, Medium, Smooth #91459 (totes)</v>
          </cell>
        </row>
        <row r="250">
          <cell r="A250" t="str">
            <v>C188T</v>
          </cell>
          <cell r="C250" t="str">
            <v>Carrots, Sliced, Small Grade A Med (flat not crinkle) (totes)</v>
          </cell>
        </row>
        <row r="251">
          <cell r="A251" t="str">
            <v>C310C</v>
          </cell>
          <cell r="C251" t="str">
            <v xml:space="preserve">Cauliflower Nuggets (40#) </v>
          </cell>
        </row>
        <row r="252">
          <cell r="A252" t="str">
            <v>C216C</v>
          </cell>
          <cell r="C252" t="str">
            <v>Cauliflower, IQF (12/2#)</v>
          </cell>
        </row>
        <row r="253">
          <cell r="A253" t="str">
            <v>C119T</v>
          </cell>
          <cell r="C253" t="str">
            <v>Cauliflower, IQF (totes)</v>
          </cell>
        </row>
        <row r="254">
          <cell r="A254" t="str">
            <v>C438C</v>
          </cell>
          <cell r="C254" t="str">
            <v>Cauliflower, rice</v>
          </cell>
        </row>
        <row r="255">
          <cell r="A255" t="str">
            <v>C249C</v>
          </cell>
          <cell r="C255" t="str">
            <v>Celery, 1/2" Sliced, IQF, Hanover (20#)</v>
          </cell>
        </row>
        <row r="256">
          <cell r="A256" t="str">
            <v>C321C</v>
          </cell>
          <cell r="C256" t="str">
            <v>Celery, 1/4 Sliced Seabrook</v>
          </cell>
        </row>
        <row r="257">
          <cell r="A257" t="str">
            <v>C121T</v>
          </cell>
          <cell r="C257" t="str">
            <v>Celery, 3/8" Diced, IQF, Seabrook (totes)</v>
          </cell>
        </row>
        <row r="258">
          <cell r="A258" t="str">
            <v>C242T</v>
          </cell>
          <cell r="C258" t="str">
            <v>Celery, Diced, IQF, Hanover (totes)</v>
          </cell>
        </row>
        <row r="259">
          <cell r="A259" t="str">
            <v>C211C</v>
          </cell>
          <cell r="C259" t="str">
            <v>Celery, Diced, IQF, Paris (20#)</v>
          </cell>
        </row>
        <row r="260">
          <cell r="A260" t="str">
            <v>C120C</v>
          </cell>
          <cell r="C260" t="str">
            <v>Celery, Diced, IQF, Paris (40#)</v>
          </cell>
        </row>
        <row r="261">
          <cell r="A261" t="str">
            <v>C122T</v>
          </cell>
          <cell r="C261" t="str">
            <v>Celery, Sliced 1/4, IQF, Seabrook (totes)</v>
          </cell>
        </row>
        <row r="262">
          <cell r="A262" t="str">
            <v>C293C</v>
          </cell>
          <cell r="C262" t="str">
            <v>Celery, Sliced, #91588 Paris (45#)</v>
          </cell>
        </row>
        <row r="263">
          <cell r="A263" t="str">
            <v>C197C</v>
          </cell>
          <cell r="C263" t="str">
            <v>Celery, Sliced, IQF #93410, Paris (40#)</v>
          </cell>
        </row>
        <row r="264">
          <cell r="A264" t="str">
            <v>C123N</v>
          </cell>
          <cell r="C264" t="str">
            <v>Chestnuts, Water (6/#10)</v>
          </cell>
        </row>
        <row r="265">
          <cell r="A265" t="str">
            <v>C330C</v>
          </cell>
          <cell r="C265" t="str">
            <v>Cilantro, Large, IQF (30#)</v>
          </cell>
        </row>
        <row r="266">
          <cell r="A266" t="str">
            <v>C331C</v>
          </cell>
          <cell r="C266" t="str">
            <v>Cilantro, Small IQF (35#)</v>
          </cell>
        </row>
        <row r="267">
          <cell r="A267" t="str">
            <v>C124C</v>
          </cell>
          <cell r="C267" t="str">
            <v>Corn Husks</v>
          </cell>
        </row>
        <row r="268">
          <cell r="A268" t="str">
            <v>C125N</v>
          </cell>
          <cell r="C268" t="str">
            <v>Corn, Baby, Cut (6/#10)</v>
          </cell>
        </row>
        <row r="269">
          <cell r="A269" t="str">
            <v>C212C</v>
          </cell>
          <cell r="C269" t="str">
            <v>Corn, Baby, Cut, IQF, Paris (20#)</v>
          </cell>
        </row>
        <row r="270">
          <cell r="A270" t="str">
            <v>C174C</v>
          </cell>
          <cell r="C270" t="str">
            <v>Corn, Baby, Whole (6/#10)</v>
          </cell>
        </row>
        <row r="271">
          <cell r="A271" t="str">
            <v>C294</v>
          </cell>
          <cell r="C271" t="str">
            <v>Corn, Cut #41511 Paris (20#)</v>
          </cell>
        </row>
        <row r="272">
          <cell r="A272" t="str">
            <v>C198T</v>
          </cell>
          <cell r="C272" t="str">
            <v>Corn, Supersweet, Cut #92926  (totes)</v>
          </cell>
        </row>
        <row r="273">
          <cell r="A273" t="str">
            <v>C320C</v>
          </cell>
          <cell r="C273" t="str">
            <v>Corn, Yellow Cut Frozen (20#)</v>
          </cell>
        </row>
        <row r="274">
          <cell r="A274" t="str">
            <v>C126C</v>
          </cell>
          <cell r="C274" t="str">
            <v>Corn, Yellow, Dry (100#)</v>
          </cell>
        </row>
        <row r="275">
          <cell r="A275" t="str">
            <v>C128C</v>
          </cell>
          <cell r="C275" t="str">
            <v>Corn, Yellow, IQF (20#)</v>
          </cell>
        </row>
        <row r="276">
          <cell r="A276" t="str">
            <v>C127T</v>
          </cell>
          <cell r="C276" t="str">
            <v>Corn, Yellow, IQF (totes)</v>
          </cell>
        </row>
        <row r="277">
          <cell r="A277" t="str">
            <v>C416C</v>
          </cell>
          <cell r="C277" t="str">
            <v>Corn, Yellow, Kernel IQF (item #172.1)</v>
          </cell>
        </row>
        <row r="278">
          <cell r="A278" t="str">
            <v>C295</v>
          </cell>
          <cell r="C278" t="str">
            <v>Corn, Yellow, whole Cut, West Creeek (20#)</v>
          </cell>
        </row>
        <row r="279">
          <cell r="A279" t="str">
            <v>C129C</v>
          </cell>
          <cell r="C279" t="str">
            <v>Cranberries, Dried (25#)</v>
          </cell>
        </row>
        <row r="280">
          <cell r="A280" t="str">
            <v>C357C</v>
          </cell>
          <cell r="C280" t="str">
            <v>Cranberries, Dried , Sweetened (25#)</v>
          </cell>
        </row>
        <row r="281">
          <cell r="A281" t="str">
            <v>C227C</v>
          </cell>
          <cell r="C281" t="str">
            <v>Cranberries, Whl Dmstc IQF, Monarch (2/5#)</v>
          </cell>
        </row>
        <row r="282">
          <cell r="A282" t="str">
            <v>C243C</v>
          </cell>
          <cell r="C282" t="str">
            <v>Cranberries, Whole (40#)</v>
          </cell>
        </row>
        <row r="283">
          <cell r="A283" t="str">
            <v>C395C</v>
          </cell>
          <cell r="C283" t="str">
            <v>Cranberries, Whole (40#)</v>
          </cell>
        </row>
        <row r="284">
          <cell r="A284" t="str">
            <v>C340B</v>
          </cell>
          <cell r="C284" t="str">
            <v>Edamame, Soybean,Shelled Simplo, (6/2.5#)</v>
          </cell>
        </row>
        <row r="285">
          <cell r="A285" t="str">
            <v>C379C</v>
          </cell>
          <cell r="C285" t="str">
            <v>Egglant, Eastern, Fancy (1/25#)</v>
          </cell>
        </row>
        <row r="286">
          <cell r="A286" t="str">
            <v>C316C</v>
          </cell>
          <cell r="C286" t="str">
            <v xml:space="preserve">Eggplant, 3/8" Diced, Fire roasted #687 </v>
          </cell>
        </row>
        <row r="287">
          <cell r="A287" t="str">
            <v>C315C</v>
          </cell>
          <cell r="C287" t="str">
            <v>Eggplant, 3/8" Diced, IQF #191</v>
          </cell>
        </row>
        <row r="288">
          <cell r="A288" t="str">
            <v>C177C</v>
          </cell>
          <cell r="C288" t="str">
            <v>Eggplant, 3/8" Diced, IQF (40#)</v>
          </cell>
        </row>
        <row r="289">
          <cell r="A289" t="str">
            <v>C380C</v>
          </cell>
          <cell r="C289" t="str">
            <v>Eggplant, Fancy Case (1/45#)</v>
          </cell>
        </row>
        <row r="290">
          <cell r="A290" t="str">
            <v>C341B</v>
          </cell>
          <cell r="C290" t="str">
            <v>Eggplant, Fresh Fncy (1/32#)</v>
          </cell>
        </row>
        <row r="291">
          <cell r="A291" t="str">
            <v>C359C</v>
          </cell>
          <cell r="C291" t="str">
            <v>Fennel</v>
          </cell>
        </row>
        <row r="292">
          <cell r="A292" t="str">
            <v>C228C</v>
          </cell>
          <cell r="C292" t="str">
            <v>Garlic, 1/8" IQF #137 (50#)</v>
          </cell>
        </row>
        <row r="293">
          <cell r="A293" t="str">
            <v>C297J</v>
          </cell>
          <cell r="C293" t="str">
            <v>Garlic, Minced, In Water (12/32oz)</v>
          </cell>
        </row>
        <row r="294">
          <cell r="A294" t="str">
            <v>C332C</v>
          </cell>
          <cell r="C294" t="str">
            <v>Garlic, Minced, Roasted (45#)</v>
          </cell>
        </row>
        <row r="295">
          <cell r="A295" t="str">
            <v>C204C</v>
          </cell>
          <cell r="C295" t="str">
            <v>Garlic, Minced, Small, IQF #16674 (45#)</v>
          </cell>
        </row>
        <row r="296">
          <cell r="A296" t="str">
            <v>C424C</v>
          </cell>
          <cell r="C296" t="str">
            <v>Garlic, Roasted 1/8", IQF (598)</v>
          </cell>
        </row>
        <row r="297">
          <cell r="A297" t="str">
            <v>C296C</v>
          </cell>
          <cell r="C297" t="str">
            <v>Garlid, Chopped in water Natural Tulkof(6/32oz)</v>
          </cell>
        </row>
        <row r="298">
          <cell r="A298" t="str">
            <v>C429C</v>
          </cell>
          <cell r="C298" t="str">
            <v>Ginger 1/8" diced, Minced (40#, 16589)</v>
          </cell>
        </row>
        <row r="299">
          <cell r="A299" t="str">
            <v>C409B</v>
          </cell>
          <cell r="C299" t="str">
            <v>Kidney Beans, Dry</v>
          </cell>
        </row>
        <row r="300">
          <cell r="A300" t="str">
            <v>C234C</v>
          </cell>
          <cell r="C300" t="str">
            <v>Leek, Diced 1/2", IQF</v>
          </cell>
        </row>
        <row r="301">
          <cell r="A301" t="str">
            <v>C408B</v>
          </cell>
          <cell r="C301" t="str">
            <v>Lentils, Black, Dry</v>
          </cell>
        </row>
        <row r="302">
          <cell r="A302" t="str">
            <v>C322C</v>
          </cell>
          <cell r="C302" t="str">
            <v>Mango 3/8" IQF (30#)</v>
          </cell>
        </row>
        <row r="303">
          <cell r="A303" t="str">
            <v>C323B</v>
          </cell>
          <cell r="C303" t="str">
            <v>Mango, Chunks, Bake-Dried 100% Organic, Bare fruit (2.2oz)</v>
          </cell>
        </row>
        <row r="304">
          <cell r="A304" t="str">
            <v>C368C</v>
          </cell>
          <cell r="C304" t="str">
            <v>Mango, Diced 10x10 (30#)</v>
          </cell>
        </row>
        <row r="305">
          <cell r="A305" t="str">
            <v>C411B</v>
          </cell>
          <cell r="C305" t="str">
            <v>Masoor Dal</v>
          </cell>
        </row>
        <row r="306">
          <cell r="A306" t="str">
            <v>C358C</v>
          </cell>
          <cell r="C306" t="str">
            <v>Mixed Grilled Vegetable (4/2lb) #41902</v>
          </cell>
        </row>
        <row r="307">
          <cell r="A307" t="str">
            <v>C413C</v>
          </cell>
          <cell r="C307" t="str">
            <v>Mixed, Vegetables (Peas, Carrots, Corn, Green beans)(20#)</v>
          </cell>
        </row>
        <row r="308">
          <cell r="A308" t="str">
            <v>C412B</v>
          </cell>
          <cell r="C308" t="str">
            <v>Moong Dal</v>
          </cell>
        </row>
        <row r="309">
          <cell r="A309" t="str">
            <v>C385N</v>
          </cell>
          <cell r="C309" t="str">
            <v>Mushorrons, Pieces &amp; Stems, Hanover (4.25#)</v>
          </cell>
        </row>
        <row r="310">
          <cell r="A310" t="str">
            <v>C300</v>
          </cell>
          <cell r="C310" t="str">
            <v>Mushroom, Portabella 3/8 Diced IQF (20#)</v>
          </cell>
        </row>
        <row r="311">
          <cell r="A311" t="str">
            <v>C299N</v>
          </cell>
          <cell r="C311" t="str">
            <v>Mushrooms Pcs &amp; Steams (6/10#)</v>
          </cell>
        </row>
        <row r="312">
          <cell r="A312" t="str">
            <v>C397C</v>
          </cell>
          <cell r="C312" t="str">
            <v>Mushrooms, Crimini, Sliced, 3022 (10#)</v>
          </cell>
        </row>
        <row r="313">
          <cell r="A313" t="str">
            <v>C171C</v>
          </cell>
          <cell r="C313" t="str">
            <v>Mushrooms, Crimini, Sliced, IQF (20#)</v>
          </cell>
        </row>
        <row r="314">
          <cell r="A314" t="str">
            <v>C298C</v>
          </cell>
          <cell r="C314" t="str">
            <v>Mushrooms, Crimini, Sliced, IQF (40#)</v>
          </cell>
        </row>
        <row r="315">
          <cell r="A315" t="str">
            <v>C130N</v>
          </cell>
          <cell r="C315" t="str">
            <v>Mushrooms, Pieces &amp; Stems (6/#10)</v>
          </cell>
        </row>
        <row r="316">
          <cell r="A316" t="str">
            <v>C261C</v>
          </cell>
          <cell r="C316" t="str">
            <v>Mushrooms, Pieces &amp; Stems, Packer (6/#10)</v>
          </cell>
        </row>
        <row r="317">
          <cell r="A317" t="str">
            <v>C396N</v>
          </cell>
          <cell r="C317" t="str">
            <v>Mushrooms, Portabella Cap (136180) 1.125#</v>
          </cell>
        </row>
        <row r="318">
          <cell r="A318" t="str">
            <v>C172C</v>
          </cell>
          <cell r="C318" t="str">
            <v>Mushrooms, Portabella, 3/8" Diced, IQF (20#)</v>
          </cell>
        </row>
        <row r="319">
          <cell r="A319" t="str">
            <v>C131C</v>
          </cell>
          <cell r="C319" t="str">
            <v>Mushrooms, Portabella, IQF (20#)</v>
          </cell>
        </row>
        <row r="320">
          <cell r="A320" t="str">
            <v>C132C</v>
          </cell>
          <cell r="C320" t="str">
            <v>Mushrooms, Portabella, Med 4-5", Fresh (5#)</v>
          </cell>
        </row>
        <row r="321">
          <cell r="A321" t="str">
            <v>C427C</v>
          </cell>
          <cell r="C321" t="str">
            <v>Mushrooms, Slice 3/16 IQF (FWS316MBX40)</v>
          </cell>
        </row>
        <row r="322">
          <cell r="A322" t="str">
            <v>C342N</v>
          </cell>
          <cell r="C322" t="str">
            <v>Mushrooms, Whole Criminis (10#)</v>
          </cell>
        </row>
        <row r="323">
          <cell r="A323" t="str">
            <v>C333C</v>
          </cell>
          <cell r="C323" t="str">
            <v>Mushrooms, Whole med white, Packer (10#)</v>
          </cell>
        </row>
        <row r="324">
          <cell r="A324" t="str">
            <v>C133T</v>
          </cell>
          <cell r="C324" t="str">
            <v>Okra, Cut, IQF (totes)</v>
          </cell>
        </row>
        <row r="325">
          <cell r="A325" t="str">
            <v>C302</v>
          </cell>
          <cell r="C325" t="str">
            <v>Onions French Fried. (6/24oz)</v>
          </cell>
        </row>
        <row r="326">
          <cell r="A326" t="str">
            <v>C369C</v>
          </cell>
          <cell r="C326" t="str">
            <v>Onions, Caramelized, Strips (25#)</v>
          </cell>
        </row>
        <row r="327">
          <cell r="A327" t="str">
            <v>C239T</v>
          </cell>
          <cell r="C327" t="str">
            <v>Onions, Chopped (Diced), Hanover (tote)</v>
          </cell>
        </row>
        <row r="328">
          <cell r="A328" t="str">
            <v>C417C</v>
          </cell>
          <cell r="C328" t="str">
            <v>Onions, Diced 1/4" (item #144)</v>
          </cell>
        </row>
        <row r="329">
          <cell r="A329" t="str">
            <v>C199C</v>
          </cell>
          <cell r="C329" t="str">
            <v>Onions, Diced, 3/8"  IQF #91595, Paris (40#)</v>
          </cell>
        </row>
        <row r="330">
          <cell r="A330" t="str">
            <v>C263T</v>
          </cell>
          <cell r="C330" t="str">
            <v>Onions, Diced, 3/8"  IQF #91602, Paris (tote)</v>
          </cell>
        </row>
        <row r="331">
          <cell r="A331" t="str">
            <v>C135T</v>
          </cell>
          <cell r="C331" t="str">
            <v>Onions, Diced, 3/8"  IQF (totes)</v>
          </cell>
        </row>
        <row r="332">
          <cell r="A332" t="str">
            <v>C134C</v>
          </cell>
          <cell r="C332" t="str">
            <v>Onions, Diced, 3/8" IQF, Monarch (6/2#)</v>
          </cell>
        </row>
        <row r="333">
          <cell r="A333" t="str">
            <v>C262C</v>
          </cell>
          <cell r="C333" t="str">
            <v>Onions, Diced, Grabitizer (9/2#)</v>
          </cell>
        </row>
        <row r="334">
          <cell r="A334" t="str">
            <v>C301</v>
          </cell>
          <cell r="C334" t="str">
            <v>Onions, Diced, Marquis (20#)</v>
          </cell>
        </row>
        <row r="335">
          <cell r="A335" t="str">
            <v>C187B</v>
          </cell>
          <cell r="C335" t="str">
            <v>Onions, French Fried, French's #22028 (25#)</v>
          </cell>
        </row>
        <row r="336">
          <cell r="A336" t="str">
            <v>C217C</v>
          </cell>
          <cell r="C336" t="str">
            <v>Onions, Green (40#)</v>
          </cell>
        </row>
        <row r="337">
          <cell r="A337" t="str">
            <v>C137T</v>
          </cell>
          <cell r="C337" t="str">
            <v>Onions, Green (totes)</v>
          </cell>
        </row>
        <row r="338">
          <cell r="A338" t="str">
            <v>C178C</v>
          </cell>
          <cell r="C338" t="str">
            <v>Onions, Green 1/4" Diced, IQF #16232 (35#)</v>
          </cell>
        </row>
        <row r="339">
          <cell r="A339" t="str">
            <v>C250C</v>
          </cell>
          <cell r="C339" t="str">
            <v>Onions, Green 1/4", IQF #104 (30#)</v>
          </cell>
        </row>
        <row r="340">
          <cell r="A340" t="str">
            <v>C136C</v>
          </cell>
          <cell r="C340" t="str">
            <v>Onions, Green Trimd Fresh, Cross Valy (4/2#)</v>
          </cell>
        </row>
        <row r="341">
          <cell r="A341" t="str">
            <v>C218T</v>
          </cell>
          <cell r="C341" t="str">
            <v>Onions, Pearl, IQF #92309 Paris (totes)</v>
          </cell>
        </row>
        <row r="342">
          <cell r="A342" t="str">
            <v>C251C</v>
          </cell>
          <cell r="C342" t="str">
            <v>Onions, Pearl, IQF Hanover (20#)</v>
          </cell>
        </row>
        <row r="343">
          <cell r="A343" t="str">
            <v>C244T</v>
          </cell>
          <cell r="C343" t="str">
            <v>Onions, Pearl, IQF Hanover (totes)</v>
          </cell>
        </row>
        <row r="344">
          <cell r="A344" t="str">
            <v>C138T</v>
          </cell>
          <cell r="C344" t="str">
            <v>Onions, Pearl, IQF Seabrook (totes)</v>
          </cell>
        </row>
        <row r="345">
          <cell r="A345" t="str">
            <v>C361C</v>
          </cell>
          <cell r="C345" t="str">
            <v>Onions, Red Jumbo (25#)</v>
          </cell>
        </row>
        <row r="346">
          <cell r="A346" t="str">
            <v>C324C</v>
          </cell>
          <cell r="C346" t="str">
            <v>Onions, Red, Diced 1/4", IQF #508 (40#)</v>
          </cell>
        </row>
        <row r="347">
          <cell r="A347" t="str">
            <v>C343N</v>
          </cell>
          <cell r="C347" t="str">
            <v>Onions, Red, Diced 1/4", IQF #508 (40#)</v>
          </cell>
        </row>
        <row r="348">
          <cell r="A348" t="str">
            <v>C432C</v>
          </cell>
          <cell r="C348" t="str">
            <v>Onions, Sliced 3/8" fresh (700 lbs/tote)</v>
          </cell>
        </row>
        <row r="349">
          <cell r="A349" t="str">
            <v>C139T</v>
          </cell>
          <cell r="C349" t="str">
            <v>Onions, Strips 3/8", IQF (totes)</v>
          </cell>
        </row>
        <row r="350">
          <cell r="A350" t="str">
            <v>C213C</v>
          </cell>
          <cell r="C350" t="str">
            <v>Onions, Strips, IQF, Paris (20#)41732</v>
          </cell>
        </row>
        <row r="351">
          <cell r="A351" t="str">
            <v>C404C</v>
          </cell>
          <cell r="C351" t="str">
            <v>Onions, White Fire roasted #688</v>
          </cell>
        </row>
        <row r="352">
          <cell r="A352" t="str">
            <v>C344C</v>
          </cell>
          <cell r="C352" t="str">
            <v>Onions, White, chopped IQF</v>
          </cell>
        </row>
        <row r="353">
          <cell r="A353" t="str">
            <v>C140C</v>
          </cell>
          <cell r="C353" t="str">
            <v>Onions, Yellow, Whole, Fresh (50#)</v>
          </cell>
        </row>
        <row r="354">
          <cell r="A354" t="str">
            <v>C398C</v>
          </cell>
          <cell r="C354" t="str">
            <v>Parsley, IQF, Chopped (38#)11830</v>
          </cell>
        </row>
        <row r="355">
          <cell r="A355" t="str">
            <v>C141N</v>
          </cell>
          <cell r="C355" t="str">
            <v>Peaches, Diced (6/#10)</v>
          </cell>
        </row>
        <row r="356">
          <cell r="A356" t="str">
            <v>C142N</v>
          </cell>
          <cell r="C356" t="str">
            <v>Peaches, Halves (6/#10)</v>
          </cell>
        </row>
        <row r="357">
          <cell r="A357" t="str">
            <v>C311C</v>
          </cell>
          <cell r="C357" t="str">
            <v>Peas Green sweet petite (20#)</v>
          </cell>
        </row>
        <row r="358">
          <cell r="A358" t="str">
            <v>C325T</v>
          </cell>
          <cell r="C358" t="str">
            <v>Peas, Blackeye (totes)</v>
          </cell>
        </row>
        <row r="359">
          <cell r="A359" t="str">
            <v>C143C</v>
          </cell>
          <cell r="C359" t="str">
            <v>Peas, Green, IQF (20#)#41644</v>
          </cell>
        </row>
        <row r="360">
          <cell r="A360" t="str">
            <v>C144T</v>
          </cell>
          <cell r="C360" t="str">
            <v>Peas, Green, IQF (totes)</v>
          </cell>
        </row>
        <row r="361">
          <cell r="A361" t="str">
            <v>C200T</v>
          </cell>
          <cell r="C361" t="str">
            <v>Peas, Green, IQF, Paris (totes)</v>
          </cell>
        </row>
        <row r="362">
          <cell r="A362" t="str">
            <v>C371C</v>
          </cell>
          <cell r="C362" t="str">
            <v>Peas, Green, Petite (12/2.5#)</v>
          </cell>
        </row>
        <row r="363">
          <cell r="A363" t="str">
            <v>C370C</v>
          </cell>
          <cell r="C363" t="str">
            <v>Peas, Green, Petite (NJ)</v>
          </cell>
        </row>
        <row r="364">
          <cell r="A364" t="str">
            <v>C252T</v>
          </cell>
          <cell r="C364" t="str">
            <v>Peas, Green, Sweet, IQF, Hanover (totes)</v>
          </cell>
        </row>
        <row r="365">
          <cell r="A365" t="str">
            <v>C168C</v>
          </cell>
          <cell r="C365" t="str">
            <v>Peas, Snow Fresh (10#)</v>
          </cell>
        </row>
        <row r="366">
          <cell r="A366" t="str">
            <v>C173C</v>
          </cell>
          <cell r="C366" t="str">
            <v>Peas, Snow, Fresh (20#)</v>
          </cell>
        </row>
        <row r="367">
          <cell r="A367" t="str">
            <v>C145T</v>
          </cell>
          <cell r="C367" t="str">
            <v>Peas, Sugar Snap, IQF (totes)</v>
          </cell>
        </row>
        <row r="368">
          <cell r="A368" t="str">
            <v>C362C</v>
          </cell>
          <cell r="C368" t="str">
            <v>Peas, Sugar Snap, IQF,# 51687(12/ 32 oz)</v>
          </cell>
        </row>
        <row r="369">
          <cell r="A369" t="str">
            <v>C425C</v>
          </cell>
          <cell r="C369" t="str">
            <v>Pepper, Green Chilli 1/4" (506)</v>
          </cell>
        </row>
        <row r="370">
          <cell r="A370" t="str">
            <v>C345c</v>
          </cell>
          <cell r="C370" t="str">
            <v>Pepper, Jalapenos 1/4" Fire Roasted</v>
          </cell>
        </row>
        <row r="371">
          <cell r="A371" t="str">
            <v>C304</v>
          </cell>
          <cell r="C371" t="str">
            <v>Pepper, Poblano</v>
          </cell>
        </row>
        <row r="372">
          <cell r="A372" t="str">
            <v>C405C</v>
          </cell>
          <cell r="C372" t="str">
            <v>Pepper, Poblano Fire Roasted 3/8", IQF (40#)</v>
          </cell>
        </row>
        <row r="373">
          <cell r="A373" t="str">
            <v>C347C</v>
          </cell>
          <cell r="C373" t="str">
            <v>Pepper, Poblano Roasted 1/4, IQF (45#)</v>
          </cell>
        </row>
        <row r="374">
          <cell r="A374" t="str">
            <v>C419C</v>
          </cell>
          <cell r="C374" t="str">
            <v>Pepper, Red Large Sliced</v>
          </cell>
        </row>
        <row r="375">
          <cell r="A375" t="str">
            <v>C346C</v>
          </cell>
          <cell r="C375" t="str">
            <v>Pepper, Red, Strips (R13) IQF</v>
          </cell>
        </row>
        <row r="376">
          <cell r="A376" t="str">
            <v>C401C</v>
          </cell>
          <cell r="C376" t="str">
            <v>Pepper, Red, Whole (11#)</v>
          </cell>
        </row>
        <row r="377">
          <cell r="A377" t="str">
            <v>C400C</v>
          </cell>
          <cell r="C377" t="str">
            <v>Pepper, Red, Whole, Medium, Packer Lab (5#)</v>
          </cell>
        </row>
        <row r="378">
          <cell r="A378" t="str">
            <v>C423C</v>
          </cell>
          <cell r="C378" t="str">
            <v>Pepper, Serrano 1/8" (a76.1)</v>
          </cell>
        </row>
        <row r="379">
          <cell r="A379" t="str">
            <v>C146C</v>
          </cell>
          <cell r="C379" t="str">
            <v>Peppers, Chiles, Green Dcd Pld Fire, El Pasado (12/26oz)</v>
          </cell>
        </row>
        <row r="380">
          <cell r="A380" t="str">
            <v>C264C</v>
          </cell>
          <cell r="C380" t="str">
            <v>Peppers, Chili Green Diced, Rosarita (12/27oz)</v>
          </cell>
        </row>
        <row r="381">
          <cell r="A381" t="str">
            <v>C179C</v>
          </cell>
          <cell r="C381" t="str">
            <v>Peppers, Green &amp; Red Blend, Dehydrated 3/8", #273 (25#)</v>
          </cell>
        </row>
        <row r="382">
          <cell r="A382" t="str">
            <v>C206C</v>
          </cell>
          <cell r="C382" t="str">
            <v>Peppers, Green &amp; Red Mix, Dehydrated 1/4", MB14</v>
          </cell>
        </row>
        <row r="383">
          <cell r="A383" t="str">
            <v>C207C</v>
          </cell>
          <cell r="C383" t="str">
            <v>Peppers, Green &amp; Red Mix, Dehydrated 3/8", MB38</v>
          </cell>
        </row>
        <row r="384">
          <cell r="A384" t="str">
            <v>C326C</v>
          </cell>
          <cell r="C384" t="str">
            <v>Peppers, Green , bell, #1 med</v>
          </cell>
        </row>
        <row r="385">
          <cell r="A385" t="str">
            <v>C381C</v>
          </cell>
          <cell r="C385" t="str">
            <v>Peppers, Green 1 1/9 Bushel (3805)</v>
          </cell>
        </row>
        <row r="386">
          <cell r="A386" t="str">
            <v>C166T</v>
          </cell>
          <cell r="C386" t="str">
            <v>Peppers, Green Cups #402380 (28#)</v>
          </cell>
        </row>
        <row r="387">
          <cell r="A387" t="str">
            <v>C165C</v>
          </cell>
          <cell r="C387" t="str">
            <v>Peppers, Green Cups 22001249 (28#)</v>
          </cell>
        </row>
        <row r="388">
          <cell r="A388" t="str">
            <v>C265C</v>
          </cell>
          <cell r="C388" t="str">
            <v>Peppers, Green, 3/8" Diced, IQF #41740 (20#)</v>
          </cell>
        </row>
        <row r="389">
          <cell r="A389" t="str">
            <v>C219C</v>
          </cell>
          <cell r="C389" t="str">
            <v>Peppers, Green, 3/8" Diced, IQF #93355 (40#)</v>
          </cell>
        </row>
        <row r="390">
          <cell r="A390" t="str">
            <v>C147T</v>
          </cell>
          <cell r="C390" t="str">
            <v>Peppers, Green, 3/8" Diced, IQF (totes)</v>
          </cell>
        </row>
        <row r="391">
          <cell r="A391" t="str">
            <v>C253T</v>
          </cell>
          <cell r="C391" t="str">
            <v>Peppers, Green, Diced, IQF, Hanover (totes)</v>
          </cell>
        </row>
        <row r="392">
          <cell r="A392" t="str">
            <v>C170C</v>
          </cell>
          <cell r="C392" t="str">
            <v>Peppers, Green, Diced, IQF, Monarch (12/2#)</v>
          </cell>
        </row>
        <row r="393">
          <cell r="A393" t="str">
            <v>C386C</v>
          </cell>
          <cell r="C393" t="str">
            <v>Peppers, Green, Medium, whole (1.11 bu)</v>
          </cell>
        </row>
        <row r="394">
          <cell r="A394" t="str">
            <v>C201C</v>
          </cell>
          <cell r="C394" t="str">
            <v>Peppers, Green, Strips, IQF #91721 (40#)</v>
          </cell>
        </row>
        <row r="395">
          <cell r="A395" t="str">
            <v>C148T</v>
          </cell>
          <cell r="C395" t="str">
            <v>Peppers, Green, Strips, IQF (totes)</v>
          </cell>
        </row>
        <row r="396">
          <cell r="A396" t="str">
            <v>C399C</v>
          </cell>
          <cell r="C396" t="str">
            <v>Peppers, Green, Whole 22-24#</v>
          </cell>
        </row>
        <row r="397">
          <cell r="A397" t="str">
            <v>C229C</v>
          </cell>
          <cell r="C397" t="str">
            <v>Peppers, Jalapenos, 1/4" Diced, IQF #153 (40#)</v>
          </cell>
        </row>
        <row r="398">
          <cell r="A398" t="str">
            <v>C182C</v>
          </cell>
          <cell r="C398" t="str">
            <v>Peppers, Jalapenos, 1/4" Diced, IQF #163792 (45#)</v>
          </cell>
        </row>
        <row r="399">
          <cell r="A399" t="str">
            <v>C205C</v>
          </cell>
          <cell r="C399" t="str">
            <v>Peppers, Jalapenos, 1/8" Diced, IQF (45#)</v>
          </cell>
        </row>
        <row r="400">
          <cell r="A400" t="str">
            <v>C415C</v>
          </cell>
          <cell r="C400" t="str">
            <v>Peppers, Jalapenos, Diced (#10)</v>
          </cell>
        </row>
        <row r="401">
          <cell r="A401" t="str">
            <v>C428C</v>
          </cell>
          <cell r="C401" t="str">
            <v>Peppers, Jalapenos, Sliced (#10)</v>
          </cell>
        </row>
        <row r="402">
          <cell r="A402" t="str">
            <v>C408C</v>
          </cell>
          <cell r="C402" t="str">
            <v>Peppers, Red Strips 3/8"x3/8"x1, Fire Roasted F35</v>
          </cell>
        </row>
        <row r="403">
          <cell r="A403" t="str">
            <v>C266C</v>
          </cell>
          <cell r="C403" t="str">
            <v>Peppers, Red, 3/8" Diced, IQF, Paris (20#)</v>
          </cell>
        </row>
        <row r="404">
          <cell r="A404" t="str">
            <v>C214C</v>
          </cell>
          <cell r="C404" t="str">
            <v>Peppers, Red, 3/8" Diced, IQF, Paris (50#)</v>
          </cell>
        </row>
        <row r="405">
          <cell r="A405" t="str">
            <v>C149T</v>
          </cell>
          <cell r="C405" t="str">
            <v>Peppers, Red, 3/8" Diced, IQF, Seabrook (totes)</v>
          </cell>
        </row>
        <row r="406">
          <cell r="A406" t="str">
            <v>C303T</v>
          </cell>
          <cell r="C406" t="str">
            <v>Peppers, Red, 3/8" Diced, IQF, Seabrook (totes)</v>
          </cell>
        </row>
        <row r="407">
          <cell r="A407" t="str">
            <v>C220C</v>
          </cell>
          <cell r="C407" t="str">
            <v>Peppers, Red, Strips, IQF (40#)</v>
          </cell>
        </row>
        <row r="408">
          <cell r="A408" t="str">
            <v>C150T</v>
          </cell>
          <cell r="C408" t="str">
            <v>Peppers, Red, Strips, IQF (totes)</v>
          </cell>
        </row>
        <row r="409">
          <cell r="A409" t="str">
            <v>C305</v>
          </cell>
          <cell r="C409" t="str">
            <v xml:space="preserve">Peppers, Yellow, Diced </v>
          </cell>
        </row>
        <row r="410">
          <cell r="A410" t="str">
            <v>C439C</v>
          </cell>
          <cell r="C410" t="str">
            <v>Pineapple chuncks (10 kg/cs)</v>
          </cell>
        </row>
        <row r="411">
          <cell r="A411" t="str">
            <v>C151N</v>
          </cell>
          <cell r="C411" t="str">
            <v>Pineapple Tidbits (6/#10)</v>
          </cell>
        </row>
        <row r="412">
          <cell r="A412" t="str">
            <v>C363N</v>
          </cell>
          <cell r="C412" t="str">
            <v>Pineapple Tidbits (6/#10)</v>
          </cell>
        </row>
        <row r="413">
          <cell r="A413" t="str">
            <v>C402N</v>
          </cell>
          <cell r="C413" t="str">
            <v>Pineapple Tidbits, magellan (6/#10)</v>
          </cell>
        </row>
        <row r="414">
          <cell r="A414" t="str">
            <v>C372B</v>
          </cell>
          <cell r="C414" t="str">
            <v>Potato, Boat (skin) (1/200cn, 17#)simplo</v>
          </cell>
        </row>
        <row r="415">
          <cell r="A415" t="str">
            <v>C420C</v>
          </cell>
          <cell r="C415" t="str">
            <v>Potato, Puree</v>
          </cell>
        </row>
        <row r="416">
          <cell r="A416" t="str">
            <v>C274C</v>
          </cell>
          <cell r="C416" t="str">
            <v>Potato, Shell, Scooped (26#)</v>
          </cell>
        </row>
        <row r="417">
          <cell r="A417" t="str">
            <v>C406C</v>
          </cell>
          <cell r="C417" t="str">
            <v>Potato, Sliced, Old Fashioned way 3/8" sli 6/4.5#</v>
          </cell>
        </row>
        <row r="418">
          <cell r="A418" t="str">
            <v>C436T</v>
          </cell>
          <cell r="C418" t="str">
            <v>Potatoes, Chunks, Roasted Red 1" (1,400 lbs/tote)</v>
          </cell>
        </row>
        <row r="419">
          <cell r="A419" t="str">
            <v>C202C</v>
          </cell>
          <cell r="C419" t="str">
            <v>Potatoes, Diced, 1/2", IQF #00142, Paris (6/5#)</v>
          </cell>
        </row>
        <row r="420">
          <cell r="A420" t="str">
            <v>C267C</v>
          </cell>
          <cell r="C420" t="str">
            <v>Potatoes, Diced, 5/8" Raw, IQF (6/6#)</v>
          </cell>
        </row>
        <row r="421">
          <cell r="A421" t="str">
            <v>C152T</v>
          </cell>
          <cell r="C421" t="str">
            <v>Potatoes, Diced, IQF (totes)</v>
          </cell>
        </row>
        <row r="422">
          <cell r="A422" t="str">
            <v>C284C</v>
          </cell>
          <cell r="C422" t="str">
            <v>Potatoes, Diced, IQF, Northern (2/10#)</v>
          </cell>
        </row>
        <row r="423">
          <cell r="A423" t="str">
            <v>C431C</v>
          </cell>
          <cell r="C423" t="str">
            <v>Potatoes, Fingerling, Red (50#/cs)</v>
          </cell>
        </row>
        <row r="424">
          <cell r="A424" t="str">
            <v>C154C</v>
          </cell>
          <cell r="C424" t="str">
            <v>Potatoes, Flakes, HSF (20kgs or 44#)</v>
          </cell>
        </row>
        <row r="425">
          <cell r="A425" t="str">
            <v>C155C</v>
          </cell>
          <cell r="C425" t="str">
            <v>Potatoes, Granules, #3347  (55.115#)</v>
          </cell>
        </row>
        <row r="426">
          <cell r="A426" t="str">
            <v>C275C</v>
          </cell>
          <cell r="C426" t="str">
            <v>Potatoes, Hashbrowns, Shred, Dehy , Golden Grill 6/2.5#)</v>
          </cell>
        </row>
        <row r="427">
          <cell r="A427" t="str">
            <v>C156C</v>
          </cell>
          <cell r="C427" t="str">
            <v>Potatoes, Hashbrowns, Shredded, IQF (18#)</v>
          </cell>
        </row>
        <row r="428">
          <cell r="A428" t="str">
            <v>C268C</v>
          </cell>
          <cell r="C428" t="str">
            <v>Potatoes, Mashed (6/#10)</v>
          </cell>
        </row>
        <row r="429">
          <cell r="A429" t="str">
            <v>C153C</v>
          </cell>
          <cell r="C429" t="str">
            <v>Potatoes, Mshd Grnul Dhy, Monarch (6/5.44#) (32.64#)</v>
          </cell>
        </row>
        <row r="430">
          <cell r="A430" t="str">
            <v>C387C</v>
          </cell>
          <cell r="C430" t="str">
            <v>Potatoes, Pearls excel, Basic,mashed (12/28oz)</v>
          </cell>
        </row>
        <row r="431">
          <cell r="A431" t="str">
            <v>C203C</v>
          </cell>
          <cell r="C431" t="str">
            <v>Potatoes, Ruset Id 60 ct 11-14 (50#)</v>
          </cell>
        </row>
        <row r="432">
          <cell r="A432" t="str">
            <v>C190C</v>
          </cell>
          <cell r="C432" t="str">
            <v>Potatoes, Slcd Dhy DRY Add Water, Monarch (4/5#)</v>
          </cell>
        </row>
        <row r="433">
          <cell r="A433" t="str">
            <v>C222C</v>
          </cell>
          <cell r="C433" t="str">
            <v>Potatoes, Sliced Dehydrofrozen 3/16", S316 (40#)</v>
          </cell>
        </row>
        <row r="434">
          <cell r="A434" t="str">
            <v>C441C</v>
          </cell>
          <cell r="C434" t="str">
            <v>Potatoes, sweet diced 3/8" x 3/8"x 3/8"</v>
          </cell>
        </row>
        <row r="435">
          <cell r="A435" t="str">
            <v>C312T</v>
          </cell>
          <cell r="C435" t="str">
            <v>Potatoes, Sweet diced IQF 5/8" x 7/8" (6/5#)</v>
          </cell>
        </row>
        <row r="436">
          <cell r="A436" t="str">
            <v>C157T</v>
          </cell>
          <cell r="C436" t="str">
            <v>Potatoes, Sweet, Diced (1/2"x1/2"), IQF (1/50#)</v>
          </cell>
        </row>
        <row r="437">
          <cell r="A437" t="str">
            <v>C388T</v>
          </cell>
          <cell r="C437" t="str">
            <v>Potatoes, Sweet, Diced (3/4") Arbre Farm,(4500# Tote)</v>
          </cell>
        </row>
        <row r="438">
          <cell r="A438" t="str">
            <v>C168N</v>
          </cell>
          <cell r="C438" t="str">
            <v>Potatoes, Sweet, Mashed (6/#10)</v>
          </cell>
        </row>
        <row r="439">
          <cell r="A439" t="str">
            <v>C192P</v>
          </cell>
          <cell r="C439" t="str">
            <v>Potatoes, Sweet, Puree (30# Pail)</v>
          </cell>
        </row>
        <row r="440">
          <cell r="A440" t="str">
            <v>C223P</v>
          </cell>
          <cell r="C440" t="str">
            <v>Potatoes, Sweet, Puree (40# Pail)</v>
          </cell>
        </row>
        <row r="441">
          <cell r="A441" t="str">
            <v>C246T</v>
          </cell>
          <cell r="C441" t="str">
            <v>Potatoes, Sweet, Puree, High Starch #B23S (2300# tote)</v>
          </cell>
        </row>
        <row r="442">
          <cell r="A442" t="str">
            <v>C269T</v>
          </cell>
          <cell r="C442" t="str">
            <v>Potatoes, Sweet, Puree, High Starch #T23S (2300# tote)</v>
          </cell>
        </row>
        <row r="443">
          <cell r="A443" t="str">
            <v>C260C</v>
          </cell>
          <cell r="C443" t="str">
            <v>Potatoes, Wedge FF, Frn Ntrl (6/5#)</v>
          </cell>
        </row>
        <row r="444">
          <cell r="A444" t="str">
            <v>C159T</v>
          </cell>
          <cell r="C444" t="str">
            <v>Potatoes, Wedge, Red Skin, 1", 6 Cut, IQF (totes)</v>
          </cell>
        </row>
        <row r="445">
          <cell r="A445" t="str">
            <v>C158C</v>
          </cell>
          <cell r="C445" t="str">
            <v>Potatoes, Wedge, Red Skin, IQF (50#)</v>
          </cell>
        </row>
        <row r="446">
          <cell r="A446" t="str">
            <v>C285C</v>
          </cell>
          <cell r="C446" t="str">
            <v>Potatoes, Wedge, Red Skin, IQF (6/5#)</v>
          </cell>
        </row>
        <row r="447">
          <cell r="A447" t="str">
            <v>C430c</v>
          </cell>
          <cell r="C447" t="str">
            <v>Potatoes, Yellow Marble (20-50</v>
          </cell>
        </row>
        <row r="448">
          <cell r="A448" t="str">
            <v>C306B</v>
          </cell>
          <cell r="C448" t="str">
            <v>Potatoes, Yukon Gold (50#)</v>
          </cell>
        </row>
        <row r="449">
          <cell r="A449" t="str">
            <v>C307B</v>
          </cell>
          <cell r="C449" t="str">
            <v>Potatoes, Yukon Gold Chef (50#)</v>
          </cell>
        </row>
        <row r="450">
          <cell r="A450" t="str">
            <v>C334C</v>
          </cell>
          <cell r="C450" t="str">
            <v>Pototoes, 1/2x1/2x1/2 Gold Skon, IQF</v>
          </cell>
        </row>
        <row r="451">
          <cell r="A451" t="str">
            <v>C245C</v>
          </cell>
          <cell r="C451" t="str">
            <v>Raspberries, Red Whole &amp; Brk, IQF (30#)</v>
          </cell>
        </row>
        <row r="452">
          <cell r="A452" t="str">
            <v>C270C</v>
          </cell>
          <cell r="C452" t="str">
            <v>Raspberries, Red Whole, IQF (2/5#)</v>
          </cell>
        </row>
        <row r="453">
          <cell r="A453" t="str">
            <v>C403C</v>
          </cell>
          <cell r="C453" t="str">
            <v>Raspberries, Red, Whole (30#)</v>
          </cell>
        </row>
        <row r="454">
          <cell r="A454" t="str">
            <v>C237C</v>
          </cell>
          <cell r="C454" t="str">
            <v>Shallots, 1/8" IQF #130 (50#)</v>
          </cell>
        </row>
        <row r="455">
          <cell r="A455" t="str">
            <v>C348B</v>
          </cell>
          <cell r="C455" t="str">
            <v>Shallots, Peeled Fresh, Packer (4/5#)</v>
          </cell>
        </row>
        <row r="456">
          <cell r="A456" t="str">
            <v>C193C</v>
          </cell>
          <cell r="C456" t="str">
            <v>Shallots, Pld Fresh, Cross Valy (4/5#)</v>
          </cell>
        </row>
        <row r="457">
          <cell r="A457" t="str">
            <v>C373C</v>
          </cell>
          <cell r="C457" t="str">
            <v>Spinach, Chopped , IQF 3/8" (35#) 42126</v>
          </cell>
        </row>
        <row r="458">
          <cell r="A458" t="str">
            <v>C235C</v>
          </cell>
          <cell r="C458" t="str">
            <v>Spinach, Chopped Blanched, IQF #193 (40#)</v>
          </cell>
        </row>
        <row r="459">
          <cell r="A459" t="str">
            <v>C382C</v>
          </cell>
          <cell r="C459" t="str">
            <v>Spinach, Chopped, IQF (20#)</v>
          </cell>
        </row>
        <row r="460">
          <cell r="A460" t="str">
            <v>C364B</v>
          </cell>
          <cell r="C460" t="str">
            <v>Spinach, Fresh Leaves (4/2.5#)</v>
          </cell>
        </row>
        <row r="461">
          <cell r="A461" t="str">
            <v>C313C</v>
          </cell>
          <cell r="C461" t="str">
            <v>Squash Butternut 3/4" Diced (20#)</v>
          </cell>
        </row>
        <row r="462">
          <cell r="A462" t="str">
            <v>C350C</v>
          </cell>
          <cell r="C462" t="str">
            <v>Squash, Butternut, 3/8 Diced,(20#) 41848</v>
          </cell>
        </row>
        <row r="463">
          <cell r="A463" t="str">
            <v>C349B</v>
          </cell>
          <cell r="C463" t="str">
            <v>Squash, Butternut, Diced (4/5#)</v>
          </cell>
        </row>
        <row r="464">
          <cell r="A464" t="str">
            <v>C422C</v>
          </cell>
          <cell r="C464" t="str">
            <v>Squash, Yellow, Half Moon, 1/4"</v>
          </cell>
        </row>
        <row r="465">
          <cell r="A465" t="str">
            <v>C160T</v>
          </cell>
          <cell r="C465" t="str">
            <v>Squash, Yellow, IQF (totes)</v>
          </cell>
        </row>
        <row r="466">
          <cell r="A466" t="str">
            <v>C407C</v>
          </cell>
          <cell r="C466" t="str">
            <v>Tamarind, Pulp (20 kg)</v>
          </cell>
        </row>
        <row r="467">
          <cell r="A467" t="str">
            <v>C435C</v>
          </cell>
          <cell r="C467" t="str">
            <v>Tofu (6 lb/block, 6 pk)</v>
          </cell>
        </row>
        <row r="468">
          <cell r="A468" t="str">
            <v>C437C</v>
          </cell>
          <cell r="C468" t="str">
            <v>Tofu, silken (16 lbs/gal)(50cs/pallet) 10072</v>
          </cell>
        </row>
        <row r="469">
          <cell r="A469" t="str">
            <v>C183D</v>
          </cell>
          <cell r="C469" t="str">
            <v>Tomatillos, Crushed Green</v>
          </cell>
        </row>
        <row r="470">
          <cell r="A470" t="str">
            <v>C351</v>
          </cell>
          <cell r="C470" t="str">
            <v>Tomatillos, roasted</v>
          </cell>
        </row>
        <row r="471">
          <cell r="A471" t="str">
            <v>C180N</v>
          </cell>
          <cell r="C471" t="str">
            <v>Tomatillos, Whl Grn Cnd (6/#10)</v>
          </cell>
        </row>
        <row r="472">
          <cell r="A472" t="str">
            <v>C286N</v>
          </cell>
          <cell r="C472" t="str">
            <v>Tomatillos, Whole, Del Sol (6/#10)</v>
          </cell>
        </row>
        <row r="473">
          <cell r="A473" t="str">
            <v>C208C</v>
          </cell>
          <cell r="C473" t="str">
            <v>Tomato Flakes, Dehydrated 3/8" TO38</v>
          </cell>
        </row>
        <row r="474">
          <cell r="A474" t="str">
            <v>C181C</v>
          </cell>
          <cell r="C474" t="str">
            <v>Tomato Flakes, Dehydrated 3/8", #43 (25#)</v>
          </cell>
        </row>
        <row r="475">
          <cell r="A475" t="str">
            <v>C374B</v>
          </cell>
          <cell r="C475" t="str">
            <v>Tomato Sun Dried, Julienne, Duet (1/5#)</v>
          </cell>
        </row>
        <row r="476">
          <cell r="A476" t="str">
            <v>C375B</v>
          </cell>
          <cell r="C476" t="str">
            <v>Tomato Sun Dried, Julienne, L'Espr (1/5#)</v>
          </cell>
        </row>
        <row r="477">
          <cell r="A477" t="str">
            <v>C384C</v>
          </cell>
          <cell r="C477" t="str">
            <v>Tomato, Crushed</v>
          </cell>
        </row>
        <row r="478">
          <cell r="A478" t="str">
            <v>C383N</v>
          </cell>
          <cell r="C478" t="str">
            <v>Tomato, Crushed, Concent., Roma (6/#10)</v>
          </cell>
        </row>
        <row r="479">
          <cell r="A479" t="str">
            <v>C414C</v>
          </cell>
          <cell r="C479" t="str">
            <v>Tomato, Diced, IQF (45#)</v>
          </cell>
        </row>
        <row r="480">
          <cell r="A480" t="str">
            <v>C353B</v>
          </cell>
          <cell r="C480" t="str">
            <v>Tomato, Sundried, Julienne, L'Espr. (5#)</v>
          </cell>
        </row>
        <row r="481">
          <cell r="A481" t="str">
            <v>C161N</v>
          </cell>
          <cell r="C481" t="str">
            <v>Tomatoes, Crushed (6/#10)</v>
          </cell>
        </row>
        <row r="482">
          <cell r="A482" t="str">
            <v>C426C</v>
          </cell>
          <cell r="C482" t="str">
            <v>Tomatoes, Crushed Concentrated (530 lbs/drum)F156H26</v>
          </cell>
        </row>
        <row r="483">
          <cell r="A483" t="str">
            <v>C224D</v>
          </cell>
          <cell r="C483" t="str">
            <v>Tomatoes, Diced (476# drum)</v>
          </cell>
        </row>
        <row r="484">
          <cell r="A484" t="str">
            <v>C225D</v>
          </cell>
          <cell r="C484" t="str">
            <v>Tomatoes, Diced (476# drum)</v>
          </cell>
        </row>
        <row r="485">
          <cell r="A485" t="str">
            <v>C162N</v>
          </cell>
          <cell r="C485" t="str">
            <v>Tomatoes, Diced 3/4" in Juice, Harvest (6/#10)</v>
          </cell>
        </row>
        <row r="486">
          <cell r="A486" t="str">
            <v>C163D</v>
          </cell>
          <cell r="C486" t="str">
            <v>Tomatoes, Diced, 1/2" (476# drum)</v>
          </cell>
        </row>
        <row r="487">
          <cell r="A487" t="str">
            <v>C271C</v>
          </cell>
          <cell r="C487" t="str">
            <v>Tomatoes, Diced, West Creek (6/#10)</v>
          </cell>
        </row>
        <row r="488">
          <cell r="A488" t="str">
            <v>C272C</v>
          </cell>
          <cell r="C488" t="str">
            <v>Tomatoes, Filet Peeled, Stanislaus (6/#10)</v>
          </cell>
        </row>
        <row r="489">
          <cell r="A489" t="str">
            <v>C167N</v>
          </cell>
          <cell r="C489" t="str">
            <v>Tomatoes, Strip 74/40 Fil in Juice (6/#10)</v>
          </cell>
        </row>
        <row r="490">
          <cell r="A490" t="str">
            <v>C287N</v>
          </cell>
          <cell r="C490" t="str">
            <v>Tomatoes, Strip 74/40 Filet Peeled (6/#10)</v>
          </cell>
        </row>
        <row r="491">
          <cell r="A491" t="str">
            <v>C352N</v>
          </cell>
          <cell r="C491" t="str">
            <v>Tomatoes, Strip 74/40 Filet Peeled, Sanis (6/#10)</v>
          </cell>
        </row>
        <row r="492">
          <cell r="A492" t="str">
            <v>C320N</v>
          </cell>
          <cell r="C492" t="str">
            <v>Tomatoes, Strips w/basil, cristoforo (6/#10)</v>
          </cell>
        </row>
        <row r="493">
          <cell r="A493" t="str">
            <v>C169C</v>
          </cell>
          <cell r="C493" t="str">
            <v>Tomatoes, Sun Dried, Juliene Strip (5#)</v>
          </cell>
        </row>
        <row r="494">
          <cell r="A494" t="str">
            <v>C288C</v>
          </cell>
          <cell r="C494" t="str">
            <v>Tomatoes, Sun Dried, Juliene Strip (5#)</v>
          </cell>
        </row>
        <row r="495">
          <cell r="A495" t="str">
            <v>C389B</v>
          </cell>
          <cell r="C495" t="str">
            <v>Tomatoes, Sun Dried, Juliene Strip L'espr(5#)</v>
          </cell>
        </row>
        <row r="496">
          <cell r="A496" t="str">
            <v>C289N</v>
          </cell>
          <cell r="C496" t="str">
            <v>Tomatoes, Whole Peeled (6/#10)</v>
          </cell>
        </row>
        <row r="497">
          <cell r="A497" t="str">
            <v>C410B</v>
          </cell>
          <cell r="C497" t="str">
            <v>Toor Dal</v>
          </cell>
        </row>
        <row r="498">
          <cell r="A498" t="str">
            <v>C434C</v>
          </cell>
          <cell r="C498" t="str">
            <v>Turnip,  Yellow diced (3/4x3/4x5/8), IQF</v>
          </cell>
        </row>
        <row r="499">
          <cell r="A499" t="str">
            <v>C273T</v>
          </cell>
          <cell r="C499" t="str">
            <v>Turnips (totes)</v>
          </cell>
        </row>
        <row r="500">
          <cell r="A500" t="str">
            <v>C314C</v>
          </cell>
          <cell r="C500" t="str">
            <v>Zucchini 1/2" diced, Fire Roasted #F18</v>
          </cell>
        </row>
        <row r="501">
          <cell r="A501" t="str">
            <v>C354C</v>
          </cell>
          <cell r="C501" t="str">
            <v>Zucchini, 3/8 sliced, green (20#)</v>
          </cell>
        </row>
        <row r="502">
          <cell r="A502" t="str">
            <v>C376C</v>
          </cell>
          <cell r="C502" t="str">
            <v>Zucchini, 3/8" diced, Yellow (20#) #41919</v>
          </cell>
        </row>
        <row r="503">
          <cell r="A503" t="str">
            <v>C164T</v>
          </cell>
          <cell r="C503" t="str">
            <v>Zucchini, diced, 3/8" IQF (totes)</v>
          </cell>
        </row>
        <row r="504">
          <cell r="A504" t="str">
            <v>C421C</v>
          </cell>
          <cell r="C504" t="str">
            <v>Zucchini, Half Moon, 1/4"</v>
          </cell>
        </row>
        <row r="505">
          <cell r="A505" t="str">
            <v>C355C</v>
          </cell>
          <cell r="C505" t="str">
            <v>Zucchini, Squash med</v>
          </cell>
        </row>
        <row r="506">
          <cell r="A506" t="str">
            <v>C390C</v>
          </cell>
          <cell r="C506" t="str">
            <v>Zucchini, Squash random</v>
          </cell>
        </row>
        <row r="507">
          <cell r="A507"/>
          <cell r="C507"/>
        </row>
        <row r="508">
          <cell r="A508" t="str">
            <v>E111C</v>
          </cell>
          <cell r="C508" t="str">
            <v>Garlic, Chopped in Water, Roseli (6/32oz)</v>
          </cell>
        </row>
        <row r="509">
          <cell r="A509" t="str">
            <v>LEMON</v>
          </cell>
          <cell r="C509" t="str">
            <v>Potatoes, EMFlakes, Dehy #3869 AKey (20kgs or 44.092#)</v>
          </cell>
        </row>
        <row r="510">
          <cell r="A510" t="str">
            <v>Pepper, red rstd.</v>
          </cell>
          <cell r="C510" t="str">
            <v>Pepper, Red Fire Roasted #677</v>
          </cell>
        </row>
        <row r="511">
          <cell r="A511" t="str">
            <v>OC100C</v>
          </cell>
          <cell r="C511" t="str">
            <v>Zuchini, Diced 3/8", Organic</v>
          </cell>
        </row>
        <row r="512">
          <cell r="A512" t="str">
            <v>OC101C</v>
          </cell>
          <cell r="C512" t="str">
            <v>Squash, Yellow, IQF 3/8</v>
          </cell>
        </row>
        <row r="513">
          <cell r="A513" t="str">
            <v>OC103C</v>
          </cell>
          <cell r="C513" t="str">
            <v>Spinach, IQF chopped (194)</v>
          </cell>
        </row>
        <row r="514">
          <cell r="A514" t="str">
            <v>OC104C</v>
          </cell>
          <cell r="C514" t="str">
            <v>Pepper, Red diced 3/8, IQF</v>
          </cell>
        </row>
        <row r="515">
          <cell r="A515" t="str">
            <v>OC105C</v>
          </cell>
          <cell r="C515" t="str">
            <v>Carrots, Diced 3/8, IQF</v>
          </cell>
        </row>
        <row r="516">
          <cell r="A516" t="str">
            <v>OC106C</v>
          </cell>
          <cell r="C516" t="str">
            <v>Onions, Diced 3/8, IQF F47.1 (organic)</v>
          </cell>
        </row>
        <row r="517">
          <cell r="A517" t="str">
            <v>OC107C</v>
          </cell>
          <cell r="C517" t="str">
            <v>Garlic, Chopped, E44 (organic)</v>
          </cell>
        </row>
        <row r="518">
          <cell r="A518" t="str">
            <v>OC108C</v>
          </cell>
          <cell r="C518" t="str">
            <v>Cilantro, IQF (organic)</v>
          </cell>
        </row>
        <row r="519">
          <cell r="A519" t="str">
            <v>OC109C</v>
          </cell>
          <cell r="C519" t="str">
            <v>Mushrooms, crimini 3/8 x1/2x1</v>
          </cell>
        </row>
        <row r="520">
          <cell r="A520" t="str">
            <v>OC110D</v>
          </cell>
          <cell r="C520" t="str">
            <v>Tomato, Crush (Organic low/mid)</v>
          </cell>
        </row>
        <row r="521">
          <cell r="A521" t="str">
            <v>OC111D</v>
          </cell>
          <cell r="C521" t="str">
            <v>Tomato, Diced 1/2" (organic)</v>
          </cell>
        </row>
        <row r="522">
          <cell r="A522"/>
          <cell r="C522"/>
        </row>
        <row r="523">
          <cell r="A523"/>
          <cell r="C523"/>
        </row>
        <row r="524">
          <cell r="A524" t="str">
            <v>D295C</v>
          </cell>
          <cell r="C524" t="str">
            <v>Almond butter, Ground, Smooth</v>
          </cell>
        </row>
        <row r="525">
          <cell r="A525" t="str">
            <v>D369B</v>
          </cell>
          <cell r="C525" t="str">
            <v>Annato powder 3500657</v>
          </cell>
        </row>
        <row r="526">
          <cell r="A526" t="str">
            <v>D365P</v>
          </cell>
          <cell r="C526" t="str">
            <v>Annato, oleoresin NR4209 (5 kg)</v>
          </cell>
        </row>
        <row r="527">
          <cell r="A527" t="str">
            <v>D156A</v>
          </cell>
          <cell r="C527" t="str">
            <v>Annatto Oleoresin</v>
          </cell>
        </row>
        <row r="528">
          <cell r="A528" t="str">
            <v>D218C</v>
          </cell>
          <cell r="C528" t="str">
            <v>Annatto Turmeric Emulsion AT-130-W (4/1 gal)</v>
          </cell>
        </row>
        <row r="529">
          <cell r="A529" t="str">
            <v>D369C</v>
          </cell>
          <cell r="C529" t="str">
            <v>Aquaresin annato #1150922 (33 lbs)</v>
          </cell>
        </row>
        <row r="530">
          <cell r="A530" t="str">
            <v>D214P</v>
          </cell>
          <cell r="C530" t="str">
            <v>Aquaresin Catsup Spice, 22-06-003, Kalsec (15#)</v>
          </cell>
        </row>
        <row r="531">
          <cell r="A531" t="str">
            <v>D205P</v>
          </cell>
          <cell r="C531" t="str">
            <v>Aquaresin of Rosemary</v>
          </cell>
        </row>
        <row r="532">
          <cell r="A532" t="str">
            <v>D100C</v>
          </cell>
          <cell r="C532" t="str">
            <v>Base, Alfredo Cheese (50#)</v>
          </cell>
        </row>
        <row r="533">
          <cell r="A533" t="str">
            <v>D343P</v>
          </cell>
          <cell r="C533" t="str">
            <v>Base, Bechamel Cream eatem #17-891</v>
          </cell>
        </row>
        <row r="534">
          <cell r="A534" t="str">
            <v>D269C</v>
          </cell>
          <cell r="C534" t="str">
            <v>Base, Beef 70-871</v>
          </cell>
        </row>
        <row r="535">
          <cell r="A535" t="str">
            <v>D259C</v>
          </cell>
          <cell r="C535" t="str">
            <v>Base, Beef, Budget Chef's Own  (40#)</v>
          </cell>
        </row>
        <row r="536">
          <cell r="A536" t="str">
            <v>D102C</v>
          </cell>
          <cell r="C536" t="str">
            <v>Base, Beef, Harvest (25#)</v>
          </cell>
        </row>
        <row r="537">
          <cell r="A537" t="str">
            <v>D101P</v>
          </cell>
          <cell r="C537" t="str">
            <v>Base, Beef, Reduced Sodium Eatem #13-200 (50#)</v>
          </cell>
        </row>
        <row r="538">
          <cell r="A538" t="str">
            <v>D361P</v>
          </cell>
          <cell r="C538" t="str">
            <v>Base, Chicken 20-100G (50#)</v>
          </cell>
        </row>
        <row r="539">
          <cell r="A539" t="str">
            <v>D261P</v>
          </cell>
          <cell r="C539" t="str">
            <v>Base, chicken Budget, Chef's Own (40#)</v>
          </cell>
        </row>
        <row r="540">
          <cell r="A540" t="str">
            <v>D344P</v>
          </cell>
          <cell r="C540" t="str">
            <v>Base, Chicken concentrate (30370p3)</v>
          </cell>
        </row>
        <row r="541">
          <cell r="A541" t="str">
            <v>D260P</v>
          </cell>
          <cell r="C541" t="str">
            <v>Base, Chicken Eatem #90-187 (50#)</v>
          </cell>
        </row>
        <row r="542">
          <cell r="A542" t="str">
            <v>D354P</v>
          </cell>
          <cell r="C542" t="str">
            <v>Base, Chicken TBD171109c (50#)</v>
          </cell>
        </row>
        <row r="543">
          <cell r="A543" t="str">
            <v>D208P</v>
          </cell>
          <cell r="C543" t="str">
            <v>Base, Chicken, Eatem #13-100</v>
          </cell>
        </row>
        <row r="544">
          <cell r="A544" t="str">
            <v>D104C</v>
          </cell>
          <cell r="C544" t="str">
            <v>Base, Chicken, Harvest (25#)</v>
          </cell>
        </row>
        <row r="545">
          <cell r="A545" t="str">
            <v>D344A</v>
          </cell>
          <cell r="C545" t="str">
            <v>Base, Chicken, Savory Creation (30090P3 35#)</v>
          </cell>
        </row>
        <row r="546">
          <cell r="A546" t="str">
            <v>D240P</v>
          </cell>
          <cell r="C546" t="str">
            <v>Base, Garlic, Roasted, Eatem #13-404 (50#)</v>
          </cell>
        </row>
        <row r="547">
          <cell r="A547" t="str">
            <v>D105C</v>
          </cell>
          <cell r="C547" t="str">
            <v>Base, Ham (6/1#)</v>
          </cell>
        </row>
        <row r="548">
          <cell r="A548" t="str">
            <v>D296P</v>
          </cell>
          <cell r="C548" t="str">
            <v>Base, Losbster Low sodium #15-804 (50#)</v>
          </cell>
        </row>
        <row r="549">
          <cell r="A549" t="str">
            <v>D342P</v>
          </cell>
          <cell r="C549" t="str">
            <v>Base, Mushroom Eatem #13-401</v>
          </cell>
        </row>
        <row r="550">
          <cell r="A550" t="str">
            <v>D223C</v>
          </cell>
          <cell r="C550" t="str">
            <v>Base, Mushroom Paste No MSG Shlf (6/1#)</v>
          </cell>
        </row>
        <row r="551">
          <cell r="A551" t="str">
            <v>D232P</v>
          </cell>
          <cell r="C551" t="str">
            <v>Base, Pork, Low Sodium, Eatem #15-808 (50#)</v>
          </cell>
        </row>
        <row r="552">
          <cell r="A552" t="str">
            <v>D241P</v>
          </cell>
          <cell r="C552" t="str">
            <v>Base, Red Bell Pepper, Roasted, Eatem #13-408 (50#)</v>
          </cell>
        </row>
        <row r="553">
          <cell r="A553" t="str">
            <v>D299P</v>
          </cell>
          <cell r="C553" t="str">
            <v>Base, Roasted, Mirepoix, Concen #13-938 (50#)</v>
          </cell>
        </row>
        <row r="554">
          <cell r="A554" t="str">
            <v>D338P</v>
          </cell>
          <cell r="C554" t="str">
            <v>Base, Shrimp #14-306</v>
          </cell>
        </row>
        <row r="555">
          <cell r="A555" t="str">
            <v>D339P</v>
          </cell>
          <cell r="C555" t="str">
            <v>Base, Shrimp #15-805</v>
          </cell>
        </row>
        <row r="556">
          <cell r="A556" t="str">
            <v>D200P</v>
          </cell>
          <cell r="C556" t="str">
            <v>Base, Turkey, Reduced Sodium, Eatem #13-101 (50#)</v>
          </cell>
        </row>
        <row r="557">
          <cell r="A557" t="str">
            <v>D106C</v>
          </cell>
          <cell r="C557" t="str">
            <v>Base, Turkey, Roasted, Eatem #20-812 (50#)</v>
          </cell>
        </row>
        <row r="558">
          <cell r="A558" t="str">
            <v>D366P</v>
          </cell>
          <cell r="C558" t="str">
            <v>Base, Vegan taste of chicken 16-400 (50 lbs/pail)</v>
          </cell>
        </row>
        <row r="559">
          <cell r="A559" t="str">
            <v>D297P</v>
          </cell>
          <cell r="C559" t="str">
            <v>Base, Vegetable , Mirepoix</v>
          </cell>
        </row>
        <row r="560">
          <cell r="A560" t="str">
            <v>D268P</v>
          </cell>
          <cell r="C560" t="str">
            <v>Base, Vegetable Eatem #13-406</v>
          </cell>
        </row>
        <row r="561">
          <cell r="A561" t="str">
            <v>D329P</v>
          </cell>
          <cell r="C561" t="str">
            <v>Base, Vegetable SBVEGET90,( 40#)</v>
          </cell>
        </row>
        <row r="562">
          <cell r="A562" t="str">
            <v>D298P</v>
          </cell>
          <cell r="C562" t="str">
            <v>Base, Vegetable, Mirepoix 28169(50#)</v>
          </cell>
        </row>
        <row r="563">
          <cell r="A563" t="str">
            <v>D202P</v>
          </cell>
          <cell r="C563" t="str">
            <v>Base, Vegetable, Vegetarian, Eatem #15-810 (50#)</v>
          </cell>
        </row>
        <row r="564">
          <cell r="A564" t="str">
            <v>D370B</v>
          </cell>
          <cell r="C564" t="str">
            <v>Beet powder (55.115 lbs/bag)</v>
          </cell>
        </row>
        <row r="565">
          <cell r="A565" t="str">
            <v>D275P</v>
          </cell>
          <cell r="C565" t="str">
            <v>Better Dressing #27188 (30gal)(257lbs)</v>
          </cell>
        </row>
        <row r="566">
          <cell r="A566" t="str">
            <v>D217C</v>
          </cell>
          <cell r="C566" t="str">
            <v>Better Dressing NF 300 (41.1# pails)</v>
          </cell>
        </row>
        <row r="567">
          <cell r="A567" t="str">
            <v>D262</v>
          </cell>
          <cell r="C567" t="str">
            <v>Broth, Beef Soup Collegeinn (12/48 oz)</v>
          </cell>
        </row>
        <row r="568">
          <cell r="A568" t="str">
            <v>D263</v>
          </cell>
          <cell r="C568" t="str">
            <v>Broth, Beef Soup West Creek (12/49 oz)</v>
          </cell>
        </row>
        <row r="569">
          <cell r="A569" t="str">
            <v>D352P</v>
          </cell>
          <cell r="C569" t="str">
            <v>Broth, Chicken concentrate 028-74 (fuji 44#)</v>
          </cell>
        </row>
        <row r="570">
          <cell r="A570" t="str">
            <v>D292P</v>
          </cell>
          <cell r="C570" t="str">
            <v>Broth, Chicken, 32%. #20303. (50#) Hormel</v>
          </cell>
        </row>
        <row r="571">
          <cell r="A571" t="str">
            <v>D201C</v>
          </cell>
          <cell r="C571" t="str">
            <v>Broth, Chicken, Frozen Hormel (50#)</v>
          </cell>
        </row>
        <row r="572">
          <cell r="A572" t="str">
            <v>D264</v>
          </cell>
          <cell r="C572" t="str">
            <v>Broth, Chicken, Soup West Creek (12/5#)</v>
          </cell>
        </row>
        <row r="573">
          <cell r="A573" t="str">
            <v>D243C</v>
          </cell>
          <cell r="C573" t="str">
            <v>Broth, Turkey, Powdered, #7401, IDF (50#)</v>
          </cell>
        </row>
        <row r="574">
          <cell r="A574" t="str">
            <v>D236C</v>
          </cell>
          <cell r="C574" t="str">
            <v>Cajun Roux, Richard's</v>
          </cell>
        </row>
        <row r="575">
          <cell r="A575" t="str">
            <v>D107D</v>
          </cell>
          <cell r="C575" t="str">
            <v>Capers (55 gal/drum) (440#)</v>
          </cell>
        </row>
        <row r="576">
          <cell r="A576" t="str">
            <v>D276C</v>
          </cell>
          <cell r="C576" t="str">
            <v>Capers, Non pareille &lt; 7mm, Divina (6/32 oz)</v>
          </cell>
        </row>
        <row r="577">
          <cell r="A577" t="str">
            <v>D300C</v>
          </cell>
          <cell r="C577" t="str">
            <v>Capers, Nonpareille, roma (6/32 oz)</v>
          </cell>
        </row>
        <row r="578">
          <cell r="A578" t="str">
            <v>D324J</v>
          </cell>
          <cell r="C578" t="str">
            <v>Champagne, Korber, California</v>
          </cell>
        </row>
        <row r="579">
          <cell r="A579" t="str">
            <v>D360C</v>
          </cell>
          <cell r="C579" t="str">
            <v>Chardex Mesquite (red arrow 503/bag)</v>
          </cell>
        </row>
        <row r="580">
          <cell r="A580" t="str">
            <v>D187P</v>
          </cell>
          <cell r="C580" t="str">
            <v>Chicken Fat, All Natural, #4575, IDF (225# Drum)</v>
          </cell>
        </row>
        <row r="581">
          <cell r="A581" t="str">
            <v>D228C</v>
          </cell>
          <cell r="C581" t="str">
            <v>Chicken Fat, Rendered #04533, Hormel (50#)</v>
          </cell>
        </row>
        <row r="582">
          <cell r="A582" t="str">
            <v>D270C</v>
          </cell>
          <cell r="C582" t="str">
            <v>Chicken Fat, Rendered #45160 (60#)</v>
          </cell>
        </row>
        <row r="583">
          <cell r="A583" t="str">
            <v>D272P</v>
          </cell>
          <cell r="C583" t="str">
            <v>Chicken Fat. All Natural (50#)</v>
          </cell>
        </row>
        <row r="584">
          <cell r="A584" t="str">
            <v>D364B</v>
          </cell>
          <cell r="C584" t="str">
            <v>Cocoa powder (50#/bag, United cocoa processor NP100)</v>
          </cell>
        </row>
        <row r="585">
          <cell r="A585" t="str">
            <v>D242J</v>
          </cell>
          <cell r="C585" t="str">
            <v>Color, Annatto Cheese, 37-155-04 (7.65#)</v>
          </cell>
        </row>
        <row r="586">
          <cell r="A586" t="str">
            <v>D210C</v>
          </cell>
          <cell r="C586" t="str">
            <v>Color, Annatto Food, CFS 507/26698 (16#)</v>
          </cell>
        </row>
        <row r="587">
          <cell r="A587" t="str">
            <v>D108D</v>
          </cell>
          <cell r="C587" t="str">
            <v>Color, Caramel, Liquid (drum)</v>
          </cell>
        </row>
        <row r="588">
          <cell r="A588" t="str">
            <v>D198C</v>
          </cell>
          <cell r="C588" t="str">
            <v>Color, Caramel, Liquid, DS400, Sethness (5 gal pail)</v>
          </cell>
        </row>
        <row r="589">
          <cell r="A589" t="str">
            <v>D206P</v>
          </cell>
          <cell r="C589" t="str">
            <v>Color, Caramel, Liquid, DSL-4, Sethness (5 gal pail)</v>
          </cell>
        </row>
        <row r="590">
          <cell r="A590" t="str">
            <v>D197C</v>
          </cell>
          <cell r="C590" t="str">
            <v>Color, Caramel, Powder, BC420, Sethness (50# bag)</v>
          </cell>
        </row>
        <row r="591">
          <cell r="A591" t="str">
            <v>D215C</v>
          </cell>
          <cell r="C591" t="str">
            <v>Color, FD&amp;C Yellow #5 Powder, #2200 (10#)</v>
          </cell>
        </row>
        <row r="592">
          <cell r="A592" t="str">
            <v>D209C</v>
          </cell>
          <cell r="C592" t="str">
            <v>Color, FD&amp;C Yellow #5 Powder, #8005 (44.09#)</v>
          </cell>
        </row>
        <row r="593">
          <cell r="A593" t="str">
            <v>D216C</v>
          </cell>
          <cell r="C593" t="str">
            <v>Color, FD&amp;C Yellow #6 Powder, #2300 (10#)</v>
          </cell>
        </row>
        <row r="594">
          <cell r="A594" t="str">
            <v>D212C</v>
          </cell>
          <cell r="C594" t="str">
            <v>Color, FD&amp;C Yellow #6 Powder, #8006</v>
          </cell>
        </row>
        <row r="595">
          <cell r="A595" t="str">
            <v>D166D</v>
          </cell>
          <cell r="C595" t="str">
            <v>Color, Red #40 Powder, #7700 (2.205# drum)</v>
          </cell>
        </row>
        <row r="596">
          <cell r="A596" t="str">
            <v>D211B</v>
          </cell>
          <cell r="C596" t="str">
            <v>Exceed 4010 N #71055, Kraft (50#)</v>
          </cell>
        </row>
        <row r="597">
          <cell r="A597" t="str">
            <v>D248P</v>
          </cell>
          <cell r="C597" t="str">
            <v>Flavor Beef Conc. 16-228 (50#)</v>
          </cell>
        </row>
        <row r="598">
          <cell r="A598" t="str">
            <v>D277P</v>
          </cell>
          <cell r="C598" t="str">
            <v>Flavor Beef Conc. 70-871 (50#)</v>
          </cell>
        </row>
        <row r="599">
          <cell r="A599" t="str">
            <v>D265P</v>
          </cell>
          <cell r="C599" t="str">
            <v>Flavor Beef Conc. 90-201 (50#)</v>
          </cell>
        </row>
        <row r="600">
          <cell r="A600" t="str">
            <v>D169C</v>
          </cell>
          <cell r="C600" t="str">
            <v>Flavor, Beef #6A306C50, Old Mansion (09302101) (50#)</v>
          </cell>
        </row>
        <row r="601">
          <cell r="A601" t="str">
            <v>D109P</v>
          </cell>
          <cell r="C601" t="str">
            <v>Flavor, Cheddar Cheese (50#)</v>
          </cell>
        </row>
        <row r="602">
          <cell r="A602" t="str">
            <v>D103P</v>
          </cell>
          <cell r="C602" t="str">
            <v>Flavor, Chicken, Eatem #13-100 (50#)</v>
          </cell>
        </row>
        <row r="603">
          <cell r="A603" t="str">
            <v>D192B</v>
          </cell>
          <cell r="C603" t="str">
            <v>Flavor, Chicken, Spray-Dried, C3306 (50# Bag)</v>
          </cell>
        </row>
        <row r="604">
          <cell r="A604" t="str">
            <v>D249P</v>
          </cell>
          <cell r="C604" t="str">
            <v>Flavor, Fish Sauce 20-495 (50#)</v>
          </cell>
        </row>
        <row r="605">
          <cell r="A605" t="str">
            <v>D213C</v>
          </cell>
          <cell r="C605" t="str">
            <v>Flavor, Jalapeno, JA-170503, Oil Soluble (10#)</v>
          </cell>
        </row>
        <row r="606">
          <cell r="A606" t="str">
            <v>D188C</v>
          </cell>
          <cell r="C606" t="str">
            <v>Flavor, Lemon Juice Powder, #1012, Freshtaste, (50# Bag)</v>
          </cell>
        </row>
        <row r="607">
          <cell r="A607" t="str">
            <v>D224C</v>
          </cell>
          <cell r="C607" t="str">
            <v>Flavor, Natural Mush Porcini Type #80793 (Oil Sol.) (35#)</v>
          </cell>
        </row>
        <row r="608">
          <cell r="A608" t="str">
            <v>D239C</v>
          </cell>
          <cell r="C608" t="str">
            <v>Flavor, Natural Roast Powdered Type, RO# 121088</v>
          </cell>
        </row>
        <row r="609">
          <cell r="A609" t="str">
            <v>D185C</v>
          </cell>
          <cell r="C609" t="str">
            <v>Flavor, Natural Savory, Fuji</v>
          </cell>
        </row>
        <row r="610">
          <cell r="A610" t="str">
            <v>D236B</v>
          </cell>
          <cell r="C610" t="str">
            <v>Flavor, Orange Juice Powder, #1072, Freshtaste, (50# Bag)</v>
          </cell>
        </row>
        <row r="611">
          <cell r="A611" t="str">
            <v>D196C</v>
          </cell>
          <cell r="C611" t="str">
            <v>Flavor, Tabasco Powder</v>
          </cell>
        </row>
        <row r="612">
          <cell r="A612" t="str">
            <v>D110P</v>
          </cell>
          <cell r="C612" t="str">
            <v>Flavor, Toasted Cheddar (50#)</v>
          </cell>
        </row>
        <row r="613">
          <cell r="A613" t="str">
            <v>D199B</v>
          </cell>
          <cell r="C613" t="str">
            <v>Flavor, Turkey, Spray-Dried, T3306 (50# Bag)</v>
          </cell>
        </row>
        <row r="614">
          <cell r="A614" t="str">
            <v>D111C</v>
          </cell>
          <cell r="C614" t="str">
            <v>Glaze, Piccata (50#)</v>
          </cell>
        </row>
        <row r="615">
          <cell r="A615" t="str">
            <v>D112C</v>
          </cell>
          <cell r="C615" t="str">
            <v>Gravy, Beef, Les Pres BS Extender 09302101</v>
          </cell>
        </row>
        <row r="616">
          <cell r="A616" t="str">
            <v>D113C</v>
          </cell>
          <cell r="C616" t="str">
            <v>Gravy, Turkey, (50#)</v>
          </cell>
        </row>
        <row r="617">
          <cell r="A617" t="str">
            <v>D114C</v>
          </cell>
          <cell r="C617" t="str">
            <v>Gravy, Turkey, Monarch (6/11.3oz) (4.2375#)</v>
          </cell>
        </row>
        <row r="618">
          <cell r="A618" t="str">
            <v>D115C</v>
          </cell>
          <cell r="C618" t="str">
            <v>Gravy, Turkey, Trio (8/1#4oz)</v>
          </cell>
        </row>
        <row r="619">
          <cell r="A619" t="str">
            <v>D116C</v>
          </cell>
          <cell r="C619" t="str">
            <v>Gravy, w/o MSG (50#)</v>
          </cell>
        </row>
        <row r="620">
          <cell r="A620" t="str">
            <v>D301C</v>
          </cell>
          <cell r="C620" t="str">
            <v>Honey Clover, Busy B. (1/48 oz)</v>
          </cell>
        </row>
        <row r="621">
          <cell r="A621" t="str">
            <v>D117C</v>
          </cell>
          <cell r="C621" t="str">
            <v>Honey, Ambr Light, Harvest (6/5#)</v>
          </cell>
        </row>
        <row r="622">
          <cell r="A622" t="str">
            <v>D278J</v>
          </cell>
          <cell r="C622" t="str">
            <v>Honey, Clover, Unipro, (6/5#)</v>
          </cell>
        </row>
        <row r="623">
          <cell r="A623" t="str">
            <v>D302C</v>
          </cell>
          <cell r="C623" t="str">
            <v>Honey, Light amber, Silver (6/5#)</v>
          </cell>
        </row>
        <row r="624">
          <cell r="A624" t="str">
            <v>D303C</v>
          </cell>
          <cell r="C624" t="str">
            <v>Honey, Pure, Golding Fa (4/5#)</v>
          </cell>
        </row>
        <row r="625">
          <cell r="A625" t="str">
            <v>D193C</v>
          </cell>
          <cell r="C625" t="str">
            <v>HVP B-54, BFF B-54, Basic Food Flavors (55#)</v>
          </cell>
        </row>
        <row r="626">
          <cell r="A626" t="str">
            <v>D225C</v>
          </cell>
          <cell r="C626" t="str">
            <v>HVP B-63, Basic Food Flavors (55#) B-83 vege protein</v>
          </cell>
        </row>
        <row r="627">
          <cell r="A627" t="str">
            <v>D250C</v>
          </cell>
          <cell r="C627" t="str">
            <v>HVP M-939</v>
          </cell>
        </row>
        <row r="628">
          <cell r="A628" t="str">
            <v>D203B</v>
          </cell>
          <cell r="C628" t="str">
            <v>I+G, Inosinate and Guanylate, Ajinomotoa USA (22#)</v>
          </cell>
        </row>
        <row r="629">
          <cell r="A629" t="str">
            <v>D280C</v>
          </cell>
          <cell r="C629" t="str">
            <v>Juice Apple, W/Vitamin C,  White (12/46 oz)</v>
          </cell>
        </row>
        <row r="630">
          <cell r="A630" t="str">
            <v>D266P</v>
          </cell>
          <cell r="C630" t="str">
            <v>Juice, Apple 100%, Asepti, Marquis (12/46oz)</v>
          </cell>
        </row>
        <row r="631">
          <cell r="A631" t="str">
            <v>D279C</v>
          </cell>
          <cell r="C631" t="str">
            <v>Juice, Apple, Aseptic, Lyons (12/46 oz)</v>
          </cell>
        </row>
        <row r="632">
          <cell r="A632" t="str">
            <v>D172C</v>
          </cell>
          <cell r="C632" t="str">
            <v>Juice, Cucumber, Veg-Con Cucumber</v>
          </cell>
        </row>
        <row r="633">
          <cell r="A633" t="str">
            <v>D282C</v>
          </cell>
          <cell r="C633" t="str">
            <v>Juice, Key Lime, Nellie</v>
          </cell>
        </row>
        <row r="634">
          <cell r="A634" t="str">
            <v>D118C</v>
          </cell>
          <cell r="C634" t="str">
            <v>Juice, Lemon (4/1 gal)</v>
          </cell>
        </row>
        <row r="635">
          <cell r="A635" t="str">
            <v>D353C</v>
          </cell>
          <cell r="C635" t="str">
            <v>Juice, Lemon Concentrate (50#)</v>
          </cell>
        </row>
        <row r="636">
          <cell r="A636" t="str">
            <v>D294C</v>
          </cell>
          <cell r="C636" t="str">
            <v>Juice, Lemon, Magellan  (12/32 oz))</v>
          </cell>
        </row>
        <row r="637">
          <cell r="A637" t="str">
            <v>D304C</v>
          </cell>
          <cell r="C637" t="str">
            <v>Juice, Lemon, Realemon (48 oz/2 pk)</v>
          </cell>
        </row>
        <row r="638">
          <cell r="A638" t="str">
            <v>D119C</v>
          </cell>
          <cell r="C638" t="str">
            <v>Juice, Lime (4/1 gal)</v>
          </cell>
        </row>
        <row r="639">
          <cell r="A639" t="str">
            <v>D333J</v>
          </cell>
          <cell r="C639" t="str">
            <v>Juice, Lime (4/1 gal)</v>
          </cell>
        </row>
        <row r="640">
          <cell r="A640" t="str">
            <v>D305J</v>
          </cell>
          <cell r="C640" t="str">
            <v>Juice, Orange (simply orange 3.5L)</v>
          </cell>
        </row>
        <row r="641">
          <cell r="A641" t="str">
            <v>D281C</v>
          </cell>
          <cell r="C641" t="str">
            <v>Juice, Pineapple, Asseptic, Lyons (12/46 oz)</v>
          </cell>
        </row>
        <row r="642">
          <cell r="A642" t="str">
            <v>D306N</v>
          </cell>
          <cell r="C642" t="str">
            <v>Kalamata, Olives, Medium, Divina (10#)</v>
          </cell>
        </row>
        <row r="643">
          <cell r="A643" t="str">
            <v>D251T</v>
          </cell>
          <cell r="C643" t="str">
            <v>Ketchup (totes)</v>
          </cell>
        </row>
        <row r="644">
          <cell r="A644" t="str">
            <v>D120C</v>
          </cell>
          <cell r="C644" t="str">
            <v>Ketchup, Monarch (28.5#)</v>
          </cell>
        </row>
        <row r="645">
          <cell r="A645" t="str">
            <v>D176C</v>
          </cell>
          <cell r="C645" t="str">
            <v>Ketchup, Tmto Fcy 33% Mon-D (3 gal) (24#)</v>
          </cell>
        </row>
        <row r="646">
          <cell r="A646" t="str">
            <v>D174C</v>
          </cell>
          <cell r="C646" t="str">
            <v>Ketchup, West Creek (6/#10)</v>
          </cell>
        </row>
        <row r="647">
          <cell r="A647" t="str">
            <v>D237J</v>
          </cell>
          <cell r="C647" t="str">
            <v>Kitchen Bouquet, Browning &amp; Seasoning Sauce</v>
          </cell>
        </row>
        <row r="648">
          <cell r="A648" t="str">
            <v>D207P</v>
          </cell>
          <cell r="C648" t="str">
            <v>Lemon Concentrate Vita Pakt</v>
          </cell>
        </row>
        <row r="649">
          <cell r="A649" t="str">
            <v>D121C</v>
          </cell>
          <cell r="C649" t="str">
            <v>Liquid Smoke, Hickory (1 gal) (8#)</v>
          </cell>
        </row>
        <row r="650">
          <cell r="A650" t="str">
            <v>D122C</v>
          </cell>
          <cell r="C650" t="str">
            <v>Liquid Smoke, Hickory (4/1 gal) (32#)</v>
          </cell>
        </row>
        <row r="651">
          <cell r="A651" t="str">
            <v>D123C</v>
          </cell>
          <cell r="C651" t="str">
            <v>Mariande, GR14 (50#)</v>
          </cell>
        </row>
        <row r="652">
          <cell r="A652" t="str">
            <v>D293B</v>
          </cell>
          <cell r="C652" t="str">
            <v>Marinade, 8611919-00, savory Pulled Chicken (50#) HOR</v>
          </cell>
        </row>
        <row r="653">
          <cell r="A653" t="str">
            <v>D252C</v>
          </cell>
          <cell r="C653" t="str">
            <v>Marinade, Beef, AN-10 (50#)</v>
          </cell>
        </row>
        <row r="654">
          <cell r="A654" t="str">
            <v>D124C</v>
          </cell>
          <cell r="C654" t="str">
            <v>Marinade, Beef, AN-8 (40#)</v>
          </cell>
        </row>
        <row r="655">
          <cell r="A655" t="str">
            <v>D180C</v>
          </cell>
          <cell r="C655" t="str">
            <v>Marinade, Beef, AN-9 (50#)</v>
          </cell>
        </row>
        <row r="656">
          <cell r="A656" t="str">
            <v>D125C</v>
          </cell>
          <cell r="C656" t="str">
            <v>Marinade, BRS-5LS (50#)</v>
          </cell>
        </row>
        <row r="657">
          <cell r="A657" t="str">
            <v>D126C</v>
          </cell>
          <cell r="C657" t="str">
            <v>Marinade, DDC-25LS (50#)</v>
          </cell>
        </row>
        <row r="658">
          <cell r="A658" t="str">
            <v>D182C</v>
          </cell>
          <cell r="C658" t="str">
            <v>Marinade, DDC-27LS (clean label) (50#)</v>
          </cell>
        </row>
        <row r="659">
          <cell r="A659" t="str">
            <v>D189C</v>
          </cell>
          <cell r="C659" t="str">
            <v>Marinade, DDC-27LS NP (No Phosphates)</v>
          </cell>
        </row>
        <row r="660">
          <cell r="A660" t="str">
            <v>D181C</v>
          </cell>
          <cell r="C660" t="str">
            <v>Marinade, Pork, AN-9 (50#)</v>
          </cell>
        </row>
        <row r="661">
          <cell r="A661" t="str">
            <v>D359J</v>
          </cell>
          <cell r="C661" t="str">
            <v>Marmalade, Orange smuckers 100% Natural</v>
          </cell>
        </row>
        <row r="662">
          <cell r="A662" t="str">
            <v>D267P</v>
          </cell>
          <cell r="C662" t="str">
            <v>Mayonnaise, Extra Heavy, Kraft (30#)</v>
          </cell>
        </row>
        <row r="663">
          <cell r="A663" t="str">
            <v>D283J</v>
          </cell>
          <cell r="C663" t="str">
            <v>Mayonnaise, Heavy Duty (4/1Gal)</v>
          </cell>
        </row>
        <row r="664">
          <cell r="A664" t="str">
            <v>D233C</v>
          </cell>
          <cell r="C664" t="str">
            <v>Mayonnaise, Xhvy Shlf Stabl, Kraft (4/1 gal)</v>
          </cell>
        </row>
        <row r="665">
          <cell r="A665" t="str">
            <v>D323C</v>
          </cell>
          <cell r="C665" t="str">
            <v>Mint, Fresh, Hrvst (1#)</v>
          </cell>
        </row>
        <row r="666">
          <cell r="A666" t="str">
            <v>D368D</v>
          </cell>
          <cell r="C666" t="str">
            <v>Molase, black strap (620 lbs/drum)</v>
          </cell>
        </row>
        <row r="667">
          <cell r="A667" t="str">
            <v>D127C</v>
          </cell>
          <cell r="C667" t="str">
            <v>Molasses Syrup (4/1 gal)</v>
          </cell>
        </row>
        <row r="668">
          <cell r="A668" t="str">
            <v>D328J</v>
          </cell>
          <cell r="C668" t="str">
            <v>Mustard, Yellow (Frenches)</v>
          </cell>
        </row>
        <row r="669">
          <cell r="A669" t="str">
            <v>D367P</v>
          </cell>
          <cell r="C669" t="str">
            <v>Oleoresin paprika a 40k, NR2802</v>
          </cell>
        </row>
        <row r="670">
          <cell r="A670" t="str">
            <v>D355P</v>
          </cell>
          <cell r="C670" t="str">
            <v>Oleoresin, Chili Spice</v>
          </cell>
        </row>
        <row r="671">
          <cell r="A671" t="str">
            <v>D238P</v>
          </cell>
          <cell r="C671" t="str">
            <v>Oleoresin, Jalapeno Hot #55-020-00-01, Kalsec (33#)</v>
          </cell>
        </row>
        <row r="672">
          <cell r="A672" t="str">
            <v>D221J</v>
          </cell>
          <cell r="C672" t="str">
            <v>Oleoresin, Paprika NR2803 (7.5# jug)</v>
          </cell>
        </row>
        <row r="673">
          <cell r="A673" t="str">
            <v>D184C</v>
          </cell>
          <cell r="C673" t="str">
            <v>Paste, Green Curry ()</v>
          </cell>
        </row>
        <row r="674">
          <cell r="A674" t="str">
            <v>D362P</v>
          </cell>
          <cell r="C674" t="str">
            <v>Paste, Peppercorn chili (1 gal, 8 lbs)</v>
          </cell>
        </row>
        <row r="675">
          <cell r="A675" t="str">
            <v>D128D</v>
          </cell>
          <cell r="C675" t="str">
            <v>Paste, Tomato 31 % Solids (526# drum)</v>
          </cell>
        </row>
        <row r="676">
          <cell r="A676" t="str">
            <v>D168T</v>
          </cell>
          <cell r="C676" t="str">
            <v>Paste, Tomato 31% Solids (3172# Totes)</v>
          </cell>
        </row>
        <row r="677">
          <cell r="A677" t="str">
            <v>D246C</v>
          </cell>
          <cell r="C677" t="str">
            <v>Paste, Tomato Fancy Bon, Escalon (6/#10)</v>
          </cell>
        </row>
        <row r="678">
          <cell r="A678" t="str">
            <v>D284C</v>
          </cell>
          <cell r="C678" t="str">
            <v>Paste, Tomato Fancy, Unipro (6/#10)</v>
          </cell>
        </row>
        <row r="679">
          <cell r="A679" t="str">
            <v>D129N</v>
          </cell>
          <cell r="C679" t="str">
            <v>Paste, Tomato, 26% Solids, Hunt (6/#10)</v>
          </cell>
        </row>
        <row r="680">
          <cell r="A680" t="str">
            <v>D237C</v>
          </cell>
          <cell r="C680" t="str">
            <v>Paste, Tomato, 26% Solids, Light Cnd, Roseli (6/#10)</v>
          </cell>
        </row>
        <row r="681">
          <cell r="A681" t="str">
            <v>D204C</v>
          </cell>
          <cell r="C681" t="str">
            <v>Paste, Tomato, 26% Solids, Mon-D (6/#10)</v>
          </cell>
        </row>
        <row r="682">
          <cell r="A682" t="str">
            <v>D307N</v>
          </cell>
          <cell r="C682" t="str">
            <v>Paste, tomato, Contadina, (6.93#)</v>
          </cell>
        </row>
        <row r="683">
          <cell r="A683" t="str">
            <v>D244C</v>
          </cell>
          <cell r="C683" t="str">
            <v>Paste, Tomato, Emerald (6/#10)</v>
          </cell>
        </row>
        <row r="684">
          <cell r="A684" t="str">
            <v>D253N</v>
          </cell>
          <cell r="C684" t="str">
            <v>Paste, Tomato, Roma (6/#10)</v>
          </cell>
        </row>
        <row r="685">
          <cell r="A685" t="str">
            <v>D245C</v>
          </cell>
          <cell r="C685" t="str">
            <v>Paste, Tomato, West Creek (6/#10)</v>
          </cell>
        </row>
        <row r="686">
          <cell r="A686" t="str">
            <v>D331P</v>
          </cell>
          <cell r="C686" t="str">
            <v>Puree, Garlic (33#)</v>
          </cell>
        </row>
        <row r="687">
          <cell r="A687" t="str">
            <v>D340P</v>
          </cell>
          <cell r="C687" t="str">
            <v>Puree, Garlic Roasted #17049 (35#)</v>
          </cell>
        </row>
        <row r="688">
          <cell r="A688" t="str">
            <v>D130C</v>
          </cell>
          <cell r="C688" t="str">
            <v>Puree, Ginger (2/32oz)</v>
          </cell>
        </row>
        <row r="689">
          <cell r="A689" t="str">
            <v>D332P</v>
          </cell>
          <cell r="C689" t="str">
            <v>Puree, Ginger (33#)</v>
          </cell>
        </row>
        <row r="690">
          <cell r="A690" t="str">
            <v>D234P</v>
          </cell>
          <cell r="C690" t="str">
            <v>Puree, Ginger, All Natural (30#)</v>
          </cell>
        </row>
        <row r="691">
          <cell r="A691" t="str">
            <v>D308C</v>
          </cell>
          <cell r="C691" t="str">
            <v>Puree, Ginger, Sweet Perfect (6/30 oz)</v>
          </cell>
        </row>
        <row r="692">
          <cell r="A692" t="str">
            <v>D131C</v>
          </cell>
          <cell r="C692" t="str">
            <v>Puree, Plum (47#)</v>
          </cell>
        </row>
        <row r="693">
          <cell r="A693" t="str">
            <v>D363D</v>
          </cell>
          <cell r="C693" t="str">
            <v>Puree, Tomato (515 lbs/drum), morning Star</v>
          </cell>
        </row>
        <row r="694">
          <cell r="A694" t="str">
            <v>D132N</v>
          </cell>
          <cell r="C694" t="str">
            <v>Puree, Tomato (6/#10)</v>
          </cell>
        </row>
        <row r="695">
          <cell r="A695" t="str">
            <v>D330C</v>
          </cell>
          <cell r="C695" t="str">
            <v>QimiQ Classic ( 26.4 lbs / cs)</v>
          </cell>
        </row>
        <row r="696">
          <cell r="A696" t="str">
            <v>D337C</v>
          </cell>
          <cell r="C696" t="str">
            <v>Sauce, Alfredo Cheese mix</v>
          </cell>
        </row>
        <row r="697">
          <cell r="A697" t="str">
            <v>D171C</v>
          </cell>
          <cell r="C697" t="str">
            <v>Sauce, BBQ, Hickory (4/1 gal) (32#)</v>
          </cell>
        </row>
        <row r="698">
          <cell r="A698" t="str">
            <v>D133D</v>
          </cell>
          <cell r="C698" t="str">
            <v>Sauce, BBQ, Hickory DPI (500#/drum)</v>
          </cell>
        </row>
        <row r="699">
          <cell r="A699" t="str">
            <v>D134D</v>
          </cell>
          <cell r="C699" t="str">
            <v>Sauce, BBQ, Honey DPI (500#/drum)</v>
          </cell>
        </row>
        <row r="700">
          <cell r="A700" t="str">
            <v>D175D</v>
          </cell>
          <cell r="C700" t="str">
            <v>Sauce, BBQ, Sweet Baby Rays (4/1 gal) (32#)</v>
          </cell>
        </row>
        <row r="701">
          <cell r="A701" t="str">
            <v>D349C</v>
          </cell>
          <cell r="C701" t="str">
            <v>Sauce, Buffalo Wing Frank</v>
          </cell>
        </row>
        <row r="702">
          <cell r="A702" t="str">
            <v>D348C</v>
          </cell>
          <cell r="C702" t="str">
            <v xml:space="preserve">Sauce, Chese Powder #1701001 </v>
          </cell>
        </row>
        <row r="703">
          <cell r="A703" t="str">
            <v>D179C</v>
          </cell>
          <cell r="C703" t="str">
            <v>Sauce, Chili, Heinz (6/#10)</v>
          </cell>
        </row>
        <row r="704">
          <cell r="A704" t="str">
            <v>D177C</v>
          </cell>
          <cell r="C704" t="str">
            <v>Sauce, Chili, Hunt (6/#10)</v>
          </cell>
        </row>
        <row r="705">
          <cell r="A705" t="str">
            <v>D135N</v>
          </cell>
          <cell r="C705" t="str">
            <v>Sauce, Chili, Tmto MW Fcy, Mon-D (6/#10)</v>
          </cell>
        </row>
        <row r="706">
          <cell r="A706" t="str">
            <v>D235J</v>
          </cell>
          <cell r="C706" t="str">
            <v>Sauce, Garlic Chili</v>
          </cell>
        </row>
        <row r="707">
          <cell r="A707" t="str">
            <v>D136B</v>
          </cell>
          <cell r="C707" t="str">
            <v>Sauce, Green Enchilada, Mild (40#)</v>
          </cell>
        </row>
        <row r="708">
          <cell r="A708" t="str">
            <v>D190C</v>
          </cell>
          <cell r="C708" t="str">
            <v>Sauce, Hot, Franks Red (4/1 Gal) (32#)</v>
          </cell>
        </row>
        <row r="709">
          <cell r="A709" t="str">
            <v>D254C</v>
          </cell>
          <cell r="C709" t="str">
            <v>Sauce, Hot, Powder (32#)</v>
          </cell>
        </row>
        <row r="710">
          <cell r="A710" t="str">
            <v>D178C</v>
          </cell>
          <cell r="C710" t="str">
            <v>Sauce, Oyster Flvr (6/5#)</v>
          </cell>
        </row>
        <row r="711">
          <cell r="A711" t="str">
            <v>D309J</v>
          </cell>
          <cell r="C711" t="str">
            <v>Sauce, Red Hot, Frank, (1 gal)</v>
          </cell>
        </row>
        <row r="712">
          <cell r="A712" t="str">
            <v>D285D</v>
          </cell>
          <cell r="C712" t="str">
            <v>Sauce, soy Wan Ja shan (5 Gal)(48.75 lbs)</v>
          </cell>
        </row>
        <row r="713">
          <cell r="A713" t="str">
            <v>D310J</v>
          </cell>
          <cell r="C713" t="str">
            <v xml:space="preserve">Sauce, soy, Kikkoman </v>
          </cell>
        </row>
        <row r="714">
          <cell r="A714" t="str">
            <v>D311J</v>
          </cell>
          <cell r="C714" t="str">
            <v>Sauce, soy, Kikkoman  (5 gal)</v>
          </cell>
        </row>
        <row r="715">
          <cell r="A715" t="str">
            <v>D139C</v>
          </cell>
          <cell r="C715" t="str">
            <v>Sauce, Soy, La Choy (1 gal) (8#)</v>
          </cell>
        </row>
        <row r="716">
          <cell r="A716" t="str">
            <v>D137C</v>
          </cell>
          <cell r="C716" t="str">
            <v>Sauce, Soy, Lite, Kikkoman (6/64oz) (24#)</v>
          </cell>
        </row>
        <row r="717">
          <cell r="A717" t="str">
            <v>D138D</v>
          </cell>
          <cell r="C717" t="str">
            <v>Sauce, Soy, Lite, Kikkoman (drum)</v>
          </cell>
        </row>
        <row r="718">
          <cell r="A718" t="str">
            <v>D222C</v>
          </cell>
          <cell r="C718" t="str">
            <v>Sauce, Soy, Powder, Dehydrated, Kikkoman (50#)</v>
          </cell>
        </row>
        <row r="719">
          <cell r="A719" t="str">
            <v>D226C</v>
          </cell>
          <cell r="C719" t="str">
            <v>Sauce, Soy, Powder, Dehydrated, Wan #02100 (50#)</v>
          </cell>
        </row>
        <row r="720">
          <cell r="A720" t="str">
            <v>D183C</v>
          </cell>
          <cell r="C720" t="str">
            <v>Sauce, Soy, Reg, Kikkoman (5 gal) (40#)</v>
          </cell>
        </row>
        <row r="721">
          <cell r="A721" t="str">
            <v>D140C</v>
          </cell>
          <cell r="C721" t="str">
            <v>Sauce, Steak, Golden Farms (76oz)</v>
          </cell>
        </row>
        <row r="722">
          <cell r="A722" t="str">
            <v>D141C</v>
          </cell>
          <cell r="C722" t="str">
            <v>Sauce, Steak, Prmium (75.5 oz)</v>
          </cell>
        </row>
        <row r="723">
          <cell r="A723" t="str">
            <v>D357C</v>
          </cell>
          <cell r="C723" t="str">
            <v>Sauce, Tabasco</v>
          </cell>
        </row>
        <row r="724">
          <cell r="A724" t="str">
            <v>D286D</v>
          </cell>
          <cell r="C724" t="str">
            <v>Sauce, Tomato (456#)(Drum)</v>
          </cell>
        </row>
        <row r="725">
          <cell r="A725" t="str">
            <v>D142N</v>
          </cell>
          <cell r="C725" t="str">
            <v>Sauce, Tomato (6/#10)</v>
          </cell>
        </row>
        <row r="726">
          <cell r="A726" t="str">
            <v>D143C</v>
          </cell>
          <cell r="C726" t="str">
            <v>Sauce, Worcestershire (4/1 gal) (32#)</v>
          </cell>
        </row>
        <row r="727">
          <cell r="A727" t="str">
            <v>D144D</v>
          </cell>
          <cell r="C727" t="str">
            <v>Sauce, Worcestershire, Concen #75087, French's (550#)</v>
          </cell>
        </row>
        <row r="728">
          <cell r="A728" t="str">
            <v>D312J</v>
          </cell>
          <cell r="C728" t="str">
            <v>Sauce,Soy, Lite, Golding (0.5 gal)</v>
          </cell>
        </row>
        <row r="729">
          <cell r="A729" t="str">
            <v>D346C</v>
          </cell>
          <cell r="C729" t="str">
            <v>Savory Flavor (50#)</v>
          </cell>
        </row>
        <row r="730">
          <cell r="A730" t="str">
            <v>D423A</v>
          </cell>
          <cell r="C730" t="str">
            <v>Seasoning Elite</v>
          </cell>
        </row>
        <row r="731">
          <cell r="A731" t="str">
            <v>D313C</v>
          </cell>
          <cell r="C731" t="str">
            <v>Seasoning, Chicken, Savory pulled (50#) 8611919-00</v>
          </cell>
        </row>
        <row r="732">
          <cell r="A732" t="str">
            <v>D334J</v>
          </cell>
          <cell r="C732" t="str">
            <v>Seasoning, Creole (Tony Chachere's)</v>
          </cell>
        </row>
        <row r="733">
          <cell r="A733" t="str">
            <v>D194C</v>
          </cell>
          <cell r="C733" t="str">
            <v>Seasoning, Fajita, Beef JS11078003</v>
          </cell>
        </row>
        <row r="734">
          <cell r="A734" t="str">
            <v>D195C</v>
          </cell>
          <cell r="C734" t="str">
            <v>Seasoning, Fajita, Chicken, JS11077002</v>
          </cell>
        </row>
        <row r="735">
          <cell r="A735" t="str">
            <v>D345C</v>
          </cell>
          <cell r="C735" t="str">
            <v>Seasoning, Grill 1710601 (10#)</v>
          </cell>
        </row>
        <row r="736">
          <cell r="A736" t="str">
            <v>D314C</v>
          </cell>
          <cell r="C736" t="str">
            <v>Seasoning, Italian, (16#)743016B</v>
          </cell>
        </row>
        <row r="737">
          <cell r="A737" t="str">
            <v>D315J</v>
          </cell>
          <cell r="C737" t="str">
            <v>Seasoning, Italian, tone (6 oz)</v>
          </cell>
        </row>
        <row r="738">
          <cell r="A738" t="str">
            <v>D347C</v>
          </cell>
          <cell r="C738" t="str">
            <v>Seasoning, Rotisserie</v>
          </cell>
        </row>
        <row r="739">
          <cell r="A739" t="str">
            <v>D333B</v>
          </cell>
          <cell r="C739" t="str">
            <v>Seasoning, Savory For Beef Veg.(50#)</v>
          </cell>
        </row>
        <row r="740">
          <cell r="A740" t="str">
            <v>D145C</v>
          </cell>
          <cell r="C740" t="str">
            <v>Seasoning, Shepherd's Pie Beef (50#) 09302101</v>
          </cell>
        </row>
        <row r="741">
          <cell r="A741" t="str">
            <v>D147C</v>
          </cell>
          <cell r="C741" t="str">
            <v>Seasoning, Shepherd's Pie Potato (50#) 09302501</v>
          </cell>
        </row>
        <row r="742">
          <cell r="A742" t="str">
            <v>D325C</v>
          </cell>
          <cell r="C742" t="str">
            <v>Seasoning, Vegetarian (5#)</v>
          </cell>
        </row>
        <row r="743">
          <cell r="A743" t="str">
            <v>D148C</v>
          </cell>
          <cell r="C743" t="str">
            <v>Soup, Cream of Mushroom (12/50 oz) (37.5#)</v>
          </cell>
        </row>
        <row r="744">
          <cell r="A744" t="str">
            <v>D335C</v>
          </cell>
          <cell r="C744" t="str">
            <v>Stock, Beef Concentrate</v>
          </cell>
        </row>
        <row r="745">
          <cell r="A745" t="str">
            <v>D219C</v>
          </cell>
          <cell r="C745" t="str">
            <v>Stock, Chicken 32% Frozen #20303 (50#)</v>
          </cell>
        </row>
        <row r="746">
          <cell r="A746" t="str">
            <v>D336C</v>
          </cell>
          <cell r="C746" t="str">
            <v>Stock, Chicken Concentrate</v>
          </cell>
        </row>
        <row r="747">
          <cell r="A747" t="str">
            <v>D255C</v>
          </cell>
          <cell r="C747" t="str">
            <v>Stock, Turkey Plus, 91-101 (50#)</v>
          </cell>
        </row>
        <row r="748">
          <cell r="A748" t="str">
            <v>D356P</v>
          </cell>
          <cell r="C748" t="str">
            <v>Stock, Vegetable Organic #12-453 (50#)</v>
          </cell>
        </row>
        <row r="749">
          <cell r="A749" t="str">
            <v>D256P</v>
          </cell>
          <cell r="C749" t="str">
            <v>Syrup, Corn, Liquid, 1300 (60# pail)</v>
          </cell>
        </row>
        <row r="750">
          <cell r="A750" t="str">
            <v>D220P</v>
          </cell>
          <cell r="C750" t="str">
            <v>Syrup, Corn, Liquid, Isosweet 100 (55# pail)</v>
          </cell>
        </row>
        <row r="751">
          <cell r="A751" t="str">
            <v>D257P</v>
          </cell>
          <cell r="C751" t="str">
            <v>Syrup, Corn, Liquid, Isosweet 5500 (55# pail)</v>
          </cell>
        </row>
        <row r="752">
          <cell r="A752" t="str">
            <v>D316J</v>
          </cell>
          <cell r="C752" t="str">
            <v xml:space="preserve">Syrup, Corn, liquid,Light, Karo (4/1gal) </v>
          </cell>
        </row>
        <row r="753">
          <cell r="A753" t="str">
            <v>D317J</v>
          </cell>
          <cell r="C753" t="str">
            <v xml:space="preserve">Syrup, Corn, liquid,Light, Karo (4/1gal) </v>
          </cell>
        </row>
        <row r="754">
          <cell r="A754" t="str">
            <v>D229P</v>
          </cell>
          <cell r="C754" t="str">
            <v>Syrup, Corn, Plain</v>
          </cell>
        </row>
        <row r="755">
          <cell r="A755" t="str">
            <v>D163P</v>
          </cell>
          <cell r="C755" t="str">
            <v>Syrup, High Fructose Corn, Du-Sweet #4</v>
          </cell>
        </row>
        <row r="756">
          <cell r="A756" t="str">
            <v>D164P</v>
          </cell>
          <cell r="C756" t="str">
            <v>Syrup, High Fructose Corn, Du-Sweet #5</v>
          </cell>
        </row>
        <row r="757">
          <cell r="A757" t="str">
            <v>D173D</v>
          </cell>
          <cell r="C757" t="str">
            <v>Syrup, High Fructose Corn, T&amp;L (600#)</v>
          </cell>
        </row>
        <row r="758">
          <cell r="A758" t="str">
            <v>D149C</v>
          </cell>
          <cell r="C758" t="str">
            <v>Syrup, Maple, Pancake (4/1 Gal) (32#)</v>
          </cell>
        </row>
        <row r="759">
          <cell r="A759" t="str">
            <v>D165</v>
          </cell>
          <cell r="C759" t="str">
            <v>Tamarind Concentrate</v>
          </cell>
        </row>
        <row r="760">
          <cell r="A760" t="str">
            <v>D358C</v>
          </cell>
          <cell r="C760" t="str">
            <v>Vanilla, Extract</v>
          </cell>
        </row>
        <row r="761">
          <cell r="A761" t="str">
            <v>D370C</v>
          </cell>
          <cell r="C761" t="str">
            <v>Vegetone vivid red #1141291 (33 lbs)</v>
          </cell>
        </row>
        <row r="762">
          <cell r="A762" t="str">
            <v>D150C</v>
          </cell>
          <cell r="C762" t="str">
            <v>Vinegar, Balsamic (55 gal drum)</v>
          </cell>
        </row>
        <row r="763">
          <cell r="A763" t="str">
            <v>D230C</v>
          </cell>
          <cell r="C763" t="str">
            <v>Vinegar, Cider Appl Dmstc Btl (4/1 gal) (32#)</v>
          </cell>
        </row>
        <row r="764">
          <cell r="A764" t="str">
            <v>D320J</v>
          </cell>
          <cell r="C764" t="str">
            <v xml:space="preserve">Vinegar, Cider Apple </v>
          </cell>
        </row>
        <row r="765">
          <cell r="A765" t="str">
            <v>D271C</v>
          </cell>
          <cell r="C765" t="str">
            <v>Vinegar, Cider Apple (1/5gal) (40#)</v>
          </cell>
        </row>
        <row r="766">
          <cell r="A766" t="str">
            <v>D247C</v>
          </cell>
          <cell r="C766" t="str">
            <v>Vinegar, Cider Apple 50 Grain, Mizkan (4/1 gal) (32#)</v>
          </cell>
        </row>
        <row r="767">
          <cell r="A767" t="str">
            <v>D258J</v>
          </cell>
          <cell r="C767" t="str">
            <v>Vinegar, Cider Apple 50 Grain, Whitehouse (4/1 gal) (32#)</v>
          </cell>
        </row>
        <row r="768">
          <cell r="A768" t="str">
            <v>D287J</v>
          </cell>
          <cell r="C768" t="str">
            <v>Vinegar, Cider Apple, White (4/1gal)</v>
          </cell>
        </row>
        <row r="769">
          <cell r="A769" t="str">
            <v>D151C</v>
          </cell>
          <cell r="C769" t="str">
            <v>Vinegar, Cider Flavor (4/1 gal) (32#)</v>
          </cell>
        </row>
        <row r="770">
          <cell r="A770" t="str">
            <v>D152C</v>
          </cell>
          <cell r="C770" t="str">
            <v>Vinegar, Red Wine (4/1 gal) (32#)</v>
          </cell>
        </row>
        <row r="771">
          <cell r="A771" t="str">
            <v>D288J</v>
          </cell>
          <cell r="C771" t="str">
            <v>Vinegar, Red Wine Distld, White (4/1gal)</v>
          </cell>
        </row>
        <row r="772">
          <cell r="A772" t="str">
            <v>D153C</v>
          </cell>
          <cell r="C772" t="str">
            <v>Vinegar, Rice (4/1 gal) (32#)</v>
          </cell>
        </row>
        <row r="773">
          <cell r="A773" t="str">
            <v>D289J</v>
          </cell>
          <cell r="C773" t="str">
            <v>Vinegar, Rice, Unseasoned, Maruka (4/1gal)</v>
          </cell>
        </row>
        <row r="774">
          <cell r="A774" t="str">
            <v>D154C</v>
          </cell>
          <cell r="C774" t="str">
            <v>Vinegar, White, 50 Grain, Monarch (4/1 gal) (32#)</v>
          </cell>
        </row>
        <row r="775">
          <cell r="A775" t="str">
            <v>D227D</v>
          </cell>
          <cell r="C775" t="str">
            <v>Vinegar, White, Distilled 120 Grain (465# drum)</v>
          </cell>
        </row>
        <row r="776">
          <cell r="A776" t="str">
            <v>D186P</v>
          </cell>
          <cell r="C776" t="str">
            <v>Vinegar, White, Distilled 120 Grain (50# Pail)</v>
          </cell>
        </row>
        <row r="777">
          <cell r="A777" t="str">
            <v>D273C</v>
          </cell>
          <cell r="C777" t="str">
            <v>Vinegar, White, Distilled, Twelve (4/1gal) (32#)</v>
          </cell>
        </row>
        <row r="778">
          <cell r="A778" t="str">
            <v>D290C</v>
          </cell>
          <cell r="C778" t="str">
            <v>Wine Marsala cook(18L)</v>
          </cell>
        </row>
        <row r="779">
          <cell r="A779" t="str">
            <v>D155C</v>
          </cell>
          <cell r="C779" t="str">
            <v>Wine, Burgundy (25#)</v>
          </cell>
        </row>
        <row r="780">
          <cell r="A780" t="str">
            <v>D322C</v>
          </cell>
          <cell r="C780" t="str">
            <v>Wine, Charddonay, Franz</v>
          </cell>
        </row>
        <row r="781">
          <cell r="A781" t="str">
            <v>D156C</v>
          </cell>
          <cell r="C781" t="str">
            <v>Wine, Chillable Red, (44#)</v>
          </cell>
        </row>
        <row r="782">
          <cell r="A782" t="str">
            <v>D231C</v>
          </cell>
          <cell r="C782" t="str">
            <v>Wine, Cooking, Marsl Dmstc (4/1 gal) (32#)</v>
          </cell>
        </row>
        <row r="783">
          <cell r="A783" t="str">
            <v>D162C</v>
          </cell>
          <cell r="C783" t="str">
            <v>Wine, Cooking, Sherry (4/1 gal) (32#)</v>
          </cell>
        </row>
        <row r="784">
          <cell r="A784" t="str">
            <v>D291D</v>
          </cell>
          <cell r="C784" t="str">
            <v>Wine, Marsala  Cribari</v>
          </cell>
        </row>
        <row r="785">
          <cell r="A785" t="str">
            <v>D157C</v>
          </cell>
          <cell r="C785" t="str">
            <v>Wine, Marsala (55 gal)</v>
          </cell>
        </row>
        <row r="786">
          <cell r="A786" t="str">
            <v>D321C</v>
          </cell>
          <cell r="C786" t="str">
            <v>Wine, Marsala, Cook, Roland (4/1 gal)</v>
          </cell>
        </row>
        <row r="787">
          <cell r="A787" t="str">
            <v>D158C</v>
          </cell>
          <cell r="C787" t="str">
            <v>Wine, Red, Cooking, Monarch (4/1 gal) (32#)</v>
          </cell>
        </row>
        <row r="788">
          <cell r="A788" t="str">
            <v>D159C</v>
          </cell>
          <cell r="C788" t="str">
            <v>Wine, Rice (4/1 gal) (32#)</v>
          </cell>
        </row>
        <row r="789">
          <cell r="A789" t="str">
            <v>D160C</v>
          </cell>
          <cell r="C789" t="str">
            <v>Wine, Rice, Mirin Sweet (6/60oz) (22.5#)</v>
          </cell>
        </row>
        <row r="790">
          <cell r="A790" t="str">
            <v>D170C</v>
          </cell>
          <cell r="C790" t="str">
            <v>Wine, Sauce, Burgundy Red #2450 (50#)</v>
          </cell>
        </row>
        <row r="791">
          <cell r="A791" t="str">
            <v>D161C</v>
          </cell>
          <cell r="C791" t="str">
            <v>Wine, Sauterine, Cooking (4/1 gal) (32#)</v>
          </cell>
        </row>
        <row r="792">
          <cell r="A792" t="str">
            <v>D274D</v>
          </cell>
          <cell r="C792" t="str">
            <v xml:space="preserve">Wine, Sherry </v>
          </cell>
        </row>
        <row r="793">
          <cell r="A793" t="str">
            <v>D191C</v>
          </cell>
          <cell r="C793" t="str">
            <v>Wine, White, Charddonay</v>
          </cell>
        </row>
        <row r="794">
          <cell r="A794"/>
          <cell r="C794"/>
        </row>
        <row r="795">
          <cell r="A795" t="str">
            <v>OD100J</v>
          </cell>
          <cell r="C795" t="str">
            <v>Base, Chicken 12-128, Organic</v>
          </cell>
        </row>
        <row r="796">
          <cell r="A796" t="str">
            <v>C192C</v>
          </cell>
          <cell r="C796" t="str">
            <v>Cilantro, Large, IQF #11120 (30#)</v>
          </cell>
        </row>
        <row r="797">
          <cell r="A797" t="str">
            <v>C193A</v>
          </cell>
          <cell r="C797" t="str">
            <v>Cilantro, Small, IQF (35#)</v>
          </cell>
        </row>
        <row r="798">
          <cell r="A798" t="str">
            <v>E243C</v>
          </cell>
          <cell r="C798" t="str">
            <v>Allspices, Ground (50#)</v>
          </cell>
        </row>
        <row r="799">
          <cell r="A799" t="str">
            <v>E181C</v>
          </cell>
          <cell r="C799" t="str">
            <v>Ancho Chile Powder, #CHILE103 (50#)</v>
          </cell>
        </row>
        <row r="800">
          <cell r="A800" t="str">
            <v>E167C</v>
          </cell>
          <cell r="C800" t="str">
            <v>Ancho Chile Powder, #CX9590 (50#)</v>
          </cell>
        </row>
        <row r="801">
          <cell r="A801" t="str">
            <v>E100C</v>
          </cell>
          <cell r="C801" t="str">
            <v>Baking Powder (10#)</v>
          </cell>
        </row>
        <row r="802">
          <cell r="A802" t="str">
            <v>E101C</v>
          </cell>
          <cell r="C802" t="str">
            <v>Baking Powder (sodium Bicarbonate) (50#)</v>
          </cell>
        </row>
        <row r="803">
          <cell r="A803" t="str">
            <v>E189C</v>
          </cell>
          <cell r="C803" t="str">
            <v>Baking Soda (Sodium Bicarbonate) (24/1#)</v>
          </cell>
        </row>
        <row r="804">
          <cell r="A804" t="str">
            <v>E154C</v>
          </cell>
          <cell r="C804" t="str">
            <v>Basil, Coarse Cut, IQF, Van Drunen (35#)</v>
          </cell>
        </row>
        <row r="805">
          <cell r="A805" t="str">
            <v>E244C</v>
          </cell>
          <cell r="C805" t="str">
            <v>Basil, diced (126)</v>
          </cell>
        </row>
        <row r="806">
          <cell r="A806" t="str">
            <v>E253B</v>
          </cell>
          <cell r="C806" t="str">
            <v>Basil, fancy, Leaves (25#)</v>
          </cell>
        </row>
        <row r="807">
          <cell r="A807" t="str">
            <v>E102C</v>
          </cell>
          <cell r="C807" t="str">
            <v>Basil, Ground (50#)</v>
          </cell>
        </row>
        <row r="808">
          <cell r="A808" t="str">
            <v>E218C</v>
          </cell>
          <cell r="C808" t="str">
            <v>Basil, Ground (50#)</v>
          </cell>
        </row>
        <row r="809">
          <cell r="A809" t="str">
            <v>E149C</v>
          </cell>
          <cell r="C809" t="str">
            <v>Basil, Large, Coarse Cut #10690 (38#)</v>
          </cell>
        </row>
        <row r="810">
          <cell r="A810" t="str">
            <v>E103C</v>
          </cell>
          <cell r="C810" t="str">
            <v>Basil, Leaf, Whole (26oz)</v>
          </cell>
        </row>
        <row r="811">
          <cell r="A811" t="str">
            <v>E104C</v>
          </cell>
          <cell r="C811" t="str">
            <v>Basil, Leaves (16#)</v>
          </cell>
        </row>
        <row r="812">
          <cell r="A812" t="str">
            <v>E182C</v>
          </cell>
          <cell r="C812" t="str">
            <v>Basil, Whole, Untreated, Kosher (55#)</v>
          </cell>
        </row>
        <row r="813">
          <cell r="A813" t="str">
            <v>E105C</v>
          </cell>
          <cell r="C813" t="str">
            <v>Bay Leaves, Ground (25#)</v>
          </cell>
        </row>
        <row r="814">
          <cell r="A814" t="str">
            <v>E203C</v>
          </cell>
          <cell r="C814" t="str">
            <v>Bay Leaves, Whole (15#)</v>
          </cell>
        </row>
        <row r="815">
          <cell r="A815" t="str">
            <v>E155C</v>
          </cell>
          <cell r="C815" t="str">
            <v>Caraway Seed (15#)</v>
          </cell>
        </row>
        <row r="816">
          <cell r="A816" t="str">
            <v>E156C</v>
          </cell>
          <cell r="C816" t="str">
            <v>Cardamon (25#)</v>
          </cell>
        </row>
        <row r="817">
          <cell r="A817" t="str">
            <v>E273C</v>
          </cell>
          <cell r="C817" t="str">
            <v xml:space="preserve">Cardamon, Powder </v>
          </cell>
        </row>
        <row r="818">
          <cell r="A818" t="str">
            <v>E206C</v>
          </cell>
          <cell r="C818" t="str">
            <v>Celery Seed, Ground #715325B (25#)</v>
          </cell>
        </row>
        <row r="819">
          <cell r="A819" t="str">
            <v>E170C</v>
          </cell>
          <cell r="C819" t="str">
            <v>Celery Seed, Ground (14oz)</v>
          </cell>
        </row>
        <row r="820">
          <cell r="A820" t="str">
            <v>E168C</v>
          </cell>
          <cell r="C820" t="str">
            <v>Celery Seed, Ground (50#)</v>
          </cell>
        </row>
        <row r="821">
          <cell r="A821" t="str">
            <v>E183C</v>
          </cell>
          <cell r="C821" t="str">
            <v>Chili Powder Dark, Untreated, Kosher (50#)</v>
          </cell>
        </row>
        <row r="822">
          <cell r="A822" t="str">
            <v>E106C</v>
          </cell>
          <cell r="C822" t="str">
            <v>Chili Powder, #717750B (50#)</v>
          </cell>
        </row>
        <row r="823">
          <cell r="A823" t="str">
            <v>E191C</v>
          </cell>
          <cell r="C823" t="str">
            <v>Chives, 1/8" Chopped, IQF #11070 (30#)</v>
          </cell>
        </row>
        <row r="824">
          <cell r="A824" t="str">
            <v>E195C</v>
          </cell>
          <cell r="C824" t="str">
            <v>Chives, Chopped, Dry 71815B (5#)</v>
          </cell>
        </row>
        <row r="825">
          <cell r="A825" t="str">
            <v>E157C</v>
          </cell>
          <cell r="C825" t="str">
            <v>Cilantro, Medium Cut, IQF #B90.3 (40#)</v>
          </cell>
        </row>
        <row r="826">
          <cell r="A826" t="str">
            <v>E107C</v>
          </cell>
          <cell r="C826" t="str">
            <v>Cinnamon, Ground #718550B (50#)</v>
          </cell>
        </row>
        <row r="827">
          <cell r="A827" t="str">
            <v>E158C</v>
          </cell>
          <cell r="C827" t="str">
            <v>Cloves, Ground (30#)</v>
          </cell>
        </row>
        <row r="828">
          <cell r="A828" t="str">
            <v>E245C</v>
          </cell>
          <cell r="C828" t="str">
            <v>Coconut milk Powder (33#) case</v>
          </cell>
        </row>
        <row r="829">
          <cell r="A829" t="str">
            <v>E274N</v>
          </cell>
          <cell r="C829" t="str">
            <v>Coconut milk, Water</v>
          </cell>
        </row>
        <row r="830">
          <cell r="A830" t="str">
            <v>E238J</v>
          </cell>
          <cell r="C830" t="str">
            <v>Coriander Liquid aquaresin 30-01-19, kalsec (7.5#)</v>
          </cell>
        </row>
        <row r="831">
          <cell r="A831" t="str">
            <v>E159C</v>
          </cell>
          <cell r="C831" t="str">
            <v>Coriander, Ground (25#)</v>
          </cell>
        </row>
        <row r="832">
          <cell r="A832" t="str">
            <v>E108C</v>
          </cell>
          <cell r="C832" t="str">
            <v>Coriander, Ground (39#)</v>
          </cell>
        </row>
        <row r="833">
          <cell r="A833" t="str">
            <v>E196C</v>
          </cell>
          <cell r="C833" t="str">
            <v>Coriander, Ground (6/14oz)</v>
          </cell>
        </row>
        <row r="834">
          <cell r="A834" t="str">
            <v>E160C</v>
          </cell>
          <cell r="C834" t="str">
            <v>Cumin, Ground (25#)</v>
          </cell>
        </row>
        <row r="835">
          <cell r="A835" t="str">
            <v>E184C</v>
          </cell>
          <cell r="C835" t="str">
            <v>Cumin, Ground, Untreated Kosher (50#)</v>
          </cell>
        </row>
        <row r="836">
          <cell r="A836" t="str">
            <v>E109C</v>
          </cell>
          <cell r="C836" t="str">
            <v>Cumin, Seed, Ground, #726950B (50#)</v>
          </cell>
        </row>
        <row r="837">
          <cell r="A837" t="str">
            <v>E240C</v>
          </cell>
          <cell r="C837" t="str">
            <v>Curry, Powder (50#)</v>
          </cell>
        </row>
        <row r="838">
          <cell r="A838" t="str">
            <v>E176B</v>
          </cell>
          <cell r="C838" t="str">
            <v>Dill, Fine Cut, IQF #127 (40# Box)</v>
          </cell>
        </row>
        <row r="839">
          <cell r="A839" t="str">
            <v>E272J</v>
          </cell>
          <cell r="C839" t="str">
            <v>Fennel, Ground (5#) jar</v>
          </cell>
        </row>
        <row r="840">
          <cell r="A840" t="str">
            <v>E270J</v>
          </cell>
          <cell r="C840" t="str">
            <v>Fenugreek Leaves, Dried</v>
          </cell>
        </row>
        <row r="841">
          <cell r="A841" t="str">
            <v>E357C</v>
          </cell>
          <cell r="C841" t="str">
            <v>Fenugreek seeds</v>
          </cell>
        </row>
        <row r="842">
          <cell r="A842" t="str">
            <v>E280C</v>
          </cell>
          <cell r="C842" t="str">
            <v>Fenugreek, Leaves</v>
          </cell>
        </row>
        <row r="843">
          <cell r="A843" t="str">
            <v>E356C</v>
          </cell>
          <cell r="C843" t="str">
            <v>Fermented Rice Extract powder (5390-10, 10 kg/cs, 220474 lbs/cs)</v>
          </cell>
        </row>
        <row r="844">
          <cell r="A844" t="str">
            <v>E266C</v>
          </cell>
          <cell r="C844" t="str">
            <v>Garam Masala</v>
          </cell>
        </row>
        <row r="845">
          <cell r="A845" t="str">
            <v>E110C</v>
          </cell>
          <cell r="C845" t="str">
            <v>Garlic Powder #738150B (50#)</v>
          </cell>
        </row>
        <row r="846">
          <cell r="A846" t="str">
            <v>E148C</v>
          </cell>
          <cell r="C846" t="str">
            <v>Garlic Powder (16oz)</v>
          </cell>
        </row>
        <row r="847">
          <cell r="A847" t="str">
            <v>E197C</v>
          </cell>
          <cell r="C847" t="str">
            <v>Garlic Powder (6#)</v>
          </cell>
        </row>
        <row r="848">
          <cell r="A848" t="str">
            <v>E112C</v>
          </cell>
          <cell r="C848" t="str">
            <v>Garlic, Granulated #736955B (50#)</v>
          </cell>
        </row>
        <row r="849">
          <cell r="A849" t="str">
            <v>E198C</v>
          </cell>
          <cell r="C849" t="str">
            <v>Garlic, Minced Dehydrated #737340B (40#)</v>
          </cell>
        </row>
        <row r="850">
          <cell r="A850" t="str">
            <v>E113C</v>
          </cell>
          <cell r="C850" t="str">
            <v>Garlic, Minced Dehydrated (25#)</v>
          </cell>
        </row>
        <row r="851">
          <cell r="A851" t="str">
            <v>E219C</v>
          </cell>
          <cell r="C851" t="str">
            <v>Garlic, Minced Dehydrated (50#)</v>
          </cell>
        </row>
        <row r="852">
          <cell r="A852" t="str">
            <v>E171B</v>
          </cell>
          <cell r="C852" t="str">
            <v>Ginger, Finely Shred</v>
          </cell>
        </row>
        <row r="853">
          <cell r="A853" t="str">
            <v>E199C</v>
          </cell>
          <cell r="C853" t="str">
            <v>Ginger, Ground (14oz)</v>
          </cell>
        </row>
        <row r="854">
          <cell r="A854" t="str">
            <v>E114C</v>
          </cell>
          <cell r="C854" t="str">
            <v>Ginger, Ground (45#)</v>
          </cell>
        </row>
        <row r="855">
          <cell r="A855" t="str">
            <v>E177B</v>
          </cell>
          <cell r="C855" t="str">
            <v>Lemon Granules, Air Dried -8+35 #367 (40# Box)</v>
          </cell>
        </row>
        <row r="856">
          <cell r="A856" t="str">
            <v>E174B</v>
          </cell>
          <cell r="C856" t="str">
            <v>Lemon Peel Granules (50#)</v>
          </cell>
        </row>
        <row r="857">
          <cell r="A857" t="str">
            <v>E192C</v>
          </cell>
          <cell r="C857" t="str">
            <v>Lemon Peel Granules -10+40 USS, LP104</v>
          </cell>
        </row>
        <row r="858">
          <cell r="A858" t="str">
            <v>E236B</v>
          </cell>
          <cell r="C858" t="str">
            <v>Lemon Powder (50#)  1012</v>
          </cell>
        </row>
        <row r="859">
          <cell r="A859" t="str">
            <v>E193C</v>
          </cell>
          <cell r="C859" t="str">
            <v>Lime Peel Granules -8+40 USS, LI84</v>
          </cell>
        </row>
        <row r="860">
          <cell r="A860" t="str">
            <v>E278B</v>
          </cell>
          <cell r="C860" t="str">
            <v xml:space="preserve">Mace </v>
          </cell>
        </row>
        <row r="861">
          <cell r="A861" t="str">
            <v>E275D</v>
          </cell>
          <cell r="C861" t="str">
            <v>Mango, Powder (20# drum) Dried</v>
          </cell>
        </row>
        <row r="862">
          <cell r="A862" t="str">
            <v>E115C</v>
          </cell>
          <cell r="C862" t="str">
            <v>Marjoram, Ground (45#)</v>
          </cell>
        </row>
        <row r="863">
          <cell r="A863" t="str">
            <v>E161C</v>
          </cell>
          <cell r="C863" t="str">
            <v>Marjoram, Ground (4oz)</v>
          </cell>
        </row>
        <row r="864">
          <cell r="A864" t="str">
            <v>E267C</v>
          </cell>
          <cell r="C864" t="str">
            <v>Marjoram, Leaf Extra Fancy (14 oz)</v>
          </cell>
        </row>
        <row r="865">
          <cell r="A865" t="str">
            <v>E116C</v>
          </cell>
          <cell r="C865" t="str">
            <v>Mushroom Powder, Dehydrated (35#)</v>
          </cell>
        </row>
        <row r="866">
          <cell r="A866" t="str">
            <v>E252C</v>
          </cell>
          <cell r="C866" t="str">
            <v>Mustard Ground (50#)</v>
          </cell>
        </row>
        <row r="867">
          <cell r="A867" t="str">
            <v>E258N</v>
          </cell>
          <cell r="C867" t="str">
            <v>Mustard, Dijon Grained, Roland (11#)</v>
          </cell>
        </row>
        <row r="868">
          <cell r="A868" t="str">
            <v>E246C</v>
          </cell>
          <cell r="C868" t="str">
            <v>Mustard, Dijon, Smooth Bulk, Maille (4/9.1#)</v>
          </cell>
        </row>
        <row r="869">
          <cell r="A869" t="str">
            <v>E220C</v>
          </cell>
          <cell r="C869" t="str">
            <v>Mustard, Powder (5#)</v>
          </cell>
        </row>
        <row r="870">
          <cell r="A870" t="str">
            <v>E117C</v>
          </cell>
          <cell r="C870" t="str">
            <v>Mustard, Pure</v>
          </cell>
        </row>
        <row r="871">
          <cell r="A871" t="str">
            <v>E275B</v>
          </cell>
          <cell r="C871" t="str">
            <v xml:space="preserve">Mustard, Seed Black </v>
          </cell>
        </row>
        <row r="872">
          <cell r="A872" t="str">
            <v>E352C</v>
          </cell>
          <cell r="C872" t="str">
            <v>Mustard, Seed ground, Brown (50#)</v>
          </cell>
        </row>
        <row r="873">
          <cell r="A873" t="str">
            <v>E276B</v>
          </cell>
          <cell r="C873" t="str">
            <v>Nigella Seeds</v>
          </cell>
        </row>
        <row r="874">
          <cell r="A874" t="str">
            <v>E151C</v>
          </cell>
          <cell r="C874" t="str">
            <v>Nutmeg, Ground (18oz)</v>
          </cell>
        </row>
        <row r="875">
          <cell r="A875" t="str">
            <v>E162C</v>
          </cell>
          <cell r="C875" t="str">
            <v>Nutmeg, Ground (30#)</v>
          </cell>
        </row>
        <row r="876">
          <cell r="A876" t="str">
            <v>E118C</v>
          </cell>
          <cell r="C876" t="str">
            <v>Nutmeg, Ground (50#)</v>
          </cell>
        </row>
        <row r="877">
          <cell r="A877" t="str">
            <v>E185C</v>
          </cell>
          <cell r="C877" t="str">
            <v>Nutmeg, Ground, Untreated, Kosher (50#)</v>
          </cell>
        </row>
        <row r="878">
          <cell r="A878" t="str">
            <v>E119C</v>
          </cell>
          <cell r="C878" t="str">
            <v>Old Bay (3/7.5#)</v>
          </cell>
        </row>
        <row r="879">
          <cell r="A879" t="str">
            <v>E120C</v>
          </cell>
          <cell r="C879" t="str">
            <v>Onion Powder #756950B (50#)</v>
          </cell>
        </row>
        <row r="880">
          <cell r="A880" t="str">
            <v>E259C</v>
          </cell>
          <cell r="C880" t="str">
            <v xml:space="preserve">Onion Powder, (6/20 oz) </v>
          </cell>
        </row>
        <row r="881">
          <cell r="A881" t="str">
            <v>E147C</v>
          </cell>
          <cell r="C881" t="str">
            <v>Onion,  Chopped, #755330B (30#)</v>
          </cell>
        </row>
        <row r="882">
          <cell r="A882" t="str">
            <v>E214C</v>
          </cell>
          <cell r="C882" t="str">
            <v>Onion, Chopped, Imported, Untreated (50#)</v>
          </cell>
        </row>
        <row r="883">
          <cell r="A883" t="str">
            <v>E186C</v>
          </cell>
          <cell r="C883" t="str">
            <v>Onion, Chopped, Imported, Untreated, Kosher (33#)</v>
          </cell>
        </row>
        <row r="884">
          <cell r="A884" t="str">
            <v>E194C</v>
          </cell>
          <cell r="C884" t="str">
            <v>Onion, Granulated #756150B (50#)</v>
          </cell>
        </row>
        <row r="885">
          <cell r="A885" t="str">
            <v>E122C</v>
          </cell>
          <cell r="C885" t="str">
            <v>Onions, Chopped, Special Large (125#)</v>
          </cell>
        </row>
        <row r="886">
          <cell r="A886" t="str">
            <v>E121C</v>
          </cell>
          <cell r="C886" t="str">
            <v>Onions, TOASTED Chopped, Large (25#)</v>
          </cell>
        </row>
        <row r="887">
          <cell r="A887" t="str">
            <v>E269C</v>
          </cell>
          <cell r="C887" t="str">
            <v>Orange Juice Powder 1012, (50#)</v>
          </cell>
        </row>
        <row r="888">
          <cell r="A888" t="str">
            <v>E342C</v>
          </cell>
          <cell r="C888" t="str">
            <v>Orange Peel, 1/4" w/o pulp (40#)</v>
          </cell>
        </row>
        <row r="889">
          <cell r="A889" t="str">
            <v>E190C</v>
          </cell>
          <cell r="C889" t="str">
            <v>Oregano, Flakes (2#)</v>
          </cell>
        </row>
        <row r="890">
          <cell r="A890" t="str">
            <v>E221C</v>
          </cell>
          <cell r="C890" t="str">
            <v>Oregano, Flakes (20#)</v>
          </cell>
        </row>
        <row r="891">
          <cell r="A891" t="str">
            <v>E123C</v>
          </cell>
          <cell r="C891" t="str">
            <v>Oregano, Flakes, #758520B (20#)</v>
          </cell>
        </row>
        <row r="892">
          <cell r="A892" t="str">
            <v>E178C</v>
          </cell>
          <cell r="C892" t="str">
            <v>Oregano, Ground (50#)</v>
          </cell>
        </row>
        <row r="893">
          <cell r="A893" t="str">
            <v>E260J</v>
          </cell>
          <cell r="C893" t="str">
            <v>Oregano, Leaf, Tones (5 oz)</v>
          </cell>
        </row>
        <row r="894">
          <cell r="A894" t="str">
            <v>E213C</v>
          </cell>
          <cell r="C894" t="str">
            <v>Paprika (16oz)</v>
          </cell>
        </row>
        <row r="895">
          <cell r="A895" t="str">
            <v>E239J</v>
          </cell>
          <cell r="C895" t="str">
            <v>Paprika, aquaresin 02-040-19, kalsec (7.5#)</v>
          </cell>
        </row>
        <row r="896">
          <cell r="A896" t="str">
            <v>E247C</v>
          </cell>
          <cell r="C896" t="str">
            <v>Paprika, Hot Smoked (55.1#)</v>
          </cell>
        </row>
        <row r="897">
          <cell r="A897" t="str">
            <v>E165C</v>
          </cell>
          <cell r="C897" t="str">
            <v>Paprika, Hungarian, #PG9753 (50#)</v>
          </cell>
        </row>
        <row r="898">
          <cell r="A898" t="str">
            <v>E124C</v>
          </cell>
          <cell r="C898" t="str">
            <v>Paprika, Spanish (50#)</v>
          </cell>
        </row>
        <row r="899">
          <cell r="A899" t="str">
            <v>E226B</v>
          </cell>
          <cell r="C899" t="str">
            <v>Parsley Flakes, Roma  (5#)</v>
          </cell>
        </row>
        <row r="900">
          <cell r="A900" t="str">
            <v>E125C</v>
          </cell>
          <cell r="C900" t="str">
            <v>Parsley, Flakes #760510B (10#)</v>
          </cell>
        </row>
        <row r="901">
          <cell r="A901" t="str">
            <v>E126C</v>
          </cell>
          <cell r="C901" t="str">
            <v>Parsley, Flakes (10oz)</v>
          </cell>
        </row>
        <row r="902">
          <cell r="A902" t="str">
            <v>E338C</v>
          </cell>
          <cell r="C902" t="str">
            <v>Pasta, Linguine (2/10)</v>
          </cell>
        </row>
        <row r="903">
          <cell r="A903" t="str">
            <v>E254B</v>
          </cell>
          <cell r="C903" t="str">
            <v>Peanut Butter, Power (2/25#)</v>
          </cell>
        </row>
        <row r="904">
          <cell r="A904" t="str">
            <v>E127C</v>
          </cell>
          <cell r="C904" t="str">
            <v>Pepper, Black, 32 Mesh, Irradiated (50#)</v>
          </cell>
        </row>
        <row r="905">
          <cell r="A905" t="str">
            <v>E128C</v>
          </cell>
          <cell r="C905" t="str">
            <v>Pepper, Black, Dustless (50#) 30 mesh</v>
          </cell>
        </row>
        <row r="906">
          <cell r="A906" t="str">
            <v>E207C</v>
          </cell>
          <cell r="C906" t="str">
            <v>Pepper, Black, Ground #762150B (50#)</v>
          </cell>
        </row>
        <row r="907">
          <cell r="A907" t="str">
            <v>E129C</v>
          </cell>
          <cell r="C907" t="str">
            <v>Pepper, Cayenne (50#) 10,000 PR9454</v>
          </cell>
        </row>
        <row r="908">
          <cell r="A908" t="str">
            <v xml:space="preserve">e359c </v>
          </cell>
          <cell r="C908" t="str">
            <v>Pepper, Cayenne (50#) 20,000 PR9455</v>
          </cell>
        </row>
        <row r="909">
          <cell r="A909" t="str">
            <v>E351C   </v>
          </cell>
          <cell r="C909" t="str">
            <v>Pepper, Chili Chipotle, ground</v>
          </cell>
        </row>
        <row r="910">
          <cell r="A910" t="str">
            <v>E130C</v>
          </cell>
          <cell r="C910" t="str">
            <v>Pepper, Chipotle,in Adobo Sce Whole (24/7oz)</v>
          </cell>
        </row>
        <row r="911">
          <cell r="A911" t="str">
            <v>E268C</v>
          </cell>
          <cell r="C911" t="str">
            <v>Pepper, Italian Style Ground (5#)</v>
          </cell>
        </row>
        <row r="912">
          <cell r="A912" t="str">
            <v>E248C</v>
          </cell>
          <cell r="C912" t="str">
            <v>Pepper, Pasilla Ancho Ground (50#)</v>
          </cell>
        </row>
        <row r="913">
          <cell r="A913" t="str">
            <v>E261C</v>
          </cell>
          <cell r="C913" t="str">
            <v>Pepper, Red Crushed, toner (13.5oz)</v>
          </cell>
        </row>
        <row r="914">
          <cell r="A914" t="str">
            <v>E131C</v>
          </cell>
          <cell r="C914" t="str">
            <v>Pepper, Red, Coarse Ground (25#)</v>
          </cell>
        </row>
        <row r="915">
          <cell r="A915" t="str">
            <v>E222C</v>
          </cell>
          <cell r="C915" t="str">
            <v>Pepper, Red, Coarse Ground (38#)</v>
          </cell>
        </row>
        <row r="916">
          <cell r="A916" t="str">
            <v>E132C</v>
          </cell>
          <cell r="C916" t="str">
            <v>Pepper, Red, Fine Crushed (40#)</v>
          </cell>
        </row>
        <row r="917">
          <cell r="A917" t="str">
            <v>E169C</v>
          </cell>
          <cell r="C917" t="str">
            <v>Pepper, Red, Flakes, 1/8" (40#)</v>
          </cell>
        </row>
        <row r="918">
          <cell r="A918" t="str">
            <v>E153C</v>
          </cell>
          <cell r="C918" t="str">
            <v>Pepper, Red, Ground (16oz)</v>
          </cell>
        </row>
        <row r="919">
          <cell r="A919" t="str">
            <v>E200C</v>
          </cell>
          <cell r="C919" t="str">
            <v>Pepper, Red, Ground (50#)</v>
          </cell>
        </row>
        <row r="920">
          <cell r="A920" t="str">
            <v>E208C</v>
          </cell>
          <cell r="C920" t="str">
            <v>Pepper, White, Ground #766950B (50#)</v>
          </cell>
        </row>
        <row r="921">
          <cell r="A921" t="str">
            <v>E227B</v>
          </cell>
          <cell r="C921" t="str">
            <v>Pepper, White, Ground #766965B (65#)</v>
          </cell>
        </row>
        <row r="922">
          <cell r="A922" t="str">
            <v>E133C</v>
          </cell>
          <cell r="C922" t="str">
            <v>Pepper, White, Ground (25#)</v>
          </cell>
        </row>
        <row r="923">
          <cell r="A923" t="str">
            <v>E277B</v>
          </cell>
          <cell r="C923" t="str">
            <v>Pomegranate Seeds</v>
          </cell>
        </row>
        <row r="924">
          <cell r="A924" t="str">
            <v>E163C</v>
          </cell>
          <cell r="C924" t="str">
            <v>Poultry Seasoning #769125B (25#)</v>
          </cell>
        </row>
        <row r="925">
          <cell r="A925" t="str">
            <v>E262B</v>
          </cell>
          <cell r="C925" t="str">
            <v>Pumpkin Pie Spice (6/16 oz)</v>
          </cell>
        </row>
        <row r="926">
          <cell r="A926" t="str">
            <v>E134C</v>
          </cell>
          <cell r="C926" t="str">
            <v>Roast Beef Rub (50#)</v>
          </cell>
        </row>
        <row r="927">
          <cell r="A927" t="str">
            <v>E223C</v>
          </cell>
          <cell r="C927" t="str">
            <v>Rosemary, Ground (25#)</v>
          </cell>
        </row>
        <row r="928">
          <cell r="A928" t="str">
            <v>E135C</v>
          </cell>
          <cell r="C928" t="str">
            <v>Rosemary, Ground (40#)</v>
          </cell>
        </row>
        <row r="929">
          <cell r="A929" t="str">
            <v>E187C</v>
          </cell>
          <cell r="C929" t="str">
            <v>Rosemary, Ground, Untreated, Kosher (55#)</v>
          </cell>
        </row>
        <row r="930">
          <cell r="A930" t="str">
            <v>E136C</v>
          </cell>
          <cell r="C930" t="str">
            <v>Rosemary, Leaf, Whole (6oz)</v>
          </cell>
        </row>
        <row r="931">
          <cell r="A931" t="str">
            <v>E354C</v>
          </cell>
          <cell r="C931" t="str">
            <v>Rotisserie seasoning 59160A2, V3</v>
          </cell>
        </row>
        <row r="932">
          <cell r="A932" t="str">
            <v>E204C</v>
          </cell>
          <cell r="C932" t="str">
            <v>Sage, Coarse Cut, IQF</v>
          </cell>
        </row>
        <row r="933">
          <cell r="A933" t="str">
            <v>E201C</v>
          </cell>
          <cell r="C933" t="str">
            <v>Sage, Rubbed #771325B (25#)</v>
          </cell>
        </row>
        <row r="934">
          <cell r="A934" t="str">
            <v>E202C</v>
          </cell>
          <cell r="C934" t="str">
            <v>Sage, Rubbed (33#)</v>
          </cell>
        </row>
        <row r="935">
          <cell r="A935" t="str">
            <v>E137C</v>
          </cell>
          <cell r="C935" t="str">
            <v>Sage, Rubbed (50#)</v>
          </cell>
        </row>
        <row r="936">
          <cell r="A936" t="str">
            <v>E138C</v>
          </cell>
          <cell r="C936" t="str">
            <v>Sage, Rubbed (6/5oz)</v>
          </cell>
        </row>
        <row r="937">
          <cell r="A937" t="str">
            <v>E237B</v>
          </cell>
          <cell r="C937" t="str">
            <v xml:space="preserve">Sal, Sea  </v>
          </cell>
        </row>
        <row r="938">
          <cell r="A938" t="str">
            <v>E235B</v>
          </cell>
          <cell r="C938" t="str">
            <v>Sal, Sea, Natural 57%</v>
          </cell>
        </row>
        <row r="939">
          <cell r="A939" t="str">
            <v>E140C</v>
          </cell>
          <cell r="C939" t="str">
            <v>Salt (80#)</v>
          </cell>
        </row>
        <row r="940">
          <cell r="A940" t="str">
            <v>E271B</v>
          </cell>
          <cell r="C940" t="str">
            <v>Salt, Black</v>
          </cell>
        </row>
        <row r="941">
          <cell r="A941" t="str">
            <v>E281B</v>
          </cell>
          <cell r="C941" t="str">
            <v>Salt, Black</v>
          </cell>
        </row>
        <row r="942">
          <cell r="A942" t="str">
            <v>E180C</v>
          </cell>
          <cell r="C942" t="str">
            <v>Salt, Encapsulated, Meatshure 619 (55#)</v>
          </cell>
        </row>
        <row r="943">
          <cell r="A943" t="str">
            <v>E249B</v>
          </cell>
          <cell r="C943" t="str">
            <v>Salt, Iodized Bulk Pocaho (25#)</v>
          </cell>
        </row>
        <row r="944">
          <cell r="A944" t="str">
            <v>E215C</v>
          </cell>
          <cell r="C944" t="str">
            <v>Salt, Iodized Granular, West Creek (25#)</v>
          </cell>
        </row>
        <row r="945">
          <cell r="A945" t="str">
            <v>E257C</v>
          </cell>
          <cell r="C945" t="str">
            <v xml:space="preserve">Salt, Kosher  </v>
          </cell>
        </row>
        <row r="946">
          <cell r="A946" t="str">
            <v>E141C</v>
          </cell>
          <cell r="C946" t="str">
            <v>Salt, Kosher (12/3#)</v>
          </cell>
        </row>
        <row r="947">
          <cell r="A947" t="str">
            <v>E255B</v>
          </cell>
          <cell r="C947" t="str">
            <v>Salt, Morton, table salt (25#)</v>
          </cell>
        </row>
        <row r="948">
          <cell r="A948" t="str">
            <v>E228B</v>
          </cell>
          <cell r="C948" t="str">
            <v>Salt, Sea Purified, Cargil (50#)</v>
          </cell>
        </row>
        <row r="949">
          <cell r="A949" t="str">
            <v>E139C</v>
          </cell>
          <cell r="C949" t="str">
            <v>Salt, Table Iodz (25#)</v>
          </cell>
        </row>
        <row r="950">
          <cell r="A950" t="str">
            <v>E279J</v>
          </cell>
          <cell r="C950" t="str">
            <v>Seasoning, Cajun</v>
          </cell>
        </row>
        <row r="951">
          <cell r="A951" t="str">
            <v>E341B</v>
          </cell>
          <cell r="C951" t="str">
            <v>Seasoning690231-X1 butter type chicken</v>
          </cell>
        </row>
        <row r="952">
          <cell r="A952" t="str">
            <v>E355C</v>
          </cell>
          <cell r="C952" t="str">
            <v>Shitake Extract powder (2170-25) (25 kg/cs, 55.109 lbs/cs)</v>
          </cell>
        </row>
        <row r="953">
          <cell r="A953" t="str">
            <v>E188C</v>
          </cell>
          <cell r="C953" t="str">
            <v>Sodium Chloride, Encapsulated, Meatshure 619 (55#)</v>
          </cell>
        </row>
        <row r="954">
          <cell r="A954" t="str">
            <v>E150C</v>
          </cell>
          <cell r="C954" t="str">
            <v>Spearimint, Medium (30#)</v>
          </cell>
        </row>
        <row r="955">
          <cell r="A955" t="str">
            <v>E164C</v>
          </cell>
          <cell r="C955" t="str">
            <v>Spearmint, Coarse Cut, IQF (35#)</v>
          </cell>
        </row>
        <row r="956">
          <cell r="A956" t="str">
            <v>E353C</v>
          </cell>
          <cell r="C956" t="str">
            <v>Spice Blend Backening #202905 (5 lbs)</v>
          </cell>
        </row>
        <row r="957">
          <cell r="A957" t="str">
            <v>E339B</v>
          </cell>
          <cell r="C957" t="str">
            <v>Spice, Mexican blend (25#)</v>
          </cell>
        </row>
        <row r="958">
          <cell r="A958" t="str">
            <v>E283C</v>
          </cell>
          <cell r="C958" t="str">
            <v>Spice, Rotisserie (25#)</v>
          </cell>
        </row>
        <row r="959">
          <cell r="A959" t="str">
            <v>E340B</v>
          </cell>
          <cell r="C959" t="str">
            <v>Spice, Sriracha blend (25#)</v>
          </cell>
        </row>
        <row r="960">
          <cell r="A960" t="str">
            <v>E209B</v>
          </cell>
          <cell r="C960" t="str">
            <v>Sugar, Brown Dark (50#)</v>
          </cell>
        </row>
        <row r="961">
          <cell r="A961" t="str">
            <v>E229B</v>
          </cell>
          <cell r="C961" t="str">
            <v>Sugar, Brown Dark (50#)</v>
          </cell>
        </row>
        <row r="962">
          <cell r="A962" t="str">
            <v>E250B</v>
          </cell>
          <cell r="C962" t="str">
            <v>Sugar, Brown Dark, Dixie (12/2#)</v>
          </cell>
        </row>
        <row r="963">
          <cell r="A963" t="str">
            <v>E224B</v>
          </cell>
          <cell r="C963" t="str">
            <v>Sugar, Brown Dark, Dixie (24/1#)</v>
          </cell>
        </row>
        <row r="964">
          <cell r="A964" t="str">
            <v>E225B</v>
          </cell>
          <cell r="C964" t="str">
            <v>Sugar, Brown Dark, Dixie (50#)</v>
          </cell>
        </row>
        <row r="965">
          <cell r="A965" t="str">
            <v>E152C</v>
          </cell>
          <cell r="C965" t="str">
            <v>Sugar, Brown Dark, Domino (50#)</v>
          </cell>
        </row>
        <row r="966">
          <cell r="A966" t="str">
            <v>E212B</v>
          </cell>
          <cell r="C966" t="str">
            <v>Sugar, Brown Dark, Imp (50#)</v>
          </cell>
        </row>
        <row r="967">
          <cell r="A967" t="str">
            <v>E251B</v>
          </cell>
          <cell r="C967" t="str">
            <v>Sugar, Brown Ligh, Dixie (12/2#)</v>
          </cell>
        </row>
        <row r="968">
          <cell r="A968" t="str">
            <v>E142C</v>
          </cell>
          <cell r="C968" t="str">
            <v>Sugar, Brown Light (50#)</v>
          </cell>
        </row>
        <row r="969">
          <cell r="A969" t="str">
            <v>E143C</v>
          </cell>
          <cell r="C969" t="str">
            <v>Sugar, Brown Light (50#)</v>
          </cell>
        </row>
        <row r="970">
          <cell r="A970" t="str">
            <v>E210B</v>
          </cell>
          <cell r="C970" t="str">
            <v>Sugar, Brown Light (50#)</v>
          </cell>
        </row>
        <row r="971">
          <cell r="A971" t="str">
            <v>E230B</v>
          </cell>
          <cell r="C971" t="str">
            <v>Sugar, Brown Light (50#)</v>
          </cell>
        </row>
        <row r="972">
          <cell r="A972" t="str">
            <v>E263B</v>
          </cell>
          <cell r="C972" t="str">
            <v>Sugar, Brown Light (7#) Baker &amp; Chef</v>
          </cell>
        </row>
        <row r="973">
          <cell r="A973" t="str">
            <v>E231B</v>
          </cell>
          <cell r="C973" t="str">
            <v>Sugar, Brown Light Dixie (50#)</v>
          </cell>
        </row>
        <row r="974">
          <cell r="A974" t="str">
            <v>E216C</v>
          </cell>
          <cell r="C974" t="str">
            <v>Sugar, Brown Light, West Creek (50#)</v>
          </cell>
        </row>
        <row r="975">
          <cell r="A975" t="str">
            <v>E233B</v>
          </cell>
          <cell r="C975" t="str">
            <v>Sugar, Gran, Extra Fine Imperial (50#)</v>
          </cell>
        </row>
        <row r="976">
          <cell r="A976" t="str">
            <v>E234B</v>
          </cell>
          <cell r="C976" t="str">
            <v>Sugar, White Gran, extra Fine (50#)</v>
          </cell>
        </row>
        <row r="977">
          <cell r="A977" t="str">
            <v>E217C</v>
          </cell>
          <cell r="C977" t="str">
            <v>Sugar, White Gran, Extra Fine, Silver Sou (50#)</v>
          </cell>
        </row>
        <row r="978">
          <cell r="A978" t="str">
            <v>E232B</v>
          </cell>
          <cell r="C978" t="str">
            <v>Sugar, White Gran, Extra Fine, West Creek (50#)</v>
          </cell>
        </row>
        <row r="979">
          <cell r="A979" t="str">
            <v>E144C</v>
          </cell>
          <cell r="C979" t="str">
            <v>Sugar, White Gran, Monarch (50#)</v>
          </cell>
        </row>
        <row r="980">
          <cell r="A980" t="str">
            <v>E211B</v>
          </cell>
          <cell r="C980" t="str">
            <v>Sugar, White Granulated (50#)</v>
          </cell>
        </row>
        <row r="981">
          <cell r="A981" t="str">
            <v>E264B</v>
          </cell>
          <cell r="C981" t="str">
            <v>Sugar, White, Cristal (25#)</v>
          </cell>
        </row>
        <row r="982">
          <cell r="A982" t="str">
            <v>E264C</v>
          </cell>
          <cell r="C982" t="str">
            <v>Sugar, White, Granular, X-fine, Dixie (50#)</v>
          </cell>
        </row>
        <row r="983">
          <cell r="A983" t="str">
            <v>E265C</v>
          </cell>
          <cell r="C983" t="str">
            <v xml:space="preserve">Tarragon, Leaf, dry </v>
          </cell>
        </row>
        <row r="984">
          <cell r="A984" t="str">
            <v>E256P</v>
          </cell>
          <cell r="C984" t="str">
            <v>Thai, Green Curry Paste</v>
          </cell>
        </row>
        <row r="985">
          <cell r="A985" t="str">
            <v>E205C</v>
          </cell>
          <cell r="C985" t="str">
            <v>Thyme, Fine Cut, IQF</v>
          </cell>
        </row>
        <row r="986">
          <cell r="A986" t="str">
            <v>E145C</v>
          </cell>
          <cell r="C986" t="str">
            <v>Thyme, Ground (50#)</v>
          </cell>
        </row>
        <row r="987">
          <cell r="A987" t="str">
            <v>E241C</v>
          </cell>
          <cell r="C987" t="str">
            <v>Thyme, Whole (50#)</v>
          </cell>
        </row>
        <row r="988">
          <cell r="A988" t="str">
            <v>E343B</v>
          </cell>
          <cell r="C988" t="str">
            <v>Tikka Masala Blend, 30121B2 (50#)</v>
          </cell>
        </row>
        <row r="989">
          <cell r="A989" t="str">
            <v>E242C</v>
          </cell>
          <cell r="C989" t="str">
            <v>Turmeric, Ground (50#)</v>
          </cell>
        </row>
        <row r="990">
          <cell r="A990" t="str">
            <v>E146C</v>
          </cell>
          <cell r="C990" t="str">
            <v>Wasbi Powder (2#)</v>
          </cell>
        </row>
        <row r="991">
          <cell r="A991"/>
          <cell r="C991"/>
        </row>
        <row r="992">
          <cell r="A992" t="str">
            <v>OE100B</v>
          </cell>
          <cell r="C992" t="str">
            <v>Sugar, White, Granulated Organic</v>
          </cell>
        </row>
        <row r="994">
          <cell r="A994" t="str">
            <v>Lime Powder</v>
          </cell>
          <cell r="C994" t="str">
            <v>Lime 1200, Powder (50#)</v>
          </cell>
        </row>
        <row r="995">
          <cell r="A995"/>
          <cell r="C995"/>
        </row>
        <row r="996">
          <cell r="A996"/>
          <cell r="C996"/>
        </row>
        <row r="997">
          <cell r="A997" t="str">
            <v>ACTOBIND</v>
          </cell>
          <cell r="C997" t="str">
            <v>Actobind 2000N</v>
          </cell>
        </row>
        <row r="998">
          <cell r="A998" t="str">
            <v>BASMATIC</v>
          </cell>
          <cell r="C998" t="str">
            <v>Rice, Basmatic, Autentic (6/2)#16313</v>
          </cell>
        </row>
        <row r="999">
          <cell r="A999" t="str">
            <v>F252B</v>
          </cell>
          <cell r="C999" t="str">
            <v>Actobind 6900</v>
          </cell>
        </row>
        <row r="1000">
          <cell r="A1000" t="str">
            <v>F100C</v>
          </cell>
          <cell r="C1000" t="str">
            <v>Actoloid (50#)</v>
          </cell>
        </row>
        <row r="1001">
          <cell r="A1001" t="str">
            <v>F138B</v>
          </cell>
          <cell r="C1001" t="str">
            <v>Alpha DS, Solae (44# Bag)</v>
          </cell>
        </row>
        <row r="1002">
          <cell r="A1002" t="str">
            <v>F187B</v>
          </cell>
          <cell r="C1002" t="str">
            <v>Arcon T U-272 (ADM 158-272), Soy Flour  (25#)</v>
          </cell>
        </row>
        <row r="1003">
          <cell r="A1003" t="str">
            <v>F139B</v>
          </cell>
          <cell r="C1003" t="str">
            <v>Arcon-S (ADM) Textured Soy Protein (44#)</v>
          </cell>
        </row>
        <row r="1004">
          <cell r="A1004" t="str">
            <v>F177B</v>
          </cell>
          <cell r="C1004" t="str">
            <v>Biogard ND B Concentrate (Cul Dextrose), (50#)</v>
          </cell>
        </row>
        <row r="1005">
          <cell r="A1005" t="str">
            <v>F346B</v>
          </cell>
          <cell r="C1005" t="str">
            <v>Bread crumb B600004 (25#)</v>
          </cell>
        </row>
        <row r="1006">
          <cell r="A1006" t="str">
            <v>F216B</v>
          </cell>
          <cell r="C1006" t="str">
            <v>Bread Crumb Plain (6/5#) Pacer Lab Brading</v>
          </cell>
        </row>
        <row r="1007">
          <cell r="A1007" t="str">
            <v>F336B</v>
          </cell>
          <cell r="C1007" t="str">
            <v>Bread Crumb, Whole Wheat, Panko (25#)</v>
          </cell>
        </row>
        <row r="1008">
          <cell r="A1008" t="str">
            <v>F101C</v>
          </cell>
          <cell r="C1008" t="str">
            <v>Bread Crumbs (#7034) (30#) *DISC*</v>
          </cell>
        </row>
        <row r="1009">
          <cell r="A1009" t="str">
            <v>F341B</v>
          </cell>
          <cell r="C1009" t="str">
            <v>Bread crumbs 78573, 80/20 shred (35#)</v>
          </cell>
        </row>
        <row r="1010">
          <cell r="A1010" t="str">
            <v>F338B</v>
          </cell>
          <cell r="C1010" t="str">
            <v>Bread Crumbs B70216 (50#) Newly Weds</v>
          </cell>
        </row>
        <row r="1011">
          <cell r="A1011" t="str">
            <v>F154B</v>
          </cell>
          <cell r="C1011" t="str">
            <v>Bread Crumbs, B72014 xl, Newly Weds (50#)</v>
          </cell>
        </row>
        <row r="1012">
          <cell r="A1012" t="str">
            <v>F102C</v>
          </cell>
          <cell r="C1012" t="str">
            <v>Bread Crumbs, Plain Med Chefs Fnst (15#)</v>
          </cell>
        </row>
        <row r="1013">
          <cell r="A1013" t="str">
            <v>F332C</v>
          </cell>
          <cell r="C1013" t="str">
            <v>Bread, brioche loaf (12 lbs/cs)</v>
          </cell>
        </row>
        <row r="1014">
          <cell r="A1014" t="str">
            <v>F242C</v>
          </cell>
          <cell r="C1014" t="str">
            <v>Bread, Crumbs Med Grind Pl. L'Espr. (1/15#)</v>
          </cell>
        </row>
        <row r="1015">
          <cell r="A1015" t="str">
            <v>F228C</v>
          </cell>
          <cell r="C1015" t="str">
            <v>Bread, Crumbs, gluten Free A90584-X1 Newly Weds(50#)</v>
          </cell>
        </row>
        <row r="1016">
          <cell r="A1016" t="str">
            <v>F251B</v>
          </cell>
          <cell r="C1016" t="str">
            <v>Breading, Panko (25#)</v>
          </cell>
        </row>
        <row r="1017">
          <cell r="A1017" t="str">
            <v>F168C</v>
          </cell>
          <cell r="C1017" t="str">
            <v>Carrageenan, CI-200 ISO (50#)</v>
          </cell>
        </row>
        <row r="1018">
          <cell r="A1018" t="str">
            <v>F196C</v>
          </cell>
          <cell r="C1018" t="str">
            <v>Carrot Fiber (26.4552#)</v>
          </cell>
        </row>
        <row r="1019">
          <cell r="A1019" t="str">
            <v>F141B</v>
          </cell>
          <cell r="C1019" t="str">
            <v>Centex 4140 (Textured Vegetable Protein) *DISC*</v>
          </cell>
        </row>
        <row r="1020">
          <cell r="A1020" t="str">
            <v>F330C</v>
          </cell>
          <cell r="C1020" t="str">
            <v>Chanal Dal (4#x10)</v>
          </cell>
        </row>
        <row r="1021">
          <cell r="A1021" t="str">
            <v>F103B</v>
          </cell>
          <cell r="C1021" t="str">
            <v>Citric Acid, FCC Fine Granulated (50#)</v>
          </cell>
        </row>
        <row r="1022">
          <cell r="A1022" t="str">
            <v>F153B</v>
          </cell>
          <cell r="C1022" t="str">
            <v>Citric Acid, Fine Granular, Tate &amp; Lyle (50# Bag)</v>
          </cell>
        </row>
        <row r="1023">
          <cell r="A1023" t="str">
            <v>F197B</v>
          </cell>
          <cell r="C1023" t="str">
            <v>CMC 7MF FCC, Aqualon (50#)</v>
          </cell>
        </row>
        <row r="1024">
          <cell r="A1024" t="str">
            <v>F104B</v>
          </cell>
          <cell r="C1024" t="str">
            <v xml:space="preserve">Contex, 31 CL (44#) colored </v>
          </cell>
        </row>
        <row r="1025">
          <cell r="A1025" t="str">
            <v>F105C</v>
          </cell>
          <cell r="C1025" t="str">
            <v>Corn Husk (4#)</v>
          </cell>
        </row>
        <row r="1026">
          <cell r="A1026" t="str">
            <v>F377B</v>
          </cell>
          <cell r="C1026" t="str">
            <v>Corn shred , 78582 935 lbs/bag , 21 bags/pallet)</v>
          </cell>
        </row>
        <row r="1027">
          <cell r="A1027" t="str">
            <v>F334B</v>
          </cell>
          <cell r="C1027" t="str">
            <v>Cornbread Mix B77379, Newly Weds</v>
          </cell>
        </row>
        <row r="1028">
          <cell r="A1028" t="str">
            <v>F247B</v>
          </cell>
          <cell r="C1028" t="str">
            <v>Cornmeal, Yellow Fine, Pacer lab (50#)</v>
          </cell>
        </row>
        <row r="1029">
          <cell r="A1029" t="str">
            <v>F184B</v>
          </cell>
          <cell r="C1029" t="str">
            <v>Cornmeal, Yellow, Granular (50#)</v>
          </cell>
        </row>
        <row r="1030">
          <cell r="A1030" t="str">
            <v>F222B</v>
          </cell>
          <cell r="C1030" t="str">
            <v>Cornmeal, Yellow, Plain, Atkinson (25#)</v>
          </cell>
        </row>
        <row r="1031">
          <cell r="A1031" t="str">
            <v>F223C</v>
          </cell>
          <cell r="C1031" t="str">
            <v>Croutons, Plain, Fresh Gourmet</v>
          </cell>
        </row>
        <row r="1032">
          <cell r="A1032" t="str">
            <v>F213B</v>
          </cell>
          <cell r="C1032" t="str">
            <v>Croutons,# B78151 replace #B78059 -X1, Newly Weds (450#)</v>
          </cell>
        </row>
        <row r="1033">
          <cell r="A1033" t="str">
            <v>F175B</v>
          </cell>
          <cell r="C1033" t="str">
            <v>Croutons,B78151 replace #B78059 -X1, Newly Weds</v>
          </cell>
        </row>
        <row r="1034">
          <cell r="A1034" t="str">
            <v>F155B</v>
          </cell>
          <cell r="C1034" t="str">
            <v>Dextrose - Powdered, Derived from Corn (50#)</v>
          </cell>
        </row>
        <row r="1035">
          <cell r="A1035" t="str">
            <v>F217</v>
          </cell>
          <cell r="C1035" t="str">
            <v>Dumpling, Dough, Strips, Mary B'S</v>
          </cell>
        </row>
        <row r="1036">
          <cell r="A1036" t="str">
            <v>F150B</v>
          </cell>
          <cell r="C1036" t="str">
            <v>Firm Tex, National Starch (50# Bag)</v>
          </cell>
        </row>
        <row r="1037">
          <cell r="A1037" t="str">
            <v>F204B</v>
          </cell>
          <cell r="C1037" t="str">
            <v xml:space="preserve">Flour, All Purpose Plain, Roma (50#) </v>
          </cell>
        </row>
        <row r="1038">
          <cell r="A1038" t="str">
            <v>F225B</v>
          </cell>
          <cell r="C1038" t="str">
            <v>Flour, all purpose, Gluten Free, Bloomfield Farm (25#)</v>
          </cell>
        </row>
        <row r="1039">
          <cell r="A1039" t="str">
            <v>F224B</v>
          </cell>
          <cell r="C1039" t="str">
            <v>Flour, All Purpose, Renwood Mills (50#)</v>
          </cell>
        </row>
        <row r="1040">
          <cell r="A1040" t="str">
            <v>F191B</v>
          </cell>
          <cell r="C1040" t="str">
            <v xml:space="preserve">Flour, Corn Masa, Yellow , Azteca (50#) </v>
          </cell>
        </row>
        <row r="1041">
          <cell r="A1041" t="str">
            <v>F144B</v>
          </cell>
          <cell r="C1041" t="str">
            <v>Flour, H&amp;R, Brighton Mills (50#)</v>
          </cell>
        </row>
        <row r="1042">
          <cell r="A1042" t="str">
            <v>F248B</v>
          </cell>
          <cell r="C1042" t="str">
            <v>Flour, High Gluten, General</v>
          </cell>
        </row>
        <row r="1043">
          <cell r="A1043" t="str">
            <v>F106B</v>
          </cell>
          <cell r="C1043" t="str">
            <v>Flour, Hotel &amp; Rstnt AP Blchd, Hilltop (50#)</v>
          </cell>
        </row>
        <row r="1044">
          <cell r="A1044" t="str">
            <v>F214B</v>
          </cell>
          <cell r="C1044" t="str">
            <v xml:space="preserve">Flour, Maseca (10/4.4#) </v>
          </cell>
        </row>
        <row r="1045">
          <cell r="A1045" t="str">
            <v>F167B</v>
          </cell>
          <cell r="C1045" t="str">
            <v>Flour, Mustard Yellow, Ground #1 (44.09# Bag)</v>
          </cell>
        </row>
        <row r="1046">
          <cell r="A1046" t="str">
            <v>F146B</v>
          </cell>
          <cell r="C1046" t="str">
            <v>Flour, Rice</v>
          </cell>
        </row>
        <row r="1047">
          <cell r="A1047" t="str">
            <v>F221B</v>
          </cell>
          <cell r="C1047" t="str">
            <v>Flour, Wheat</v>
          </cell>
        </row>
        <row r="1048">
          <cell r="A1048" t="str">
            <v>F157B</v>
          </cell>
          <cell r="C1048" t="str">
            <v>Glucono Delta Lactone, PMP Fermentation (55#)</v>
          </cell>
        </row>
        <row r="1049">
          <cell r="A1049" t="str">
            <v>F254C</v>
          </cell>
          <cell r="C1049" t="str">
            <v>Gum, Guar</v>
          </cell>
        </row>
        <row r="1050">
          <cell r="A1050" t="str">
            <v>F342B</v>
          </cell>
          <cell r="C1050" t="str">
            <v>Kelgum</v>
          </cell>
        </row>
        <row r="1051">
          <cell r="A1051" t="str">
            <v>F379C</v>
          </cell>
          <cell r="C1051" t="str">
            <v>Lasagna sheet 217 (8.5"x10.5", 5 oz 10 lbs/cs)</v>
          </cell>
        </row>
        <row r="1052">
          <cell r="A1052" t="str">
            <v>F378C</v>
          </cell>
          <cell r="C1052" t="str">
            <v>Lasagna sheet, IQF #74104PP (8x10), 180 cs/pallet</v>
          </cell>
        </row>
        <row r="1053">
          <cell r="A1053" t="str">
            <v>F349C</v>
          </cell>
          <cell r="C1053" t="str">
            <v>Lasagna, Sheet Cheese 213 (10#, 255 cs/pallet)</v>
          </cell>
        </row>
        <row r="1054">
          <cell r="A1054" t="str">
            <v>F350C</v>
          </cell>
          <cell r="C1054" t="str">
            <v>Lasagna, Sheet Mexican 214 (10#, 255 cs/pallet)</v>
          </cell>
        </row>
        <row r="1055">
          <cell r="A1055" t="str">
            <v>F348C</v>
          </cell>
          <cell r="C1055" t="str">
            <v>Lasagna, sheet Vegetable 212 (10#, 255 cs/pallet)</v>
          </cell>
        </row>
        <row r="1056">
          <cell r="A1056" t="str">
            <v>F361C</v>
          </cell>
          <cell r="C1056" t="str">
            <v>Lasagna, Sheet, Meat #215</v>
          </cell>
        </row>
        <row r="1057">
          <cell r="A1057" t="str">
            <v>F241C</v>
          </cell>
          <cell r="C1057" t="str">
            <v>Lentils, Green French (6/2#)</v>
          </cell>
        </row>
        <row r="1058">
          <cell r="A1058" t="str">
            <v>F107B</v>
          </cell>
          <cell r="C1058" t="str">
            <v>Maltodextrin (50#)</v>
          </cell>
        </row>
        <row r="1059">
          <cell r="A1059" t="str">
            <v>F368B</v>
          </cell>
          <cell r="C1059" t="str">
            <v>Massor Dal (55 lbs/cs)</v>
          </cell>
        </row>
        <row r="1060">
          <cell r="A1060" t="str">
            <v>F108B</v>
          </cell>
          <cell r="C1060" t="str">
            <v>Mississippi Lime (50#)</v>
          </cell>
        </row>
        <row r="1061">
          <cell r="A1061" t="str">
            <v>F367B</v>
          </cell>
          <cell r="C1061" t="str">
            <v>Moong Dal (4 lbs, 10 bags/cs)</v>
          </cell>
        </row>
        <row r="1062">
          <cell r="A1062" t="str">
            <v>F193C</v>
          </cell>
          <cell r="C1062" t="str">
            <v>Noodles, Angel Hair Pasta, Roseli (2/10#)</v>
          </cell>
        </row>
        <row r="1063">
          <cell r="A1063" t="str">
            <v>F194C</v>
          </cell>
          <cell r="C1063" t="str">
            <v>Noodles, Bow Tie Farfl Pasta, Roseli (2/5#)</v>
          </cell>
        </row>
        <row r="1064">
          <cell r="A1064" t="str">
            <v>F176C</v>
          </cell>
          <cell r="C1064" t="str">
            <v>Noodles, Cappelinni</v>
          </cell>
        </row>
        <row r="1065">
          <cell r="A1065" t="str">
            <v>F109C</v>
          </cell>
          <cell r="C1065" t="str">
            <v>Noodles, Egg (10#)</v>
          </cell>
        </row>
        <row r="1066">
          <cell r="A1066" t="str">
            <v>F110C</v>
          </cell>
          <cell r="C1066" t="str">
            <v>Noodles, Egg, Harvest (10#)</v>
          </cell>
        </row>
        <row r="1067">
          <cell r="A1067" t="str">
            <v>F111C</v>
          </cell>
          <cell r="C1067" t="str">
            <v>Noodles, Egg, Wide. Roseli (2/5#)</v>
          </cell>
        </row>
        <row r="1068">
          <cell r="A1068" t="str">
            <v>F112C</v>
          </cell>
          <cell r="C1068" t="str">
            <v>Noodles, Elbow Macaroni (20#)</v>
          </cell>
        </row>
        <row r="1069">
          <cell r="A1069" t="str">
            <v>F249C</v>
          </cell>
          <cell r="C1069" t="str">
            <v>Noodles, Elbow Macaroni, Corton (2/10#)</v>
          </cell>
        </row>
        <row r="1070">
          <cell r="A1070" t="str">
            <v>F113C</v>
          </cell>
          <cell r="C1070" t="str">
            <v>Noodles, Elbow Macaroni, Harvest (2/10#)</v>
          </cell>
        </row>
        <row r="1071">
          <cell r="A1071" t="str">
            <v>F208C</v>
          </cell>
          <cell r="C1071" t="str">
            <v>Noodles, Elbow Macaroni, Luigi (20#)</v>
          </cell>
        </row>
        <row r="1072">
          <cell r="A1072" t="str">
            <v>F114C</v>
          </cell>
          <cell r="C1072" t="str">
            <v>Noodles, Elbow Macaroni, Mama Lucci (20#)</v>
          </cell>
        </row>
        <row r="1073">
          <cell r="A1073" t="str">
            <v>F115C</v>
          </cell>
          <cell r="C1073" t="str">
            <v>Noodles, Farfalle Pasta, Roseli (10#)</v>
          </cell>
        </row>
        <row r="1074">
          <cell r="A1074" t="str">
            <v>F116C</v>
          </cell>
          <cell r="C1074" t="str">
            <v>Noodles, Fettuccini (10#)</v>
          </cell>
        </row>
        <row r="1075">
          <cell r="A1075" t="str">
            <v>F117C</v>
          </cell>
          <cell r="C1075" t="str">
            <v>Noodles, Fettuccini (20#)</v>
          </cell>
        </row>
        <row r="1076">
          <cell r="A1076" t="str">
            <v>F118C</v>
          </cell>
          <cell r="C1076" t="str">
            <v>Noodles, Fettuccini, 10", Roseli (2/10#)</v>
          </cell>
        </row>
        <row r="1077">
          <cell r="A1077" t="str">
            <v>F119C</v>
          </cell>
          <cell r="C1077" t="str">
            <v>Noodles, Lasagna, Harvest (10#)</v>
          </cell>
        </row>
        <row r="1078">
          <cell r="A1078" t="str">
            <v>F120C</v>
          </cell>
          <cell r="C1078" t="str">
            <v>Noodles, Mafalda (10#)</v>
          </cell>
        </row>
        <row r="1079">
          <cell r="A1079" t="str">
            <v>F121C</v>
          </cell>
          <cell r="C1079" t="str">
            <v>Noodles, Mafalda (10#)</v>
          </cell>
        </row>
        <row r="1080">
          <cell r="A1080" t="str">
            <v>F122C</v>
          </cell>
          <cell r="C1080" t="str">
            <v>Noodles, Penne Rigte Whl Wheat, Roseli (2/5#)</v>
          </cell>
        </row>
        <row r="1081">
          <cell r="A1081" t="str">
            <v>F209T</v>
          </cell>
          <cell r="C1081" t="str">
            <v>Noodles, Penne, Heavy Wall (900# tote)</v>
          </cell>
        </row>
        <row r="1082">
          <cell r="A1082" t="str">
            <v>F123C</v>
          </cell>
          <cell r="C1082" t="str">
            <v>Noodles, Spaghetti (20#)</v>
          </cell>
        </row>
        <row r="1083">
          <cell r="A1083" t="str">
            <v>F124C</v>
          </cell>
          <cell r="C1083" t="str">
            <v>Noodles, Spaghetti, 10", Harvest (2/10#)</v>
          </cell>
        </row>
        <row r="1084">
          <cell r="A1084" t="str">
            <v>F371B</v>
          </cell>
          <cell r="C1084" t="str">
            <v>NovaGard CB1 (50 lbs/bag, 40 bags/pallet)</v>
          </cell>
        </row>
        <row r="1085">
          <cell r="A1085" t="str">
            <v>F340B</v>
          </cell>
          <cell r="C1085" t="str">
            <v>Pasta Fusini 3% White (30#)</v>
          </cell>
        </row>
        <row r="1086">
          <cell r="A1086" t="str">
            <v>F171C</v>
          </cell>
          <cell r="C1086" t="str">
            <v>Pasta, Cavatappi #9776-000 Zerega (20#)</v>
          </cell>
        </row>
        <row r="1087">
          <cell r="A1087" t="str">
            <v>F205C</v>
          </cell>
          <cell r="C1087" t="str">
            <v>Pasta, Cavatappi (2/10#)</v>
          </cell>
        </row>
        <row r="1088">
          <cell r="A1088" t="str">
            <v>F243C</v>
          </cell>
          <cell r="C1088" t="str">
            <v>Pasta, Cavatappi, A. Zer. (2/10#)</v>
          </cell>
        </row>
        <row r="1089">
          <cell r="A1089" t="str">
            <v>F246C</v>
          </cell>
          <cell r="C1089" t="str">
            <v>Pasta, Cavatappi, IQF Blanched #83100T</v>
          </cell>
        </row>
        <row r="1090">
          <cell r="A1090" t="str">
            <v>F229C</v>
          </cell>
          <cell r="C1090" t="str">
            <v>Pasta, Cavitappi, Dakota (2/10#)</v>
          </cell>
        </row>
        <row r="1091">
          <cell r="A1091" t="str">
            <v>F244C</v>
          </cell>
          <cell r="C1091" t="str">
            <v xml:space="preserve">Pasta, Lagasna Ripple 8x10 #41308 24002 (25) </v>
          </cell>
        </row>
        <row r="1092">
          <cell r="A1092" t="str">
            <v>F206C</v>
          </cell>
          <cell r="C1092" t="str">
            <v>Pasta, Lasagna Sheets, Ripld, Blanch IQF, 65504N (25#)</v>
          </cell>
        </row>
        <row r="1093">
          <cell r="A1093" t="str">
            <v>F231C</v>
          </cell>
          <cell r="C1093" t="str">
            <v>Pasta, Orzo, Barill #26 (16/16oz)</v>
          </cell>
        </row>
        <row r="1094">
          <cell r="A1094" t="str">
            <v>F230C</v>
          </cell>
          <cell r="C1094" t="str">
            <v>Pasta, Orzo, Dakota, (1/10#)</v>
          </cell>
        </row>
        <row r="1095">
          <cell r="A1095" t="str">
            <v>F232C</v>
          </cell>
          <cell r="C1095" t="str">
            <v>Pasta, Orzo, Zerega (8221-000)2(20#)</v>
          </cell>
        </row>
        <row r="1096">
          <cell r="A1096" t="str">
            <v>F337B</v>
          </cell>
          <cell r="C1096" t="str">
            <v>Pasta, Spaghetti (zerega)</v>
          </cell>
        </row>
        <row r="1097">
          <cell r="A1097" t="str">
            <v>F200C</v>
          </cell>
          <cell r="C1097" t="str">
            <v>Pasta, Spiral Zerega large 2%egg white (#)</v>
          </cell>
        </row>
        <row r="1098">
          <cell r="A1098" t="str">
            <v>F226C</v>
          </cell>
          <cell r="C1098" t="str">
            <v>Pasta, Ziti Prince cut Dakota (2/10#)</v>
          </cell>
        </row>
        <row r="1099">
          <cell r="A1099" t="str">
            <v>F158B</v>
          </cell>
          <cell r="C1099" t="str">
            <v>Phosphate, Disodium, Duohydrate, Innophos (50#)</v>
          </cell>
        </row>
        <row r="1100">
          <cell r="A1100" t="str">
            <v>F183B</v>
          </cell>
          <cell r="C1100" t="str">
            <v>Phosphate, Sodium Acid Pyrophosphate (50#)</v>
          </cell>
        </row>
        <row r="1101">
          <cell r="A1101" t="str">
            <v>E173C</v>
          </cell>
          <cell r="C1101" t="str">
            <v>Phosphate, Sodium SAPP #4 (50#)</v>
          </cell>
        </row>
        <row r="1102">
          <cell r="A1102" t="str">
            <v>F201B</v>
          </cell>
          <cell r="C1102" t="str">
            <v>Phosphate, Sodium Tripoly, QDT (50#)</v>
          </cell>
        </row>
        <row r="1103">
          <cell r="A1103" t="str">
            <v>F181B</v>
          </cell>
          <cell r="C1103" t="str">
            <v>Phosphate, Sodium Tripoly, STPP, Granular (50#)</v>
          </cell>
        </row>
        <row r="1104">
          <cell r="A1104" t="str">
            <v>F366C</v>
          </cell>
          <cell r="C1104" t="str">
            <v>Pie 6" (72/2.5 oz, 75 cs/pallet)</v>
          </cell>
        </row>
        <row r="1105">
          <cell r="A1105" t="str">
            <v>F365C</v>
          </cell>
          <cell r="C1105" t="str">
            <v>Pie shell 5.75" (72/3 oz, 81 cs/pallet) #60129</v>
          </cell>
        </row>
        <row r="1106">
          <cell r="A1106" t="str">
            <v>F375B</v>
          </cell>
          <cell r="C1106" t="str">
            <v>Plain corn shred 77624 (35lbs/bag, 21 bags/pallet)</v>
          </cell>
        </row>
        <row r="1107">
          <cell r="A1107" t="str">
            <v>F339C</v>
          </cell>
          <cell r="C1107" t="str">
            <v>Polenta</v>
          </cell>
        </row>
        <row r="1108">
          <cell r="A1108" t="str">
            <v>F210B</v>
          </cell>
          <cell r="C1108" t="str">
            <v>Polyphosphate, Sodium Tri, STPP, Granular (50#)</v>
          </cell>
        </row>
        <row r="1109">
          <cell r="A1109" t="str">
            <v>F211B</v>
          </cell>
          <cell r="C1109" t="str">
            <v>Potassium Sorbate (50#)</v>
          </cell>
        </row>
        <row r="1110">
          <cell r="A1110" t="str">
            <v>F188B</v>
          </cell>
          <cell r="C1110" t="str">
            <v>Procon 2000, Textured Soy Protein (50# bag)</v>
          </cell>
        </row>
        <row r="1111">
          <cell r="A1111" t="str">
            <v>F152B</v>
          </cell>
          <cell r="C1111" t="str">
            <v>Prosante 5B, Cargill (50# Bag) replaces centex 4140</v>
          </cell>
        </row>
        <row r="1112">
          <cell r="A1112" t="str">
            <v>F348B</v>
          </cell>
          <cell r="C1112" t="str">
            <v>Protein, Whey Bravo (50#)</v>
          </cell>
        </row>
        <row r="1113">
          <cell r="A1113" t="str">
            <v>F239B</v>
          </cell>
          <cell r="C1113" t="str">
            <v>Quinoa (32 oz)</v>
          </cell>
        </row>
        <row r="1114">
          <cell r="A1114" t="str">
            <v>F195C</v>
          </cell>
          <cell r="C1114" t="str">
            <v>Ravioli, Chs 1.18z Rnd Fzn, Roseli (130/1.18oz)</v>
          </cell>
        </row>
        <row r="1115">
          <cell r="A1115" t="str">
            <v>F380C</v>
          </cell>
          <cell r="C1115" t="str">
            <v>Red lentils shells, blanched, IQF (20 lbs/cs, 54 cs/pallet) R2638-01</v>
          </cell>
        </row>
        <row r="1116">
          <cell r="A1116" t="str">
            <v>F233C</v>
          </cell>
          <cell r="C1116" t="str">
            <v>Rice, Basmati, Brown (10315)(12/2#)</v>
          </cell>
        </row>
        <row r="1117">
          <cell r="A1117" t="str">
            <v>F331C</v>
          </cell>
          <cell r="C1117" t="str">
            <v>Rice, Basmatich White (6/2#) #16313</v>
          </cell>
        </row>
        <row r="1118">
          <cell r="A1118" t="str">
            <v>F376B</v>
          </cell>
          <cell r="C1118" t="str">
            <v>Rice, Basmatix Zeeba sella (10 lbs x 4 bags/cs)</v>
          </cell>
        </row>
        <row r="1119">
          <cell r="A1119" t="str">
            <v>F235C</v>
          </cell>
          <cell r="C1119" t="str">
            <v>Rice, Berries, Wheat (16280)(6/2#)</v>
          </cell>
        </row>
        <row r="1120">
          <cell r="A1120" t="str">
            <v>F234C</v>
          </cell>
          <cell r="C1120" t="str">
            <v>Rice, Jade Blend#16245(6/2#)</v>
          </cell>
        </row>
        <row r="1121">
          <cell r="A1121" t="str">
            <v>F240C</v>
          </cell>
          <cell r="C1121" t="str">
            <v>Rice, Jasmine (12/2#)</v>
          </cell>
        </row>
        <row r="1122">
          <cell r="A1122" t="str">
            <v>F207B</v>
          </cell>
          <cell r="C1122" t="str">
            <v>Rice, Long Grain, Parboiled, Parexcelle (50#)</v>
          </cell>
        </row>
        <row r="1123">
          <cell r="A1123" t="str">
            <v>F190B</v>
          </cell>
          <cell r="C1123" t="str">
            <v>Rice, Long Grain, Parboiled, White, Prod Mill (100#)</v>
          </cell>
        </row>
        <row r="1124">
          <cell r="A1124" t="str">
            <v>F250B</v>
          </cell>
          <cell r="C1124" t="str">
            <v>Rice, Parboiled (10#)296821</v>
          </cell>
        </row>
        <row r="1125">
          <cell r="A1125" t="str">
            <v>F344B</v>
          </cell>
          <cell r="C1125" t="str">
            <v>Rice, Parboiled Precooked P-100 (50#)</v>
          </cell>
        </row>
        <row r="1126">
          <cell r="A1126" t="str">
            <v>F125C</v>
          </cell>
          <cell r="C1126" t="str">
            <v>Rice, White (25#)</v>
          </cell>
        </row>
        <row r="1127">
          <cell r="A1127" t="str">
            <v>F127C</v>
          </cell>
          <cell r="C1127" t="str">
            <v>Rice, White (50#)</v>
          </cell>
        </row>
        <row r="1128">
          <cell r="A1128" t="str">
            <v>F218C</v>
          </cell>
          <cell r="C1128" t="str">
            <v>Rice, White Parboiled Cube (25#)</v>
          </cell>
        </row>
        <row r="1129">
          <cell r="A1129" t="str">
            <v>F128B</v>
          </cell>
          <cell r="C1129" t="str">
            <v>Rice, Wild Blend (25#)</v>
          </cell>
        </row>
        <row r="1130">
          <cell r="A1130" t="str">
            <v>F227C</v>
          </cell>
          <cell r="C1130" t="str">
            <v>Rice, Wild Grade A 16263 (6/2#)</v>
          </cell>
        </row>
        <row r="1131">
          <cell r="A1131" t="str">
            <v>F236C</v>
          </cell>
          <cell r="C1131" t="str">
            <v>Rice, Wild Ruby, (16287)(6/2#)</v>
          </cell>
        </row>
        <row r="1132">
          <cell r="A1132" t="str">
            <v>F345B</v>
          </cell>
          <cell r="C1132" t="str">
            <v>Rice, Wild, Quick cooking WR-107 (50#0</v>
          </cell>
        </row>
        <row r="1133">
          <cell r="A1133" t="str">
            <v>F179C</v>
          </cell>
          <cell r="C1133" t="str">
            <v>Sodium Benzoate Powder (55.12#)</v>
          </cell>
        </row>
        <row r="1134">
          <cell r="A1134" t="str">
            <v>F237B</v>
          </cell>
          <cell r="C1134" t="str">
            <v>Sodium Carboxymethycellulose, CMC 7MCF (50#)</v>
          </cell>
        </row>
        <row r="1135">
          <cell r="A1135" t="str">
            <v>F129B</v>
          </cell>
          <cell r="C1135" t="str">
            <v>Sodium Carboxymethylcellulose, 7MCF (50#)</v>
          </cell>
        </row>
        <row r="1136">
          <cell r="A1136" t="str">
            <v>F202B</v>
          </cell>
          <cell r="C1136" t="str">
            <v>Sodium Carboxymethylcellulose, CMC 7 MF FCC (50#)</v>
          </cell>
        </row>
        <row r="1137">
          <cell r="A1137" t="str">
            <v>F130B</v>
          </cell>
          <cell r="C1137" t="str">
            <v>Solcon (44#)</v>
          </cell>
        </row>
        <row r="1138">
          <cell r="A1138" t="str">
            <v>F147P</v>
          </cell>
          <cell r="C1138" t="str">
            <v>Soy Lecithin, Solec E, Liquid (44# Pail)</v>
          </cell>
        </row>
        <row r="1139">
          <cell r="A1139" t="str">
            <v>F148D</v>
          </cell>
          <cell r="C1139" t="str">
            <v>Soy Lecithin, Solec E, Liquid (450# Drum)</v>
          </cell>
        </row>
        <row r="1140">
          <cell r="A1140" t="str">
            <v>F145B</v>
          </cell>
          <cell r="C1140" t="str">
            <v>Soy Lecithin, Solec F, Powder (44#)</v>
          </cell>
        </row>
        <row r="1141">
          <cell r="A1141" t="str">
            <v>F156P</v>
          </cell>
          <cell r="C1141" t="str">
            <v>Soy Lecithin, Yelkin TS, Liquid (50#)</v>
          </cell>
        </row>
        <row r="1142">
          <cell r="A1142" t="str">
            <v>F382C</v>
          </cell>
          <cell r="C1142" t="str">
            <v>Starch tapioca (50 lbs/bag)</v>
          </cell>
        </row>
        <row r="1143">
          <cell r="A1143" t="str">
            <v>F169B</v>
          </cell>
          <cell r="C1143" t="str">
            <v>Starch, Col Flo 67, National Starch (50#)</v>
          </cell>
        </row>
        <row r="1144">
          <cell r="A1144" t="str">
            <v>F140B</v>
          </cell>
          <cell r="C1144" t="str">
            <v>Starch, Frigex HV, National Starch (50#)</v>
          </cell>
        </row>
        <row r="1145">
          <cell r="A1145" t="str">
            <v>F332B</v>
          </cell>
          <cell r="C1145" t="str">
            <v>Starch, Frigex W, Ingredion (50#) 06862102, Ingredion</v>
          </cell>
        </row>
        <row r="1146">
          <cell r="A1146" t="str">
            <v>F347B</v>
          </cell>
          <cell r="C1146" t="str">
            <v>Starch, National 465</v>
          </cell>
        </row>
        <row r="1147">
          <cell r="A1147" t="str">
            <v>F220B</v>
          </cell>
          <cell r="C1147" t="str">
            <v>Starch, N-Hance 59, National</v>
          </cell>
        </row>
        <row r="1148">
          <cell r="A1148" t="str">
            <v>F372B</v>
          </cell>
          <cell r="C1148" t="str">
            <v>Starch, Novation 3600 (55.115#) Ingredion</v>
          </cell>
        </row>
        <row r="1149">
          <cell r="A1149" t="str">
            <v>F142B</v>
          </cell>
          <cell r="C1149" t="str">
            <v>Starch, Permaflo, National (50#)</v>
          </cell>
        </row>
        <row r="1150">
          <cell r="A1150" t="str">
            <v>F352B</v>
          </cell>
          <cell r="C1150" t="str">
            <v>Starch, Purity (50#)</v>
          </cell>
        </row>
        <row r="1151">
          <cell r="A1151" t="str">
            <v>F149B</v>
          </cell>
          <cell r="C1151" t="str">
            <v>Starch, Rice, Novation 8600 (50#)</v>
          </cell>
        </row>
        <row r="1152">
          <cell r="A1152" t="str">
            <v>F178B</v>
          </cell>
          <cell r="C1152" t="str">
            <v>Starch, Rice, Remy DR (55#)</v>
          </cell>
        </row>
        <row r="1153">
          <cell r="A1153" t="str">
            <v>F131B</v>
          </cell>
          <cell r="C1153" t="str">
            <v>Starch, Thermflo, National (50#)</v>
          </cell>
        </row>
        <row r="1154">
          <cell r="A1154" t="str">
            <v>F253B</v>
          </cell>
          <cell r="C1154" t="str">
            <v>Starch, Ultra-sperse HV (32566112)</v>
          </cell>
        </row>
        <row r="1155">
          <cell r="A1155" t="str">
            <v>F172B</v>
          </cell>
          <cell r="C1155" t="str">
            <v>Starch, Ultrasperse M, National (50#)</v>
          </cell>
        </row>
        <row r="1156">
          <cell r="A1156" t="str">
            <v>F132C</v>
          </cell>
          <cell r="C1156" t="str">
            <v>STP 408 Granular (50#)</v>
          </cell>
        </row>
        <row r="1157">
          <cell r="A1157" t="str">
            <v>F238C</v>
          </cell>
          <cell r="C1157" t="str">
            <v>Stuffing Crumbs X1, A77301 (20#)</v>
          </cell>
        </row>
        <row r="1158">
          <cell r="A1158" t="str">
            <v>F212C</v>
          </cell>
          <cell r="C1158" t="str">
            <v>Stuffing Crumbs, #B77329 (25#)</v>
          </cell>
        </row>
        <row r="1159">
          <cell r="A1159" t="str">
            <v>F186B</v>
          </cell>
          <cell r="C1159" t="str">
            <v>Stuffing Crumbs, #B77336 (Cornbread 3/8" Crouton) (25#)</v>
          </cell>
        </row>
        <row r="1160">
          <cell r="A1160" t="str">
            <v>F335B</v>
          </cell>
          <cell r="C1160" t="str">
            <v>Stuffing Crumbs, B77198 (25#), Newly Weds</v>
          </cell>
        </row>
        <row r="1161">
          <cell r="A1161" t="str">
            <v>F189B</v>
          </cell>
          <cell r="C1161" t="str">
            <v>Stuffing Crumbs,A77320 Replace #B77300 (25#)</v>
          </cell>
        </row>
        <row r="1162">
          <cell r="A1162" t="str">
            <v>F192C</v>
          </cell>
          <cell r="C1162" t="str">
            <v>Stuffing, Cornbread Mix, Monarch (6/56oz)</v>
          </cell>
        </row>
        <row r="1163">
          <cell r="A1163" t="str">
            <v>F329C</v>
          </cell>
          <cell r="C1163" t="str">
            <v>Sundried Tomato Tortilla (6/12) (72 tortillas/cs)</v>
          </cell>
        </row>
        <row r="1164">
          <cell r="A1164" t="str">
            <v>F151B</v>
          </cell>
          <cell r="C1164" t="str">
            <v>Supro 516, Solae (44# Bag)</v>
          </cell>
        </row>
        <row r="1165">
          <cell r="A1165" t="str">
            <v>F343B</v>
          </cell>
          <cell r="C1165" t="str">
            <v>Titanium, Dioxide</v>
          </cell>
        </row>
        <row r="1166">
          <cell r="A1166" t="str">
            <v>F366B</v>
          </cell>
          <cell r="C1166" t="str">
            <v>Toor Dal (non-oil) 55 lb/bag</v>
          </cell>
        </row>
        <row r="1167">
          <cell r="A1167" t="str">
            <v>F174B</v>
          </cell>
          <cell r="C1167" t="str">
            <v>Topping, Crumb B55951, Newly Weds (40#)</v>
          </cell>
        </row>
        <row r="1168">
          <cell r="A1168" t="str">
            <v>F215B</v>
          </cell>
          <cell r="C1168" t="str">
            <v>Topping, Crumb B55951, Newly Weds (40#)</v>
          </cell>
        </row>
        <row r="1169">
          <cell r="A1169" t="str">
            <v>F173B</v>
          </cell>
          <cell r="C1169" t="str">
            <v>Topping, Strus Crmb Bag Frn, Christie (20#)</v>
          </cell>
        </row>
        <row r="1170">
          <cell r="A1170" t="str">
            <v>F369C</v>
          </cell>
          <cell r="C1170" t="str">
            <v>Tortilla , Flour 6" (288 /cs0</v>
          </cell>
        </row>
        <row r="1171">
          <cell r="A1171" t="str">
            <v>F333C</v>
          </cell>
          <cell r="C1171" t="str">
            <v>Tortilla 12", flour White (6/12 cs)</v>
          </cell>
        </row>
        <row r="1172">
          <cell r="A1172" t="str">
            <v>F381C</v>
          </cell>
          <cell r="C1172" t="str">
            <v xml:space="preserve">Tortilla flour 12' Grilled marks (6/12/12" 99 cs/pallet0, Premiun white </v>
          </cell>
        </row>
        <row r="1173">
          <cell r="A1173" t="str">
            <v>F374C</v>
          </cell>
          <cell r="C1173" t="str">
            <v>Tortilla, Blend Hubrid 10100 (7", 4/30 cs)</v>
          </cell>
        </row>
        <row r="1174">
          <cell r="A1174" t="str">
            <v>F245C</v>
          </cell>
          <cell r="C1174" t="str">
            <v>Tortilla, La toca Blanca, 6" (18/32oz)</v>
          </cell>
        </row>
        <row r="1175">
          <cell r="A1175" t="str">
            <v>F133C</v>
          </cell>
          <cell r="C1175" t="str">
            <v>Tortillas, Corn White Plain 6" TFF (6/90 ea)</v>
          </cell>
        </row>
        <row r="1176">
          <cell r="A1176" t="str">
            <v>F198C</v>
          </cell>
          <cell r="C1176" t="str">
            <v>Tortillas, Corn Ylw  6" Prssd (6/90 ea)</v>
          </cell>
        </row>
        <row r="1177">
          <cell r="A1177" t="str">
            <v>F134B</v>
          </cell>
          <cell r="C1177" t="str">
            <v>Tortillas, Flour 12" (6/12 ea)</v>
          </cell>
        </row>
        <row r="1178">
          <cell r="A1178" t="str">
            <v>F199C</v>
          </cell>
          <cell r="C1178" t="str">
            <v>Tortillas, Flour Grdta 10" TFF (12/12 ea)</v>
          </cell>
        </row>
        <row r="1179">
          <cell r="A1179" t="str">
            <v>F364C</v>
          </cell>
          <cell r="C1179" t="str">
            <v>Tri-Color Quinoa</v>
          </cell>
        </row>
        <row r="1180">
          <cell r="A1180" t="str">
            <v>F135T</v>
          </cell>
          <cell r="C1180" t="str">
            <v>TVP (ADM) (50#)</v>
          </cell>
        </row>
        <row r="1181">
          <cell r="A1181" t="str">
            <v>F370B</v>
          </cell>
          <cell r="C1181" t="str">
            <v>TVP 165-205 Strip 5, 165205 (50 lbs/bag)</v>
          </cell>
        </row>
        <row r="1182">
          <cell r="A1182" t="str">
            <v>F136T</v>
          </cell>
          <cell r="C1182" t="str">
            <v>Ultra-Lac KL 564 (2880# tote)</v>
          </cell>
        </row>
        <row r="1183">
          <cell r="A1183" t="str">
            <v>F143C</v>
          </cell>
          <cell r="C1183" t="str">
            <v>Xanthan Gum, 80 Mesh, VPI Trading (55.12# Box)</v>
          </cell>
        </row>
        <row r="1184">
          <cell r="A1184" t="str">
            <v>F219C</v>
          </cell>
          <cell r="C1184" t="str">
            <v>Xanthan Gum, TIC Rapid-3 Powder</v>
          </cell>
        </row>
        <row r="1185">
          <cell r="A1185" t="str">
            <v>F180C</v>
          </cell>
          <cell r="C1185" t="str">
            <v>Yeast, Angel Extract, KA-04, Flavor Consultants (44#)</v>
          </cell>
        </row>
        <row r="1186">
          <cell r="A1186" t="str">
            <v>F170B</v>
          </cell>
          <cell r="C1186" t="str">
            <v>Yeast, Provesta 001 #74910 (51.55#)</v>
          </cell>
        </row>
        <row r="1187">
          <cell r="A1187" t="str">
            <v>F137B</v>
          </cell>
          <cell r="C1187" t="str">
            <v>Yeast, Torula Type B, Lake States (50# Bag)</v>
          </cell>
        </row>
        <row r="1188">
          <cell r="A1188" t="str">
            <v>F203B</v>
          </cell>
          <cell r="C1188" t="str">
            <v>Yeast, Torula Type B, RHI (50# Bag)</v>
          </cell>
        </row>
        <row r="1189">
          <cell r="A1189" t="str">
            <v>F328C</v>
          </cell>
          <cell r="C1189" t="str">
            <v>Yellow Split, Peas</v>
          </cell>
        </row>
        <row r="1190">
          <cell r="A1190"/>
          <cell r="C1190"/>
        </row>
        <row r="1191">
          <cell r="A1191" t="str">
            <v>OF-101C</v>
          </cell>
          <cell r="C1191" t="str">
            <v>Lasagna Sheet Organic #216</v>
          </cell>
        </row>
        <row r="1192">
          <cell r="A1192" t="str">
            <v>OF102B</v>
          </cell>
          <cell r="C1192" t="str">
            <v>Starch, Potato</v>
          </cell>
        </row>
        <row r="1193">
          <cell r="A1193" t="str">
            <v>OF103T</v>
          </cell>
          <cell r="C1193" t="str">
            <v>Pasta, Cavatappi Blanched (25#/bag)</v>
          </cell>
        </row>
        <row r="1194">
          <cell r="A1194" t="str">
            <v>OF-104B</v>
          </cell>
          <cell r="C1194" t="str">
            <v>Bread crumbs, #00324 (25#/bag)</v>
          </cell>
        </row>
        <row r="1195">
          <cell r="A1195" t="str">
            <v>OF-105B</v>
          </cell>
          <cell r="C1195" t="str">
            <v>Flour, All Purpose, Organic</v>
          </cell>
        </row>
        <row r="1196">
          <cell r="A1196" t="str">
            <v>OF-106C</v>
          </cell>
          <cell r="C1196" t="str">
            <v>Corn, Tortilla Item #100203</v>
          </cell>
        </row>
        <row r="1197">
          <cell r="A1197"/>
          <cell r="C1197"/>
        </row>
        <row r="1198">
          <cell r="A1198"/>
          <cell r="C1198"/>
        </row>
        <row r="1199">
          <cell r="A1199" t="str">
            <v>G296C</v>
          </cell>
          <cell r="C1199" t="str">
            <v>Butter bud 32X UC 38161 (white color, 50#)</v>
          </cell>
        </row>
        <row r="1200">
          <cell r="A1200" t="str">
            <v>G100B</v>
          </cell>
          <cell r="C1200" t="str">
            <v>Butter Buds 32X (50#)</v>
          </cell>
        </row>
        <row r="1201">
          <cell r="A1201" t="str">
            <v>G160B</v>
          </cell>
          <cell r="C1201" t="str">
            <v>Butter Buds Aged Cheddar (55.112#)</v>
          </cell>
        </row>
        <row r="1202">
          <cell r="A1202" t="str">
            <v>G102C</v>
          </cell>
          <cell r="C1202" t="str">
            <v>Butter, Solid Grd AA, Unsltd, Glenview (36/1#)</v>
          </cell>
        </row>
        <row r="1203">
          <cell r="A1203" t="str">
            <v>G141C</v>
          </cell>
          <cell r="C1203" t="str">
            <v>Butter Buds, Parmesan Paste, #38179 (50#)</v>
          </cell>
        </row>
        <row r="1204">
          <cell r="A1204" t="str">
            <v>G217C</v>
          </cell>
          <cell r="C1204" t="str">
            <v>Butter, Solid Grd A, Unsltd, Silver Sou (36/1#)</v>
          </cell>
        </row>
        <row r="1205">
          <cell r="A1205" t="str">
            <v>G178C</v>
          </cell>
          <cell r="C1205" t="str">
            <v>Butter, Solid, Unsltd, Clofine (36/1#)</v>
          </cell>
        </row>
        <row r="1206">
          <cell r="A1206" t="str">
            <v>G184C</v>
          </cell>
          <cell r="C1206" t="str">
            <v>Butter, Solid, Unsltd, Clofine (55.115#)</v>
          </cell>
        </row>
        <row r="1207">
          <cell r="A1207" t="str">
            <v>G101C</v>
          </cell>
          <cell r="C1207" t="str">
            <v>Butter Sub Flavor Natural (24/4oz)</v>
          </cell>
        </row>
        <row r="1208">
          <cell r="A1208" t="str">
            <v>G230C</v>
          </cell>
          <cell r="C1208" t="str">
            <v>Butter, Solid, Unsltd, Darigold (55#)</v>
          </cell>
        </row>
        <row r="1209">
          <cell r="A1209" t="str">
            <v>G103C</v>
          </cell>
          <cell r="C1209" t="str">
            <v>Cheese Extender 08615501 (Shepherd's Pie) (50#)</v>
          </cell>
        </row>
        <row r="1210">
          <cell r="A1210" t="str">
            <v>G290C</v>
          </cell>
          <cell r="C1210" t="str">
            <v>Cheese Flavor Uncolor, Sharp-EE</v>
          </cell>
        </row>
        <row r="1211">
          <cell r="A1211" t="str">
            <v>G112A</v>
          </cell>
          <cell r="C1211" t="str">
            <v>Queso Cheese</v>
          </cell>
        </row>
        <row r="1212">
          <cell r="A1212" t="str">
            <v>G247C</v>
          </cell>
          <cell r="C1212" t="str">
            <v xml:space="preserve">Cheese, america Loaf X-melt, Land O (6/5#) </v>
          </cell>
        </row>
        <row r="1213">
          <cell r="A1213" t="str">
            <v>G186C</v>
          </cell>
          <cell r="C1213" t="str">
            <v>Cheese, American Loaf Yellow, Hilldale (6/5#)</v>
          </cell>
        </row>
        <row r="1214">
          <cell r="A1214" t="str">
            <v>G293C</v>
          </cell>
          <cell r="C1214" t="str">
            <v>Cheese, American White Melt, La Feria</v>
          </cell>
        </row>
        <row r="1215">
          <cell r="A1215" t="str">
            <v>G185C</v>
          </cell>
          <cell r="C1215" t="str">
            <v>Cheese, American Wht Loaf (40#)</v>
          </cell>
        </row>
        <row r="1216">
          <cell r="A1216" t="str">
            <v>G218C</v>
          </cell>
          <cell r="C1216" t="str">
            <v>Cheese, American Wht Loaf, Ultimelt (6/5#)</v>
          </cell>
        </row>
        <row r="1217">
          <cell r="A1217" t="str">
            <v>G187C</v>
          </cell>
          <cell r="C1217" t="str">
            <v>Cheese, Asiago (17#)</v>
          </cell>
        </row>
        <row r="1218">
          <cell r="A1218" t="str">
            <v>G188C</v>
          </cell>
          <cell r="C1218" t="str">
            <v>Cheese, Asiago Shrd, Stella (2/5#)</v>
          </cell>
        </row>
        <row r="1219">
          <cell r="A1219" t="str">
            <v>G104C</v>
          </cell>
          <cell r="C1219" t="str">
            <v>Cheese, Cheddar, Mild, Shrd Fthr (4/5#)</v>
          </cell>
        </row>
        <row r="1220">
          <cell r="A1220" t="str">
            <v>G294C</v>
          </cell>
          <cell r="C1220" t="str">
            <v>Cheese, Blue Crumbles</v>
          </cell>
        </row>
        <row r="1221">
          <cell r="A1221" t="str">
            <v>G150C</v>
          </cell>
          <cell r="C1221" t="str">
            <v>Cheese, Cheddar Spread, Processed #61737, Kraft (45#)</v>
          </cell>
        </row>
        <row r="1222">
          <cell r="A1222" t="str">
            <v>G165B</v>
          </cell>
          <cell r="C1222" t="str">
            <v>Cheese, Cheddar, Blend, Powder Triple Color BDF0080</v>
          </cell>
        </row>
        <row r="1223">
          <cell r="A1223" t="str">
            <v>G231C</v>
          </cell>
          <cell r="C1223" t="str">
            <v>Cheese, Cheddar, Mild, Shrd, West Creek(4/5#)</v>
          </cell>
        </row>
        <row r="1224">
          <cell r="A1224" t="str">
            <v>G292C</v>
          </cell>
          <cell r="C1224" t="str">
            <v>Cheese, Cheddar, Powder 1710701 (28#)</v>
          </cell>
        </row>
        <row r="1225">
          <cell r="A1225" t="str">
            <v>G105C</v>
          </cell>
          <cell r="C1225" t="str">
            <v>Cheese, Cheddar, Sharp, Shrd Fthr Glen Farms (4/5#)</v>
          </cell>
        </row>
        <row r="1226">
          <cell r="A1226" t="str">
            <v>G163B</v>
          </cell>
          <cell r="C1226" t="str">
            <v>Cheese, Cheddar, Powder, Colored BDF0017C (50#)</v>
          </cell>
        </row>
        <row r="1227">
          <cell r="A1227" t="str">
            <v>G164B</v>
          </cell>
          <cell r="C1227" t="str">
            <v>Cheese, Cheddar, Powder, Uncolored 38181 (50#)</v>
          </cell>
        </row>
        <row r="1228">
          <cell r="A1228" t="str">
            <v>G232C</v>
          </cell>
          <cell r="C1228" t="str">
            <v>Cheese, Cheddar, Sharp, Great Lake (1/10#)</v>
          </cell>
        </row>
        <row r="1229">
          <cell r="A1229" t="str">
            <v>G106C</v>
          </cell>
          <cell r="C1229" t="str">
            <v>Cheese, Cottage, Small Curd 4% Glen Farms (4/5#)</v>
          </cell>
        </row>
        <row r="1230">
          <cell r="A1230" t="str">
            <v>G191C</v>
          </cell>
          <cell r="C1230" t="str">
            <v>Cheese, Cheddar, Sharp, Shrd (20#)</v>
          </cell>
        </row>
        <row r="1231">
          <cell r="A1231" t="str">
            <v>G219C</v>
          </cell>
          <cell r="C1231" t="str">
            <v>Cheese, Cheddar, Sharp, Shrd, West Creek (4/5#)</v>
          </cell>
        </row>
        <row r="1232">
          <cell r="A1232" t="str">
            <v>G264C</v>
          </cell>
          <cell r="C1232" t="str">
            <v>Cheese, Cheddar, Sharp, White, sommer (1/10#)</v>
          </cell>
        </row>
        <row r="1233">
          <cell r="A1233" t="str">
            <v>G189C</v>
          </cell>
          <cell r="C1233" t="str">
            <v>Cheese, Cheddar, Yellow, Block (40#)</v>
          </cell>
        </row>
        <row r="1234">
          <cell r="A1234" t="str">
            <v>G233C</v>
          </cell>
          <cell r="C1234" t="str">
            <v>Cheese, Cream Cheese Smithf (10/3#)</v>
          </cell>
        </row>
        <row r="1235">
          <cell r="A1235" t="str">
            <v>G265C</v>
          </cell>
          <cell r="C1235" t="str">
            <v>Cheese, Cream Loaf, sommer (10/3#)</v>
          </cell>
        </row>
        <row r="1236">
          <cell r="A1236" t="str">
            <v>G192C</v>
          </cell>
          <cell r="C1236" t="str">
            <v>Cheese, Cream Plain Loaf (30#)</v>
          </cell>
        </row>
        <row r="1237">
          <cell r="A1237" t="str">
            <v>G273C</v>
          </cell>
          <cell r="C1237" t="str">
            <v>Cheese, Cream, Philadelphia, Kraft, 48 oz</v>
          </cell>
        </row>
        <row r="1238">
          <cell r="A1238" t="str">
            <v>G248</v>
          </cell>
          <cell r="C1238" t="str">
            <v>Cheese, Feta</v>
          </cell>
        </row>
        <row r="1239">
          <cell r="A1239" t="str">
            <v>G266</v>
          </cell>
          <cell r="C1239" t="str">
            <v xml:space="preserve">Cheese, Feta </v>
          </cell>
        </row>
        <row r="1240">
          <cell r="A1240" t="str">
            <v>G255C</v>
          </cell>
          <cell r="C1240" t="str">
            <v>Cheese, Fontina, (40#)</v>
          </cell>
        </row>
        <row r="1241">
          <cell r="A1241" t="str">
            <v>G267C</v>
          </cell>
          <cell r="C1241" t="str">
            <v>Cheese, fontina, Belgioso (2/10#)</v>
          </cell>
        </row>
        <row r="1242">
          <cell r="A1242" t="str">
            <v>G193C</v>
          </cell>
          <cell r="C1242" t="str">
            <v>Cheese, Gldn Velvt Loaf (40#)</v>
          </cell>
        </row>
        <row r="1243">
          <cell r="A1243" t="str">
            <v>G268</v>
          </cell>
          <cell r="C1243" t="str">
            <v xml:space="preserve">Cheese, Goat </v>
          </cell>
        </row>
        <row r="1244">
          <cell r="A1244" t="str">
            <v>G256C</v>
          </cell>
          <cell r="C1244" t="str">
            <v>Cheese, Goat, Crumbes</v>
          </cell>
        </row>
        <row r="1245">
          <cell r="A1245" t="str">
            <v>G223C</v>
          </cell>
          <cell r="C1245" t="str">
            <v>Cheese, Loaf Melt White Ultimelt</v>
          </cell>
        </row>
        <row r="1246">
          <cell r="A1246" t="str">
            <v>G236C</v>
          </cell>
          <cell r="C1246" t="str">
            <v>Cheese, Loaf Melt White, La Querida (6/5#)</v>
          </cell>
        </row>
        <row r="1247">
          <cell r="A1247" t="str">
            <v>G107C</v>
          </cell>
          <cell r="C1247" t="str">
            <v>Cheese, Monterey Jack, Shredded (4/5#)</v>
          </cell>
        </row>
        <row r="1248">
          <cell r="A1248" t="str">
            <v>G237C</v>
          </cell>
          <cell r="C1248" t="str">
            <v>Cheese, Loaf Melt Yellow Ultimelt (6/5#)</v>
          </cell>
        </row>
        <row r="1249">
          <cell r="A1249" t="str">
            <v>G257C</v>
          </cell>
          <cell r="C1249" t="str">
            <v>Cheese, Mascarpone</v>
          </cell>
        </row>
        <row r="1250">
          <cell r="A1250" t="str">
            <v>G274C</v>
          </cell>
          <cell r="C1250" t="str">
            <v>Cheese, Mascarpone (4/5#) vermon</v>
          </cell>
        </row>
        <row r="1251">
          <cell r="A1251" t="str">
            <v>G108C</v>
          </cell>
          <cell r="C1251" t="str">
            <v>Cheese, Mozzarella, Shredded, Roseli (4/5#)</v>
          </cell>
        </row>
        <row r="1252">
          <cell r="A1252" t="str">
            <v>G269C</v>
          </cell>
          <cell r="C1252" t="str">
            <v>Cheese, Mascarpone (belgico)</v>
          </cell>
        </row>
        <row r="1253">
          <cell r="A1253" t="str">
            <v>G301P</v>
          </cell>
          <cell r="C1253" t="str">
            <v>Cheese, Mexican Fresco, Whole</v>
          </cell>
        </row>
        <row r="1254">
          <cell r="A1254" t="str">
            <v>G299C</v>
          </cell>
          <cell r="C1254" t="str">
            <v xml:space="preserve">Cheese, Mozarella Diced </v>
          </cell>
        </row>
        <row r="1255">
          <cell r="A1255" t="str">
            <v>G109C</v>
          </cell>
          <cell r="C1255" t="str">
            <v>Cheese, Parmesan, Grated Roseli (4/5#)</v>
          </cell>
        </row>
        <row r="1256">
          <cell r="A1256" t="str">
            <v>G220C</v>
          </cell>
          <cell r="C1256" t="str">
            <v>Cheese, Mozzarella, Fresh, Soft Log (6/16oz) (6#)</v>
          </cell>
        </row>
        <row r="1257">
          <cell r="A1257" t="str">
            <v>G234C</v>
          </cell>
          <cell r="C1257" t="str">
            <v>Cheese, Mozzarella, Loaf, Bacio (8/6#)</v>
          </cell>
        </row>
        <row r="1258">
          <cell r="A1258" t="str">
            <v>G276C</v>
          </cell>
          <cell r="C1258" t="str">
            <v>Cheese, Mozzarella, Shred (6/5#) Sommer</v>
          </cell>
        </row>
        <row r="1259">
          <cell r="A1259" t="str">
            <v>G275C</v>
          </cell>
          <cell r="C1259" t="str">
            <v>Cheese, Mozzarella, Shred , Silver Source</v>
          </cell>
        </row>
        <row r="1260">
          <cell r="A1260" t="str">
            <v>G292A</v>
          </cell>
          <cell r="C1260" t="str">
            <v>Cheese, Paneer</v>
          </cell>
        </row>
        <row r="1261">
          <cell r="A1261" t="str">
            <v>G110C</v>
          </cell>
          <cell r="C1261" t="str">
            <v>Cheese, Parmesan, Imported, Grated (1000#)</v>
          </cell>
        </row>
        <row r="1262">
          <cell r="A1262" t="str">
            <v>G194C</v>
          </cell>
          <cell r="C1262" t="str">
            <v>Cheese, Parmesan, Grated (20#)</v>
          </cell>
        </row>
        <row r="1263">
          <cell r="A1263" t="str">
            <v>G221C</v>
          </cell>
          <cell r="C1263" t="str">
            <v>Cheese, Parmesan, Grated, Roma (4/5#)</v>
          </cell>
        </row>
        <row r="1264">
          <cell r="A1264" t="str">
            <v>G111C</v>
          </cell>
          <cell r="C1264" t="str">
            <v>Cheese, Pepper Jack (4/5#)</v>
          </cell>
        </row>
        <row r="1265">
          <cell r="A1265" t="str">
            <v>G277C</v>
          </cell>
          <cell r="C1265" t="str">
            <v>Cheese, Riccota whole milk, Assoluti</v>
          </cell>
        </row>
        <row r="1266">
          <cell r="A1266" t="str">
            <v>G196C</v>
          </cell>
          <cell r="C1266" t="str">
            <v>Cheese, Ricotta (30#)</v>
          </cell>
        </row>
        <row r="1267">
          <cell r="A1267" t="str">
            <v>G195C</v>
          </cell>
          <cell r="C1267" t="str">
            <v>Cheese, Ricotta Con Latte, Belgioso (6/3#)</v>
          </cell>
        </row>
        <row r="1268">
          <cell r="A1268" t="str">
            <v>G263J</v>
          </cell>
          <cell r="C1268" t="str">
            <v>Cheese, Ricotta, gourmet, miceli (4/5#)</v>
          </cell>
        </row>
        <row r="1269">
          <cell r="A1269" t="str">
            <v>G235C</v>
          </cell>
          <cell r="C1269" t="str">
            <v>Cheese, Ricotta, Roma(6/3#)</v>
          </cell>
        </row>
        <row r="1270">
          <cell r="A1270" t="str">
            <v>G112C</v>
          </cell>
          <cell r="C1270" t="str">
            <v>Cheese, Swiss, Shredded (4/5#)</v>
          </cell>
        </row>
        <row r="1271">
          <cell r="A1271" t="str">
            <v>G198C</v>
          </cell>
          <cell r="C1271" t="str">
            <v>Cheese, Romano Pec Grated, Grater (1/5#)</v>
          </cell>
        </row>
        <row r="1272">
          <cell r="A1272" t="str">
            <v>G197C</v>
          </cell>
          <cell r="C1272" t="str">
            <v>Cheese, Romano Pecorino, Grated (4/5#)</v>
          </cell>
        </row>
        <row r="1273">
          <cell r="A1273" t="str">
            <v>G258C</v>
          </cell>
          <cell r="C1273" t="str">
            <v>Cheese, Romano, Granted, Maggio (4/5#)</v>
          </cell>
        </row>
        <row r="1274">
          <cell r="A1274" t="str">
            <v>G278C</v>
          </cell>
          <cell r="C1274" t="str">
            <v>Cheese, Romano, Pecorino Grante, Genuin (4/5#)</v>
          </cell>
        </row>
        <row r="1275">
          <cell r="A1275" t="str">
            <v>G262C</v>
          </cell>
          <cell r="C1275" t="str">
            <v>Cheese, Spread, Golden Velvet, Colored (40#)</v>
          </cell>
        </row>
        <row r="1276">
          <cell r="A1276" t="str">
            <v>G151C</v>
          </cell>
          <cell r="C1276" t="str">
            <v>Cheese, Spread, Procd, Uncolored #02810 Kraft (20#)</v>
          </cell>
        </row>
        <row r="1277">
          <cell r="A1277" t="str">
            <v>G222C</v>
          </cell>
          <cell r="C1277" t="str">
            <v>Cheese, Yellow, Loaf Melt, Landolakes (6/5#)</v>
          </cell>
        </row>
        <row r="1278">
          <cell r="A1278" t="str">
            <v>G298B</v>
          </cell>
          <cell r="C1278" t="str">
            <v>Cream Delite #38199 (50 lb/bag)</v>
          </cell>
        </row>
        <row r="1279">
          <cell r="A1279" t="str">
            <v>G300P</v>
          </cell>
          <cell r="C1279" t="str">
            <v>Cream, Heavy 40% rbst free no additivos (5 gal)</v>
          </cell>
        </row>
        <row r="1280">
          <cell r="A1280" t="str">
            <v>G113C</v>
          </cell>
          <cell r="C1280" t="str">
            <v>Egg, Liq Whites Pstrd Ctn, Glenview Farms (6/5#)</v>
          </cell>
        </row>
        <row r="1281">
          <cell r="A1281" t="str">
            <v>G199C</v>
          </cell>
          <cell r="C1281" t="str">
            <v>Cream, Whpg Hvy, 36% (12/1QT) (24#)</v>
          </cell>
        </row>
        <row r="1282">
          <cell r="A1282" t="str">
            <v>G252C</v>
          </cell>
          <cell r="C1282" t="str">
            <v>Cream,Whipping Heavy 40% Sommer(12/2#)</v>
          </cell>
        </row>
        <row r="1283">
          <cell r="A1283" t="str">
            <v>G238C</v>
          </cell>
          <cell r="C1283" t="str">
            <v>Creamer, Half  Half QT Sommer (12/32 oz) (24#)</v>
          </cell>
        </row>
        <row r="1284">
          <cell r="A1284" t="str">
            <v>G114C</v>
          </cell>
          <cell r="C1284" t="str">
            <v>Eggs, Liquid Whole, Glenview Farms (2/20#)</v>
          </cell>
        </row>
        <row r="1285">
          <cell r="A1285" t="str">
            <v>G134T</v>
          </cell>
          <cell r="C1285" t="str">
            <v>Creamer, Half &amp; Half, #75108, Darifair (4,000# totes)</v>
          </cell>
        </row>
        <row r="1286">
          <cell r="A1286" t="str">
            <v>G270C</v>
          </cell>
          <cell r="C1286" t="str">
            <v>Creamer, Half &amp; Half, Land Lakes (12 quat)</v>
          </cell>
        </row>
        <row r="1287">
          <cell r="A1287" t="str">
            <v>G200C</v>
          </cell>
          <cell r="C1287" t="str">
            <v>Creamer, Half &amp; Half, West Creek (12/32oz) (24#)</v>
          </cell>
        </row>
        <row r="1288">
          <cell r="A1288" t="str">
            <v>G240C</v>
          </cell>
          <cell r="C1288" t="str">
            <v>Egg Scrambled Mix (15/2#)</v>
          </cell>
        </row>
        <row r="1289">
          <cell r="A1289" t="str">
            <v>G179P</v>
          </cell>
          <cell r="C1289" t="str">
            <v>Egg, Liq Whites Pstrd, Sonstegard Frozen (30#)</v>
          </cell>
        </row>
        <row r="1290">
          <cell r="A1290" t="str">
            <v>G253C</v>
          </cell>
          <cell r="C1290" t="str">
            <v>Egg, Liq. White Easy E Ref.(15/2#)</v>
          </cell>
        </row>
        <row r="1291">
          <cell r="A1291" t="str">
            <v>G279P</v>
          </cell>
          <cell r="C1291" t="str">
            <v>Egg, Liquid Scrambled, West Creek (15/2#)</v>
          </cell>
        </row>
        <row r="1292">
          <cell r="A1292" t="str">
            <v>G116C</v>
          </cell>
          <cell r="C1292" t="str">
            <v>Margarine, Liq, TFF, Ref Saltd, Glenview  (2/17.5#)</v>
          </cell>
        </row>
        <row r="1293">
          <cell r="A1293" t="str">
            <v>G254C</v>
          </cell>
          <cell r="C1293" t="str">
            <v>Egg, Liquid Whole W/Citric, Easy E (15/2#)</v>
          </cell>
        </row>
        <row r="1294">
          <cell r="A1294" t="str">
            <v>G288C</v>
          </cell>
          <cell r="C1294" t="str">
            <v>Egg, Scrambled, diced frozen Precooked (20#)</v>
          </cell>
        </row>
        <row r="1295">
          <cell r="A1295" t="str">
            <v>G280P</v>
          </cell>
          <cell r="C1295" t="str">
            <v>Egg, Yolk, liqud, Raw, Salted</v>
          </cell>
        </row>
        <row r="1296">
          <cell r="A1296" t="str">
            <v>G239C</v>
          </cell>
          <cell r="C1296" t="str">
            <v>Eggs, Liquid Scrambled, Early Morning (6/5#)</v>
          </cell>
        </row>
        <row r="1297">
          <cell r="A1297" t="str">
            <v>G201C</v>
          </cell>
          <cell r="C1297" t="str">
            <v>Eggs, Liquid Whole w/Citric, Fresh Star (20#)</v>
          </cell>
        </row>
        <row r="1298">
          <cell r="A1298" t="str">
            <v>G180P</v>
          </cell>
          <cell r="C1298" t="str">
            <v>Eggs, Liquid Whole, Pstrd, Sonstegard, Frozen (30#)</v>
          </cell>
        </row>
        <row r="1299">
          <cell r="A1299" t="str">
            <v>G297C</v>
          </cell>
          <cell r="C1299" t="str">
            <v>Eggs, Scramble, cooked, IQF (20#) mf3068</v>
          </cell>
        </row>
        <row r="1300">
          <cell r="A1300" t="str">
            <v>G115C</v>
          </cell>
          <cell r="C1300" t="str">
            <v>Eggs, Scrambled, Cooked, IQF (20#)</v>
          </cell>
        </row>
        <row r="1301">
          <cell r="A1301" t="str">
            <v>G289C</v>
          </cell>
          <cell r="C1301" t="str">
            <v>Eggs, Scrambled, Diced 3/8", Cooked,Natural LL3050  IQF (20#)</v>
          </cell>
        </row>
        <row r="1302">
          <cell r="A1302" t="str">
            <v>G122C</v>
          </cell>
          <cell r="C1302" t="str">
            <v>Milk, 2%, Reduc Fat Crrg Plst, Glenview (4/1 Gal)</v>
          </cell>
        </row>
        <row r="1303">
          <cell r="A1303" t="str">
            <v>G135C</v>
          </cell>
          <cell r="C1303" t="str">
            <v>Margarine, Liquid #105-600 (35#)</v>
          </cell>
        </row>
        <row r="1304">
          <cell r="A1304" t="str">
            <v>G118C</v>
          </cell>
          <cell r="C1304" t="str">
            <v>Milk, Dry (50#)</v>
          </cell>
        </row>
        <row r="1305">
          <cell r="A1305" t="str">
            <v>G181D</v>
          </cell>
          <cell r="C1305" t="str">
            <v>Margarine, Liquid, Supreme #19512  (400#)</v>
          </cell>
        </row>
        <row r="1306">
          <cell r="A1306" t="str">
            <v>G224C</v>
          </cell>
          <cell r="C1306" t="str">
            <v>Margarine, Liquid, West Creek (2/17.5#)</v>
          </cell>
        </row>
        <row r="1307">
          <cell r="A1307" t="str">
            <v>G182C</v>
          </cell>
          <cell r="C1307" t="str">
            <v>Margarine, Solid, Parve, Sunnyland (50#)</v>
          </cell>
        </row>
        <row r="1308">
          <cell r="A1308" t="str">
            <v>G251C</v>
          </cell>
          <cell r="C1308" t="str">
            <v>Milk 2%, Lowfat, Velvet (4/1 Gal) (41.7#)</v>
          </cell>
        </row>
        <row r="1309">
          <cell r="A1309" t="str">
            <v>G259J</v>
          </cell>
          <cell r="C1309" t="str">
            <v>Milk, 2%, daily Chef (1 Gal)</v>
          </cell>
        </row>
        <row r="1310">
          <cell r="A1310" t="str">
            <v>G119C</v>
          </cell>
          <cell r="C1310" t="str">
            <v>Milk, Evaporated, Glenview Farms (6/#10)</v>
          </cell>
        </row>
        <row r="1311">
          <cell r="A1311" t="str">
            <v>G260J</v>
          </cell>
          <cell r="C1311" t="str">
            <v>Milk, 2%, Fresh (4/1 gal)</v>
          </cell>
        </row>
        <row r="1312">
          <cell r="A1312" t="str">
            <v>G202C</v>
          </cell>
          <cell r="C1312" t="str">
            <v>Milk, 2%, Low Fat, Sealtest (4/1 Gal) (41.7#)</v>
          </cell>
        </row>
        <row r="1313">
          <cell r="A1313" t="str">
            <v>G122B</v>
          </cell>
          <cell r="C1313" t="str">
            <v>Milk, 2%, Reduc Fat, #1039, Darifair (2/2.5gal) (40# bag)</v>
          </cell>
        </row>
        <row r="1314">
          <cell r="A1314" t="str">
            <v>G117C</v>
          </cell>
          <cell r="C1314" t="str">
            <v>Milk, Coconut, Powder (33.069#)</v>
          </cell>
        </row>
        <row r="1315">
          <cell r="A1315" t="str">
            <v>G172B</v>
          </cell>
          <cell r="C1315" t="str">
            <v>Milk, Dry, NonFat, Hi Heat, Assoc Milk (55.11#)</v>
          </cell>
        </row>
        <row r="1316">
          <cell r="A1316" t="str">
            <v>G144C</v>
          </cell>
          <cell r="C1316" t="str">
            <v>Milk, Dry, NonFat, Hi Heat, BDF0019 (55.115#)</v>
          </cell>
        </row>
        <row r="1317">
          <cell r="A1317" t="str">
            <v>G174C</v>
          </cell>
          <cell r="C1317" t="str">
            <v>Milk, Dry, NonFat, Hi Heat, Kosher, Hoogwegt (55.115#)</v>
          </cell>
        </row>
        <row r="1318">
          <cell r="A1318" t="str">
            <v>G120C</v>
          </cell>
          <cell r="C1318" t="str">
            <v>Milk, Whole (4/1 Gal)</v>
          </cell>
        </row>
        <row r="1319">
          <cell r="A1319" t="str">
            <v>G146B</v>
          </cell>
          <cell r="C1319" t="str">
            <v>Milk, Dry, NonFat, Low Heat, Assoc Milk (55.11#)</v>
          </cell>
        </row>
        <row r="1320">
          <cell r="A1320" t="str">
            <v>G168B</v>
          </cell>
          <cell r="C1320" t="str">
            <v>Milk, Dry, NonFat, Low Heat, BDF0018 (50#)</v>
          </cell>
        </row>
        <row r="1321">
          <cell r="A1321" t="str">
            <v>G241C</v>
          </cell>
          <cell r="C1321" t="str">
            <v>Milk, Evaporated Jerzee (48/12 oz)</v>
          </cell>
        </row>
        <row r="1322">
          <cell r="A1322" t="str">
            <v>G175C</v>
          </cell>
          <cell r="C1322" t="str">
            <v>Milk, Evaporated, Jerzee (6/#10)</v>
          </cell>
        </row>
        <row r="1323">
          <cell r="A1323" t="str">
            <v>G176C</v>
          </cell>
          <cell r="C1323" t="str">
            <v>Milk, Evaporated, Magnolia (6/#10)</v>
          </cell>
        </row>
        <row r="1324">
          <cell r="A1324" t="str">
            <v>G281C</v>
          </cell>
          <cell r="C1324" t="str">
            <v>Milk, Fat Free, Skim Milk (4/1gal)</v>
          </cell>
        </row>
        <row r="1325">
          <cell r="A1325" t="str">
            <v>G242C</v>
          </cell>
          <cell r="C1325" t="str">
            <v>Milk, Lowfat 2% Velvet (4/1 Gal)</v>
          </cell>
        </row>
        <row r="1326">
          <cell r="A1326" t="str">
            <v>G282C</v>
          </cell>
          <cell r="C1326" t="str">
            <v>Milk, Skim, Sealtest (4/1 Gal)</v>
          </cell>
        </row>
        <row r="1327">
          <cell r="A1327" t="str">
            <v>G283J</v>
          </cell>
          <cell r="C1327" t="str">
            <v xml:space="preserve">Milk, Whole  </v>
          </cell>
        </row>
        <row r="1328">
          <cell r="A1328" t="str">
            <v>G121C</v>
          </cell>
          <cell r="C1328" t="str">
            <v>Milk, Whole (4/1 Gal)</v>
          </cell>
        </row>
        <row r="1329">
          <cell r="A1329" t="str">
            <v>G225C</v>
          </cell>
          <cell r="C1329" t="str">
            <v>Oil Canola (35#)</v>
          </cell>
        </row>
        <row r="1330">
          <cell r="A1330" t="str">
            <v>G261J</v>
          </cell>
          <cell r="C1330" t="str">
            <v>Oil Canola (35#)</v>
          </cell>
        </row>
        <row r="1331">
          <cell r="A1331" t="str">
            <v>G227C</v>
          </cell>
          <cell r="C1331" t="str">
            <v>Oil Soybean (35#)</v>
          </cell>
        </row>
        <row r="1332">
          <cell r="A1332" t="str">
            <v>G203C</v>
          </cell>
          <cell r="C1332" t="str">
            <v>Oil, Canola (35#)</v>
          </cell>
        </row>
        <row r="1333">
          <cell r="A1333" t="str">
            <v>G183C</v>
          </cell>
          <cell r="C1333" t="str">
            <v>Oil, Canola, 104-440 (35#)</v>
          </cell>
        </row>
        <row r="1334">
          <cell r="A1334" t="str">
            <v>G249C</v>
          </cell>
          <cell r="C1334" t="str">
            <v>Oil, Canola, Salad, Superb(35#)</v>
          </cell>
        </row>
        <row r="1335">
          <cell r="A1335" t="str">
            <v>G285C</v>
          </cell>
          <cell r="C1335" t="str">
            <v>Oil, Canola, Wesson (1.25 Gal)</v>
          </cell>
        </row>
        <row r="1336">
          <cell r="A1336" t="str">
            <v>G272C</v>
          </cell>
          <cell r="C1336" t="str">
            <v>Oil, Olive Extra Virgen, Divina (6/3lt)</v>
          </cell>
        </row>
        <row r="1337">
          <cell r="A1337" t="str">
            <v>G226C</v>
          </cell>
          <cell r="C1337" t="str">
            <v>Oil, Olive Extra Virgin, Piancone (6/1 gal) (50.04#)</v>
          </cell>
        </row>
        <row r="1338">
          <cell r="A1338" t="str">
            <v>G205C</v>
          </cell>
          <cell r="C1338" t="str">
            <v>Oil, Olive Extra Virgin, Virginola (6/1 gal) (50.04#)</v>
          </cell>
        </row>
        <row r="1339">
          <cell r="A1339" t="str">
            <v>G250C</v>
          </cell>
          <cell r="C1339" t="str">
            <v>Oil, Olive Pomace Tutino's (6/1 Gal)</v>
          </cell>
        </row>
        <row r="1340">
          <cell r="A1340" t="str">
            <v>G206C</v>
          </cell>
          <cell r="C1340" t="str">
            <v>Oil, Palm Shortening (50#)</v>
          </cell>
        </row>
        <row r="1341">
          <cell r="A1341" t="str">
            <v>G295C</v>
          </cell>
          <cell r="C1341" t="str">
            <v xml:space="preserve">Oil, Phase (garlic flavor)  3 gal/cs, </v>
          </cell>
        </row>
        <row r="1342">
          <cell r="A1342" t="str">
            <v>G271J</v>
          </cell>
          <cell r="C1342" t="str">
            <v>Oil, Sesame, Pure Dark roas, Roland (1/1 Gal)</v>
          </cell>
        </row>
        <row r="1343">
          <cell r="A1343" t="str">
            <v>G284J</v>
          </cell>
          <cell r="C1343" t="str">
            <v>Oil, Soybean TFF Salad, Harvest (35#)</v>
          </cell>
        </row>
        <row r="1344">
          <cell r="A1344" t="str">
            <v>G126C</v>
          </cell>
          <cell r="C1344" t="str">
            <v>Omelets, Cheese, IQF (15.75#)</v>
          </cell>
        </row>
        <row r="1345">
          <cell r="A1345" t="str">
            <v>G127C</v>
          </cell>
          <cell r="C1345" t="str">
            <v>Omelets, IQF (96/2oz)</v>
          </cell>
        </row>
        <row r="1346">
          <cell r="A1346" t="str">
            <v>G128C</v>
          </cell>
          <cell r="C1346" t="str">
            <v>Omelets, Monterey Jack Cheese, IQF (15.75#)</v>
          </cell>
        </row>
        <row r="1347">
          <cell r="A1347" t="str">
            <v>G243C</v>
          </cell>
          <cell r="C1347" t="str">
            <v>Pecan Nut, Medium Pieces, Young (30#)</v>
          </cell>
        </row>
        <row r="1348">
          <cell r="A1348" t="str">
            <v>G228C</v>
          </cell>
          <cell r="C1348" t="str">
            <v xml:space="preserve">Pecan, Pcs   </v>
          </cell>
        </row>
        <row r="1349">
          <cell r="A1349" t="str">
            <v>G207C</v>
          </cell>
          <cell r="C1349" t="str">
            <v>Pecan, PCS Midget (30#)</v>
          </cell>
        </row>
        <row r="1350">
          <cell r="A1350" t="str">
            <v>G286C</v>
          </cell>
          <cell r="C1350" t="str">
            <v>Pecans, SM #57050-PPO (30#)</v>
          </cell>
        </row>
        <row r="1351">
          <cell r="A1351" t="str">
            <v>G141B</v>
          </cell>
          <cell r="C1351" t="str">
            <v>Shortening, Flakes, Spray Dried (50#)</v>
          </cell>
        </row>
        <row r="1352">
          <cell r="A1352" t="str">
            <v>G173B</v>
          </cell>
          <cell r="C1352" t="str">
            <v>Shortening, Spray Dried</v>
          </cell>
        </row>
        <row r="1353">
          <cell r="A1353" t="str">
            <v>G245C</v>
          </cell>
          <cell r="C1353" t="str">
            <v>Sour Cream Sommer (4/5#)</v>
          </cell>
        </row>
        <row r="1354">
          <cell r="A1354" t="str">
            <v>G123C</v>
          </cell>
          <cell r="C1354" t="str">
            <v>Oil, Canola, TFF Salad, Harvest (35#)</v>
          </cell>
        </row>
        <row r="1355">
          <cell r="A1355" t="str">
            <v>G124C</v>
          </cell>
          <cell r="C1355" t="str">
            <v>Oil, Olive Ex Virgin Imp Italy, Roseli (6/1 liter) (12.68#)</v>
          </cell>
        </row>
        <row r="1356">
          <cell r="A1356" t="str">
            <v>G125C</v>
          </cell>
          <cell r="C1356" t="str">
            <v>Oil, Sesame, Pure (6/61 oz)</v>
          </cell>
        </row>
        <row r="1357">
          <cell r="A1357" t="str">
            <v>G129C</v>
          </cell>
          <cell r="C1357" t="str">
            <v>Sour Cream, 18% Butrft Ref, Glenview Farms (32#)</v>
          </cell>
        </row>
        <row r="1358">
          <cell r="A1358" t="str">
            <v>G130C</v>
          </cell>
          <cell r="C1358" t="str">
            <v>Sour Cream (4/5#)</v>
          </cell>
        </row>
        <row r="1359">
          <cell r="A1359" t="str">
            <v>G133C</v>
          </cell>
          <cell r="C1359" t="str">
            <v>Yogurt, Plain, Ft/Fr Rbst Free, Yoplait (6/32oz) (12#)</v>
          </cell>
        </row>
        <row r="1360">
          <cell r="A1360" t="str">
            <v>G134C</v>
          </cell>
          <cell r="C1360" t="str">
            <v>Creamer, Half &amp; Half, 10.5% Glenv Farms (12/1QT) (24#)</v>
          </cell>
        </row>
        <row r="1361">
          <cell r="A1361" t="str">
            <v>G136C</v>
          </cell>
          <cell r="C1361" t="str">
            <v>Cheese, Cream Pln Loaf, Philly (6/3#)</v>
          </cell>
        </row>
        <row r="1362">
          <cell r="A1362" t="str">
            <v>G137C</v>
          </cell>
          <cell r="C1362" t="str">
            <v>Cream, Whpg Hvy, 36%, Glenview Farms (12/1QT)</v>
          </cell>
        </row>
        <row r="1363">
          <cell r="A1363" t="str">
            <v>G138C</v>
          </cell>
          <cell r="C1363" t="str">
            <v>Oil, Sesame, Imp Jpn (4/1 gal)</v>
          </cell>
        </row>
        <row r="1364">
          <cell r="A1364" t="str">
            <v>G139C</v>
          </cell>
          <cell r="C1364" t="str">
            <v>Milk, Skim, Glenview Farms (4/1 Gal)</v>
          </cell>
        </row>
        <row r="1365">
          <cell r="A1365" t="str">
            <v>G140C</v>
          </cell>
          <cell r="C1365" t="str">
            <v>Shortening, Fryg Pnt Liq Clr, Quali-Fry (35#)</v>
          </cell>
        </row>
        <row r="1366">
          <cell r="A1366" t="str">
            <v>G142P</v>
          </cell>
          <cell r="C1366" t="str">
            <v>Cheese, Ricotta PS Tub, Roseli (6/3#)</v>
          </cell>
        </row>
        <row r="1367">
          <cell r="A1367" t="str">
            <v>G143C</v>
          </cell>
          <cell r="C1367" t="str">
            <v>Cheese, Romano Pecor Grated, Roseli (4/5#)</v>
          </cell>
        </row>
        <row r="1368">
          <cell r="A1368" t="str">
            <v>G148C</v>
          </cell>
          <cell r="C1368" t="str">
            <v>Oil, Soybean, Harvest (35#)</v>
          </cell>
        </row>
        <row r="1369">
          <cell r="A1369" t="str">
            <v>G149C</v>
          </cell>
          <cell r="C1369" t="str">
            <v>Cheese, Provolone Mozzarella Blend</v>
          </cell>
        </row>
        <row r="1370">
          <cell r="A1370" t="str">
            <v>G152C</v>
          </cell>
          <cell r="C1370" t="str">
            <v>Cheese, American Wht Loaf, Hilldale (6/5#)</v>
          </cell>
        </row>
        <row r="1371">
          <cell r="A1371" t="str">
            <v>G153C</v>
          </cell>
          <cell r="C1371" t="str">
            <v>Cheese, Cheddar, Sharp, Bloc Ylw Glen Farms(40#)</v>
          </cell>
        </row>
        <row r="1372">
          <cell r="A1372" t="str">
            <v>G154C</v>
          </cell>
          <cell r="C1372" t="str">
            <v>Cheese, Gldn Velvt Loaf TFF Land O'Lks (6/5#)</v>
          </cell>
        </row>
        <row r="1373">
          <cell r="A1373" t="str">
            <v>G155B</v>
          </cell>
          <cell r="C1373" t="str">
            <v>Pecan, PC Med Fcy Shl Off, Bkrs Slect (5#)</v>
          </cell>
        </row>
        <row r="1374">
          <cell r="A1374" t="str">
            <v>G156B</v>
          </cell>
          <cell r="C1374" t="str">
            <v>Pecan, PC Med Cho Unsltd Raw, Young (5#)</v>
          </cell>
        </row>
        <row r="1375">
          <cell r="A1375" t="str">
            <v>G157P</v>
          </cell>
          <cell r="C1375" t="str">
            <v>Topping, Ready to Whp Nondary, Rich's (30#)</v>
          </cell>
        </row>
        <row r="1376">
          <cell r="A1376" t="str">
            <v>G159C</v>
          </cell>
          <cell r="C1376" t="str">
            <v>Walnut, Half &amp; PC Raw Shl Off, Monarch  (3/2#)</v>
          </cell>
        </row>
        <row r="1377">
          <cell r="A1377" t="str">
            <v>G161C</v>
          </cell>
          <cell r="C1377" t="str">
            <v>Margarine, Solid, Glenview Farms (30#)</v>
          </cell>
        </row>
        <row r="1378">
          <cell r="A1378" t="str">
            <v>G162C</v>
          </cell>
          <cell r="C1378" t="str">
            <v>Cheese, American Wht Loaf Procd, El Pasado (6/5#)</v>
          </cell>
        </row>
        <row r="1379">
          <cell r="A1379" t="str">
            <v>G163C</v>
          </cell>
          <cell r="C1379" t="str">
            <v>Almond, Slcd Blnchd Shl Off 8888646 (3/2#)</v>
          </cell>
        </row>
        <row r="1380">
          <cell r="A1380" t="str">
            <v>G166C</v>
          </cell>
          <cell r="C1380" t="str">
            <v>Cheese, Ricotta Whl Milk Whpd, Roseli (4/5#)</v>
          </cell>
        </row>
        <row r="1381">
          <cell r="A1381" t="str">
            <v>G167C</v>
          </cell>
          <cell r="C1381" t="str">
            <v>Oil, Olive Ex Vrgn Salad, Packer (4/3 liter)</v>
          </cell>
        </row>
        <row r="1382">
          <cell r="A1382" t="str">
            <v>G170C</v>
          </cell>
          <cell r="C1382" t="str">
            <v>Oil, Olive Ex Virgin Imp Italy, Bellagio (6/1 liter) (12.68#)</v>
          </cell>
        </row>
        <row r="1383">
          <cell r="A1383" t="str">
            <v>G171C</v>
          </cell>
          <cell r="C1383" t="str">
            <v>Cheese, Asiago Aged Shrd Bag (2/5#)</v>
          </cell>
        </row>
        <row r="1384">
          <cell r="A1384" t="str">
            <v>G177C</v>
          </cell>
          <cell r="C1384" t="str">
            <v>Cheese, Cotij Dmstc Bag Ref, Fud (12/1#)</v>
          </cell>
        </row>
        <row r="1385">
          <cell r="A1385" t="str">
            <v>G190C</v>
          </cell>
          <cell r="C1385" t="str">
            <v>Cheese, Cheddar, Sharp, Loaf, Glen Farms (10#)</v>
          </cell>
        </row>
        <row r="1386">
          <cell r="A1386" t="str">
            <v>G204C</v>
          </cell>
          <cell r="C1386" t="str">
            <v>Oil, Canola, TFF Salad, Quali-Fry (2/17.5#)</v>
          </cell>
        </row>
        <row r="1387">
          <cell r="A1387" t="str">
            <v>G208C</v>
          </cell>
          <cell r="C1387" t="str">
            <v>Topping, Base Nondary Fzn, Rich's (4/8.8#)</v>
          </cell>
        </row>
        <row r="1388">
          <cell r="A1388" t="str">
            <v>G244C</v>
          </cell>
          <cell r="C1388" t="str">
            <v>Sour Cream, West Creek (32#)</v>
          </cell>
        </row>
        <row r="1389">
          <cell r="A1389" t="str">
            <v>G131B</v>
          </cell>
          <cell r="C1389" t="str">
            <v>Sweet Cream, Dehydrated (50#)</v>
          </cell>
        </row>
        <row r="1390">
          <cell r="A1390" t="str">
            <v>G209C</v>
          </cell>
          <cell r="C1390" t="str">
            <v>Topping, Ready to Whp Nondary, Rich's (30#)</v>
          </cell>
        </row>
        <row r="1391">
          <cell r="A1391" t="str">
            <v>G210C</v>
          </cell>
          <cell r="C1391" t="str">
            <v>Topping, Whipped on Top Nondairy, Rich's (12/32oz)</v>
          </cell>
        </row>
        <row r="1392">
          <cell r="A1392" t="str">
            <v>G211C</v>
          </cell>
          <cell r="C1392" t="str">
            <v>Topping, Whipped RTU Past, Peak Foods (12/16oz)</v>
          </cell>
        </row>
        <row r="1393">
          <cell r="A1393" t="str">
            <v>G246C</v>
          </cell>
          <cell r="C1393" t="str">
            <v>Walnut Halves &amp; Pieces (1/5#)</v>
          </cell>
        </row>
        <row r="1394">
          <cell r="A1394" t="str">
            <v>G287C</v>
          </cell>
          <cell r="C1394" t="str">
            <v>Walnut, Medium/Small Pieces (30#)</v>
          </cell>
        </row>
        <row r="1395">
          <cell r="A1395" t="str">
            <v>G214C</v>
          </cell>
          <cell r="C1395" t="str">
            <v>Walnut, Pieces Med, Azar  (2/5#)</v>
          </cell>
        </row>
        <row r="1396">
          <cell r="A1396" t="str">
            <v>G212C</v>
          </cell>
          <cell r="C1396" t="str">
            <v>Walnut, Pieces Med/Sml Combo (30#)</v>
          </cell>
        </row>
        <row r="1397">
          <cell r="A1397" t="str">
            <v>G213C</v>
          </cell>
          <cell r="C1397" t="str">
            <v>Walnut, Pieces, Packer  (1/5#)</v>
          </cell>
        </row>
        <row r="1398">
          <cell r="A1398" t="str">
            <v>G229C</v>
          </cell>
          <cell r="C1398" t="str">
            <v>Walnuts Lt Half &amp; Pcs</v>
          </cell>
        </row>
        <row r="1399">
          <cell r="A1399" t="str">
            <v>G132B</v>
          </cell>
          <cell r="C1399" t="str">
            <v>Whey, Sweet Dairy (50#)</v>
          </cell>
        </row>
        <row r="1400">
          <cell r="A1400" t="str">
            <v>G215B</v>
          </cell>
          <cell r="C1400" t="str">
            <v>Whey, Sweet Dairy, AMP (50#)</v>
          </cell>
        </row>
        <row r="1401">
          <cell r="A1401" t="str">
            <v>G169B</v>
          </cell>
          <cell r="C1401" t="str">
            <v>Whey, Sweet Dairy, Kosher Assoc Milk (50#)</v>
          </cell>
        </row>
        <row r="1402">
          <cell r="A1402" t="str">
            <v>G145B</v>
          </cell>
          <cell r="C1402" t="str">
            <v>Whey, Sweet Dairy, Main Street (50#)</v>
          </cell>
        </row>
        <row r="1403">
          <cell r="A1403" t="str">
            <v>G291C</v>
          </cell>
          <cell r="C1403" t="str">
            <v>Yogurt, Lowfat Plain</v>
          </cell>
        </row>
        <row r="1404">
          <cell r="A1404" t="str">
            <v>G216C</v>
          </cell>
          <cell r="C1404" t="str">
            <v>Yogurt, Plain Nonfat, Dannon (6/32oz) (12#)</v>
          </cell>
        </row>
        <row r="1405">
          <cell r="A1405" t="str">
            <v>OG-100C</v>
          </cell>
          <cell r="C1405" t="str">
            <v>Cheese, Parmesan, Granted (Organic)</v>
          </cell>
        </row>
        <row r="1406">
          <cell r="A1406" t="str">
            <v>OG-101C</v>
          </cell>
          <cell r="C1406" t="str">
            <v>Cheese, Mozzarella Shredded (Organic)</v>
          </cell>
        </row>
        <row r="1407">
          <cell r="A1407" t="str">
            <v>OG-102C</v>
          </cell>
          <cell r="C1407" t="str">
            <v>Cheese, Cheddar, shard, white</v>
          </cell>
        </row>
        <row r="1408">
          <cell r="A1408" t="str">
            <v>OG-104C</v>
          </cell>
          <cell r="C1408" t="str">
            <v>Cheese, American White Block</v>
          </cell>
        </row>
        <row r="1409">
          <cell r="A1409" t="str">
            <v>OG-105C</v>
          </cell>
          <cell r="C1409" t="str">
            <v xml:space="preserve">Cheese, Monterey Jack, Shredded </v>
          </cell>
        </row>
        <row r="1410">
          <cell r="A1410" t="str">
            <v>OG-106C</v>
          </cell>
          <cell r="C1410" t="str">
            <v>Cheese, Cheddar, Shred Yellow</v>
          </cell>
        </row>
        <row r="1411">
          <cell r="A1411" t="str">
            <v>OG-107C</v>
          </cell>
          <cell r="C1411" t="str">
            <v>Butter, Unsalted, Organic</v>
          </cell>
        </row>
        <row r="1412">
          <cell r="A1412" t="str">
            <v>OG-108C</v>
          </cell>
          <cell r="C1412" t="str">
            <v>Oil, Canola, Organic</v>
          </cell>
        </row>
        <row r="1413">
          <cell r="A1413"/>
          <cell r="C1413"/>
        </row>
        <row r="1414">
          <cell r="A1414"/>
          <cell r="C1414"/>
        </row>
        <row r="1415">
          <cell r="A1415" t="str">
            <v>H100C</v>
          </cell>
          <cell r="C1415" t="str">
            <v>Blueberry French Toast Sticks</v>
          </cell>
        </row>
        <row r="1416">
          <cell r="A1416" t="str">
            <v>H101C</v>
          </cell>
          <cell r="C1416" t="str">
            <v>French Toast Sticks (20#)</v>
          </cell>
        </row>
        <row r="1417">
          <cell r="A1417" t="str">
            <v>H102C</v>
          </cell>
          <cell r="C1417" t="str">
            <v>Grits, Yellow Corn (50#)</v>
          </cell>
        </row>
        <row r="1418">
          <cell r="A1418" t="str">
            <v>H104C</v>
          </cell>
          <cell r="C1418" t="str">
            <v>Oats, Quick Cooking Rolled (50#)</v>
          </cell>
        </row>
        <row r="1419">
          <cell r="A1419" t="str">
            <v>H106C</v>
          </cell>
          <cell r="C1419" t="str">
            <v>Pancakes, Buttermilk (10#)</v>
          </cell>
        </row>
        <row r="1420">
          <cell r="A1420" t="str">
            <v>H103C</v>
          </cell>
          <cell r="C1420" t="str">
            <v>Grits, Quick Enriched, Quaker</v>
          </cell>
        </row>
        <row r="1421">
          <cell r="A1421" t="str">
            <v>H107C</v>
          </cell>
          <cell r="C1421" t="str">
            <v>Waffles (12/12oz)</v>
          </cell>
        </row>
        <row r="1422">
          <cell r="A1422" t="str">
            <v>H105C</v>
          </cell>
          <cell r="C1422" t="str">
            <v>Oats, Quick, Quaker (12/42oz)</v>
          </cell>
        </row>
        <row r="1423">
          <cell r="A1423" t="str">
            <v>H108C</v>
          </cell>
          <cell r="C1423" t="str">
            <v>Oats, Steel Cut (50#)</v>
          </cell>
        </row>
        <row r="1424">
          <cell r="A1424"/>
          <cell r="C1424"/>
        </row>
        <row r="1425">
          <cell r="A1425"/>
          <cell r="C1425" t="str">
            <v>Biscuit, Dough Ready Heritage (172 ea)</v>
          </cell>
        </row>
        <row r="1426">
          <cell r="A1426"/>
          <cell r="C1426"/>
        </row>
        <row r="1427">
          <cell r="A1427"/>
          <cell r="C1427"/>
        </row>
        <row r="1428">
          <cell r="A1428" t="str">
            <v>P213C</v>
          </cell>
          <cell r="C1428" t="str">
            <v>Bags, Food Strg 18x24 Frzr Clr (250 ea)</v>
          </cell>
        </row>
        <row r="1429">
          <cell r="A1429" t="str">
            <v>P100C</v>
          </cell>
          <cell r="C1429" t="str">
            <v>Bags, Food Strg, 18x24, Ovbl (100 ea)</v>
          </cell>
        </row>
        <row r="1430">
          <cell r="A1430" t="str">
            <v>P101C</v>
          </cell>
          <cell r="C1430" t="str">
            <v>Bags, Rack (250/46x38x84)</v>
          </cell>
        </row>
        <row r="1431">
          <cell r="A1431"/>
          <cell r="C1431" t="str">
            <v xml:space="preserve"> </v>
          </cell>
        </row>
        <row r="1432">
          <cell r="A1432" t="str">
            <v>P249C</v>
          </cell>
          <cell r="C1432" t="str">
            <v>Film, 12"</v>
          </cell>
        </row>
        <row r="1433">
          <cell r="A1433"/>
          <cell r="C1433" t="str">
            <v>Film, 14"</v>
          </cell>
        </row>
        <row r="1434">
          <cell r="A1434" t="str">
            <v>P102R</v>
          </cell>
          <cell r="C1434" t="str">
            <v>Film, 16.375 x 3000</v>
          </cell>
        </row>
        <row r="1435">
          <cell r="A1435" t="str">
            <v>P103R</v>
          </cell>
          <cell r="C1435" t="str">
            <v>Film, 16.625</v>
          </cell>
        </row>
        <row r="1436">
          <cell r="A1436" t="str">
            <v>P104R</v>
          </cell>
          <cell r="C1436" t="str">
            <v>Film, 6.625 (OS-100)</v>
          </cell>
        </row>
        <row r="1437">
          <cell r="A1437"/>
          <cell r="C1437" t="str">
            <v>Film, 6.75x3000' (3SI)(OS-140)</v>
          </cell>
        </row>
        <row r="1438">
          <cell r="A1438" t="str">
            <v>P105R</v>
          </cell>
          <cell r="C1438" t="str">
            <v>Film, Forming 420X304</v>
          </cell>
        </row>
        <row r="1439">
          <cell r="A1439" t="str">
            <v>P248C</v>
          </cell>
          <cell r="C1439" t="str">
            <v>Film, Lid, 7" x 3000' (3SI) (OS-170 7-3)</v>
          </cell>
        </row>
        <row r="1440">
          <cell r="A1440" t="str">
            <v>P107R</v>
          </cell>
          <cell r="C1440" t="str">
            <v>Film, Lid, 7.25" x 3000' (OS-170)</v>
          </cell>
        </row>
        <row r="1441">
          <cell r="A1441" t="str">
            <v>P108R</v>
          </cell>
          <cell r="C1441" t="str">
            <v>Film, Lid, 7.25" x 5000' (OS-100)</v>
          </cell>
        </row>
        <row r="1442">
          <cell r="A1442"/>
          <cell r="C1442" t="str">
            <v>Film, Lid, 8" x 3000'  (OS-170)</v>
          </cell>
        </row>
        <row r="1443">
          <cell r="A1443" t="str">
            <v>P109R</v>
          </cell>
          <cell r="C1443" t="str">
            <v>Film, Lid, 8.125" x 3000'  (OS-170)</v>
          </cell>
        </row>
        <row r="1444">
          <cell r="A1444" t="str">
            <v>P233R</v>
          </cell>
          <cell r="C1444" t="str">
            <v>Film, Lid, 8.25" x 3000'  (OS-170)</v>
          </cell>
        </row>
        <row r="1445">
          <cell r="A1445"/>
          <cell r="C1445" t="str">
            <v>Film, Lid, 13" X 5,000' (LF100 13x5000)</v>
          </cell>
        </row>
        <row r="1446">
          <cell r="A1446"/>
          <cell r="C1446" t="str">
            <v>Film, Lid, 13.5" X 2,000' (OS-200 13.5)</v>
          </cell>
        </row>
        <row r="1447">
          <cell r="A1447" t="str">
            <v>P247C</v>
          </cell>
          <cell r="C1447" t="str">
            <v>Film, Lid, 13.5" X 3,000' (OS-170 13.5)</v>
          </cell>
        </row>
        <row r="1448">
          <cell r="A1448" t="str">
            <v>P106R</v>
          </cell>
          <cell r="C1448" t="str">
            <v>Film, Lid, 14.5" X 3,000' (OS-170)</v>
          </cell>
        </row>
        <row r="1449">
          <cell r="A1449"/>
          <cell r="C1449" t="str">
            <v>Film, Lid, 14.5" X 4,370' (OS-170)</v>
          </cell>
        </row>
        <row r="1450">
          <cell r="A1450"/>
          <cell r="C1450" t="str">
            <v>Film, Lid, 20" X 4,770' (OS-170)</v>
          </cell>
        </row>
        <row r="1451">
          <cell r="A1451"/>
          <cell r="C1451" t="str">
            <v>Film, Lid, SealMAX LD-80 (2 rolls/cs)</v>
          </cell>
        </row>
        <row r="1452">
          <cell r="A1452" t="str">
            <v>P234R</v>
          </cell>
          <cell r="C1452" t="str">
            <v>Film, Non-Forming 415mm x 400m</v>
          </cell>
        </row>
        <row r="1453">
          <cell r="A1453" t="str">
            <v>P110R</v>
          </cell>
          <cell r="C1453" t="str">
            <v>Film, Non-Forming 415mm x 609m</v>
          </cell>
        </row>
        <row r="1454">
          <cell r="A1454"/>
          <cell r="C1454" t="str">
            <v>Film, Non-Forming 415mm x 3mill</v>
          </cell>
        </row>
        <row r="1455">
          <cell r="A1455" t="str">
            <v>P235R</v>
          </cell>
          <cell r="C1455" t="str">
            <v>Film, Non-Forming 420mm x 304m</v>
          </cell>
        </row>
        <row r="1456">
          <cell r="A1456" t="str">
            <v>P236R</v>
          </cell>
          <cell r="C1456" t="str">
            <v>Film, Non-Forming 420mm x 610m</v>
          </cell>
        </row>
        <row r="1457">
          <cell r="A1457"/>
          <cell r="C1457" t="str">
            <v>Film, forming 422 mm fill A9501-W 6 mill</v>
          </cell>
        </row>
        <row r="1458">
          <cell r="A1458" t="str">
            <v>P237R</v>
          </cell>
          <cell r="C1458" t="str">
            <v>Film, Non-Forming 510mm x 610m</v>
          </cell>
        </row>
        <row r="1459">
          <cell r="A1459" t="str">
            <v>P238R</v>
          </cell>
          <cell r="C1459" t="str">
            <v>Film, Non-Forming 630mm x 609m</v>
          </cell>
        </row>
        <row r="1460">
          <cell r="A1460" t="str">
            <v>P246C</v>
          </cell>
          <cell r="C1460" t="str">
            <v>Film, 16.75x5000x2500' 6" core (flm-16755025-60)</v>
          </cell>
        </row>
        <row r="1461">
          <cell r="A1461" t="str">
            <v>P259C</v>
          </cell>
          <cell r="C1461" t="str">
            <v>Film, MAP RLCP116, 305mm x 3,000 ft</v>
          </cell>
        </row>
        <row r="1462">
          <cell r="A1462"/>
          <cell r="C1462"/>
        </row>
        <row r="1463">
          <cell r="A1463"/>
          <cell r="C1463"/>
        </row>
        <row r="1464">
          <cell r="A1464" t="str">
            <v>P207C</v>
          </cell>
          <cell r="C1464" t="str">
            <v>4x8 Blank White Thermal Label (4 rls/cs) (1000 lbls/rl)</v>
          </cell>
        </row>
        <row r="1465">
          <cell r="A1465"/>
          <cell r="C1465"/>
        </row>
        <row r="1466">
          <cell r="A1466"/>
          <cell r="C1466" t="str">
            <v>Lids, Alum for 1/2 Steam Pan, Wilkinson (100 ct)</v>
          </cell>
        </row>
        <row r="1467">
          <cell r="A1467"/>
          <cell r="C1467" t="str">
            <v>Lids, Alum for 1/2 Steam Pan,  (30 ct)</v>
          </cell>
        </row>
        <row r="1468">
          <cell r="A1468"/>
          <cell r="C1468" t="str">
            <v>Lid, foil Flt, 1/2 Steam (100 ct)</v>
          </cell>
        </row>
        <row r="1469">
          <cell r="A1469" t="str">
            <v>P221C</v>
          </cell>
          <cell r="C1469" t="str">
            <v>Lids, Pan 1/3 Sz Foil Cvr (100 ct)</v>
          </cell>
        </row>
        <row r="1470">
          <cell r="A1470" t="str">
            <v>P111C</v>
          </cell>
          <cell r="C1470" t="str">
            <v>Lids, Pan 1/2 Sz Foil Cvr, Monogram (100 ct)</v>
          </cell>
        </row>
        <row r="1471">
          <cell r="A1471" t="str">
            <v>P112C</v>
          </cell>
          <cell r="C1471" t="str">
            <v>Pans, 1/4 Sheet Cake (100 ct)</v>
          </cell>
        </row>
        <row r="1472">
          <cell r="A1472" t="str">
            <v>P214C</v>
          </cell>
          <cell r="C1472" t="str">
            <v>Pans, Stmtbl Foil 1/3 (200 ea)</v>
          </cell>
        </row>
        <row r="1473">
          <cell r="A1473" t="str">
            <v>P208C</v>
          </cell>
          <cell r="C1473" t="str">
            <v>Pans, Stmtbl Foil 1/2 Sz 2.5"D, Monogram (100 ea)</v>
          </cell>
        </row>
        <row r="1474">
          <cell r="A1474"/>
          <cell r="C1474" t="str">
            <v>Half Steam Pan 658707 (30ct)</v>
          </cell>
        </row>
        <row r="1475">
          <cell r="A1475"/>
          <cell r="C1475" t="str">
            <v>Pan, Steam Alum, 1/2 size, Handi (100 ct)</v>
          </cell>
        </row>
        <row r="1476">
          <cell r="A1476"/>
          <cell r="C1476"/>
        </row>
        <row r="1477">
          <cell r="A1477" t="str">
            <v>P113C</v>
          </cell>
          <cell r="C1477" t="str">
            <v>Dividers, 10 Pack (4590 ct)</v>
          </cell>
        </row>
        <row r="1478">
          <cell r="A1478" t="str">
            <v>P225C</v>
          </cell>
          <cell r="C1478" t="str">
            <v>Master 4-5 Box, 21 1/4 x 13 1/4 x 5 1/8 (250 ct)</v>
          </cell>
        </row>
        <row r="1479">
          <cell r="A1479" t="str">
            <v>P226C</v>
          </cell>
          <cell r="C1479" t="str">
            <v>Master, Bag product, 13 7/8x10x71/4 (500ct)</v>
          </cell>
        </row>
        <row r="1480">
          <cell r="A1480" t="str">
            <v>P235C</v>
          </cell>
          <cell r="C1480" t="str">
            <v>Master, Meat Lasagna 13 3/8 x 8 7/8 x 6 (125)</v>
          </cell>
        </row>
        <row r="1481">
          <cell r="A1481" t="str">
            <v>P114C</v>
          </cell>
          <cell r="C1481" t="str">
            <v>Masters, 10 Pack (500 ct)</v>
          </cell>
        </row>
        <row r="1482">
          <cell r="A1482" t="str">
            <v>P216C</v>
          </cell>
          <cell r="C1482" t="str">
            <v>Masters, 2 Pack (Holds 2-6 lb Trays)</v>
          </cell>
        </row>
        <row r="1483">
          <cell r="A1483" t="str">
            <v>P115C</v>
          </cell>
          <cell r="C1483" t="str">
            <v>Masters, 20 Pack (300 ct)</v>
          </cell>
        </row>
        <row r="1484">
          <cell r="A1484" t="str">
            <v>P205C</v>
          </cell>
          <cell r="C1484" t="str">
            <v>Masters, 20 Pound</v>
          </cell>
        </row>
        <row r="1485">
          <cell r="A1485" t="str">
            <v>P215C</v>
          </cell>
          <cell r="C1485" t="str">
            <v>Masters, 2-6lb, 13 3/16 x 10 11/16 x 5</v>
          </cell>
        </row>
        <row r="1486">
          <cell r="A1486" t="str">
            <v>P217C</v>
          </cell>
          <cell r="C1486" t="str">
            <v>Masters, 4-6 Pound (500 ct)</v>
          </cell>
        </row>
        <row r="1487">
          <cell r="A1487" t="str">
            <v>P224C</v>
          </cell>
          <cell r="C1487" t="str">
            <v>Masters, 4-6lb, 13 13/16 x 10 11/16 x 10</v>
          </cell>
        </row>
        <row r="1488">
          <cell r="A1488"/>
          <cell r="C1488" t="str">
            <v>Master, 4-6Lbs, 13 1/2 x 10 3/8 x 9 1/4</v>
          </cell>
        </row>
        <row r="1489">
          <cell r="A1489" t="str">
            <v>P116C</v>
          </cell>
          <cell r="C1489" t="str">
            <v>Masters, 8 Pack 16 7/8 x 10 1/2 x 9 (500 ct)</v>
          </cell>
        </row>
        <row r="1490">
          <cell r="A1490" t="str">
            <v>P210C</v>
          </cell>
          <cell r="C1490" t="str">
            <v>Masters, Bag Product (275 ct)</v>
          </cell>
        </row>
        <row r="1491">
          <cell r="A1491" t="str">
            <v>P117C</v>
          </cell>
          <cell r="C1491" t="str">
            <v>Masters, Bag Product 13 7/8x 10 x 7 1/8(500 ct)</v>
          </cell>
        </row>
        <row r="1492">
          <cell r="A1492"/>
          <cell r="C1492" t="str">
            <v>Masters, Bag Product 13 13/16x 10 1/16 x 7 1/8</v>
          </cell>
        </row>
        <row r="1493">
          <cell r="A1493" t="str">
            <v>P118C</v>
          </cell>
          <cell r="C1493" t="str">
            <v>Masters, Beef Shepherd Pie, Safeway</v>
          </cell>
        </row>
        <row r="1494">
          <cell r="A1494" t="str">
            <v>P211C</v>
          </cell>
          <cell r="C1494" t="str">
            <v>Masters, Beef Shepherd Pie, Safeway</v>
          </cell>
        </row>
        <row r="1495">
          <cell r="A1495" t="str">
            <v>p227C</v>
          </cell>
          <cell r="C1495" t="str">
            <v>Masters, Bulk 30#</v>
          </cell>
        </row>
        <row r="1496">
          <cell r="A1496" t="str">
            <v>P228C</v>
          </cell>
          <cell r="C1496" t="str">
            <v>Masters, Chicken Marsala, Bottom, Costco</v>
          </cell>
        </row>
        <row r="1497">
          <cell r="A1497" t="str">
            <v>P203C</v>
          </cell>
          <cell r="C1497" t="str">
            <v>Masters, Chicken Marsala, Sam's Club</v>
          </cell>
        </row>
        <row r="1498">
          <cell r="A1498" t="str">
            <v>P229C</v>
          </cell>
          <cell r="C1498" t="str">
            <v>Masters, Chicken Marsala, Top, Costco</v>
          </cell>
        </row>
        <row r="1499">
          <cell r="A1499" t="str">
            <v>P119C</v>
          </cell>
          <cell r="C1499" t="str">
            <v>Masters, Crumble (180 ct)</v>
          </cell>
        </row>
        <row r="1500">
          <cell r="A1500" t="str">
            <v>P204C</v>
          </cell>
          <cell r="C1500" t="str">
            <v>Masters, Eating Right, Safeway</v>
          </cell>
        </row>
        <row r="1501">
          <cell r="A1501" t="str">
            <v>P230C</v>
          </cell>
          <cell r="C1501" t="str">
            <v>Masters, Honey Baked 12pk, 20oz, 17 1/8 x 13 3/8  x 4 5/8</v>
          </cell>
        </row>
        <row r="1502">
          <cell r="A1502"/>
          <cell r="C1502" t="str">
            <v>Masters, Honey Baked 12pk, 20oz, 17 1/4 x 13 9/16  x 4 11/16</v>
          </cell>
        </row>
        <row r="1503">
          <cell r="A1503" t="str">
            <v>P231C</v>
          </cell>
          <cell r="C1503" t="str">
            <v>Masters, Honey Baked 12pk, 32oz, 17 13/16 x 13 1/4 x 6 5/8</v>
          </cell>
        </row>
        <row r="1504">
          <cell r="A1504" t="str">
            <v>P232C</v>
          </cell>
          <cell r="C1504" t="str">
            <v>Masters, Honey Baked 12pk, 32oz, 18x13 5/8 x 7 1/8</v>
          </cell>
        </row>
        <row r="1505">
          <cell r="A1505"/>
          <cell r="C1505" t="str">
            <v>Masters, Honey Baked 12pk, 32oz, 18x13 5/8 x 7 1/9</v>
          </cell>
        </row>
        <row r="1506">
          <cell r="A1506" t="str">
            <v>P233C</v>
          </cell>
          <cell r="C1506" t="str">
            <v>Masters, Honey Baked Turkey Gravy 12pk</v>
          </cell>
        </row>
        <row r="1507">
          <cell r="A1507" t="str">
            <v>P120C</v>
          </cell>
          <cell r="C1507" t="str">
            <v>Masters, Lasagna (300 ct)</v>
          </cell>
        </row>
        <row r="1508">
          <cell r="A1508" t="str">
            <v>P234C</v>
          </cell>
          <cell r="C1508" t="str">
            <v>Masters, Meat Lasagna, Open Nature 13 3/8 x 8 7/8 x 6</v>
          </cell>
        </row>
        <row r="1509">
          <cell r="A1509" t="str">
            <v>P121C</v>
          </cell>
          <cell r="C1509" t="str">
            <v>Masters, Meatloaf, Ryans (400 ct)</v>
          </cell>
        </row>
        <row r="1510">
          <cell r="A1510" t="str">
            <v>P222C</v>
          </cell>
          <cell r="C1510" t="str">
            <v>Masters, P384 HBH (wrong size)</v>
          </cell>
        </row>
        <row r="1511">
          <cell r="A1511" t="str">
            <v>P122C</v>
          </cell>
          <cell r="C1511" t="str">
            <v>Masters, Pork Tamale, Safeway</v>
          </cell>
        </row>
        <row r="1512">
          <cell r="A1512" t="str">
            <v>P236C</v>
          </cell>
          <cell r="C1512" t="str">
            <v>Masters, Pot Pie</v>
          </cell>
        </row>
        <row r="1513">
          <cell r="A1513" t="str">
            <v>P123C</v>
          </cell>
          <cell r="C1513" t="str">
            <v>Masters, Pot Roast, Sam's Club</v>
          </cell>
        </row>
        <row r="1514">
          <cell r="A1514" t="str">
            <v>P237C</v>
          </cell>
          <cell r="C1514" t="str">
            <v>Masters, Safeway Kitchen Items</v>
          </cell>
        </row>
        <row r="1515">
          <cell r="A1515" t="str">
            <v>P238C</v>
          </cell>
          <cell r="C1515" t="str">
            <v>MD, Bistro, 17 1/2 x 13 1/4 x 11 1/2</v>
          </cell>
        </row>
        <row r="1516">
          <cell r="A1516" t="str">
            <v>P239C</v>
          </cell>
          <cell r="C1516" t="str">
            <v>Military Box, 12x10x7 1/4 (500 ct)</v>
          </cell>
        </row>
        <row r="1517">
          <cell r="A1517" t="str">
            <v>P240C</v>
          </cell>
          <cell r="C1517" t="str">
            <v>Military Box, 12x10x7 1/4 (500 ct)</v>
          </cell>
        </row>
        <row r="1518">
          <cell r="A1518" t="str">
            <v>P245C</v>
          </cell>
          <cell r="C1518" t="str">
            <v>Wawa, Boxes, 15*12 1/2 x 5 (560)</v>
          </cell>
        </row>
        <row r="1519">
          <cell r="A1519" t="str">
            <v>P256C</v>
          </cell>
          <cell r="C1519" t="str">
            <v>Master, Red beans and Sausage, 14 11/16 x 12 1/2 x 3 13/16</v>
          </cell>
        </row>
        <row r="1520">
          <cell r="A1520"/>
          <cell r="C1520"/>
        </row>
        <row r="1521">
          <cell r="A1521" t="str">
            <v>P223C</v>
          </cell>
          <cell r="C1521" t="str">
            <v>Pretty Boxes, Beef Shepherd Pie, Safeway (250 ct)</v>
          </cell>
        </row>
        <row r="1522">
          <cell r="A1522" t="str">
            <v>P124C</v>
          </cell>
          <cell r="C1522" t="str">
            <v>Pretty Boxes, Beef Shepherd Pie, Safeway (115 ct)</v>
          </cell>
        </row>
        <row r="1523">
          <cell r="A1523" t="str">
            <v>P202C</v>
          </cell>
          <cell r="C1523" t="str">
            <v>Pretty Boxes, Chicken Marsala, Sam's Club (180 ct)</v>
          </cell>
        </row>
        <row r="1524">
          <cell r="A1524"/>
          <cell r="C1524"/>
        </row>
        <row r="1525">
          <cell r="A1525"/>
          <cell r="C1525" t="str">
            <v>PTON28N Overnite (1-2days) 14 1/2 x 14 1/2 x 14, Thickness 3/4</v>
          </cell>
        </row>
        <row r="1526">
          <cell r="A1526"/>
          <cell r="C1526" t="str">
            <v>PT261C Bio foam (1-5days) 19 x 12 x 12 1/2, thickness 1 1/2</v>
          </cell>
        </row>
        <row r="1527">
          <cell r="A1527"/>
          <cell r="C1527"/>
        </row>
        <row r="1528">
          <cell r="A1528"/>
          <cell r="C1528" t="str">
            <v>Costco</v>
          </cell>
        </row>
        <row r="1529">
          <cell r="A1529"/>
          <cell r="C1529" t="str">
            <v>21012 Grand Gourmet Sweet Potato</v>
          </cell>
        </row>
        <row r="1530">
          <cell r="A1530"/>
          <cell r="C1530" t="str">
            <v>21013 Grand Gourmet Chicken Marsala</v>
          </cell>
        </row>
        <row r="1531">
          <cell r="A1531"/>
          <cell r="C1531" t="str">
            <v>21014 Grand Gourmet Cauliflower 'Al forno'</v>
          </cell>
        </row>
        <row r="1532">
          <cell r="A1532"/>
          <cell r="C1532" t="str">
            <v>21016 Grand Gourmet Green Bean Casserole</v>
          </cell>
        </row>
        <row r="1533">
          <cell r="A1533"/>
          <cell r="C1533"/>
        </row>
        <row r="1534">
          <cell r="A1534"/>
          <cell r="C1534" t="str">
            <v>Honey Baked Ham Sleeves - Atlanta</v>
          </cell>
        </row>
        <row r="1535">
          <cell r="A1535"/>
          <cell r="C1535" t="str">
            <v>80208 Spinach Atrichoke Dip</v>
          </cell>
        </row>
        <row r="1536">
          <cell r="A1536"/>
          <cell r="C1536" t="str">
            <v>81427 Green Bean Casserole</v>
          </cell>
        </row>
        <row r="1537">
          <cell r="A1537"/>
          <cell r="C1537" t="str">
            <v>81427 Green Bean Casserole</v>
          </cell>
        </row>
        <row r="1538">
          <cell r="A1538"/>
          <cell r="C1538" t="str">
            <v>87202 Broccoli Rice Casserole</v>
          </cell>
        </row>
        <row r="1539">
          <cell r="A1539"/>
          <cell r="C1539" t="str">
            <v>87202 Broccoli Rice Casserole</v>
          </cell>
        </row>
        <row r="1540">
          <cell r="A1540"/>
          <cell r="C1540" t="str">
            <v>87233 Cinnamon Apples</v>
          </cell>
        </row>
        <row r="1541">
          <cell r="A1541"/>
          <cell r="C1541" t="str">
            <v>87233 Cinnamon Apples</v>
          </cell>
        </row>
        <row r="1542">
          <cell r="A1542"/>
          <cell r="C1542" t="str">
            <v>87283 Macaroni and Cheese</v>
          </cell>
        </row>
        <row r="1543">
          <cell r="A1543"/>
          <cell r="C1543" t="str">
            <v>87283 Macaroni and Cheese</v>
          </cell>
        </row>
        <row r="1544">
          <cell r="A1544"/>
          <cell r="C1544" t="str">
            <v>87333 Potato Au Gratin</v>
          </cell>
        </row>
        <row r="1545">
          <cell r="A1545"/>
          <cell r="C1545" t="str">
            <v>87333 Potato Au Gratin</v>
          </cell>
        </row>
        <row r="1546">
          <cell r="A1546"/>
          <cell r="C1546" t="str">
            <v>87353 Sweet Potato Souffle</v>
          </cell>
        </row>
        <row r="1547">
          <cell r="A1547"/>
          <cell r="C1547" t="str">
            <v>87353 Sweet Potato Souffle</v>
          </cell>
        </row>
        <row r="1548">
          <cell r="A1548"/>
          <cell r="C1548" t="str">
            <v>87400 Cranberry Walnut Casserole</v>
          </cell>
        </row>
        <row r="1549">
          <cell r="A1549"/>
          <cell r="C1549" t="str">
            <v>87400 Cranberry Walnut Casserole</v>
          </cell>
        </row>
        <row r="1550">
          <cell r="A1550"/>
          <cell r="C1550" t="str">
            <v>87453 Cornbread Dressing</v>
          </cell>
        </row>
        <row r="1551">
          <cell r="A1551"/>
          <cell r="C1551" t="str">
            <v>87453 Cornbread Dressing</v>
          </cell>
        </row>
        <row r="1552">
          <cell r="A1552"/>
          <cell r="C1552" t="str">
            <v>97085 Turkey Gravy</v>
          </cell>
        </row>
        <row r="1553">
          <cell r="A1553"/>
          <cell r="C1553" t="str">
            <v>97085 Turkey Gravy</v>
          </cell>
        </row>
        <row r="1554">
          <cell r="A1554"/>
          <cell r="C1554" t="str">
            <v>87480 Mashed Potatoes</v>
          </cell>
        </row>
        <row r="1555">
          <cell r="A1555"/>
          <cell r="C1555" t="str">
            <v>87480 Mashed Potatoes</v>
          </cell>
        </row>
        <row r="1556">
          <cell r="A1556"/>
          <cell r="C1556" t="str">
            <v>87500 Corn Casserole</v>
          </cell>
        </row>
        <row r="1557">
          <cell r="A1557"/>
          <cell r="C1557"/>
        </row>
        <row r="1558">
          <cell r="A1558"/>
          <cell r="C1558" t="str">
            <v>Honey Baked Ham Sleeves - Michigan</v>
          </cell>
        </row>
        <row r="1559">
          <cell r="A1559"/>
          <cell r="C1559" t="str">
            <v>80173 Green Bean Almondine</v>
          </cell>
        </row>
        <row r="1560">
          <cell r="A1560"/>
          <cell r="C1560" t="str">
            <v>80222 Sweet Potato Souffle</v>
          </cell>
        </row>
        <row r="1561">
          <cell r="A1561"/>
          <cell r="C1561" t="str">
            <v>80223 Potato Au Gratin</v>
          </cell>
        </row>
        <row r="1562">
          <cell r="A1562"/>
          <cell r="C1562" t="str">
            <v>80225 Green Bean Casserole</v>
          </cell>
        </row>
        <row r="1563">
          <cell r="A1563"/>
          <cell r="C1563" t="str">
            <v>80226 Cinnamon Apples</v>
          </cell>
        </row>
        <row r="1564">
          <cell r="A1564"/>
          <cell r="C1564" t="str">
            <v>80227 Garlic Mashed Potatoes</v>
          </cell>
        </row>
        <row r="1565">
          <cell r="A1565"/>
          <cell r="C1565" t="str">
            <v>80228 Macaroni and Cheese</v>
          </cell>
        </row>
        <row r="1566">
          <cell r="A1566"/>
          <cell r="C1566" t="str">
            <v>80229 Cornbread Dressing</v>
          </cell>
        </row>
        <row r="1567">
          <cell r="A1567"/>
          <cell r="C1567" t="str">
            <v>80230 Herb Stuffing</v>
          </cell>
        </row>
        <row r="1568">
          <cell r="A1568"/>
          <cell r="C1568" t="str">
            <v>80230 Herb Stuffing</v>
          </cell>
        </row>
        <row r="1569">
          <cell r="A1569"/>
          <cell r="C1569" t="str">
            <v>80233 Broccoli Rice Casserole</v>
          </cell>
        </row>
        <row r="1570">
          <cell r="A1570"/>
          <cell r="C1570"/>
        </row>
        <row r="1571">
          <cell r="A1571"/>
          <cell r="C1571" t="str">
            <v>Safeway</v>
          </cell>
        </row>
        <row r="1572">
          <cell r="A1572" t="str">
            <v>P190C</v>
          </cell>
          <cell r="C1572" t="str">
            <v>Sleeves, Beef Shepherds Pie, Safeway (275 ct)</v>
          </cell>
        </row>
        <row r="1573">
          <cell r="A1573" t="str">
            <v>P224C</v>
          </cell>
          <cell r="C1573" t="str">
            <v>Sleeves, Chicken Marsala, Sfy Kitchens #21454 (350 ct)</v>
          </cell>
        </row>
        <row r="1574">
          <cell r="A1574"/>
          <cell r="C1574" t="str">
            <v>Sleeves, Meat Lasagna, Open Nature</v>
          </cell>
        </row>
        <row r="1575">
          <cell r="A1575" t="str">
            <v>P225C</v>
          </cell>
          <cell r="C1575" t="str">
            <v>Sleeves, Meatballs, Sfy Kitchens #21436 (350 ct)</v>
          </cell>
        </row>
        <row r="1576">
          <cell r="A1576" t="str">
            <v>P226C</v>
          </cell>
          <cell r="C1576" t="str">
            <v>Sleeves, Meatloaf, Sfy Kitchens #21456 (350 ct)</v>
          </cell>
        </row>
        <row r="1577">
          <cell r="A1577" t="str">
            <v>P191C</v>
          </cell>
          <cell r="C1577" t="str">
            <v>Sleeves, Plain</v>
          </cell>
        </row>
        <row r="1578">
          <cell r="A1578" t="str">
            <v>P192C</v>
          </cell>
          <cell r="C1578" t="str">
            <v>Sleeves, Pork Tamale, Safeway (375 ct)</v>
          </cell>
        </row>
        <row r="1579">
          <cell r="A1579" t="str">
            <v>P227C</v>
          </cell>
          <cell r="C1579" t="str">
            <v>Sleeves, Pork Tomatillo, Sfy Kitchens #21437 (350 ct)</v>
          </cell>
        </row>
        <row r="1580">
          <cell r="A1580" t="str">
            <v>P228C</v>
          </cell>
          <cell r="C1580" t="str">
            <v>Sleeves, Pot Roast, Sfy Kitchens #21457 (350 ct)</v>
          </cell>
        </row>
        <row r="1581">
          <cell r="A1581" t="str">
            <v>P229C</v>
          </cell>
          <cell r="C1581" t="str">
            <v>Sleeves, Turkey w/Gravy, Sfy Kitchens #21455 (350 ct)</v>
          </cell>
        </row>
        <row r="1582">
          <cell r="A1582"/>
          <cell r="C1582"/>
        </row>
        <row r="1583">
          <cell r="A1583"/>
          <cell r="C1583" t="str">
            <v>Sleeves, Chicken Marsala, Grand Gour Costco</v>
          </cell>
        </row>
        <row r="1584">
          <cell r="A1584" t="str">
            <v>P193C</v>
          </cell>
          <cell r="C1584" t="str">
            <v>Sleeves, Pot Roast, Sam's Club (400 ct)</v>
          </cell>
        </row>
        <row r="1585">
          <cell r="A1585"/>
          <cell r="C1585" t="str">
            <v xml:space="preserve"> </v>
          </cell>
        </row>
        <row r="1586">
          <cell r="A1586"/>
          <cell r="C1586" t="str">
            <v>Weis</v>
          </cell>
        </row>
        <row r="1587">
          <cell r="A1587"/>
          <cell r="C1587" t="str">
            <v>4693 Sleeves, Beef Shepherds Pie (600 ct)</v>
          </cell>
        </row>
        <row r="1588">
          <cell r="A1588"/>
          <cell r="C1588" t="str">
            <v>4638 Sleeves, Chicken Marsala (600 ct)</v>
          </cell>
        </row>
        <row r="1589">
          <cell r="A1589"/>
          <cell r="C1589" t="str">
            <v>4712 Sleeves, Green Bean Casserole (600 ct)</v>
          </cell>
        </row>
        <row r="1590">
          <cell r="A1590"/>
          <cell r="C1590" t="str">
            <v>4660 Sleeves, Pot Roast (600 ct)</v>
          </cell>
        </row>
        <row r="1591">
          <cell r="A1591"/>
          <cell r="C1591" t="str">
            <v>4749 Sleeves, Potatoes Au Gratin (600 ct)</v>
          </cell>
        </row>
        <row r="1592">
          <cell r="A1592"/>
          <cell r="C1592" t="str">
            <v>4644 Sleeves, Sweet &amp; Sour Pork (600 ct)</v>
          </cell>
        </row>
        <row r="1593">
          <cell r="A1593"/>
          <cell r="C1593" t="str">
            <v>4695 Sleeves, Turkey and Gravy (600 ct)</v>
          </cell>
        </row>
        <row r="1594">
          <cell r="A1594"/>
          <cell r="C1594" t="str">
            <v>4750 Sleeves, Twice Baked Potato (600 ct)</v>
          </cell>
        </row>
        <row r="1595">
          <cell r="A1595"/>
          <cell r="C1595"/>
        </row>
        <row r="1596">
          <cell r="A1596"/>
          <cell r="C1596" t="str">
            <v>Tape, Acrylic, 2x110 Clear 305 3M 48mm x 100mm (36 ct)</v>
          </cell>
        </row>
        <row r="1597">
          <cell r="A1597">
            <v>3065507</v>
          </cell>
          <cell r="C1597" t="str">
            <v>Tape, Hotmelt, 2x110 Clear 700 Classic Closure (6/cs)</v>
          </cell>
        </row>
        <row r="1598">
          <cell r="A1598"/>
          <cell r="C1598"/>
        </row>
        <row r="1599">
          <cell r="A1599" t="str">
            <v>P194C</v>
          </cell>
          <cell r="C1599" t="str">
            <v>Trays, #2210 (GC Trays) (320 ct)</v>
          </cell>
        </row>
        <row r="1600">
          <cell r="A1600" t="str">
            <v>P195C</v>
          </cell>
          <cell r="C1600" t="str">
            <v>Trays, #3473-09 (390 ct)</v>
          </cell>
        </row>
        <row r="1601">
          <cell r="A1601" t="str">
            <v>P196C</v>
          </cell>
          <cell r="C1601" t="str">
            <v>Trays, #3522-12 6585 (390 ct)</v>
          </cell>
        </row>
        <row r="1602">
          <cell r="A1602" t="str">
            <v>P197C</v>
          </cell>
          <cell r="C1602" t="str">
            <v>Trays, #56518 Trays (AFM Trays) (1275 ct)</v>
          </cell>
        </row>
        <row r="1603">
          <cell r="A1603" t="str">
            <v>P198C</v>
          </cell>
          <cell r="C1603" t="str">
            <v>Trays, #7590-187 (Open Nature Lasagna) (368 ct)</v>
          </cell>
        </row>
        <row r="1604">
          <cell r="A1604"/>
          <cell r="C1604" t="str">
            <v>Tray 188, (36581FG390)(390 ct)(8.5 x 6.5x 1.88)</v>
          </cell>
        </row>
        <row r="1605">
          <cell r="A1605" t="str">
            <v>P199C</v>
          </cell>
          <cell r="C1605" t="str">
            <v>Trays, #8087 (2560 ct)</v>
          </cell>
        </row>
        <row r="1606">
          <cell r="A1606" t="str">
            <v>P200C</v>
          </cell>
          <cell r="C1606" t="str">
            <v>Trays, PT136 BW (1872 ct)</v>
          </cell>
        </row>
        <row r="1607">
          <cell r="A1607" t="str">
            <v>P201C</v>
          </cell>
          <cell r="C1607" t="str">
            <v>Corner Guards (5500 ea)</v>
          </cell>
        </row>
        <row r="1608">
          <cell r="A1608" t="str">
            <v>P206C</v>
          </cell>
          <cell r="C1608" t="str">
            <v>Trays, #7590-212 (384 ct/cs)</v>
          </cell>
        </row>
        <row r="1609">
          <cell r="A1609" t="str">
            <v>P209C</v>
          </cell>
          <cell r="C1609" t="str">
            <v>Trays, #7589-150 (672 ct)</v>
          </cell>
        </row>
        <row r="1610">
          <cell r="A1610" t="str">
            <v>P212R</v>
          </cell>
          <cell r="C1610" t="str">
            <v>Stretchfilm, 37cmx1500' M-Line Classic Wrap 200 (4 rls/cs)</v>
          </cell>
        </row>
        <row r="1611">
          <cell r="A1611" t="str">
            <v>P218C</v>
          </cell>
          <cell r="C1611" t="str">
            <v>Trays, #7591-164 (1680 ct)</v>
          </cell>
        </row>
        <row r="1612">
          <cell r="A1612" t="str">
            <v>P219C</v>
          </cell>
          <cell r="C1612" t="str">
            <v>Trays, #7591-250 (140 ct)</v>
          </cell>
        </row>
        <row r="1613">
          <cell r="A1613" t="str">
            <v>P220C</v>
          </cell>
          <cell r="C1613" t="str">
            <v>Corner Guards</v>
          </cell>
        </row>
        <row r="1614">
          <cell r="A1614" t="str">
            <v>P230R</v>
          </cell>
          <cell r="C1614" t="str">
            <v>Shrink Film, 14" CF X 4375' 60GA CCL Shrink (32 rolls)</v>
          </cell>
        </row>
        <row r="1615">
          <cell r="A1615" t="str">
            <v>P231C</v>
          </cell>
          <cell r="C1615" t="str">
            <v>Wrap, Pty 5.5x5.5 Wax Papr (24/1000 ea)</v>
          </cell>
        </row>
        <row r="1616">
          <cell r="A1616"/>
          <cell r="C1616" t="str">
            <v>Trays, #7590-125 (368 ct)</v>
          </cell>
        </row>
        <row r="1617">
          <cell r="A1617"/>
          <cell r="C1617" t="str">
            <v>Trays,125,  36581F13G420 (420)</v>
          </cell>
        </row>
        <row r="1618">
          <cell r="A1618" t="str">
            <v>P233C</v>
          </cell>
          <cell r="C1618" t="str">
            <v>Trays, #7590-250 (140 ct)</v>
          </cell>
        </row>
        <row r="1619">
          <cell r="A1619" t="str">
            <v>P234C</v>
          </cell>
          <cell r="C1619" t="str">
            <v>Trays#8087</v>
          </cell>
        </row>
        <row r="1620">
          <cell r="A1620" t="str">
            <v>P235C</v>
          </cell>
          <cell r="C1620" t="str">
            <v>Trays, #6003, Rect., 2C(60/40), 8.5 x 6.5 x 1.5</v>
          </cell>
        </row>
        <row r="1621">
          <cell r="A1621" t="str">
            <v>P236C</v>
          </cell>
          <cell r="C1621" t="str">
            <v>Trays, #7049 (single) 1C, 8.5 x 6.44 x1.57</v>
          </cell>
        </row>
        <row r="1622">
          <cell r="A1622" t="str">
            <v>P237C</v>
          </cell>
          <cell r="C1622" t="str">
            <v>Trays, #7059 (50/50) 2C 8.5x6.44x1.5</v>
          </cell>
        </row>
        <row r="1623">
          <cell r="A1623"/>
          <cell r="C1623" t="str">
            <v>Tray #212 (36581fdg390) (390/cs)</v>
          </cell>
        </row>
        <row r="1624">
          <cell r="A1624" t="str">
            <v>P239C</v>
          </cell>
          <cell r="C1624" t="str">
            <v>Tray 7049 (36581fmg390) (390/cs)</v>
          </cell>
        </row>
        <row r="1625">
          <cell r="A1625" t="str">
            <v>P240C</v>
          </cell>
          <cell r="C1625" t="str">
            <v>Tray #6003 (36582fmg390) (390/cs)</v>
          </cell>
        </row>
        <row r="1626">
          <cell r="A1626"/>
          <cell r="C1626" t="str">
            <v>Trays, MTB3200B2, Meat Tray black 3200 (306cs)</v>
          </cell>
        </row>
        <row r="1627">
          <cell r="A1627" t="str">
            <v>P241C</v>
          </cell>
          <cell r="C1627" t="str">
            <v>Bubble Wrap</v>
          </cell>
        </row>
        <row r="1628">
          <cell r="A1628"/>
          <cell r="C1628" t="str">
            <v>Trays, Go-Green 03164-s, Two comp (publix)</v>
          </cell>
        </row>
        <row r="1629">
          <cell r="A1629"/>
          <cell r="C1629" t="str">
            <v>trays, Go-green 03160, 1 comp (publix)</v>
          </cell>
        </row>
        <row r="1630">
          <cell r="A1630" t="str">
            <v>p258C</v>
          </cell>
          <cell r="C1630" t="str">
            <v xml:space="preserve">Trays, Map OV668619TB, (8.63x6.63x1.9") </v>
          </cell>
        </row>
        <row r="1631">
          <cell r="A1631"/>
          <cell r="C1631"/>
        </row>
        <row r="1632">
          <cell r="A1632"/>
          <cell r="C1632" t="str">
            <v xml:space="preserve"> </v>
          </cell>
        </row>
        <row r="1633">
          <cell r="A1633"/>
          <cell r="C1633" t="str">
            <v>BISTRO MD (28 trays/box)</v>
          </cell>
        </row>
        <row r="1634">
          <cell r="A1634">
            <v>41001</v>
          </cell>
          <cell r="C1634" t="str">
            <v>BMD Sliced Pot Roast w/Mashed Potatoes &amp; Green Beans</v>
          </cell>
        </row>
        <row r="1635">
          <cell r="A1635">
            <v>41002</v>
          </cell>
          <cell r="C1635" t="str">
            <v>BMD Pot Roast Stew</v>
          </cell>
        </row>
        <row r="1636">
          <cell r="A1636">
            <v>41003</v>
          </cell>
          <cell r="C1636" t="str">
            <v>BMD Turkey Meatloaf with Onio Gravy</v>
          </cell>
        </row>
        <row r="1637">
          <cell r="A1637">
            <v>41004</v>
          </cell>
          <cell r="C1637" t="str">
            <v>BMD Turkey Meatloaf with Tomato Sauce</v>
          </cell>
        </row>
        <row r="1638">
          <cell r="A1638">
            <v>41005</v>
          </cell>
          <cell r="C1638" t="str">
            <v>BMD Turkey Breast with Cranberry Sauce, Green Beans and Stuffing</v>
          </cell>
        </row>
        <row r="1639">
          <cell r="A1639">
            <v>41006</v>
          </cell>
          <cell r="C1639" t="str">
            <v>BMD Turkey Breast with Cranberry Sauce, Broccoli and Wild Rice</v>
          </cell>
        </row>
        <row r="1640">
          <cell r="A1640">
            <v>41007</v>
          </cell>
          <cell r="C1640" t="str">
            <v>BMD Turkey Breast with Gravy and Roasted Cauliflower</v>
          </cell>
        </row>
        <row r="1641">
          <cell r="A1641">
            <v>41008</v>
          </cell>
          <cell r="C1641" t="str">
            <v>BMD Turkey Breast with Gravy and Cinnamon Apples</v>
          </cell>
        </row>
        <row r="1642">
          <cell r="A1642">
            <v>42001</v>
          </cell>
          <cell r="C1642" t="str">
            <v>BMD Turkey Salisbury/Green Beans &amp; Mushrooms</v>
          </cell>
        </row>
        <row r="1643">
          <cell r="A1643">
            <v>42002</v>
          </cell>
          <cell r="C1643" t="str">
            <v>BMD Mongolian style Pork Tenderloin</v>
          </cell>
        </row>
        <row r="1644">
          <cell r="A1644">
            <v>42003</v>
          </cell>
          <cell r="C1644" t="str">
            <v>BMD Shepards Pie</v>
          </cell>
        </row>
        <row r="1645">
          <cell r="A1645">
            <v>42004</v>
          </cell>
          <cell r="C1645" t="str">
            <v>BMD Herbed Chicken Parmesan</v>
          </cell>
        </row>
        <row r="1646">
          <cell r="A1646">
            <v>42005</v>
          </cell>
          <cell r="C1646" t="str">
            <v>BMD Thai Peanut Chicken</v>
          </cell>
        </row>
        <row r="1647">
          <cell r="A1647">
            <v>42006</v>
          </cell>
          <cell r="C1647" t="str">
            <v>BMD Mediterranean chicken</v>
          </cell>
        </row>
        <row r="1648">
          <cell r="A1648">
            <v>43001</v>
          </cell>
          <cell r="C1648" t="str">
            <v>BMD Chicken Marsala</v>
          </cell>
        </row>
        <row r="1649">
          <cell r="A1649">
            <v>43002</v>
          </cell>
          <cell r="C1649" t="str">
            <v>BMD Chicken Picatta</v>
          </cell>
        </row>
        <row r="1650">
          <cell r="A1650">
            <v>43003</v>
          </cell>
          <cell r="C1650" t="str">
            <v>BMD Balsamic Chicken</v>
          </cell>
        </row>
        <row r="1651">
          <cell r="A1651">
            <v>43004</v>
          </cell>
          <cell r="C1651" t="str">
            <v>BMD Chicken Tikka Masala</v>
          </cell>
        </row>
        <row r="1652">
          <cell r="A1652">
            <v>43005</v>
          </cell>
          <cell r="C1652" t="str">
            <v xml:space="preserve">BMD Pork Tenderloin w/Spiced Apple Chutney </v>
          </cell>
        </row>
        <row r="1653">
          <cell r="A1653">
            <v>43006</v>
          </cell>
          <cell r="C1653" t="str">
            <v>BMD Chicken Marsala w/Green Bean &amp; Mushroom Salad</v>
          </cell>
        </row>
        <row r="1654">
          <cell r="A1654">
            <v>43007</v>
          </cell>
          <cell r="C1654" t="str">
            <v>BMD Chicken Marsala w/Roasted Cauliflower</v>
          </cell>
        </row>
        <row r="1655">
          <cell r="A1655">
            <v>43008</v>
          </cell>
          <cell r="C1655" t="str">
            <v>BMD Chicken Parmesan w/Italian Roasted Caulifower</v>
          </cell>
        </row>
        <row r="1656">
          <cell r="A1656">
            <v>43009</v>
          </cell>
          <cell r="C1656" t="str">
            <v>BMD Jerk Chicken Mango &amp; Okra</v>
          </cell>
        </row>
        <row r="1657">
          <cell r="A1657">
            <v>43010</v>
          </cell>
          <cell r="C1657" t="str">
            <v>BMD Blackened Chicken w/Vegetable Gumbo</v>
          </cell>
        </row>
        <row r="1658">
          <cell r="A1658">
            <v>43012</v>
          </cell>
          <cell r="C1658" t="str">
            <v>BMD Honey Mustard Chicken</v>
          </cell>
        </row>
        <row r="1659">
          <cell r="A1659">
            <v>43013</v>
          </cell>
          <cell r="C1659" t="str">
            <v xml:space="preserve">BMD Jerk Chicken   </v>
          </cell>
        </row>
        <row r="1660">
          <cell r="A1660">
            <v>43016</v>
          </cell>
          <cell r="C1660" t="str">
            <v>BMD Sunrise Chicken Tostada</v>
          </cell>
        </row>
        <row r="1661">
          <cell r="A1661">
            <v>44001</v>
          </cell>
          <cell r="C1661" t="str">
            <v>BMD Italian Chicken w/Roasted Cauliflower</v>
          </cell>
        </row>
        <row r="1662">
          <cell r="A1662">
            <v>44002</v>
          </cell>
          <cell r="C1662" t="str">
            <v>BMD Chicken Tenders w/Pachetta Sauce</v>
          </cell>
        </row>
        <row r="1663">
          <cell r="A1663">
            <v>44003</v>
          </cell>
          <cell r="C1663" t="str">
            <v>BMD Chicken Tenders w/onions Brandy Sauce</v>
          </cell>
        </row>
        <row r="1664">
          <cell r="A1664">
            <v>44004</v>
          </cell>
          <cell r="C1664" t="str">
            <v>BMD Lilys Chicken</v>
          </cell>
        </row>
        <row r="1665">
          <cell r="A1665">
            <v>44005</v>
          </cell>
          <cell r="C1665" t="str">
            <v>BMD Grilled Chicken w/Garlic Veloute</v>
          </cell>
        </row>
        <row r="1666">
          <cell r="A1666">
            <v>45001</v>
          </cell>
          <cell r="C1666" t="str">
            <v>BMD Green Curry Chicken</v>
          </cell>
        </row>
        <row r="1667">
          <cell r="A1667">
            <v>45002</v>
          </cell>
          <cell r="C1667" t="str">
            <v>BMD Fontina Pork Tendorloin</v>
          </cell>
        </row>
        <row r="1668">
          <cell r="A1668">
            <v>45003</v>
          </cell>
          <cell r="C1668" t="str">
            <v>BMD Chipotle Pork Tenderloin</v>
          </cell>
        </row>
        <row r="1669">
          <cell r="A1669">
            <v>45004</v>
          </cell>
          <cell r="C1669" t="str">
            <v>BMD Turkey w/Brown Gravy &amp; Sausage Stuffing</v>
          </cell>
        </row>
        <row r="1670">
          <cell r="A1670">
            <v>45005</v>
          </cell>
          <cell r="C1670" t="str">
            <v>BMD Turkey w/Orange Honey Glaze</v>
          </cell>
        </row>
        <row r="1671">
          <cell r="A1671">
            <v>45006</v>
          </cell>
          <cell r="C1671" t="str">
            <v>BMD Morocan Chicken</v>
          </cell>
        </row>
        <row r="1672">
          <cell r="A1672">
            <v>49262</v>
          </cell>
          <cell r="C1672" t="str">
            <v>SB Beef Pot Roast w/Tomato Demi Glaze</v>
          </cell>
        </row>
        <row r="1673">
          <cell r="A1673">
            <v>49263</v>
          </cell>
          <cell r="C1673" t="str">
            <v>SB Italian Herbed Chicken Tenders</v>
          </cell>
        </row>
        <row r="1674">
          <cell r="A1674">
            <v>49264</v>
          </cell>
          <cell r="C1674" t="str">
            <v>SB Italian Herb Chicken w/Italian Cauliflower</v>
          </cell>
        </row>
        <row r="1675">
          <cell r="A1675">
            <v>49265</v>
          </cell>
          <cell r="C1675" t="str">
            <v>SB Chicken Tender w/Spicy Mustard</v>
          </cell>
        </row>
        <row r="1676">
          <cell r="A1676">
            <v>49266</v>
          </cell>
          <cell r="C1676" t="str">
            <v>SB Chicken Tenders w/Caramelized Onion Gravy</v>
          </cell>
        </row>
        <row r="1677">
          <cell r="A1677">
            <v>49267</v>
          </cell>
          <cell r="C1677" t="str">
            <v>SB Salisbury Chicken Tender</v>
          </cell>
        </row>
        <row r="1678">
          <cell r="A1678">
            <v>49268</v>
          </cell>
          <cell r="C1678" t="str">
            <v>SB Pork Tenderloin w/Spicy Mustard</v>
          </cell>
        </row>
        <row r="1679">
          <cell r="A1679">
            <v>49269</v>
          </cell>
          <cell r="C1679" t="str">
            <v>SB Turkey w/caramelized Onion Gravy</v>
          </cell>
        </row>
        <row r="1680">
          <cell r="A1680">
            <v>49270</v>
          </cell>
          <cell r="C1680" t="str">
            <v>SB Turkey w/Salisbury Gravy, Green Beans &amp; R;oast Cauliflower</v>
          </cell>
        </row>
        <row r="1681">
          <cell r="A1681">
            <v>49271</v>
          </cell>
          <cell r="C1681" t="str">
            <v>SB Turkey w/Salisbury Gravy, mixed Vege &amp; Brussels</v>
          </cell>
        </row>
        <row r="1682">
          <cell r="A1682"/>
          <cell r="C1682"/>
        </row>
        <row r="1683">
          <cell r="A1683"/>
          <cell r="C1683"/>
        </row>
        <row r="1684">
          <cell r="A1684"/>
          <cell r="C1684" t="str">
            <v>Honey Baked Ham Atlanta</v>
          </cell>
        </row>
        <row r="1685">
          <cell r="A1685">
            <v>87202</v>
          </cell>
          <cell r="C1685" t="str">
            <v>Broccoli Rice Cheese Casserole</v>
          </cell>
        </row>
        <row r="1686">
          <cell r="A1686">
            <v>87233</v>
          </cell>
          <cell r="C1686" t="str">
            <v>Cinnamon Apples</v>
          </cell>
        </row>
        <row r="1687">
          <cell r="A1687">
            <v>87453</v>
          </cell>
          <cell r="C1687" t="str">
            <v>Cornbread Dressing</v>
          </cell>
        </row>
        <row r="1688">
          <cell r="A1688">
            <v>87400</v>
          </cell>
          <cell r="C1688" t="str">
            <v>Cranberry Walnut Casserole</v>
          </cell>
        </row>
        <row r="1689">
          <cell r="A1689">
            <v>81427</v>
          </cell>
          <cell r="C1689" t="str">
            <v>Green Bean Casserole</v>
          </cell>
        </row>
        <row r="1690">
          <cell r="A1690">
            <v>87283</v>
          </cell>
          <cell r="C1690" t="str">
            <v>Macaroni &amp; Cheese</v>
          </cell>
        </row>
        <row r="1691">
          <cell r="A1691">
            <v>87333</v>
          </cell>
          <cell r="C1691" t="str">
            <v>Potato Au Gratin</v>
          </cell>
        </row>
        <row r="1692">
          <cell r="A1692">
            <v>87353</v>
          </cell>
          <cell r="C1692" t="str">
            <v>Sweet Potato Souffle</v>
          </cell>
        </row>
        <row r="1693">
          <cell r="A1693">
            <v>97085</v>
          </cell>
          <cell r="C1693" t="str">
            <v>Turkey Gravy</v>
          </cell>
        </row>
        <row r="1694">
          <cell r="A1694">
            <v>87480</v>
          </cell>
          <cell r="C1694" t="str">
            <v>Yukon Gold Mashed Potatoes</v>
          </cell>
        </row>
        <row r="1695">
          <cell r="A1695"/>
          <cell r="C1695"/>
        </row>
        <row r="1696">
          <cell r="A1696"/>
          <cell r="C1696" t="str">
            <v>Honey Baked Ham Michagin/Holland</v>
          </cell>
        </row>
        <row r="1697">
          <cell r="A1697">
            <v>80208</v>
          </cell>
          <cell r="C1697" t="str">
            <v>Spinach Artichoke Dip</v>
          </cell>
        </row>
        <row r="1698">
          <cell r="A1698">
            <v>80230</v>
          </cell>
          <cell r="C1698" t="str">
            <v>Herb Stufing</v>
          </cell>
        </row>
        <row r="1699">
          <cell r="A1699">
            <v>80233</v>
          </cell>
          <cell r="C1699" t="str">
            <v>Broccoli Rice Cheese Casserole</v>
          </cell>
        </row>
        <row r="1700">
          <cell r="A1700">
            <v>80226</v>
          </cell>
          <cell r="C1700" t="str">
            <v>Cinnamon Apples</v>
          </cell>
        </row>
        <row r="1701">
          <cell r="A1701">
            <v>80229</v>
          </cell>
          <cell r="C1701" t="str">
            <v>Cornbread Dressing</v>
          </cell>
        </row>
        <row r="1702">
          <cell r="A1702">
            <v>80227</v>
          </cell>
          <cell r="C1702" t="str">
            <v>Garlic Mashed Potatoes</v>
          </cell>
        </row>
        <row r="1703">
          <cell r="A1703">
            <v>80173</v>
          </cell>
          <cell r="C1703" t="str">
            <v>Green Bean Almondine</v>
          </cell>
        </row>
        <row r="1704">
          <cell r="A1704">
            <v>80225</v>
          </cell>
          <cell r="C1704" t="str">
            <v>Green Bean Casserole</v>
          </cell>
        </row>
        <row r="1705">
          <cell r="A1705">
            <v>80228</v>
          </cell>
          <cell r="C1705" t="str">
            <v>Macaroni &amp; Cheese</v>
          </cell>
        </row>
        <row r="1706">
          <cell r="A1706">
            <v>80223</v>
          </cell>
          <cell r="C1706" t="str">
            <v>Potato Au Gratin</v>
          </cell>
        </row>
        <row r="1707">
          <cell r="A1707">
            <v>80222</v>
          </cell>
          <cell r="C1707" t="str">
            <v>Sweet Potato Souffle</v>
          </cell>
        </row>
        <row r="1708">
          <cell r="A1708"/>
          <cell r="C1708"/>
        </row>
        <row r="1709">
          <cell r="A1709"/>
          <cell r="C1709" t="str">
            <v>Military (ameriqual)</v>
          </cell>
        </row>
        <row r="1710">
          <cell r="A1710">
            <v>63005</v>
          </cell>
          <cell r="C1710" t="str">
            <v>Chicken Masala</v>
          </cell>
        </row>
        <row r="1711">
          <cell r="A1711">
            <v>63010</v>
          </cell>
          <cell r="C1711" t="str">
            <v>Beef Pot Roast</v>
          </cell>
        </row>
        <row r="1712">
          <cell r="A1712">
            <v>63015</v>
          </cell>
          <cell r="C1712" t="str">
            <v>Sliced Meatloaf</v>
          </cell>
        </row>
        <row r="1713">
          <cell r="A1713"/>
          <cell r="C1713"/>
        </row>
        <row r="1714">
          <cell r="A1714"/>
          <cell r="C1714" t="str">
            <v>Safeway</v>
          </cell>
        </row>
        <row r="1715">
          <cell r="A1715">
            <v>21457</v>
          </cell>
          <cell r="C1715" t="str">
            <v>Beef Pot Roast with Vegetables</v>
          </cell>
        </row>
        <row r="1716">
          <cell r="A1716">
            <v>21454</v>
          </cell>
          <cell r="C1716" t="str">
            <v>Chicken Marsala</v>
          </cell>
        </row>
        <row r="1717">
          <cell r="A1717">
            <v>10707</v>
          </cell>
          <cell r="C1717" t="str">
            <v>Beef Shepherd's Pie</v>
          </cell>
        </row>
        <row r="1718">
          <cell r="A1718">
            <v>10608</v>
          </cell>
          <cell r="C1718" t="str">
            <v>Green Bean Casserole</v>
          </cell>
        </row>
        <row r="1719">
          <cell r="A1719"/>
          <cell r="C1719" t="str">
            <v>Meat Lasagna</v>
          </cell>
        </row>
        <row r="1720">
          <cell r="A1720">
            <v>21436</v>
          </cell>
          <cell r="C1720" t="str">
            <v>Meatballs with Tomato Basil Sauce</v>
          </cell>
        </row>
        <row r="1721">
          <cell r="A1721">
            <v>21437</v>
          </cell>
          <cell r="C1721" t="str">
            <v>Pork in Tomatillo Sauce</v>
          </cell>
        </row>
        <row r="1722">
          <cell r="A1722" t="str">
            <v>06798</v>
          </cell>
          <cell r="C1722" t="str">
            <v>Pork Tamales</v>
          </cell>
        </row>
        <row r="1723">
          <cell r="A1723">
            <v>10974</v>
          </cell>
          <cell r="C1723" t="str">
            <v>Pot Roast</v>
          </cell>
        </row>
        <row r="1724">
          <cell r="A1724">
            <v>21456</v>
          </cell>
          <cell r="C1724" t="str">
            <v>Sliced Beef &amp; Pork Meatloaf</v>
          </cell>
        </row>
        <row r="1725">
          <cell r="A1725">
            <v>21455</v>
          </cell>
          <cell r="C1725" t="str">
            <v>Sliced Turkey and Gravy</v>
          </cell>
        </row>
        <row r="1726">
          <cell r="A1726"/>
          <cell r="C1726"/>
        </row>
        <row r="1727">
          <cell r="A1727"/>
          <cell r="C1727" t="str">
            <v>Supreme Cuisine/Charlie Palmer</v>
          </cell>
        </row>
        <row r="1728">
          <cell r="A1728">
            <v>4010</v>
          </cell>
          <cell r="C1728" t="str">
            <v>Asian Stir Fried Beef, Charlie Palmer</v>
          </cell>
        </row>
        <row r="1729">
          <cell r="A1729">
            <v>4050</v>
          </cell>
          <cell r="C1729" t="str">
            <v>Beef and Onion Ragout, Charlie Palmer</v>
          </cell>
        </row>
        <row r="1730">
          <cell r="A1730">
            <v>4040</v>
          </cell>
          <cell r="C1730" t="str">
            <v>Beef Bourguignon, Charlie Palmer</v>
          </cell>
        </row>
        <row r="1731">
          <cell r="A1731">
            <v>4070</v>
          </cell>
          <cell r="C1731" t="str">
            <v>Chicken Marsala, Charlie Palmer</v>
          </cell>
        </row>
        <row r="1732">
          <cell r="A1732">
            <v>4090</v>
          </cell>
          <cell r="C1732" t="str">
            <v>Meatloaf w/Red Sauce, Charlie Palmer</v>
          </cell>
        </row>
        <row r="1733">
          <cell r="A1733">
            <v>4060</v>
          </cell>
          <cell r="C1733" t="str">
            <v>Pot Roast, Charlie Palmer</v>
          </cell>
        </row>
        <row r="1734">
          <cell r="A1734">
            <v>4020</v>
          </cell>
          <cell r="C1734" t="str">
            <v>Sweet Green Curry Chicken, Charlie Palmer</v>
          </cell>
        </row>
        <row r="1735">
          <cell r="A1735">
            <v>4080</v>
          </cell>
          <cell r="C1735" t="str">
            <v>Tandori Chicken, Charlie Palmer</v>
          </cell>
        </row>
        <row r="1736">
          <cell r="A1736"/>
          <cell r="C1736"/>
        </row>
        <row r="1737">
          <cell r="A1737" t="str">
            <v>00057</v>
          </cell>
          <cell r="C1737" t="str">
            <v>Meatloaf, Aunt B's</v>
          </cell>
        </row>
        <row r="1738">
          <cell r="A1738"/>
          <cell r="C1738"/>
        </row>
        <row r="1739">
          <cell r="A1739"/>
          <cell r="C1739" t="str">
            <v>Vanguard Pan Line</v>
          </cell>
        </row>
        <row r="1740">
          <cell r="A1740">
            <v>74052</v>
          </cell>
          <cell r="C1740" t="str">
            <v>Beef Gravy</v>
          </cell>
        </row>
        <row r="1741">
          <cell r="A1741">
            <v>16902</v>
          </cell>
          <cell r="C1741" t="str">
            <v>Beef Stroganoff</v>
          </cell>
        </row>
        <row r="1742">
          <cell r="A1742">
            <v>72004</v>
          </cell>
          <cell r="C1742" t="str">
            <v>Chili Con Carne</v>
          </cell>
        </row>
        <row r="1743">
          <cell r="A1743">
            <v>56122</v>
          </cell>
          <cell r="C1743" t="str">
            <v>Cheese Sauce with Broccoli</v>
          </cell>
        </row>
        <row r="1744">
          <cell r="A1744">
            <v>59652</v>
          </cell>
          <cell r="C1744" t="str">
            <v>Corn with Butter</v>
          </cell>
        </row>
        <row r="1745">
          <cell r="A1745">
            <v>16502</v>
          </cell>
          <cell r="C1745" t="str">
            <v>Cubed Beef with Gravy</v>
          </cell>
        </row>
        <row r="1746">
          <cell r="A1746">
            <v>16452</v>
          </cell>
          <cell r="C1746" t="str">
            <v>Deluxe Beef Stew</v>
          </cell>
        </row>
        <row r="1747">
          <cell r="A1747">
            <v>72554</v>
          </cell>
          <cell r="C1747" t="str">
            <v>Fiesta Chili with Beans</v>
          </cell>
        </row>
        <row r="1748">
          <cell r="A1748">
            <v>46802</v>
          </cell>
          <cell r="C1748" t="str">
            <v>Lasagna with Meat Sauce</v>
          </cell>
        </row>
        <row r="1749">
          <cell r="A1749">
            <v>16152</v>
          </cell>
          <cell r="C1749" t="str">
            <v>Macaroni and Beef</v>
          </cell>
        </row>
        <row r="1750">
          <cell r="A1750">
            <v>55502</v>
          </cell>
          <cell r="C1750" t="str">
            <v>Macaroni and Cheese</v>
          </cell>
        </row>
        <row r="1751">
          <cell r="A1751">
            <v>19662</v>
          </cell>
          <cell r="C1751" t="str">
            <v>Meatloaf with Sauce</v>
          </cell>
        </row>
        <row r="1752">
          <cell r="A1752">
            <v>51366</v>
          </cell>
          <cell r="C1752" t="str">
            <v>Mexican Black Beans and Rice</v>
          </cell>
        </row>
        <row r="1753">
          <cell r="A1753">
            <v>64010</v>
          </cell>
          <cell r="C1753" t="str">
            <v>Oriental Beef with Vegetables</v>
          </cell>
        </row>
        <row r="1754">
          <cell r="A1754">
            <v>56272</v>
          </cell>
          <cell r="C1754" t="str">
            <v>Potatoes Au Gratin</v>
          </cell>
        </row>
        <row r="1755">
          <cell r="A1755">
            <v>29594</v>
          </cell>
          <cell r="C1755" t="str">
            <v>Pot Pie Filling</v>
          </cell>
        </row>
        <row r="1756">
          <cell r="A1756">
            <v>46402</v>
          </cell>
          <cell r="C1756" t="str">
            <v>Salisbury Steak</v>
          </cell>
        </row>
        <row r="1757">
          <cell r="A1757">
            <v>95063</v>
          </cell>
          <cell r="C1757" t="str">
            <v>Scalloped Potatoes</v>
          </cell>
        </row>
        <row r="1758">
          <cell r="A1758">
            <v>59642</v>
          </cell>
          <cell r="C1758" t="str">
            <v>Seasoned Green Beans</v>
          </cell>
        </row>
        <row r="1759">
          <cell r="A1759">
            <v>13052</v>
          </cell>
          <cell r="C1759" t="str">
            <v>Sliced Beef with Gravy</v>
          </cell>
        </row>
        <row r="1760">
          <cell r="A1760">
            <v>36342</v>
          </cell>
          <cell r="C1760" t="str">
            <v>Sliced Pork and Gravy</v>
          </cell>
        </row>
        <row r="1761">
          <cell r="A1761">
            <v>26882</v>
          </cell>
          <cell r="C1761" t="str">
            <v>Sliced Turkey with Gravy</v>
          </cell>
        </row>
        <row r="1762">
          <cell r="A1762">
            <v>74154</v>
          </cell>
          <cell r="C1762" t="str">
            <v>Spaghetti with Meat</v>
          </cell>
        </row>
        <row r="1763">
          <cell r="A1763">
            <v>46794</v>
          </cell>
          <cell r="C1763" t="str">
            <v>Stuffed Cabbage (no sauce)</v>
          </cell>
        </row>
        <row r="1764">
          <cell r="A1764">
            <v>46752</v>
          </cell>
          <cell r="C1764" t="str">
            <v>Stuffed Cabbage with Sauce</v>
          </cell>
        </row>
        <row r="1765">
          <cell r="A1765">
            <v>46394</v>
          </cell>
          <cell r="C1765" t="str">
            <v>Stuffed Peppers (no sauce)</v>
          </cell>
        </row>
        <row r="1766">
          <cell r="A1766">
            <v>46352</v>
          </cell>
          <cell r="C1766" t="str">
            <v>Stuffed Peppers with Sauce</v>
          </cell>
        </row>
        <row r="1767">
          <cell r="A1767">
            <v>57142</v>
          </cell>
          <cell r="C1767" t="str">
            <v>Sweet Potato Souffle</v>
          </cell>
        </row>
        <row r="1768">
          <cell r="A1768">
            <v>16852</v>
          </cell>
          <cell r="C1768" t="str">
            <v>Pepper Steak</v>
          </cell>
        </row>
        <row r="1769">
          <cell r="A1769">
            <v>59582</v>
          </cell>
          <cell r="C1769" t="str">
            <v>Vegetable Medley</v>
          </cell>
        </row>
        <row r="1770">
          <cell r="A1770">
            <v>56934</v>
          </cell>
          <cell r="C1770" t="str">
            <v>White Rice</v>
          </cell>
        </row>
        <row r="1771">
          <cell r="A1771">
            <v>72274</v>
          </cell>
          <cell r="C1771" t="str">
            <v>Zesty Chili Hot Dog Sauce</v>
          </cell>
        </row>
        <row r="1772">
          <cell r="A1772"/>
          <cell r="C1772"/>
        </row>
        <row r="1773">
          <cell r="A1773"/>
          <cell r="C1773" t="str">
            <v>Wakefern</v>
          </cell>
        </row>
        <row r="1774">
          <cell r="A1774">
            <v>60001</v>
          </cell>
          <cell r="C1774" t="str">
            <v>Beef Stew</v>
          </cell>
        </row>
        <row r="1775">
          <cell r="A1775">
            <v>60002</v>
          </cell>
          <cell r="C1775" t="str">
            <v>Meatloaf</v>
          </cell>
        </row>
        <row r="1776">
          <cell r="A1776">
            <v>60003</v>
          </cell>
          <cell r="C1776" t="str">
            <v>Twice Bake Potato</v>
          </cell>
        </row>
        <row r="1777">
          <cell r="A1777">
            <v>60004</v>
          </cell>
          <cell r="C1777" t="str">
            <v>Stuffed Pepper w/Sauce</v>
          </cell>
        </row>
        <row r="1778">
          <cell r="A1778">
            <v>60005</v>
          </cell>
          <cell r="C1778" t="str">
            <v>Stuffed Cabbage w/Sauce</v>
          </cell>
        </row>
        <row r="1779">
          <cell r="A1779"/>
          <cell r="C1779"/>
        </row>
        <row r="1780">
          <cell r="A1780"/>
          <cell r="C1780" t="str">
            <v>Walmart/Sam's Club</v>
          </cell>
        </row>
        <row r="1781">
          <cell r="A1781">
            <v>21004</v>
          </cell>
          <cell r="C1781" t="str">
            <v>Chicken Marsala</v>
          </cell>
        </row>
        <row r="1782">
          <cell r="A1782">
            <v>21003</v>
          </cell>
          <cell r="C1782" t="str">
            <v>Pot Roast</v>
          </cell>
        </row>
        <row r="1783">
          <cell r="A1783"/>
          <cell r="C1783"/>
        </row>
        <row r="1784">
          <cell r="A1784"/>
          <cell r="C1784" t="str">
            <v>Wawa</v>
          </cell>
        </row>
        <row r="1785">
          <cell r="A1785">
            <v>70895</v>
          </cell>
          <cell r="C1785" t="str">
            <v>Seasoned White Rice bag 6pk</v>
          </cell>
        </row>
        <row r="1786">
          <cell r="A1786">
            <v>70905</v>
          </cell>
          <cell r="C1786" t="str">
            <v>Seasoned Black Beans Bag 6Pk</v>
          </cell>
        </row>
        <row r="1787">
          <cell r="A1787"/>
          <cell r="C1787"/>
        </row>
        <row r="1788">
          <cell r="A1788"/>
          <cell r="C1788" t="str">
            <v>Weis</v>
          </cell>
        </row>
        <row r="1789">
          <cell r="A1789" t="str">
            <v>04693</v>
          </cell>
          <cell r="C1789" t="str">
            <v>Beef Shepherds Pie</v>
          </cell>
        </row>
        <row r="1790">
          <cell r="A1790" t="str">
            <v>04638</v>
          </cell>
          <cell r="C1790" t="str">
            <v>Chicken Marsala</v>
          </cell>
        </row>
        <row r="1791">
          <cell r="A1791" t="str">
            <v>04712</v>
          </cell>
          <cell r="C1791" t="str">
            <v>Green Bean Casserole</v>
          </cell>
        </row>
        <row r="1792">
          <cell r="A1792" t="str">
            <v>04660</v>
          </cell>
          <cell r="C1792" t="str">
            <v>Pot Roast</v>
          </cell>
        </row>
        <row r="1793">
          <cell r="A1793" t="str">
            <v>04749</v>
          </cell>
          <cell r="C1793" t="str">
            <v>Potatoes Au Gratin</v>
          </cell>
        </row>
        <row r="1794">
          <cell r="A1794" t="str">
            <v>04644</v>
          </cell>
          <cell r="C1794" t="str">
            <v>Sweet &amp; Sour Pork</v>
          </cell>
        </row>
        <row r="1795">
          <cell r="A1795" t="str">
            <v>04595</v>
          </cell>
          <cell r="C1795" t="str">
            <v>Turkey and Gravy</v>
          </cell>
        </row>
        <row r="1796">
          <cell r="A1796" t="str">
            <v>04750</v>
          </cell>
          <cell r="C1796" t="str">
            <v>Twice Baked Potato</v>
          </cell>
        </row>
        <row r="1797">
          <cell r="A1797"/>
          <cell r="C1797"/>
        </row>
        <row r="1798">
          <cell r="A1798"/>
          <cell r="C1798"/>
        </row>
        <row r="1799">
          <cell r="A1799"/>
          <cell r="C1799"/>
        </row>
        <row r="1800">
          <cell r="A1800"/>
          <cell r="C1800" t="str">
            <v>Beef Patty Sauce, GC</v>
          </cell>
        </row>
        <row r="1801">
          <cell r="A1801"/>
          <cell r="C1801" t="str">
            <v>Beef Patty, Raw, GC</v>
          </cell>
        </row>
        <row r="1802">
          <cell r="A1802"/>
          <cell r="C1802" t="str">
            <v>Beef Patty, Cooked, GC</v>
          </cell>
        </row>
        <row r="1803">
          <cell r="A1803"/>
          <cell r="C1803" t="str">
            <v>Beef, Ground, Cooked</v>
          </cell>
        </row>
        <row r="1804">
          <cell r="A1804"/>
          <cell r="C1804" t="str">
            <v>Beef, Sliced, Asian Stir Fry, Cooked</v>
          </cell>
        </row>
        <row r="1805">
          <cell r="A1805"/>
          <cell r="C1805" t="str">
            <v>Beef Stew Beef, Cooked</v>
          </cell>
        </row>
        <row r="1806">
          <cell r="A1806"/>
          <cell r="C1806" t="str">
            <v>Boneless Pork Patty, GC</v>
          </cell>
        </row>
        <row r="1807">
          <cell r="A1807"/>
          <cell r="C1807" t="str">
            <v>Boneless Pork Patty Sauce, GC</v>
          </cell>
        </row>
        <row r="1808">
          <cell r="A1808"/>
          <cell r="C1808" t="str">
            <v>Chicken, Bagged Cooked</v>
          </cell>
        </row>
        <row r="1809">
          <cell r="A1809"/>
          <cell r="C1809" t="str">
            <v>Chicken Tenders, Cooked</v>
          </cell>
        </row>
        <row r="1810">
          <cell r="A1810"/>
          <cell r="C1810" t="str">
            <v>Chicken, Breast Cook</v>
          </cell>
        </row>
        <row r="1811">
          <cell r="A1811"/>
          <cell r="C1811" t="str">
            <v>Chicken, Herb</v>
          </cell>
        </row>
        <row r="1812">
          <cell r="A1812"/>
          <cell r="C1812" t="str">
            <v>Chicken, HOR</v>
          </cell>
        </row>
        <row r="1813">
          <cell r="A1813"/>
          <cell r="C1813" t="str">
            <v>Chicken, Jerk</v>
          </cell>
        </row>
        <row r="1814">
          <cell r="A1814"/>
          <cell r="C1814" t="str">
            <v>Chicken, Morocan</v>
          </cell>
        </row>
        <row r="1815">
          <cell r="A1815"/>
          <cell r="C1815" t="str">
            <v>Chow Mein Sauce, GC</v>
          </cell>
        </row>
        <row r="1816">
          <cell r="A1816"/>
          <cell r="C1816" t="str">
            <v>Corn, Cooked for Tamales</v>
          </cell>
        </row>
        <row r="1817">
          <cell r="A1817"/>
          <cell r="C1817" t="str">
            <v>Country Steak Patty, Cooked</v>
          </cell>
        </row>
        <row r="1818">
          <cell r="A1818"/>
          <cell r="C1818" t="str">
            <v>Marinara Sauce, GC</v>
          </cell>
        </row>
        <row r="1819">
          <cell r="A1819"/>
          <cell r="C1819" t="str">
            <v>Meatballs, Cooked (Safeway)</v>
          </cell>
        </row>
        <row r="1820">
          <cell r="A1820"/>
          <cell r="C1820" t="str">
            <v>Meatloaf, Cooked (Safeway)</v>
          </cell>
        </row>
        <row r="1821">
          <cell r="A1821"/>
          <cell r="C1821" t="str">
            <v>Meatloaf, Ameriqual (Military)</v>
          </cell>
        </row>
        <row r="1822">
          <cell r="A1822"/>
          <cell r="C1822" t="str">
            <v>Noodles, Egg, Cooked</v>
          </cell>
        </row>
        <row r="1823">
          <cell r="A1823"/>
          <cell r="C1823" t="str">
            <v>Noodles, Elbow Macaroni, Cooked</v>
          </cell>
        </row>
        <row r="1824">
          <cell r="A1824"/>
          <cell r="C1824" t="str">
            <v>Noodles, Spaghetti, Cooked</v>
          </cell>
        </row>
        <row r="1825">
          <cell r="A1825"/>
          <cell r="C1825" t="str">
            <v>Noodles, Fettuccini, Cooked</v>
          </cell>
        </row>
        <row r="1826">
          <cell r="A1826"/>
          <cell r="C1826" t="str">
            <v>Pot Roast Beef, Cooked</v>
          </cell>
        </row>
        <row r="1827">
          <cell r="A1827"/>
          <cell r="C1827" t="str">
            <v>Pot Roast Vegetables</v>
          </cell>
        </row>
        <row r="1828">
          <cell r="A1828"/>
          <cell r="C1828" t="str">
            <v>Pork, Bagged</v>
          </cell>
        </row>
        <row r="1829">
          <cell r="A1829"/>
          <cell r="C1829" t="str">
            <v>Pork Trim, Cooked, For Tamales</v>
          </cell>
        </row>
        <row r="1830">
          <cell r="A1830"/>
          <cell r="C1830" t="str">
            <v>Potatoes, Sliced, Cooked</v>
          </cell>
        </row>
        <row r="1831">
          <cell r="A1831" t="str">
            <v>C100B</v>
          </cell>
          <cell r="C1831" t="str">
            <v>White Rice, Cooked 5# bags Recipe 56994</v>
          </cell>
        </row>
        <row r="1832">
          <cell r="A1832"/>
          <cell r="C1832" t="str">
            <v>Salisbury Steak, Cooked, GC</v>
          </cell>
        </row>
        <row r="1833">
          <cell r="A1833"/>
          <cell r="C1833" t="str">
            <v>Salisbury Steak Sauce, GC</v>
          </cell>
        </row>
        <row r="1834">
          <cell r="A1834"/>
          <cell r="C1834" t="str">
            <v>Tamales, Pork</v>
          </cell>
        </row>
        <row r="1835">
          <cell r="A1835"/>
          <cell r="C1835" t="str">
            <v>Topping, Sweet Potato</v>
          </cell>
        </row>
        <row r="1836">
          <cell r="A1836"/>
          <cell r="C1836" t="str">
            <v>Topping, Walnut Cranberry</v>
          </cell>
        </row>
        <row r="1837">
          <cell r="A1837"/>
          <cell r="C1837" t="str">
            <v>Turkey, Bagged, Cooked</v>
          </cell>
        </row>
        <row r="1838">
          <cell r="A1838"/>
          <cell r="C1838"/>
        </row>
        <row r="1839">
          <cell r="A1839"/>
          <cell r="C1839"/>
        </row>
        <row r="1840">
          <cell r="A1840"/>
          <cell r="C1840"/>
        </row>
        <row r="1841">
          <cell r="A1841">
            <v>6326053</v>
          </cell>
          <cell r="C1841" t="str">
            <v>Apron, Bib Style 28"x36" Sunsoft (100/cs)</v>
          </cell>
        </row>
        <row r="1842">
          <cell r="A1842"/>
          <cell r="C1842" t="str">
            <v>Bag, Polu 18x24x0.002 (500/roll)</v>
          </cell>
        </row>
        <row r="1843">
          <cell r="A1843">
            <v>9735001</v>
          </cell>
          <cell r="C1843" t="str">
            <v>Beard Cover, White 21" Polyprop (100/bag, 1000/cs)</v>
          </cell>
        </row>
        <row r="1844">
          <cell r="A1844">
            <v>3209301</v>
          </cell>
          <cell r="C1844" t="str">
            <v>Bleach, Ldry A1 Liq Plst Clr (6/128 oz)</v>
          </cell>
        </row>
        <row r="1845">
          <cell r="A1845">
            <v>247723</v>
          </cell>
          <cell r="C1845" t="str">
            <v>Bleach, Germicidal NSF, First Mark (6/1 gal)</v>
          </cell>
        </row>
        <row r="1846">
          <cell r="A1846">
            <v>3950055</v>
          </cell>
          <cell r="C1846" t="str">
            <v>Bleach, Pure Bright (6/128 oz)</v>
          </cell>
        </row>
        <row r="1847">
          <cell r="A1847">
            <v>9739070</v>
          </cell>
          <cell r="C1847" t="str">
            <v>Bottle, Plastic 32 oz Round (100/cs)</v>
          </cell>
        </row>
        <row r="1848">
          <cell r="A1848">
            <v>9735012</v>
          </cell>
          <cell r="C1848" t="str">
            <v>Bouffant, 21" Large White (100/bag, 1000/cs)</v>
          </cell>
        </row>
        <row r="1849">
          <cell r="A1849">
            <v>9735016</v>
          </cell>
          <cell r="C1849" t="str">
            <v>Bouffant, 24" X-Large White (100/bag, 1000/cs)</v>
          </cell>
        </row>
        <row r="1850">
          <cell r="A1850">
            <v>768299</v>
          </cell>
          <cell r="C1850" t="str">
            <v>Bouffant, 21" Orange (10-100/Cs)</v>
          </cell>
        </row>
        <row r="1851">
          <cell r="A1851"/>
          <cell r="C1851" t="str">
            <v>Broom, Angle 13" Plst Brisl (1 ea)</v>
          </cell>
        </row>
        <row r="1852">
          <cell r="A1852">
            <v>1690013</v>
          </cell>
          <cell r="C1852" t="str">
            <v>Broom, Angle Large Poly Fiber w/Metal hdl (6/cs)</v>
          </cell>
        </row>
        <row r="1853">
          <cell r="A1853">
            <v>9739067</v>
          </cell>
          <cell r="C1853" t="str">
            <v>Detergent, Dawn Pot/Pan (8 38oz/cs)</v>
          </cell>
        </row>
        <row r="1854">
          <cell r="A1854">
            <v>4647806</v>
          </cell>
          <cell r="C1854" t="str">
            <v>Detergent, Dish Mnl Dawn Liq (8/38 oz)</v>
          </cell>
        </row>
        <row r="1855">
          <cell r="A1855">
            <v>9470150</v>
          </cell>
          <cell r="C1855" t="str">
            <v>Detergent, Laundry Alta (50#)</v>
          </cell>
        </row>
        <row r="1856">
          <cell r="A1856">
            <v>1926120</v>
          </cell>
          <cell r="C1856" t="str">
            <v>Dolly, For Waste Containers (2/cs)</v>
          </cell>
        </row>
        <row r="1857">
          <cell r="A1857">
            <v>1690030</v>
          </cell>
          <cell r="C1857" t="str">
            <v>Dust Mop, Frame 36x5 Steel (12/cs)</v>
          </cell>
        </row>
        <row r="1858">
          <cell r="A1858">
            <v>3726008</v>
          </cell>
          <cell r="C1858" t="str">
            <v>Dust Pan, Plastic Lobby (1 ea)</v>
          </cell>
        </row>
        <row r="1859">
          <cell r="A1859"/>
          <cell r="C1859" t="str">
            <v>Dust Pan, Plst w/Metl Hndl (1 ea)</v>
          </cell>
        </row>
        <row r="1860">
          <cell r="A1860"/>
          <cell r="C1860" t="str">
            <v>Gil Chlor GP, Drum 55 Gal</v>
          </cell>
        </row>
        <row r="1861">
          <cell r="A1861"/>
          <cell r="C1861" t="str">
            <v>Gil San-C, Drum 55 gal.</v>
          </cell>
        </row>
        <row r="1862">
          <cell r="A1862"/>
          <cell r="C1862" t="str">
            <v>Gil Smokehouse GP, Drum 55 gal</v>
          </cell>
        </row>
        <row r="1863">
          <cell r="A1863"/>
          <cell r="C1863" t="str">
            <v>Gil Ultra CIP, Drum 55 gal</v>
          </cell>
        </row>
        <row r="1864">
          <cell r="A1864">
            <v>6101421</v>
          </cell>
          <cell r="C1864" t="str">
            <v>Glove, Latex 4 MIL Powder Free, Medium (10/100/cs)</v>
          </cell>
        </row>
        <row r="1865">
          <cell r="A1865">
            <v>6101423</v>
          </cell>
          <cell r="C1865" t="str">
            <v>Glove, Latex 4 MIL Powder Free, X-Large (10/100/cs)</v>
          </cell>
        </row>
        <row r="1866">
          <cell r="A1866">
            <v>3973773</v>
          </cell>
          <cell r="C1866" t="str">
            <v>Glove, Latex Med Pwdrd Ntrl (10/100 ea)</v>
          </cell>
        </row>
        <row r="1867">
          <cell r="A1867">
            <v>3974458</v>
          </cell>
          <cell r="C1867" t="str">
            <v>Glove, Latex XL Pwdrd Ntrl (10/100 ea)</v>
          </cell>
        </row>
        <row r="1868">
          <cell r="A1868">
            <v>45636</v>
          </cell>
          <cell r="C1868" t="str">
            <v>Glove, Poly Blue Xlarge, Royal (4/500 ct)</v>
          </cell>
        </row>
        <row r="1869">
          <cell r="A1869">
            <v>6100155</v>
          </cell>
          <cell r="C1869" t="str">
            <v>Gloves, String Knit 100% Cotton (25 dz/cs)</v>
          </cell>
        </row>
        <row r="1870">
          <cell r="A1870"/>
          <cell r="C1870" t="str">
            <v xml:space="preserve">Glove, Nitrile 2099, Blue </v>
          </cell>
        </row>
        <row r="1871">
          <cell r="A1871">
            <v>17079</v>
          </cell>
          <cell r="C1871" t="str">
            <v>Glove, Vinyl Med Light, Royal (10/100 ct)</v>
          </cell>
        </row>
        <row r="1872">
          <cell r="A1872">
            <v>6326057</v>
          </cell>
          <cell r="C1872" t="str">
            <v>Gown, PE Coated Isolation, Sunsoft (50 ea)</v>
          </cell>
        </row>
        <row r="1873">
          <cell r="A1873">
            <v>6320065</v>
          </cell>
          <cell r="C1873" t="str">
            <v>Hand Pad, 6x9 General Purpose (20pad/box, 3box/case)</v>
          </cell>
        </row>
        <row r="1874">
          <cell r="A1874">
            <v>1690105</v>
          </cell>
          <cell r="C1874" t="str">
            <v>Handle, Broom, Tapered Wood 60", 15/16" (12/cs)</v>
          </cell>
        </row>
        <row r="1875">
          <cell r="A1875">
            <v>1690084</v>
          </cell>
          <cell r="C1875" t="str">
            <v>Handle, Wet Mop Plastic Head 94 (each)</v>
          </cell>
        </row>
        <row r="1876">
          <cell r="A1876">
            <v>7329824</v>
          </cell>
          <cell r="C1876" t="str">
            <v>Liner, 12-16 Gal 24x32 Clr .35 (1000 ea)</v>
          </cell>
        </row>
        <row r="1877">
          <cell r="A1877">
            <v>4369344</v>
          </cell>
          <cell r="C1877" t="str">
            <v>Liner, 45 Gal 40x48 Ntrl 13 (250 ea)</v>
          </cell>
        </row>
        <row r="1878">
          <cell r="A1878">
            <v>1810037</v>
          </cell>
          <cell r="C1878" t="str">
            <v>Liner, Can 24x33 M-Line 12-16 gal (20/50cs)</v>
          </cell>
        </row>
        <row r="1879">
          <cell r="A1879">
            <v>87855</v>
          </cell>
          <cell r="C1879" t="str">
            <v>Liner, 40x46, white, 8m (4/25 cnt)</v>
          </cell>
        </row>
        <row r="1880">
          <cell r="A1880"/>
          <cell r="C1880" t="str">
            <v>Liner, can 40 x 46 LD Black .6 m (10/25)</v>
          </cell>
        </row>
        <row r="1881">
          <cell r="A1881">
            <v>1810029</v>
          </cell>
          <cell r="C1881" t="str">
            <v>Liner, Can 40x48 M-Line 40-45 gal (250/cs)</v>
          </cell>
        </row>
        <row r="1882">
          <cell r="A1882">
            <v>1810275</v>
          </cell>
          <cell r="C1882" t="str">
            <v>Liner, Can 43x47 M-Line, Black 56gal (5/20)</v>
          </cell>
        </row>
        <row r="1883">
          <cell r="A1883" t="str">
            <v>0730069</v>
          </cell>
          <cell r="C1883" t="str">
            <v>Liner, Pan Food 16.4x24.4 (1000 ea)</v>
          </cell>
        </row>
        <row r="1884">
          <cell r="A1884">
            <v>4090035</v>
          </cell>
          <cell r="C1884" t="str">
            <v>Sanitizer, Hand foam w/alcohol 1 lt, 6/cs</v>
          </cell>
        </row>
        <row r="1885">
          <cell r="A1885">
            <v>4603759</v>
          </cell>
          <cell r="C1885" t="str">
            <v>Scrubber, 6x9 Pad Med Duty Grn (20 ea)</v>
          </cell>
        </row>
        <row r="1886">
          <cell r="A1886">
            <v>6326052</v>
          </cell>
          <cell r="C1886" t="str">
            <v>Sleeve Protector, 18" Sunsoft (100 pr/cs)</v>
          </cell>
        </row>
        <row r="1887">
          <cell r="A1887">
            <v>4070202</v>
          </cell>
          <cell r="C1887" t="str">
            <v>Soap, Sanitizing E-2 (4/cs)</v>
          </cell>
        </row>
        <row r="1888">
          <cell r="A1888">
            <v>4090112</v>
          </cell>
          <cell r="C1888" t="str">
            <v>Soap, Foam Agrobac, fodd Handler 2 Lt, 4/cs</v>
          </cell>
        </row>
        <row r="1889">
          <cell r="A1889">
            <v>9735314</v>
          </cell>
          <cell r="C1889" t="str">
            <v>Spoon, Hvy White, cutlery (1m/cs)</v>
          </cell>
        </row>
        <row r="1890">
          <cell r="A1890">
            <v>9739095</v>
          </cell>
          <cell r="C1890" t="str">
            <v>Sprayer, Trigger 9-1/4" Up/Down (each)</v>
          </cell>
        </row>
        <row r="1891">
          <cell r="A1891">
            <v>3726030</v>
          </cell>
          <cell r="C1891" t="str">
            <v>Squeegee, Floor 24" Straight (6/cs)\</v>
          </cell>
        </row>
        <row r="1892">
          <cell r="A1892"/>
          <cell r="C1892" t="str">
            <v>Tape, Hotmelt 2x1000 clear 700 classic closure 6/cs</v>
          </cell>
        </row>
        <row r="1893">
          <cell r="A1893">
            <v>910448</v>
          </cell>
          <cell r="C1893" t="str">
            <v>Tissue, Jr Size Roll, First Mark (12 rls)</v>
          </cell>
        </row>
        <row r="1894">
          <cell r="A1894" t="str">
            <v>0417923</v>
          </cell>
          <cell r="C1894" t="str">
            <v>Tissue, TLT Jmb Rl (8 rls)</v>
          </cell>
        </row>
        <row r="1895">
          <cell r="A1895">
            <v>195312</v>
          </cell>
          <cell r="C1895" t="str">
            <v>Tissue, Carolina p. toilet JR 2-Ply (12/cs)</v>
          </cell>
        </row>
        <row r="1896">
          <cell r="A1896" t="str">
            <v>BC3711</v>
          </cell>
          <cell r="C1896" t="str">
            <v>Tissue, Bath, Jumbo 9", 2 Pl (12/1000)</v>
          </cell>
        </row>
        <row r="1897">
          <cell r="A1897">
            <v>3861069</v>
          </cell>
          <cell r="C1897" t="str">
            <v>Tissue, Toilet, 2 Ply 1000' (8/cs)</v>
          </cell>
        </row>
        <row r="1898">
          <cell r="A1898">
            <v>2094152</v>
          </cell>
          <cell r="C1898" t="str">
            <v>Towel, Big Fold Bleached (2208/cs)</v>
          </cell>
        </row>
        <row r="1899">
          <cell r="A1899">
            <v>9850375</v>
          </cell>
          <cell r="C1899" t="str">
            <v>Towel, Multi-Fold White (4000/cs)</v>
          </cell>
        </row>
        <row r="1900">
          <cell r="A1900">
            <v>9324377</v>
          </cell>
          <cell r="C1900" t="str">
            <v>Towel, Papr 7.87"x350' Rl (12 rl)</v>
          </cell>
        </row>
        <row r="1901">
          <cell r="A1901">
            <v>2094152</v>
          </cell>
          <cell r="C1901" t="str">
            <v>Towel, Roll 7.5x800' 1 Ply (6/cs)</v>
          </cell>
        </row>
        <row r="1902">
          <cell r="A1902">
            <v>3860669</v>
          </cell>
          <cell r="C1902" t="str">
            <v>Towel, Roll 10x800' 1 Ply (6/cs)</v>
          </cell>
        </row>
        <row r="1903">
          <cell r="A1903">
            <v>243693</v>
          </cell>
          <cell r="C1903" t="str">
            <v>Towel, Wiper Med Wt White (150 ct)</v>
          </cell>
        </row>
        <row r="1904">
          <cell r="A1904"/>
          <cell r="C1904" t="str">
            <v>Towel, Wiper 14/21 Pink (200/cs)</v>
          </cell>
        </row>
        <row r="1905">
          <cell r="A1905">
            <v>1926115</v>
          </cell>
          <cell r="C1905" t="str">
            <v>Waste Container, 55 Gallon Grey (2/cs)</v>
          </cell>
        </row>
        <row r="1906">
          <cell r="A1906">
            <v>1690255</v>
          </cell>
          <cell r="C1906" t="str">
            <v>Wet Mop #24 Cotton Cut End (12/cs)</v>
          </cell>
        </row>
        <row r="1907">
          <cell r="A1907">
            <v>3862241</v>
          </cell>
          <cell r="C1907" t="str">
            <v>Wiper, Paper Dyna-Max While (150/cs)</v>
          </cell>
        </row>
        <row r="1908">
          <cell r="A1908">
            <v>1410105</v>
          </cell>
          <cell r="C1908" t="str">
            <v>Wipes, Paper White Pop Up M-Line (100/bx, 900/cs)</v>
          </cell>
        </row>
        <row r="1909">
          <cell r="A1909">
            <v>2188290</v>
          </cell>
          <cell r="C1909" t="str">
            <v>Wipes, FDSV Papr 24x13 Wht (150 ea)</v>
          </cell>
        </row>
        <row r="1910">
          <cell r="A1910">
            <v>89622</v>
          </cell>
          <cell r="C1910" t="str">
            <v>Wipes, foodservices, Blue, Tork (150/cs)</v>
          </cell>
        </row>
        <row r="1911">
          <cell r="A1911"/>
          <cell r="C1911"/>
        </row>
        <row r="1912">
          <cell r="A1912"/>
          <cell r="C1912"/>
        </row>
        <row r="1913">
          <cell r="A1913"/>
          <cell r="C1913" t="str">
            <v>Bowl, Fm 12 oz Wht Rnd DCC12B32 (1000/cs)</v>
          </cell>
        </row>
        <row r="1914">
          <cell r="A1914">
            <v>8666083</v>
          </cell>
          <cell r="C1914" t="str">
            <v>Bowl, Fm 4-5 z Wht Unlaminated (10/125 ea)</v>
          </cell>
        </row>
        <row r="1915">
          <cell r="A1915">
            <v>1516032</v>
          </cell>
          <cell r="C1915" t="str">
            <v>Bubble Roll 48x750'x3/16" M-Line (4/Bdl)</v>
          </cell>
        </row>
        <row r="1916">
          <cell r="A1916">
            <v>2961068</v>
          </cell>
          <cell r="C1916" t="str">
            <v>Cup, Sfle Plyst 2 z Tnslt Ptn (12/200 ea)</v>
          </cell>
        </row>
        <row r="1917">
          <cell r="A1917"/>
          <cell r="C1917" t="str">
            <v>Cup, Plastic 5.5 oz translucent DCC 550 pc (20/125/cs)</v>
          </cell>
        </row>
        <row r="1918">
          <cell r="A1918">
            <v>4934147</v>
          </cell>
          <cell r="C1918" t="str">
            <v>Forks, Mhw Wht Plyst Plst (1000 ea)</v>
          </cell>
        </row>
        <row r="1919">
          <cell r="A1919">
            <v>3555125</v>
          </cell>
          <cell r="C1919" t="str">
            <v>Plate, Fm 6" 1 Cmpt Wht (8/125 ea)</v>
          </cell>
        </row>
        <row r="1920">
          <cell r="A1920" t="str">
            <v>0892059</v>
          </cell>
          <cell r="C1920" t="str">
            <v>Plate, Fm 9" 1 Cmpt Wht (4/125 ea)</v>
          </cell>
        </row>
        <row r="1921">
          <cell r="A1921">
            <v>4934527</v>
          </cell>
          <cell r="C1921" t="str">
            <v>Spoon, Tea Mhw Wht Plyst Plst (1000 ea)</v>
          </cell>
        </row>
        <row r="1922">
          <cell r="A1922"/>
          <cell r="C1922"/>
        </row>
        <row r="1923">
          <cell r="C1923"/>
        </row>
        <row r="1924">
          <cell r="C1924"/>
        </row>
        <row r="1925">
          <cell r="C1925"/>
        </row>
        <row r="1926">
          <cell r="C1926"/>
        </row>
        <row r="1927">
          <cell r="C1927"/>
        </row>
        <row r="1928">
          <cell r="C1928"/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BC"/>
      <sheetName val="PBB"/>
      <sheetName val="PSP"/>
      <sheetName val="ZCC"/>
      <sheetName val="CZB"/>
      <sheetName val="ACC"/>
      <sheetName val="JGB"/>
      <sheetName val="SPEC"/>
      <sheetName val="SPEC2"/>
      <sheetName val="SPEC3"/>
      <sheetName val="SEC"/>
      <sheetName val="SEC2"/>
      <sheetName val="SEC3"/>
      <sheetName val="SEC4"/>
      <sheetName val="BEC"/>
      <sheetName val="BEC3"/>
      <sheetName val="BEC2"/>
      <sheetName val="BEC4"/>
      <sheetName val="EC"/>
      <sheetName val="EC2"/>
      <sheetName val="EC3"/>
      <sheetName val="CONSOLIDATED"/>
      <sheetName val="Summary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82A5-B3C6-4AF3-B584-54FF81660429}">
  <sheetPr>
    <pageSetUpPr fitToPage="1"/>
  </sheetPr>
  <dimension ref="A1:I43"/>
  <sheetViews>
    <sheetView topLeftCell="B1" zoomScaleNormal="100" workbookViewId="0">
      <selection activeCell="C4" sqref="C4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112</v>
      </c>
      <c r="D2" s="5" t="s">
        <v>1</v>
      </c>
      <c r="E2" s="32"/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105</v>
      </c>
      <c r="C4" s="10">
        <v>1</v>
      </c>
      <c r="D4" s="9"/>
      <c r="F4" s="25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106</v>
      </c>
      <c r="G6" s="40" t="s">
        <v>10</v>
      </c>
      <c r="H6" s="41"/>
      <c r="I6" s="11" t="s">
        <v>11</v>
      </c>
    </row>
    <row r="7" spans="1:9" x14ac:dyDescent="0.25">
      <c r="A7" s="1">
        <v>1</v>
      </c>
      <c r="B7" s="12"/>
      <c r="C7" s="70"/>
      <c r="D7" s="13"/>
      <c r="E7" s="13" t="s">
        <v>107</v>
      </c>
      <c r="F7" s="15">
        <f>C4*D7</f>
        <v>0</v>
      </c>
      <c r="G7" s="37"/>
      <c r="H7" s="38"/>
      <c r="I7" s="26"/>
    </row>
    <row r="8" spans="1:9" x14ac:dyDescent="0.25">
      <c r="A8" s="1">
        <v>2</v>
      </c>
      <c r="B8" s="12"/>
      <c r="C8" s="70" t="s">
        <v>31</v>
      </c>
      <c r="D8" s="2">
        <v>3.5</v>
      </c>
      <c r="E8" s="13" t="s">
        <v>107</v>
      </c>
      <c r="F8" s="15">
        <f>C4*D8</f>
        <v>3.5</v>
      </c>
      <c r="G8" s="37"/>
      <c r="H8" s="38"/>
      <c r="I8" s="16"/>
    </row>
    <row r="9" spans="1:9" x14ac:dyDescent="0.25">
      <c r="A9" s="1">
        <v>3</v>
      </c>
      <c r="B9" s="12"/>
      <c r="C9" s="70" t="s">
        <v>32</v>
      </c>
      <c r="D9" s="13">
        <v>2.5</v>
      </c>
      <c r="E9" s="13" t="s">
        <v>107</v>
      </c>
      <c r="F9" s="15">
        <f>C4*D9</f>
        <v>2.5</v>
      </c>
      <c r="G9" s="37"/>
      <c r="H9" s="38"/>
      <c r="I9" s="16"/>
    </row>
    <row r="10" spans="1:9" x14ac:dyDescent="0.25">
      <c r="A10" s="1">
        <v>4</v>
      </c>
      <c r="B10" s="12"/>
      <c r="C10" s="70" t="s">
        <v>33</v>
      </c>
      <c r="D10" s="13">
        <v>6</v>
      </c>
      <c r="E10" s="13" t="s">
        <v>107</v>
      </c>
      <c r="F10" s="15">
        <f>C4*D10</f>
        <v>6</v>
      </c>
      <c r="G10" s="37"/>
      <c r="H10" s="38"/>
      <c r="I10" s="16"/>
    </row>
    <row r="11" spans="1:9" x14ac:dyDescent="0.25">
      <c r="A11" s="1">
        <v>5</v>
      </c>
      <c r="B11" s="12"/>
      <c r="C11" s="70" t="s">
        <v>34</v>
      </c>
      <c r="D11" s="13">
        <v>2.5</v>
      </c>
      <c r="E11" s="13" t="s">
        <v>107</v>
      </c>
      <c r="F11" s="15">
        <f>C4*D11</f>
        <v>2.5</v>
      </c>
      <c r="G11" s="37"/>
      <c r="H11" s="38"/>
      <c r="I11" s="16"/>
    </row>
    <row r="12" spans="1:9" x14ac:dyDescent="0.25">
      <c r="A12" s="1">
        <v>6</v>
      </c>
      <c r="B12" s="12"/>
      <c r="C12" s="13"/>
      <c r="D12" s="13"/>
      <c r="E12" s="13"/>
      <c r="F12" s="15">
        <f>C4*D12</f>
        <v>0</v>
      </c>
      <c r="G12" s="37"/>
      <c r="H12" s="38"/>
      <c r="I12" s="16"/>
    </row>
    <row r="13" spans="1:9" x14ac:dyDescent="0.25">
      <c r="A13" s="1">
        <v>7</v>
      </c>
      <c r="B13" s="12"/>
      <c r="C13" s="12"/>
      <c r="D13" s="13"/>
      <c r="E13" s="13"/>
      <c r="F13" s="15"/>
      <c r="G13" s="37"/>
      <c r="H13" s="38"/>
      <c r="I13" s="16"/>
    </row>
    <row r="14" spans="1:9" x14ac:dyDescent="0.25">
      <c r="A14" s="1">
        <v>8</v>
      </c>
      <c r="B14" s="12"/>
      <c r="C14" s="12"/>
      <c r="D14" s="13"/>
      <c r="E14" s="13"/>
      <c r="F14" s="15"/>
      <c r="G14" s="37"/>
      <c r="H14" s="38"/>
      <c r="I14" s="16"/>
    </row>
    <row r="15" spans="1:9" x14ac:dyDescent="0.25">
      <c r="A15" s="1">
        <v>9</v>
      </c>
      <c r="B15" s="12"/>
      <c r="C15" s="12"/>
      <c r="D15" s="13"/>
      <c r="E15" s="13"/>
      <c r="F15" s="15"/>
      <c r="G15" s="37"/>
      <c r="H15" s="38"/>
      <c r="I15" s="16"/>
    </row>
    <row r="16" spans="1:9" x14ac:dyDescent="0.25">
      <c r="A16" s="1">
        <v>10</v>
      </c>
      <c r="B16" s="12"/>
      <c r="C16" s="12"/>
      <c r="D16" s="13"/>
      <c r="E16" s="13"/>
      <c r="F16" s="15"/>
      <c r="G16" s="37"/>
      <c r="H16" s="38"/>
      <c r="I16" s="16"/>
    </row>
    <row r="17" spans="1:9" x14ac:dyDescent="0.25">
      <c r="A17" s="1">
        <v>11</v>
      </c>
      <c r="B17" s="12"/>
      <c r="C17" s="12"/>
      <c r="D17" s="13"/>
      <c r="E17" s="13"/>
      <c r="F17" s="15"/>
      <c r="G17" s="37"/>
      <c r="H17" s="38"/>
      <c r="I17" s="16"/>
    </row>
    <row r="18" spans="1:9" x14ac:dyDescent="0.25">
      <c r="A18" s="1">
        <v>12</v>
      </c>
      <c r="B18" s="12"/>
      <c r="C18" s="12"/>
      <c r="D18" s="13"/>
      <c r="E18" s="13"/>
      <c r="F18" s="15"/>
      <c r="G18" s="37"/>
      <c r="H18" s="38"/>
      <c r="I18" s="16"/>
    </row>
    <row r="19" spans="1:9" x14ac:dyDescent="0.25">
      <c r="A19" s="1">
        <v>13</v>
      </c>
      <c r="B19" s="12"/>
      <c r="C19" s="12"/>
      <c r="D19" s="13"/>
      <c r="E19" s="13"/>
      <c r="F19" s="15"/>
      <c r="G19" s="37"/>
      <c r="H19" s="38"/>
      <c r="I19" s="16"/>
    </row>
    <row r="20" spans="1:9" x14ac:dyDescent="0.25">
      <c r="A20" s="1">
        <v>14</v>
      </c>
      <c r="B20" s="12"/>
      <c r="C20" s="12"/>
      <c r="D20" s="13"/>
      <c r="E20" s="13"/>
      <c r="F20" s="15"/>
      <c r="G20" s="37"/>
      <c r="H20" s="38"/>
      <c r="I20" s="16"/>
    </row>
    <row r="21" spans="1:9" x14ac:dyDescent="0.25">
      <c r="A21" s="1">
        <v>15</v>
      </c>
      <c r="B21" s="12"/>
      <c r="C21" s="12"/>
      <c r="D21" s="13"/>
      <c r="E21" s="13"/>
      <c r="F21" s="15"/>
      <c r="G21" s="37"/>
      <c r="H21" s="38"/>
      <c r="I21" s="16"/>
    </row>
    <row r="22" spans="1:9" x14ac:dyDescent="0.25">
      <c r="A22" s="1">
        <v>16</v>
      </c>
      <c r="B22" s="12"/>
      <c r="C22" s="12"/>
      <c r="D22" s="13"/>
      <c r="E22" s="13"/>
      <c r="F22" s="15"/>
      <c r="G22" s="37"/>
      <c r="H22" s="38"/>
      <c r="I22" s="16"/>
    </row>
    <row r="23" spans="1:9" x14ac:dyDescent="0.25">
      <c r="A23" s="1">
        <v>17</v>
      </c>
      <c r="B23" s="12"/>
      <c r="C23" s="12"/>
      <c r="D23" s="13"/>
      <c r="E23" s="13"/>
      <c r="F23" s="15"/>
      <c r="G23" s="37"/>
      <c r="H23" s="38"/>
      <c r="I23" s="16"/>
    </row>
    <row r="24" spans="1:9" x14ac:dyDescent="0.25">
      <c r="C24" s="17"/>
      <c r="D24" s="1"/>
      <c r="F24" s="71"/>
      <c r="G24" s="72"/>
    </row>
    <row r="25" spans="1:9" x14ac:dyDescent="0.25">
      <c r="F25" s="20"/>
    </row>
    <row r="26" spans="1:9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x14ac:dyDescent="0.25">
      <c r="A28" s="1">
        <v>1</v>
      </c>
      <c r="B28" s="42" t="s">
        <v>108</v>
      </c>
      <c r="C28" s="42"/>
      <c r="D28" s="42"/>
      <c r="E28" s="42"/>
      <c r="F28" s="42"/>
      <c r="G28" s="42"/>
      <c r="H28" s="42"/>
      <c r="I28" s="42"/>
    </row>
    <row r="29" spans="1:9" x14ac:dyDescent="0.25">
      <c r="A29" s="1">
        <v>2</v>
      </c>
      <c r="B29" s="42" t="s">
        <v>109</v>
      </c>
      <c r="C29" s="42"/>
      <c r="D29" s="42"/>
      <c r="E29" s="42"/>
      <c r="F29" s="42"/>
      <c r="G29" s="42"/>
      <c r="H29" s="42"/>
      <c r="I29" s="42"/>
    </row>
    <row r="30" spans="1:9" x14ac:dyDescent="0.25">
      <c r="A30" s="1">
        <v>3</v>
      </c>
      <c r="B30" s="42" t="s">
        <v>110</v>
      </c>
      <c r="C30" s="42"/>
      <c r="D30" s="42"/>
      <c r="E30" s="42"/>
      <c r="F30" s="42"/>
      <c r="G30" s="42"/>
      <c r="H30" s="42"/>
      <c r="I30" s="42"/>
    </row>
    <row r="31" spans="1:9" x14ac:dyDescent="0.25">
      <c r="A31" s="1">
        <v>4</v>
      </c>
      <c r="B31" s="42"/>
      <c r="C31" s="42"/>
      <c r="D31" s="42"/>
      <c r="E31" s="42"/>
      <c r="F31" s="42"/>
      <c r="G31" s="42"/>
      <c r="H31" s="42"/>
      <c r="I31" s="42"/>
    </row>
    <row r="32" spans="1:9" x14ac:dyDescent="0.25">
      <c r="A32" s="1">
        <v>5</v>
      </c>
      <c r="B32" s="42"/>
      <c r="C32" s="42"/>
      <c r="D32" s="42"/>
      <c r="E32" s="42"/>
      <c r="F32" s="42"/>
      <c r="G32" s="42"/>
      <c r="H32" s="42"/>
      <c r="I32" s="42"/>
    </row>
    <row r="33" spans="1:9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</row>
    <row r="34" spans="1:9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</row>
    <row r="35" spans="1:9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</row>
    <row r="36" spans="1:9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</row>
    <row r="37" spans="1:9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</row>
    <row r="38" spans="1:9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</row>
    <row r="40" spans="1:9" x14ac:dyDescent="0.25">
      <c r="B40" t="s">
        <v>16</v>
      </c>
    </row>
    <row r="42" spans="1:9" x14ac:dyDescent="0.25">
      <c r="B42" s="23"/>
      <c r="C42" s="23"/>
      <c r="D42" s="24"/>
      <c r="E42" s="24"/>
      <c r="G42" s="23"/>
      <c r="H42" s="23"/>
      <c r="I42" s="23"/>
    </row>
    <row r="43" spans="1:9" x14ac:dyDescent="0.25">
      <c r="B43" s="44" t="s">
        <v>17</v>
      </c>
      <c r="C43" s="44"/>
      <c r="E43" s="2" t="s">
        <v>18</v>
      </c>
      <c r="G43" s="45" t="s">
        <v>19</v>
      </c>
      <c r="H43" s="45"/>
      <c r="I43" s="2" t="s">
        <v>20</v>
      </c>
    </row>
  </sheetData>
  <mergeCells count="32">
    <mergeCell ref="B43:C43"/>
    <mergeCell ref="G43:H43"/>
    <mergeCell ref="B33:I33"/>
    <mergeCell ref="B34:I34"/>
    <mergeCell ref="B35:I35"/>
    <mergeCell ref="B36:I36"/>
    <mergeCell ref="B37:I37"/>
    <mergeCell ref="B38:I38"/>
    <mergeCell ref="B26:I26"/>
    <mergeCell ref="B28:I28"/>
    <mergeCell ref="B29:I29"/>
    <mergeCell ref="B30:I30"/>
    <mergeCell ref="B31:I31"/>
    <mergeCell ref="B32:I3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G8:H8"/>
    <mergeCell ref="G9:H9"/>
    <mergeCell ref="G10:H10"/>
    <mergeCell ref="G11:H11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1A08-4ED2-47B3-8BB1-A166B9469663}">
  <sheetPr codeName="Sheet2">
    <pageSetUpPr fitToPage="1"/>
  </sheetPr>
  <dimension ref="A1:J43"/>
  <sheetViews>
    <sheetView zoomScale="70" zoomScaleNormal="70" workbookViewId="0">
      <selection activeCell="C24" sqref="C24"/>
    </sheetView>
  </sheetViews>
  <sheetFormatPr defaultRowHeight="15" x14ac:dyDescent="0.25"/>
  <cols>
    <col min="1" max="1" width="3.5703125" style="1" customWidth="1"/>
    <col min="2" max="2" width="21.42578125" customWidth="1"/>
    <col min="3" max="3" width="44.140625" customWidth="1"/>
    <col min="4" max="4" width="8.5703125" style="2" customWidth="1"/>
    <col min="5" max="5" width="5.285156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111</v>
      </c>
      <c r="D2" s="5" t="s">
        <v>1</v>
      </c>
      <c r="E2" s="39" t="s">
        <v>81</v>
      </c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30</v>
      </c>
      <c r="D7" s="13">
        <v>112</v>
      </c>
      <c r="E7" s="13" t="s">
        <v>26</v>
      </c>
      <c r="F7" s="14">
        <f>D7/D$24</f>
        <v>0.37966101694915255</v>
      </c>
      <c r="G7" s="15">
        <f>F7*D24*C4/453.592</f>
        <v>0.2469179350605831</v>
      </c>
      <c r="H7" s="37"/>
      <c r="I7" s="38"/>
      <c r="J7" s="26"/>
    </row>
    <row r="8" spans="1:10" x14ac:dyDescent="0.25">
      <c r="A8" s="1">
        <v>2</v>
      </c>
      <c r="B8" s="12"/>
      <c r="C8" s="12" t="s">
        <v>31</v>
      </c>
      <c r="D8" s="2">
        <v>42</v>
      </c>
      <c r="E8" s="13" t="s">
        <v>26</v>
      </c>
      <c r="F8" s="14">
        <f>D8/D$24</f>
        <v>0.14237288135593221</v>
      </c>
      <c r="G8" s="15">
        <f>F8*D24*C4/453.592</f>
        <v>9.2594225647718659E-2</v>
      </c>
      <c r="H8" s="37"/>
      <c r="I8" s="38"/>
      <c r="J8" s="16"/>
    </row>
    <row r="9" spans="1:10" x14ac:dyDescent="0.25">
      <c r="A9" s="1">
        <v>3</v>
      </c>
      <c r="B9" s="12"/>
      <c r="C9" s="12" t="s">
        <v>32</v>
      </c>
      <c r="D9" s="13">
        <v>28</v>
      </c>
      <c r="E9" s="13" t="s">
        <v>26</v>
      </c>
      <c r="F9" s="14">
        <f t="shared" ref="F9:F23" si="0">D9/D$24</f>
        <v>9.4915254237288138E-2</v>
      </c>
      <c r="G9" s="15">
        <f>F9*D24*C4/453.592</f>
        <v>6.1729483765145775E-2</v>
      </c>
      <c r="H9" s="37"/>
      <c r="I9" s="38"/>
      <c r="J9" s="16"/>
    </row>
    <row r="10" spans="1:10" x14ac:dyDescent="0.25">
      <c r="A10" s="1">
        <v>4</v>
      </c>
      <c r="B10" s="12"/>
      <c r="C10" s="12" t="s">
        <v>33</v>
      </c>
      <c r="D10" s="13">
        <v>85</v>
      </c>
      <c r="E10" s="13" t="s">
        <v>26</v>
      </c>
      <c r="F10" s="14">
        <f t="shared" si="0"/>
        <v>0.28813559322033899</v>
      </c>
      <c r="G10" s="15">
        <f>C4*D24*F10/453.592</f>
        <v>0.18739307571562108</v>
      </c>
      <c r="H10" s="37"/>
      <c r="I10" s="38"/>
      <c r="J10" s="16"/>
    </row>
    <row r="11" spans="1:10" x14ac:dyDescent="0.25">
      <c r="A11" s="1">
        <v>5</v>
      </c>
      <c r="B11" s="12"/>
      <c r="C11" s="12" t="s">
        <v>34</v>
      </c>
      <c r="D11" s="13">
        <v>28</v>
      </c>
      <c r="E11" s="13" t="s">
        <v>26</v>
      </c>
      <c r="F11" s="14">
        <f t="shared" si="0"/>
        <v>9.4915254237288138E-2</v>
      </c>
      <c r="G11" s="15">
        <f>C4*F11*D24/453.592</f>
        <v>6.1729483765145775E-2</v>
      </c>
      <c r="H11" s="37"/>
      <c r="I11" s="38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37"/>
      <c r="I12" s="38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37"/>
      <c r="I13" s="38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37"/>
      <c r="I14" s="38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37"/>
      <c r="I15" s="38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37"/>
      <c r="I16" s="38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37"/>
      <c r="I17" s="38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37"/>
      <c r="I18" s="38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37"/>
      <c r="I19" s="38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37"/>
      <c r="I20" s="38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37"/>
      <c r="I21" s="38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37"/>
      <c r="I22" s="38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295</v>
      </c>
      <c r="E24" s="13" t="s">
        <v>26</v>
      </c>
      <c r="F24" s="18">
        <f>SUM(F7:F23)</f>
        <v>1</v>
      </c>
      <c r="G24" s="27">
        <f>SUM(G7:G23)</f>
        <v>0.65036420395421435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  <c r="J26" s="4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2"/>
      <c r="C28" s="42"/>
      <c r="D28" s="42"/>
      <c r="E28" s="42"/>
      <c r="F28" s="42"/>
      <c r="G28" s="42"/>
      <c r="H28" s="42"/>
      <c r="I28" s="42"/>
      <c r="J28" s="42"/>
    </row>
    <row r="29" spans="1:10" x14ac:dyDescent="0.25">
      <c r="A29" s="1">
        <v>2</v>
      </c>
      <c r="B29" s="42"/>
      <c r="C29" s="42"/>
      <c r="D29" s="42"/>
      <c r="E29" s="42"/>
      <c r="F29" s="42"/>
      <c r="G29" s="42"/>
      <c r="H29" s="42"/>
      <c r="I29" s="42"/>
      <c r="J29" s="42"/>
    </row>
    <row r="30" spans="1:10" x14ac:dyDescent="0.25">
      <c r="A30" s="1">
        <v>3</v>
      </c>
      <c r="B30" s="42"/>
      <c r="C30" s="42"/>
      <c r="D30" s="42"/>
      <c r="E30" s="42"/>
      <c r="F30" s="42"/>
      <c r="G30" s="42"/>
      <c r="H30" s="42"/>
      <c r="I30" s="42"/>
      <c r="J30" s="42"/>
    </row>
    <row r="31" spans="1:10" x14ac:dyDescent="0.25">
      <c r="A31" s="1">
        <v>4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5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  <c r="J38" s="4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4" t="s">
        <v>17</v>
      </c>
      <c r="C43" s="44"/>
      <c r="E43" s="44" t="s">
        <v>18</v>
      </c>
      <c r="F43" s="44"/>
      <c r="H43" s="45" t="s">
        <v>19</v>
      </c>
      <c r="I43" s="45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496B-E357-43B1-A98F-F0E1684D0C54}">
  <sheetPr>
    <pageSetUpPr fitToPage="1"/>
  </sheetPr>
  <dimension ref="A1:J42"/>
  <sheetViews>
    <sheetView tabSelected="1" zoomScaleNormal="100" workbookViewId="0">
      <selection activeCell="C13" sqref="C1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94</v>
      </c>
      <c r="D2" s="5" t="s">
        <v>1</v>
      </c>
      <c r="E2" s="39" t="s">
        <v>95</v>
      </c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10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 t="s">
        <v>82</v>
      </c>
      <c r="C7" s="12" t="s">
        <v>83</v>
      </c>
      <c r="D7" s="69">
        <v>100</v>
      </c>
      <c r="E7" s="13" t="s">
        <v>24</v>
      </c>
      <c r="F7" s="14">
        <f t="shared" ref="F7:F22" si="0">D7/D$23</f>
        <v>0.52029136316337155</v>
      </c>
      <c r="G7" s="15">
        <f>C4*F7</f>
        <v>5.2029136316337157</v>
      </c>
      <c r="H7" s="37"/>
      <c r="I7" s="38"/>
      <c r="J7" s="16"/>
    </row>
    <row r="8" spans="1:10" x14ac:dyDescent="0.25">
      <c r="A8" s="1">
        <v>2</v>
      </c>
      <c r="B8" s="12" t="s">
        <v>84</v>
      </c>
      <c r="C8" s="12" t="s">
        <v>85</v>
      </c>
      <c r="D8" s="69">
        <v>50</v>
      </c>
      <c r="E8" s="13" t="s">
        <v>24</v>
      </c>
      <c r="F8" s="14">
        <f t="shared" si="0"/>
        <v>0.26014568158168577</v>
      </c>
      <c r="G8" s="15">
        <f>C4*F8</f>
        <v>2.6014568158168578</v>
      </c>
      <c r="H8" s="37"/>
      <c r="I8" s="38"/>
      <c r="J8" s="16"/>
    </row>
    <row r="9" spans="1:10" x14ac:dyDescent="0.25">
      <c r="A9" s="1">
        <v>3</v>
      </c>
      <c r="B9" s="12" t="s">
        <v>86</v>
      </c>
      <c r="C9" s="12" t="s">
        <v>87</v>
      </c>
      <c r="D9" s="69">
        <v>3</v>
      </c>
      <c r="E9" s="13" t="s">
        <v>24</v>
      </c>
      <c r="F9" s="14">
        <f t="shared" si="0"/>
        <v>1.5608740894901146E-2</v>
      </c>
      <c r="G9" s="15">
        <f>C4*F9</f>
        <v>0.15608740894901146</v>
      </c>
      <c r="H9" s="37"/>
      <c r="I9" s="38"/>
      <c r="J9" s="16"/>
    </row>
    <row r="10" spans="1:10" x14ac:dyDescent="0.25">
      <c r="A10" s="1">
        <v>5</v>
      </c>
      <c r="B10" s="12" t="s">
        <v>88</v>
      </c>
      <c r="C10" s="12" t="s">
        <v>89</v>
      </c>
      <c r="D10" s="69">
        <v>4</v>
      </c>
      <c r="E10" s="13" t="s">
        <v>24</v>
      </c>
      <c r="F10" s="14">
        <f t="shared" si="0"/>
        <v>2.081165452653486E-2</v>
      </c>
      <c r="G10" s="15">
        <f>C4*F10</f>
        <v>0.20811654526534859</v>
      </c>
      <c r="H10" s="37"/>
      <c r="I10" s="38"/>
      <c r="J10" s="16"/>
    </row>
    <row r="11" spans="1:10" x14ac:dyDescent="0.25">
      <c r="A11" s="1">
        <v>6</v>
      </c>
      <c r="B11" s="12">
        <v>0</v>
      </c>
      <c r="C11" s="12" t="s">
        <v>90</v>
      </c>
      <c r="D11" s="69">
        <v>6</v>
      </c>
      <c r="E11" s="13" t="s">
        <v>24</v>
      </c>
      <c r="F11" s="14">
        <f t="shared" si="0"/>
        <v>3.1217481789802291E-2</v>
      </c>
      <c r="G11" s="15">
        <f>C4*F11</f>
        <v>0.31217481789802293</v>
      </c>
      <c r="H11" s="37"/>
      <c r="I11" s="38"/>
      <c r="J11" s="16"/>
    </row>
    <row r="12" spans="1:10" x14ac:dyDescent="0.25">
      <c r="A12" s="1">
        <v>7</v>
      </c>
      <c r="B12" s="12" t="s">
        <v>91</v>
      </c>
      <c r="C12" s="12" t="s">
        <v>92</v>
      </c>
      <c r="D12" s="69">
        <v>2</v>
      </c>
      <c r="E12" s="13" t="s">
        <v>24</v>
      </c>
      <c r="F12" s="14">
        <f t="shared" si="0"/>
        <v>1.040582726326743E-2</v>
      </c>
      <c r="G12" s="15">
        <f>C4*F12</f>
        <v>0.1040582726326743</v>
      </c>
      <c r="H12" s="37"/>
      <c r="I12" s="38"/>
      <c r="J12" s="16"/>
    </row>
    <row r="13" spans="1:10" x14ac:dyDescent="0.25">
      <c r="A13" s="1">
        <v>8</v>
      </c>
      <c r="B13" s="12" t="s">
        <v>74</v>
      </c>
      <c r="C13" s="12" t="s">
        <v>75</v>
      </c>
      <c r="D13" s="69">
        <v>25</v>
      </c>
      <c r="E13" s="13" t="s">
        <v>24</v>
      </c>
      <c r="F13" s="14">
        <f t="shared" si="0"/>
        <v>0.13007284079084289</v>
      </c>
      <c r="G13" s="15">
        <f>C4*F13</f>
        <v>1.3007284079084289</v>
      </c>
      <c r="H13" s="37"/>
      <c r="I13" s="38"/>
      <c r="J13" s="16"/>
    </row>
    <row r="14" spans="1:10" x14ac:dyDescent="0.25">
      <c r="A14" s="1">
        <v>9</v>
      </c>
      <c r="B14" s="12" t="s">
        <v>48</v>
      </c>
      <c r="C14" s="12" t="s">
        <v>47</v>
      </c>
      <c r="D14" s="69">
        <v>2</v>
      </c>
      <c r="E14" s="13" t="s">
        <v>24</v>
      </c>
      <c r="F14" s="14">
        <f t="shared" si="0"/>
        <v>1.040582726326743E-2</v>
      </c>
      <c r="G14" s="15">
        <f>C4*F14</f>
        <v>0.1040582726326743</v>
      </c>
      <c r="H14" s="37"/>
      <c r="I14" s="38"/>
      <c r="J14" s="16"/>
    </row>
    <row r="15" spans="1:10" x14ac:dyDescent="0.25">
      <c r="A15" s="1">
        <v>10</v>
      </c>
      <c r="B15" s="12" t="s">
        <v>29</v>
      </c>
      <c r="C15" s="12" t="s">
        <v>93</v>
      </c>
      <c r="D15" s="13">
        <v>0.2</v>
      </c>
      <c r="E15" s="13" t="s">
        <v>24</v>
      </c>
      <c r="F15" s="14">
        <f t="shared" si="0"/>
        <v>1.0405827263267431E-3</v>
      </c>
      <c r="G15" s="15">
        <f>C4*F15</f>
        <v>1.0405827263267432E-2</v>
      </c>
      <c r="H15" s="37"/>
      <c r="I15" s="38"/>
      <c r="J15" s="16"/>
    </row>
    <row r="16" spans="1:10" x14ac:dyDescent="0.25">
      <c r="A16" s="1">
        <v>11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7"/>
      <c r="I16" s="38"/>
      <c r="J16" s="16"/>
    </row>
    <row r="17" spans="1:10" x14ac:dyDescent="0.25">
      <c r="A17" s="1">
        <v>12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7"/>
      <c r="I17" s="38"/>
      <c r="J17" s="16"/>
    </row>
    <row r="18" spans="1:10" x14ac:dyDescent="0.25">
      <c r="A18" s="1">
        <v>13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7"/>
      <c r="I18" s="38"/>
      <c r="J18" s="16"/>
    </row>
    <row r="19" spans="1:10" x14ac:dyDescent="0.25">
      <c r="A19" s="1">
        <v>14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7"/>
      <c r="I19" s="38"/>
      <c r="J19" s="16"/>
    </row>
    <row r="20" spans="1:10" x14ac:dyDescent="0.25">
      <c r="A20" s="1">
        <v>15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7"/>
      <c r="I20" s="38"/>
      <c r="J20" s="16"/>
    </row>
    <row r="21" spans="1:10" x14ac:dyDescent="0.25">
      <c r="A21" s="1">
        <v>16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7"/>
      <c r="I21" s="38"/>
      <c r="J21" s="16"/>
    </row>
    <row r="22" spans="1:10" x14ac:dyDescent="0.25">
      <c r="A22" s="1">
        <v>17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0" x14ac:dyDescent="0.25">
      <c r="C23" s="17" t="s">
        <v>12</v>
      </c>
      <c r="D23" s="1">
        <f>SUM(D7:D22)</f>
        <v>192.2</v>
      </c>
      <c r="E23" s="1" t="s">
        <v>24</v>
      </c>
      <c r="F23" s="18">
        <f>SUM(F7:F22)</f>
        <v>1.0000000000000002</v>
      </c>
      <c r="G23" s="29">
        <f>SUM(G7:G22)</f>
        <v>10.000000000000002</v>
      </c>
      <c r="H23" s="19" t="s">
        <v>13</v>
      </c>
    </row>
    <row r="24" spans="1:10" x14ac:dyDescent="0.25">
      <c r="F24" s="28" t="s">
        <v>25</v>
      </c>
      <c r="G24" s="20">
        <f>-G23*G4+C4</f>
        <v>10</v>
      </c>
    </row>
    <row r="25" spans="1:10" ht="15.75" x14ac:dyDescent="0.25">
      <c r="A25"/>
      <c r="B25" s="43" t="s">
        <v>14</v>
      </c>
      <c r="C25" s="43"/>
      <c r="D25" s="43"/>
      <c r="E25" s="43"/>
      <c r="F25" s="43"/>
      <c r="G25" s="43"/>
      <c r="H25" s="43"/>
      <c r="I25" s="43"/>
      <c r="J25" s="43"/>
    </row>
    <row r="26" spans="1:10" ht="15.75" x14ac:dyDescent="0.25">
      <c r="A26"/>
      <c r="B26" s="21" t="s">
        <v>15</v>
      </c>
      <c r="C26" s="22"/>
      <c r="D26" s="22"/>
      <c r="E26" s="22"/>
      <c r="F26" s="22"/>
      <c r="G26" s="22"/>
      <c r="H26" s="22"/>
      <c r="I26" s="22"/>
      <c r="J26" s="22"/>
    </row>
    <row r="27" spans="1:10" x14ac:dyDescent="0.25">
      <c r="A27" s="1">
        <v>1</v>
      </c>
      <c r="B27" s="42" t="s">
        <v>96</v>
      </c>
      <c r="C27" s="42"/>
      <c r="D27" s="42"/>
      <c r="E27" s="42"/>
      <c r="F27" s="42"/>
      <c r="G27" s="42"/>
      <c r="H27" s="42"/>
      <c r="I27" s="42"/>
      <c r="J27" s="42"/>
    </row>
    <row r="28" spans="1:10" x14ac:dyDescent="0.25">
      <c r="A28" s="1">
        <v>2</v>
      </c>
      <c r="B28" s="42" t="s">
        <v>97</v>
      </c>
      <c r="C28" s="42"/>
      <c r="D28" s="42"/>
      <c r="E28" s="42"/>
      <c r="F28" s="42"/>
      <c r="G28" s="42"/>
      <c r="H28" s="42"/>
      <c r="I28" s="42"/>
      <c r="J28" s="42"/>
    </row>
    <row r="29" spans="1:10" x14ac:dyDescent="0.25">
      <c r="A29" s="1">
        <v>3</v>
      </c>
      <c r="B29" s="49" t="s">
        <v>98</v>
      </c>
      <c r="C29" s="49"/>
      <c r="D29" s="49"/>
      <c r="E29" s="49"/>
      <c r="F29" s="49"/>
      <c r="G29" s="49"/>
      <c r="H29" s="49"/>
      <c r="I29" s="49"/>
      <c r="J29" s="49"/>
    </row>
    <row r="30" spans="1:10" x14ac:dyDescent="0.25">
      <c r="A30" s="1">
        <v>4</v>
      </c>
      <c r="B30" s="42"/>
      <c r="C30" s="42"/>
      <c r="D30" s="42"/>
      <c r="E30" s="42"/>
      <c r="F30" s="42"/>
      <c r="G30" s="42"/>
      <c r="H30" s="42"/>
      <c r="I30" s="42"/>
      <c r="J30" s="42"/>
    </row>
    <row r="31" spans="1:10" x14ac:dyDescent="0.25">
      <c r="A31" s="1">
        <v>5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6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7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8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9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10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11</v>
      </c>
      <c r="B37" s="42"/>
      <c r="C37" s="42"/>
      <c r="D37" s="42"/>
      <c r="E37" s="42"/>
      <c r="F37" s="42"/>
      <c r="G37" s="42"/>
      <c r="H37" s="42"/>
      <c r="I37" s="42"/>
      <c r="J37" s="42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H41" s="23"/>
      <c r="I41" s="23"/>
      <c r="J41" s="23"/>
    </row>
    <row r="42" spans="1:10" x14ac:dyDescent="0.25">
      <c r="B42" s="44" t="s">
        <v>17</v>
      </c>
      <c r="C42" s="44"/>
      <c r="E42" s="44" t="s">
        <v>18</v>
      </c>
      <c r="F42" s="44"/>
      <c r="H42" s="45" t="s">
        <v>19</v>
      </c>
      <c r="I42" s="45"/>
      <c r="J42" s="2" t="s">
        <v>20</v>
      </c>
    </row>
  </sheetData>
  <mergeCells count="33">
    <mergeCell ref="B42:C42"/>
    <mergeCell ref="E42:F42"/>
    <mergeCell ref="H42:I42"/>
    <mergeCell ref="B32:J32"/>
    <mergeCell ref="B33:J33"/>
    <mergeCell ref="B34:J34"/>
    <mergeCell ref="B35:J35"/>
    <mergeCell ref="B36:J36"/>
    <mergeCell ref="B37:J37"/>
    <mergeCell ref="B25:J25"/>
    <mergeCell ref="B27:J27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7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CF44-EDB8-47A2-BB04-2C6FBC96D3CD}">
  <sheetPr>
    <pageSetUpPr fitToPage="1"/>
  </sheetPr>
  <dimension ref="A1:J42"/>
  <sheetViews>
    <sheetView zoomScale="55" zoomScaleNormal="55" workbookViewId="0">
      <selection activeCell="G5" sqref="G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104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10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 t="s">
        <v>101</v>
      </c>
      <c r="C7" s="12" t="s">
        <v>102</v>
      </c>
      <c r="D7" s="69">
        <v>160</v>
      </c>
      <c r="E7" s="13" t="s">
        <v>24</v>
      </c>
      <c r="F7" s="14">
        <f t="shared" ref="F7:F22" si="0">D7/D$23</f>
        <v>0.71111111111111114</v>
      </c>
      <c r="G7" s="15">
        <f>C4*F7</f>
        <v>7.1111111111111116</v>
      </c>
      <c r="H7" s="37"/>
      <c r="I7" s="38"/>
      <c r="J7" s="16"/>
    </row>
    <row r="8" spans="1:10" x14ac:dyDescent="0.25">
      <c r="A8" s="1">
        <v>2</v>
      </c>
      <c r="B8" s="12" t="s">
        <v>103</v>
      </c>
      <c r="C8" s="12" t="s">
        <v>94</v>
      </c>
      <c r="D8" s="69">
        <v>65</v>
      </c>
      <c r="E8" s="13" t="s">
        <v>24</v>
      </c>
      <c r="F8" s="14">
        <f t="shared" si="0"/>
        <v>0.28888888888888886</v>
      </c>
      <c r="G8" s="15">
        <f>C4*F8</f>
        <v>2.8888888888888884</v>
      </c>
      <c r="H8" s="37"/>
      <c r="I8" s="38"/>
      <c r="J8" s="16"/>
    </row>
    <row r="9" spans="1:10" x14ac:dyDescent="0.25">
      <c r="A9" s="1">
        <v>3</v>
      </c>
      <c r="B9" s="12"/>
      <c r="C9" s="12"/>
      <c r="D9" s="69"/>
      <c r="E9" s="13" t="s">
        <v>24</v>
      </c>
      <c r="F9" s="14">
        <f t="shared" si="0"/>
        <v>0</v>
      </c>
      <c r="G9" s="15">
        <f>C4*F9</f>
        <v>0</v>
      </c>
      <c r="H9" s="37"/>
      <c r="I9" s="38"/>
      <c r="J9" s="16"/>
    </row>
    <row r="10" spans="1:10" x14ac:dyDescent="0.25">
      <c r="A10" s="1">
        <v>5</v>
      </c>
      <c r="B10" s="12"/>
      <c r="C10" s="12"/>
      <c r="D10" s="69"/>
      <c r="E10" s="13" t="s">
        <v>24</v>
      </c>
      <c r="F10" s="14">
        <f t="shared" si="0"/>
        <v>0</v>
      </c>
      <c r="G10" s="15">
        <f>C4*F10</f>
        <v>0</v>
      </c>
      <c r="H10" s="37"/>
      <c r="I10" s="38"/>
      <c r="J10" s="16"/>
    </row>
    <row r="11" spans="1:10" x14ac:dyDescent="0.25">
      <c r="A11" s="1">
        <v>6</v>
      </c>
      <c r="B11" s="12"/>
      <c r="C11" s="12"/>
      <c r="D11" s="69"/>
      <c r="E11" s="13" t="s">
        <v>24</v>
      </c>
      <c r="F11" s="14">
        <f t="shared" si="0"/>
        <v>0</v>
      </c>
      <c r="G11" s="15">
        <f>C4*F11</f>
        <v>0</v>
      </c>
      <c r="H11" s="37"/>
      <c r="I11" s="38"/>
      <c r="J11" s="16"/>
    </row>
    <row r="12" spans="1:10" x14ac:dyDescent="0.25">
      <c r="A12" s="1">
        <v>7</v>
      </c>
      <c r="B12" s="12"/>
      <c r="C12" s="12"/>
      <c r="D12" s="69"/>
      <c r="E12" s="13" t="s">
        <v>24</v>
      </c>
      <c r="F12" s="14">
        <f t="shared" si="0"/>
        <v>0</v>
      </c>
      <c r="G12" s="15">
        <f>C4*F12</f>
        <v>0</v>
      </c>
      <c r="H12" s="37"/>
      <c r="I12" s="38"/>
      <c r="J12" s="16"/>
    </row>
    <row r="13" spans="1:10" x14ac:dyDescent="0.25">
      <c r="A13" s="1">
        <v>8</v>
      </c>
      <c r="B13" s="12"/>
      <c r="C13" s="12"/>
      <c r="D13" s="69"/>
      <c r="E13" s="13" t="s">
        <v>24</v>
      </c>
      <c r="F13" s="14">
        <f t="shared" si="0"/>
        <v>0</v>
      </c>
      <c r="G13" s="15">
        <f>C4*F13</f>
        <v>0</v>
      </c>
      <c r="H13" s="37"/>
      <c r="I13" s="38"/>
      <c r="J13" s="16"/>
    </row>
    <row r="14" spans="1:10" x14ac:dyDescent="0.25">
      <c r="A14" s="1">
        <v>9</v>
      </c>
      <c r="B14" s="12"/>
      <c r="C14" s="12"/>
      <c r="D14" s="69"/>
      <c r="E14" s="13" t="s">
        <v>24</v>
      </c>
      <c r="F14" s="14">
        <f t="shared" si="0"/>
        <v>0</v>
      </c>
      <c r="G14" s="15">
        <f>C4*F14</f>
        <v>0</v>
      </c>
      <c r="H14" s="37"/>
      <c r="I14" s="38"/>
      <c r="J14" s="16"/>
    </row>
    <row r="15" spans="1:10" x14ac:dyDescent="0.25">
      <c r="A15" s="1">
        <v>10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7"/>
      <c r="I15" s="38"/>
      <c r="J15" s="16"/>
    </row>
    <row r="16" spans="1:10" x14ac:dyDescent="0.25">
      <c r="A16" s="1">
        <v>11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7"/>
      <c r="I16" s="38"/>
      <c r="J16" s="16"/>
    </row>
    <row r="17" spans="1:10" x14ac:dyDescent="0.25">
      <c r="A17" s="1">
        <v>12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7"/>
      <c r="I17" s="38"/>
      <c r="J17" s="16"/>
    </row>
    <row r="18" spans="1:10" x14ac:dyDescent="0.25">
      <c r="A18" s="1">
        <v>13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7"/>
      <c r="I18" s="38"/>
      <c r="J18" s="16"/>
    </row>
    <row r="19" spans="1:10" x14ac:dyDescent="0.25">
      <c r="A19" s="1">
        <v>14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7"/>
      <c r="I19" s="38"/>
      <c r="J19" s="16"/>
    </row>
    <row r="20" spans="1:10" x14ac:dyDescent="0.25">
      <c r="A20" s="1">
        <v>15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7"/>
      <c r="I20" s="38"/>
      <c r="J20" s="16"/>
    </row>
    <row r="21" spans="1:10" x14ac:dyDescent="0.25">
      <c r="A21" s="1">
        <v>16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7"/>
      <c r="I21" s="38"/>
      <c r="J21" s="16"/>
    </row>
    <row r="22" spans="1:10" x14ac:dyDescent="0.25">
      <c r="A22" s="1">
        <v>17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0" x14ac:dyDescent="0.25">
      <c r="C23" s="17" t="s">
        <v>12</v>
      </c>
      <c r="D23" s="1">
        <f>SUM(D7:D22)</f>
        <v>225</v>
      </c>
      <c r="E23" s="1" t="s">
        <v>24</v>
      </c>
      <c r="F23" s="18">
        <f>SUM(F7:F22)</f>
        <v>1</v>
      </c>
      <c r="G23" s="29">
        <f>SUM(G7:G22)</f>
        <v>10</v>
      </c>
      <c r="H23" s="19" t="s">
        <v>13</v>
      </c>
    </row>
    <row r="24" spans="1:10" x14ac:dyDescent="0.25">
      <c r="F24" s="28" t="s">
        <v>25</v>
      </c>
      <c r="G24" s="20">
        <f>-G23*G4+C4</f>
        <v>10</v>
      </c>
    </row>
    <row r="25" spans="1:10" ht="15.75" x14ac:dyDescent="0.25">
      <c r="A25"/>
      <c r="B25" s="43" t="s">
        <v>14</v>
      </c>
      <c r="C25" s="43"/>
      <c r="D25" s="43"/>
      <c r="E25" s="43"/>
      <c r="F25" s="43"/>
      <c r="G25" s="43"/>
      <c r="H25" s="43"/>
      <c r="I25" s="43"/>
      <c r="J25" s="43"/>
    </row>
    <row r="26" spans="1:10" ht="15.75" x14ac:dyDescent="0.25">
      <c r="A26"/>
      <c r="B26" s="21" t="s">
        <v>15</v>
      </c>
      <c r="C26" s="22"/>
      <c r="D26" s="22"/>
      <c r="E26" s="22"/>
      <c r="F26" s="22"/>
      <c r="G26" s="22"/>
      <c r="H26" s="22"/>
      <c r="I26" s="22"/>
      <c r="J26" s="22"/>
    </row>
    <row r="27" spans="1:10" x14ac:dyDescent="0.25">
      <c r="A27" s="1">
        <v>1</v>
      </c>
      <c r="B27" s="42" t="s">
        <v>99</v>
      </c>
      <c r="C27" s="42"/>
      <c r="D27" s="42"/>
      <c r="E27" s="42"/>
      <c r="F27" s="42"/>
      <c r="G27" s="42"/>
      <c r="H27" s="42"/>
      <c r="I27" s="42"/>
      <c r="J27" s="42"/>
    </row>
    <row r="28" spans="1:10" x14ac:dyDescent="0.25">
      <c r="A28" s="1">
        <v>2</v>
      </c>
      <c r="B28" s="42" t="s">
        <v>100</v>
      </c>
      <c r="C28" s="42"/>
      <c r="D28" s="42"/>
      <c r="E28" s="42"/>
      <c r="F28" s="42"/>
      <c r="G28" s="42"/>
      <c r="H28" s="42"/>
      <c r="I28" s="42"/>
      <c r="J28" s="42"/>
    </row>
    <row r="29" spans="1:10" x14ac:dyDescent="0.25">
      <c r="A29" s="1">
        <v>3</v>
      </c>
      <c r="B29" s="49" t="s">
        <v>98</v>
      </c>
      <c r="C29" s="49"/>
      <c r="D29" s="49"/>
      <c r="E29" s="49"/>
      <c r="F29" s="49"/>
      <c r="G29" s="49"/>
      <c r="H29" s="49"/>
      <c r="I29" s="49"/>
      <c r="J29" s="49"/>
    </row>
    <row r="30" spans="1:10" x14ac:dyDescent="0.25">
      <c r="A30" s="1">
        <v>4</v>
      </c>
      <c r="B30" s="42"/>
      <c r="C30" s="42"/>
      <c r="D30" s="42"/>
      <c r="E30" s="42"/>
      <c r="F30" s="42"/>
      <c r="G30" s="42"/>
      <c r="H30" s="42"/>
      <c r="I30" s="42"/>
      <c r="J30" s="42"/>
    </row>
    <row r="31" spans="1:10" x14ac:dyDescent="0.25">
      <c r="A31" s="1">
        <v>5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6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7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8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9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10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11</v>
      </c>
      <c r="B37" s="42"/>
      <c r="C37" s="42"/>
      <c r="D37" s="42"/>
      <c r="E37" s="42"/>
      <c r="F37" s="42"/>
      <c r="G37" s="42"/>
      <c r="H37" s="42"/>
      <c r="I37" s="42"/>
      <c r="J37" s="42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H41" s="23"/>
      <c r="I41" s="23"/>
      <c r="J41" s="23"/>
    </row>
    <row r="42" spans="1:10" x14ac:dyDescent="0.25">
      <c r="B42" s="44" t="s">
        <v>17</v>
      </c>
      <c r="C42" s="44"/>
      <c r="E42" s="44" t="s">
        <v>18</v>
      </c>
      <c r="F42" s="44"/>
      <c r="H42" s="45" t="s">
        <v>19</v>
      </c>
      <c r="I42" s="45"/>
      <c r="J42" s="2" t="s">
        <v>20</v>
      </c>
    </row>
  </sheetData>
  <mergeCells count="33">
    <mergeCell ref="B42:C42"/>
    <mergeCell ref="E42:F42"/>
    <mergeCell ref="H42:I42"/>
    <mergeCell ref="B32:J32"/>
    <mergeCell ref="B33:J33"/>
    <mergeCell ref="B34:J34"/>
    <mergeCell ref="B35:J35"/>
    <mergeCell ref="B36:J36"/>
    <mergeCell ref="B37:J37"/>
    <mergeCell ref="B25:J25"/>
    <mergeCell ref="B27:J27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7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9254-BC37-4216-B546-0EAFAA5D187D}">
  <sheetPr>
    <pageSetUpPr fitToPage="1"/>
  </sheetPr>
  <dimension ref="A1:J42"/>
  <sheetViews>
    <sheetView topLeftCell="A4" zoomScaleNormal="100" workbookViewId="0">
      <selection activeCell="C12" sqref="C1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32</v>
      </c>
      <c r="D2" s="5" t="s">
        <v>1</v>
      </c>
      <c r="E2" s="39" t="s">
        <v>67</v>
      </c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10</v>
      </c>
      <c r="D4" s="9"/>
      <c r="F4" s="2" t="s">
        <v>23</v>
      </c>
      <c r="G4" s="28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 t="s">
        <v>68</v>
      </c>
      <c r="C7" s="12" t="s">
        <v>69</v>
      </c>
      <c r="D7" s="69">
        <v>0.65</v>
      </c>
      <c r="E7" s="13" t="s">
        <v>24</v>
      </c>
      <c r="F7" s="14">
        <f t="shared" ref="F7:F22" si="0">D7/D$23</f>
        <v>0.3173828125</v>
      </c>
      <c r="G7" s="15">
        <f>C4*F7</f>
        <v>3.173828125</v>
      </c>
      <c r="H7" s="37"/>
      <c r="I7" s="38"/>
      <c r="J7" s="16"/>
    </row>
    <row r="8" spans="1:10" x14ac:dyDescent="0.25">
      <c r="A8" s="1">
        <v>2</v>
      </c>
      <c r="B8" s="12" t="s">
        <v>70</v>
      </c>
      <c r="C8" s="12" t="s">
        <v>71</v>
      </c>
      <c r="D8" s="69">
        <v>0.65</v>
      </c>
      <c r="E8" s="13" t="s">
        <v>24</v>
      </c>
      <c r="F8" s="14">
        <f t="shared" si="0"/>
        <v>0.3173828125</v>
      </c>
      <c r="G8" s="15">
        <f>C4*F8</f>
        <v>3.173828125</v>
      </c>
      <c r="H8" s="37"/>
      <c r="I8" s="38"/>
      <c r="J8" s="16"/>
    </row>
    <row r="9" spans="1:10" x14ac:dyDescent="0.25">
      <c r="A9" s="1">
        <v>3</v>
      </c>
      <c r="B9" s="12" t="s">
        <v>72</v>
      </c>
      <c r="C9" s="12" t="s">
        <v>73</v>
      </c>
      <c r="D9" s="69">
        <v>0.65</v>
      </c>
      <c r="E9" s="13" t="s">
        <v>24</v>
      </c>
      <c r="F9" s="14">
        <f t="shared" si="0"/>
        <v>0.3173828125</v>
      </c>
      <c r="G9" s="15">
        <f>C4*F9</f>
        <v>3.173828125</v>
      </c>
      <c r="H9" s="37"/>
      <c r="I9" s="38"/>
      <c r="J9" s="16"/>
    </row>
    <row r="10" spans="1:10" x14ac:dyDescent="0.25">
      <c r="A10" s="1">
        <v>5</v>
      </c>
      <c r="B10" s="12" t="s">
        <v>74</v>
      </c>
      <c r="C10" s="12" t="s">
        <v>75</v>
      </c>
      <c r="D10" s="69">
        <v>0.09</v>
      </c>
      <c r="E10" s="13" t="s">
        <v>24</v>
      </c>
      <c r="F10" s="14">
        <f t="shared" si="0"/>
        <v>4.39453125E-2</v>
      </c>
      <c r="G10" s="15">
        <f>C4*F10</f>
        <v>0.439453125</v>
      </c>
      <c r="H10" s="37"/>
      <c r="I10" s="38"/>
      <c r="J10" s="16"/>
    </row>
    <row r="11" spans="1:10" x14ac:dyDescent="0.25">
      <c r="A11" s="1">
        <v>6</v>
      </c>
      <c r="B11" s="12" t="s">
        <v>48</v>
      </c>
      <c r="C11" s="12" t="s">
        <v>47</v>
      </c>
      <c r="D11" s="69">
        <v>8.0000000000000002E-3</v>
      </c>
      <c r="E11" s="13" t="s">
        <v>24</v>
      </c>
      <c r="F11" s="14">
        <f t="shared" si="0"/>
        <v>3.90625E-3</v>
      </c>
      <c r="G11" s="15">
        <f>C4*F11</f>
        <v>3.90625E-2</v>
      </c>
      <c r="H11" s="37"/>
      <c r="I11" s="38"/>
      <c r="J11" s="16"/>
    </row>
    <row r="12" spans="1:10" x14ac:dyDescent="0.25">
      <c r="A12" s="1">
        <v>7</v>
      </c>
      <c r="B12" s="12"/>
      <c r="C12" s="12"/>
      <c r="D12" s="69"/>
      <c r="E12" s="13" t="s">
        <v>24</v>
      </c>
      <c r="F12" s="14">
        <f t="shared" si="0"/>
        <v>0</v>
      </c>
      <c r="G12" s="15">
        <f>C4*F12</f>
        <v>0</v>
      </c>
      <c r="H12" s="37"/>
      <c r="I12" s="38"/>
      <c r="J12" s="16"/>
    </row>
    <row r="13" spans="1:10" x14ac:dyDescent="0.25">
      <c r="A13" s="1">
        <v>8</v>
      </c>
      <c r="B13" s="12"/>
      <c r="C13" s="12"/>
      <c r="D13" s="69"/>
      <c r="E13" s="13" t="s">
        <v>24</v>
      </c>
      <c r="F13" s="14">
        <f t="shared" si="0"/>
        <v>0</v>
      </c>
      <c r="G13" s="15">
        <f>C4*F13</f>
        <v>0</v>
      </c>
      <c r="H13" s="37"/>
      <c r="I13" s="38"/>
      <c r="J13" s="16"/>
    </row>
    <row r="14" spans="1:10" x14ac:dyDescent="0.25">
      <c r="A14" s="1">
        <v>9</v>
      </c>
      <c r="B14" s="12"/>
      <c r="C14" s="12"/>
      <c r="D14" s="69"/>
      <c r="E14" s="13" t="s">
        <v>24</v>
      </c>
      <c r="F14" s="14">
        <f t="shared" si="0"/>
        <v>0</v>
      </c>
      <c r="G14" s="15">
        <f>C4*F14</f>
        <v>0</v>
      </c>
      <c r="H14" s="37"/>
      <c r="I14" s="38"/>
      <c r="J14" s="16"/>
    </row>
    <row r="15" spans="1:10" x14ac:dyDescent="0.25">
      <c r="A15" s="1">
        <v>10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7"/>
      <c r="I15" s="38"/>
      <c r="J15" s="16"/>
    </row>
    <row r="16" spans="1:10" x14ac:dyDescent="0.25">
      <c r="A16" s="1">
        <v>11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7"/>
      <c r="I16" s="38"/>
      <c r="J16" s="16"/>
    </row>
    <row r="17" spans="1:10" x14ac:dyDescent="0.25">
      <c r="A17" s="1">
        <v>12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7"/>
      <c r="I17" s="38"/>
      <c r="J17" s="16"/>
    </row>
    <row r="18" spans="1:10" x14ac:dyDescent="0.25">
      <c r="A18" s="1">
        <v>13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7"/>
      <c r="I18" s="38"/>
      <c r="J18" s="16"/>
    </row>
    <row r="19" spans="1:10" x14ac:dyDescent="0.25">
      <c r="A19" s="1">
        <v>14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7"/>
      <c r="I19" s="38"/>
      <c r="J19" s="16"/>
    </row>
    <row r="20" spans="1:10" x14ac:dyDescent="0.25">
      <c r="A20" s="1">
        <v>15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7"/>
      <c r="I20" s="38"/>
      <c r="J20" s="16"/>
    </row>
    <row r="21" spans="1:10" x14ac:dyDescent="0.25">
      <c r="A21" s="1">
        <v>16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7"/>
      <c r="I21" s="38"/>
      <c r="J21" s="16"/>
    </row>
    <row r="22" spans="1:10" x14ac:dyDescent="0.25">
      <c r="A22" s="1">
        <v>17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0" x14ac:dyDescent="0.25">
      <c r="C23" s="17" t="s">
        <v>12</v>
      </c>
      <c r="D23" s="1">
        <f>SUM(D7:D22)</f>
        <v>2.048</v>
      </c>
      <c r="E23" s="1" t="s">
        <v>24</v>
      </c>
      <c r="F23" s="18">
        <f>SUM(F7:F22)</f>
        <v>1</v>
      </c>
      <c r="G23" s="29">
        <f>SUM(G7:G22)</f>
        <v>10</v>
      </c>
      <c r="H23" s="19" t="s">
        <v>13</v>
      </c>
    </row>
    <row r="24" spans="1:10" x14ac:dyDescent="0.25">
      <c r="F24" s="28" t="s">
        <v>25</v>
      </c>
      <c r="G24" s="20">
        <f>-G23*G4+C4</f>
        <v>8.5</v>
      </c>
    </row>
    <row r="25" spans="1:10" ht="15.75" x14ac:dyDescent="0.25">
      <c r="A25"/>
      <c r="B25" s="43" t="s">
        <v>14</v>
      </c>
      <c r="C25" s="43"/>
      <c r="D25" s="43"/>
      <c r="E25" s="43"/>
      <c r="F25" s="43"/>
      <c r="G25" s="43"/>
      <c r="H25" s="43"/>
      <c r="I25" s="43"/>
      <c r="J25" s="43"/>
    </row>
    <row r="26" spans="1:10" ht="15.75" x14ac:dyDescent="0.25">
      <c r="A26"/>
      <c r="B26" s="21" t="s">
        <v>15</v>
      </c>
      <c r="C26" s="22"/>
      <c r="D26" s="22"/>
      <c r="E26" s="22"/>
      <c r="F26" s="22"/>
      <c r="G26" s="22"/>
      <c r="H26" s="22"/>
      <c r="I26" s="22"/>
      <c r="J26" s="22"/>
    </row>
    <row r="27" spans="1:10" x14ac:dyDescent="0.25">
      <c r="A27" s="1">
        <v>1</v>
      </c>
      <c r="B27" s="42" t="s">
        <v>76</v>
      </c>
      <c r="C27" s="42"/>
      <c r="D27" s="42"/>
      <c r="E27" s="42"/>
      <c r="F27" s="42"/>
      <c r="G27" s="42"/>
      <c r="H27" s="42"/>
      <c r="I27" s="42"/>
      <c r="J27" s="42"/>
    </row>
    <row r="28" spans="1:10" x14ac:dyDescent="0.25">
      <c r="A28" s="1">
        <v>2</v>
      </c>
      <c r="B28" s="42" t="s">
        <v>77</v>
      </c>
      <c r="C28" s="42"/>
      <c r="D28" s="42"/>
      <c r="E28" s="42"/>
      <c r="F28" s="42"/>
      <c r="G28" s="42"/>
      <c r="H28" s="42"/>
      <c r="I28" s="42"/>
      <c r="J28" s="42"/>
    </row>
    <row r="29" spans="1:10" x14ac:dyDescent="0.25">
      <c r="A29" s="1">
        <v>3</v>
      </c>
      <c r="B29" s="49" t="s">
        <v>78</v>
      </c>
      <c r="C29" s="49"/>
      <c r="D29" s="49"/>
      <c r="E29" s="49"/>
      <c r="F29" s="49"/>
      <c r="G29" s="49"/>
      <c r="H29" s="49"/>
      <c r="I29" s="49"/>
      <c r="J29" s="49"/>
    </row>
    <row r="30" spans="1:10" x14ac:dyDescent="0.25">
      <c r="A30" s="1">
        <v>4</v>
      </c>
      <c r="B30" s="42"/>
      <c r="C30" s="42"/>
      <c r="D30" s="42"/>
      <c r="E30" s="42"/>
      <c r="F30" s="42"/>
      <c r="G30" s="42"/>
      <c r="H30" s="42"/>
      <c r="I30" s="42"/>
      <c r="J30" s="42"/>
    </row>
    <row r="31" spans="1:10" x14ac:dyDescent="0.25">
      <c r="A31" s="1">
        <v>5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6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7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8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9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10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11</v>
      </c>
      <c r="B37" s="42"/>
      <c r="C37" s="42"/>
      <c r="D37" s="42"/>
      <c r="E37" s="42"/>
      <c r="F37" s="42"/>
      <c r="G37" s="42"/>
      <c r="H37" s="42"/>
      <c r="I37" s="42"/>
      <c r="J37" s="42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H41" s="23"/>
      <c r="I41" s="23"/>
      <c r="J41" s="23"/>
    </row>
    <row r="42" spans="1:10" x14ac:dyDescent="0.25">
      <c r="B42" s="44" t="s">
        <v>17</v>
      </c>
      <c r="C42" s="44"/>
      <c r="E42" s="44" t="s">
        <v>18</v>
      </c>
      <c r="F42" s="44"/>
      <c r="H42" s="45" t="s">
        <v>19</v>
      </c>
      <c r="I42" s="45"/>
      <c r="J42" s="2" t="s">
        <v>20</v>
      </c>
    </row>
  </sheetData>
  <mergeCells count="33">
    <mergeCell ref="B42:C42"/>
    <mergeCell ref="E42:F42"/>
    <mergeCell ref="H42:I42"/>
    <mergeCell ref="B32:J32"/>
    <mergeCell ref="B33:J33"/>
    <mergeCell ref="B34:J34"/>
    <mergeCell ref="B35:J35"/>
    <mergeCell ref="B36:J36"/>
    <mergeCell ref="B37:J37"/>
    <mergeCell ref="B25:J25"/>
    <mergeCell ref="B27:J27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7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3CBC-57A6-4D56-A604-22A2725EE0DC}">
  <sheetPr>
    <tabColor rgb="FFFFFF00"/>
    <pageSetUpPr fitToPage="1"/>
  </sheetPr>
  <dimension ref="A1:J44"/>
  <sheetViews>
    <sheetView workbookViewId="0">
      <selection activeCell="C2" sqref="C2"/>
    </sheetView>
  </sheetViews>
  <sheetFormatPr defaultRowHeight="15" x14ac:dyDescent="0.25"/>
  <cols>
    <col min="1" max="1" width="3.140625" style="1" bestFit="1" customWidth="1"/>
    <col min="2" max="2" width="16.140625" customWidth="1"/>
    <col min="3" max="3" width="37.140625" bestFit="1" customWidth="1"/>
    <col min="4" max="4" width="16" style="2" bestFit="1" customWidth="1"/>
    <col min="5" max="5" width="5.7109375" style="2" bestFit="1" customWidth="1"/>
    <col min="6" max="6" width="21.7109375" bestFit="1" customWidth="1"/>
    <col min="7" max="7" width="11.42578125" style="2" bestFit="1" customWidth="1"/>
    <col min="8" max="8" width="12.28515625" bestFit="1" customWidth="1"/>
    <col min="9" max="9" width="2.140625" bestFit="1" customWidth="1"/>
    <col min="10" max="10" width="26.7109375" bestFit="1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66</v>
      </c>
      <c r="D2" s="5" t="s">
        <v>1</v>
      </c>
      <c r="E2" s="39" t="s">
        <v>80</v>
      </c>
      <c r="F2" s="39"/>
      <c r="G2" s="4"/>
      <c r="H2" s="6" t="s">
        <v>2</v>
      </c>
      <c r="I2" s="7">
        <v>1</v>
      </c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54</v>
      </c>
      <c r="C4" s="10">
        <v>100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 t="s">
        <v>55</v>
      </c>
      <c r="C7" s="12" t="s">
        <v>56</v>
      </c>
      <c r="D7" s="12">
        <v>280</v>
      </c>
      <c r="E7" s="13" t="s">
        <v>24</v>
      </c>
      <c r="F7" s="65">
        <f t="shared" ref="F7:F23" si="0">D7/D$24</f>
        <v>0.55118110236220474</v>
      </c>
      <c r="G7" s="31">
        <f t="shared" ref="G7:G23" si="1">$C$4*F7</f>
        <v>55.118110236220474</v>
      </c>
      <c r="H7" s="47"/>
      <c r="I7" s="48"/>
      <c r="J7" s="16"/>
    </row>
    <row r="8" spans="1:10" x14ac:dyDescent="0.25">
      <c r="A8" s="1">
        <v>2</v>
      </c>
      <c r="B8" s="12" t="s">
        <v>57</v>
      </c>
      <c r="C8" s="12" t="s">
        <v>58</v>
      </c>
      <c r="D8" s="12">
        <v>28</v>
      </c>
      <c r="E8" s="13" t="s">
        <v>24</v>
      </c>
      <c r="F8" s="65">
        <f t="shared" si="0"/>
        <v>5.5118110236220472E-2</v>
      </c>
      <c r="G8" s="31">
        <f t="shared" si="1"/>
        <v>5.5118110236220472</v>
      </c>
      <c r="H8" s="47"/>
      <c r="I8" s="48"/>
      <c r="J8" s="16"/>
    </row>
    <row r="9" spans="1:10" x14ac:dyDescent="0.25">
      <c r="A9" s="1">
        <v>3</v>
      </c>
      <c r="B9" s="12" t="s">
        <v>59</v>
      </c>
      <c r="C9" s="12" t="s">
        <v>60</v>
      </c>
      <c r="D9" s="12">
        <v>200</v>
      </c>
      <c r="E9" s="13" t="s">
        <v>24</v>
      </c>
      <c r="F9" s="65">
        <f t="shared" si="0"/>
        <v>0.39370078740157483</v>
      </c>
      <c r="G9" s="31">
        <f t="shared" si="1"/>
        <v>39.370078740157481</v>
      </c>
      <c r="H9" s="47"/>
      <c r="I9" s="48"/>
      <c r="J9" s="16"/>
    </row>
    <row r="10" spans="1:10" x14ac:dyDescent="0.25">
      <c r="A10" s="1">
        <v>4</v>
      </c>
      <c r="B10" s="12"/>
      <c r="C10" s="12"/>
      <c r="D10" s="12"/>
      <c r="E10" s="13" t="s">
        <v>24</v>
      </c>
      <c r="F10" s="65">
        <f t="shared" si="0"/>
        <v>0</v>
      </c>
      <c r="G10" s="31">
        <f t="shared" si="1"/>
        <v>0</v>
      </c>
      <c r="H10" s="47"/>
      <c r="I10" s="48"/>
      <c r="J10" s="16"/>
    </row>
    <row r="11" spans="1:10" x14ac:dyDescent="0.25">
      <c r="A11" s="1">
        <v>5</v>
      </c>
      <c r="B11" s="12"/>
      <c r="C11" s="12"/>
      <c r="D11" s="12"/>
      <c r="E11" s="13" t="s">
        <v>24</v>
      </c>
      <c r="F11" s="65">
        <f t="shared" si="0"/>
        <v>0</v>
      </c>
      <c r="G11" s="31">
        <f t="shared" si="1"/>
        <v>0</v>
      </c>
      <c r="H11" s="47"/>
      <c r="I11" s="48"/>
      <c r="J11" s="16"/>
    </row>
    <row r="12" spans="1:10" x14ac:dyDescent="0.25">
      <c r="A12" s="1">
        <v>6</v>
      </c>
      <c r="B12" s="12"/>
      <c r="C12" s="12"/>
      <c r="D12" s="12"/>
      <c r="E12" s="13" t="s">
        <v>24</v>
      </c>
      <c r="F12" s="65">
        <f t="shared" si="0"/>
        <v>0</v>
      </c>
      <c r="G12" s="31">
        <f t="shared" si="1"/>
        <v>0</v>
      </c>
      <c r="H12" s="47"/>
      <c r="I12" s="48"/>
      <c r="J12" s="16"/>
    </row>
    <row r="13" spans="1:10" x14ac:dyDescent="0.25">
      <c r="A13" s="1">
        <v>7</v>
      </c>
      <c r="B13" s="12"/>
      <c r="C13" s="12"/>
      <c r="D13" s="12"/>
      <c r="E13" s="13" t="s">
        <v>24</v>
      </c>
      <c r="F13" s="65">
        <f t="shared" si="0"/>
        <v>0</v>
      </c>
      <c r="G13" s="31">
        <f t="shared" si="1"/>
        <v>0</v>
      </c>
      <c r="H13" s="47"/>
      <c r="I13" s="48"/>
      <c r="J13" s="16"/>
    </row>
    <row r="14" spans="1:10" x14ac:dyDescent="0.25">
      <c r="A14" s="1">
        <v>8</v>
      </c>
      <c r="B14" s="12"/>
      <c r="C14" s="12"/>
      <c r="D14" s="12"/>
      <c r="E14" s="13" t="s">
        <v>24</v>
      </c>
      <c r="F14" s="65">
        <f t="shared" si="0"/>
        <v>0</v>
      </c>
      <c r="G14" s="31">
        <f t="shared" si="1"/>
        <v>0</v>
      </c>
      <c r="H14" s="47"/>
      <c r="I14" s="48"/>
      <c r="J14" s="16"/>
    </row>
    <row r="15" spans="1:10" x14ac:dyDescent="0.25">
      <c r="A15" s="1">
        <v>9</v>
      </c>
      <c r="B15" s="12"/>
      <c r="C15" s="12"/>
      <c r="D15" s="66"/>
      <c r="E15" s="13" t="s">
        <v>24</v>
      </c>
      <c r="F15" s="65">
        <f t="shared" si="0"/>
        <v>0</v>
      </c>
      <c r="G15" s="31">
        <f t="shared" si="1"/>
        <v>0</v>
      </c>
      <c r="H15" s="47"/>
      <c r="I15" s="48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65">
        <f t="shared" si="0"/>
        <v>0</v>
      </c>
      <c r="G16" s="31">
        <f t="shared" si="1"/>
        <v>0</v>
      </c>
      <c r="H16" s="47"/>
      <c r="I16" s="48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65">
        <f t="shared" si="0"/>
        <v>0</v>
      </c>
      <c r="G17" s="31">
        <f t="shared" si="1"/>
        <v>0</v>
      </c>
      <c r="H17" s="47"/>
      <c r="I17" s="48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65">
        <f t="shared" si="0"/>
        <v>0</v>
      </c>
      <c r="G18" s="31">
        <f t="shared" si="1"/>
        <v>0</v>
      </c>
      <c r="H18" s="47"/>
      <c r="I18" s="48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65">
        <f t="shared" si="0"/>
        <v>0</v>
      </c>
      <c r="G19" s="31">
        <f t="shared" si="1"/>
        <v>0</v>
      </c>
      <c r="H19" s="47"/>
      <c r="I19" s="48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65">
        <f t="shared" si="0"/>
        <v>0</v>
      </c>
      <c r="G20" s="31">
        <f t="shared" si="1"/>
        <v>0</v>
      </c>
      <c r="H20" s="47"/>
      <c r="I20" s="48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65">
        <f t="shared" si="0"/>
        <v>0</v>
      </c>
      <c r="G21" s="31">
        <f t="shared" si="1"/>
        <v>0</v>
      </c>
      <c r="H21" s="47"/>
      <c r="I21" s="48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65">
        <f t="shared" si="0"/>
        <v>0</v>
      </c>
      <c r="G22" s="31">
        <f t="shared" si="1"/>
        <v>0</v>
      </c>
      <c r="H22" s="47"/>
      <c r="I22" s="48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65">
        <f t="shared" si="0"/>
        <v>0</v>
      </c>
      <c r="G23" s="31">
        <f t="shared" si="1"/>
        <v>0</v>
      </c>
      <c r="H23" s="47"/>
      <c r="I23" s="48"/>
      <c r="J23" s="16"/>
    </row>
    <row r="24" spans="1:10" x14ac:dyDescent="0.25">
      <c r="C24" s="17" t="s">
        <v>12</v>
      </c>
      <c r="D24" s="67">
        <f>SUM(D7:D23)</f>
        <v>508</v>
      </c>
      <c r="E24" s="1" t="s">
        <v>24</v>
      </c>
      <c r="F24" s="18">
        <f>SUM(F7:F23)</f>
        <v>1</v>
      </c>
      <c r="G24" s="29">
        <f>SUM(G7:G23)</f>
        <v>100</v>
      </c>
      <c r="H24" s="19" t="s">
        <v>13</v>
      </c>
    </row>
    <row r="25" spans="1:10" x14ac:dyDescent="0.25">
      <c r="F25" s="30" t="s">
        <v>25</v>
      </c>
      <c r="G25" s="29">
        <f>-G24*G4+C4</f>
        <v>100</v>
      </c>
    </row>
    <row r="26" spans="1:10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  <c r="J26" s="4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2" t="s">
        <v>37</v>
      </c>
      <c r="C28" s="42"/>
      <c r="D28" s="42"/>
      <c r="E28" s="42"/>
      <c r="F28" s="42"/>
      <c r="G28" s="42"/>
      <c r="H28" s="42"/>
      <c r="I28" s="42"/>
      <c r="J28" s="42"/>
    </row>
    <row r="29" spans="1:10" x14ac:dyDescent="0.25">
      <c r="A29" s="1">
        <v>2</v>
      </c>
      <c r="B29" s="42" t="s">
        <v>61</v>
      </c>
      <c r="C29" s="42"/>
      <c r="D29" s="42"/>
      <c r="E29" s="42"/>
      <c r="F29" s="42"/>
      <c r="G29" s="42"/>
      <c r="H29" s="42"/>
      <c r="I29" s="42"/>
      <c r="J29" s="42"/>
    </row>
    <row r="30" spans="1:10" x14ac:dyDescent="0.25">
      <c r="A30" s="1">
        <v>3</v>
      </c>
      <c r="B30" s="68" t="s">
        <v>62</v>
      </c>
      <c r="C30" s="68"/>
      <c r="D30" s="68"/>
      <c r="E30" s="68"/>
      <c r="F30" s="68"/>
      <c r="G30" s="68"/>
      <c r="H30" s="68"/>
      <c r="I30" s="68"/>
      <c r="J30" s="68"/>
    </row>
    <row r="31" spans="1:10" x14ac:dyDescent="0.25">
      <c r="A31" s="1">
        <v>4</v>
      </c>
      <c r="B31" s="50" t="s">
        <v>63</v>
      </c>
      <c r="C31" s="51"/>
      <c r="D31" s="51"/>
      <c r="E31" s="51"/>
      <c r="F31" s="51"/>
      <c r="G31" s="51"/>
      <c r="H31" s="51"/>
      <c r="I31" s="51"/>
      <c r="J31" s="52"/>
    </row>
    <row r="32" spans="1:10" x14ac:dyDescent="0.25">
      <c r="A32" s="1">
        <v>5</v>
      </c>
      <c r="B32" s="50" t="s">
        <v>64</v>
      </c>
      <c r="C32" s="51"/>
      <c r="D32" s="51"/>
      <c r="E32" s="51"/>
      <c r="F32" s="51"/>
      <c r="G32" s="51"/>
      <c r="H32" s="51"/>
      <c r="I32" s="51"/>
      <c r="J32" s="52"/>
    </row>
    <row r="33" spans="1:10" x14ac:dyDescent="0.25">
      <c r="A33" s="1">
        <v>6</v>
      </c>
      <c r="B33" s="34" t="s">
        <v>65</v>
      </c>
      <c r="C33" s="35"/>
      <c r="D33" s="35"/>
      <c r="E33" s="35"/>
      <c r="F33" s="35"/>
      <c r="G33" s="35"/>
      <c r="H33" s="35"/>
      <c r="I33" s="35"/>
      <c r="J33" s="36"/>
    </row>
    <row r="34" spans="1:10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  <c r="J38" s="42"/>
    </row>
    <row r="39" spans="1:10" x14ac:dyDescent="0.25">
      <c r="A39" s="1">
        <v>12</v>
      </c>
      <c r="B39" s="42"/>
      <c r="C39" s="42"/>
      <c r="D39" s="42"/>
      <c r="E39" s="42"/>
      <c r="F39" s="42"/>
      <c r="G39" s="42"/>
      <c r="H39" s="42"/>
      <c r="I39" s="42"/>
      <c r="J39" s="42"/>
    </row>
    <row r="41" spans="1:10" x14ac:dyDescent="0.25">
      <c r="B41" t="s">
        <v>16</v>
      </c>
    </row>
    <row r="43" spans="1:10" x14ac:dyDescent="0.25">
      <c r="B43" s="23"/>
      <c r="C43" s="23"/>
      <c r="D43" s="24"/>
      <c r="E43" s="24"/>
      <c r="F43" s="23"/>
      <c r="H43" s="23"/>
      <c r="I43" s="23"/>
      <c r="J43" s="23"/>
    </row>
    <row r="44" spans="1:10" x14ac:dyDescent="0.25">
      <c r="B44" s="44" t="s">
        <v>17</v>
      </c>
      <c r="C44" s="44"/>
      <c r="E44" s="44" t="s">
        <v>18</v>
      </c>
      <c r="F44" s="44"/>
      <c r="H44" s="45" t="s">
        <v>19</v>
      </c>
      <c r="I44" s="45"/>
      <c r="J44" s="2" t="s">
        <v>20</v>
      </c>
    </row>
  </sheetData>
  <mergeCells count="33">
    <mergeCell ref="B44:C44"/>
    <mergeCell ref="E44:F44"/>
    <mergeCell ref="H44:I44"/>
    <mergeCell ref="B34:J34"/>
    <mergeCell ref="B35:J35"/>
    <mergeCell ref="B36:J36"/>
    <mergeCell ref="B37:J37"/>
    <mergeCell ref="B38:J38"/>
    <mergeCell ref="B39:J39"/>
    <mergeCell ref="H23:I23"/>
    <mergeCell ref="B26:J26"/>
    <mergeCell ref="B28:J28"/>
    <mergeCell ref="B29:J29"/>
    <mergeCell ref="B31:J31"/>
    <mergeCell ref="B32:J32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dataValidations count="1">
    <dataValidation allowBlank="1" showInputMessage="1" showErrorMessage="1" sqref="C7 B10:D23" xr:uid="{EE0B11AA-C5B0-44B3-89E1-3A645E0EEDC3}"/>
  </dataValidations>
  <pageMargins left="0.7" right="0.7" top="0.75" bottom="0.75" header="0.3" footer="0.3"/>
  <pageSetup scale="8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E68A-38B1-44ED-9A9B-D96C1BD2107D}">
  <sheetPr>
    <pageSetUpPr fitToPage="1"/>
  </sheetPr>
  <dimension ref="A1:I44"/>
  <sheetViews>
    <sheetView zoomScale="85" zoomScaleNormal="85" workbookViewId="0">
      <selection activeCell="C2" sqref="C2"/>
    </sheetView>
  </sheetViews>
  <sheetFormatPr defaultRowHeight="15" x14ac:dyDescent="0.25"/>
  <cols>
    <col min="1" max="1" width="3.5703125" style="1" customWidth="1"/>
    <col min="2" max="2" width="21.42578125" customWidth="1"/>
    <col min="3" max="3" width="47.5703125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8" width="12.5703125" customWidth="1"/>
    <col min="9" max="9" width="22.140625" customWidth="1"/>
  </cols>
  <sheetData>
    <row r="1" spans="1:9" ht="15.75" thickBot="1" x14ac:dyDescent="0.3"/>
    <row r="2" spans="1:9" ht="15.75" thickBot="1" x14ac:dyDescent="0.3">
      <c r="B2" s="3" t="s">
        <v>0</v>
      </c>
      <c r="C2" s="53" t="s">
        <v>53</v>
      </c>
      <c r="D2" s="5" t="s">
        <v>1</v>
      </c>
      <c r="E2" s="39" t="s">
        <v>79</v>
      </c>
      <c r="F2" s="39"/>
      <c r="G2" s="4"/>
      <c r="H2" s="6" t="s">
        <v>2</v>
      </c>
      <c r="I2" s="8" t="s">
        <v>3</v>
      </c>
    </row>
    <row r="3" spans="1:9" ht="5.25" customHeight="1" x14ac:dyDescent="0.25">
      <c r="B3" s="1"/>
      <c r="D3" s="9"/>
      <c r="F3" s="2"/>
      <c r="H3" s="1"/>
      <c r="I3" s="2"/>
    </row>
    <row r="4" spans="1:9" x14ac:dyDescent="0.25">
      <c r="B4" s="2" t="s">
        <v>35</v>
      </c>
      <c r="C4" s="10">
        <v>5</v>
      </c>
      <c r="D4" s="9"/>
      <c r="F4" s="2" t="s">
        <v>23</v>
      </c>
      <c r="G4" s="54">
        <v>0.25</v>
      </c>
      <c r="I4" s="2"/>
    </row>
    <row r="5" spans="1:9" ht="5.25" customHeight="1" x14ac:dyDescent="0.25">
      <c r="B5" s="1"/>
      <c r="D5" s="9"/>
      <c r="F5" s="2"/>
      <c r="H5" s="1"/>
      <c r="I5" s="2"/>
    </row>
    <row r="6" spans="1:9" x14ac:dyDescent="0.25">
      <c r="B6" s="11" t="s">
        <v>4</v>
      </c>
      <c r="C6" s="11" t="s">
        <v>5</v>
      </c>
      <c r="D6" s="11" t="s">
        <v>27</v>
      </c>
      <c r="E6" s="11" t="s">
        <v>7</v>
      </c>
      <c r="F6" s="11" t="s">
        <v>8</v>
      </c>
      <c r="G6" s="11" t="s">
        <v>9</v>
      </c>
      <c r="H6" s="33" t="s">
        <v>10</v>
      </c>
      <c r="I6" s="11" t="s">
        <v>11</v>
      </c>
    </row>
    <row r="7" spans="1:9" x14ac:dyDescent="0.25">
      <c r="A7" s="1">
        <v>1</v>
      </c>
      <c r="B7" s="55" t="s">
        <v>52</v>
      </c>
      <c r="C7" s="56" t="s">
        <v>51</v>
      </c>
      <c r="D7" s="57">
        <v>16422</v>
      </c>
      <c r="E7" s="13" t="s">
        <v>36</v>
      </c>
      <c r="F7" s="14">
        <f>D7/$D$24</f>
        <v>0.90632140137090622</v>
      </c>
      <c r="G7" s="15">
        <f>$C$4*F7</f>
        <v>4.5316070068545313</v>
      </c>
      <c r="H7" s="58"/>
      <c r="I7" s="16"/>
    </row>
    <row r="8" spans="1:9" x14ac:dyDescent="0.25">
      <c r="A8" s="1">
        <v>2</v>
      </c>
      <c r="B8" s="59" t="s">
        <v>50</v>
      </c>
      <c r="C8" s="57" t="s">
        <v>49</v>
      </c>
      <c r="D8" s="57">
        <v>1273</v>
      </c>
      <c r="E8" s="13" t="s">
        <v>36</v>
      </c>
      <c r="F8" s="14">
        <f>D8/$D$24</f>
        <v>7.0256189498548505E-2</v>
      </c>
      <c r="G8" s="15">
        <f>$C$4*F8</f>
        <v>0.35128094749274252</v>
      </c>
      <c r="H8" s="58"/>
      <c r="I8" s="16"/>
    </row>
    <row r="9" spans="1:9" x14ac:dyDescent="0.25">
      <c r="A9" s="1">
        <v>3</v>
      </c>
      <c r="B9" s="59" t="s">
        <v>48</v>
      </c>
      <c r="C9" s="57" t="s">
        <v>47</v>
      </c>
      <c r="D9" s="57">
        <v>424.4</v>
      </c>
      <c r="E9" s="13" t="s">
        <v>36</v>
      </c>
      <c r="F9" s="14">
        <f>D9/$D$24</f>
        <v>2.342240913054516E-2</v>
      </c>
      <c r="G9" s="15">
        <f>$C$4*F9</f>
        <v>0.1171120456527258</v>
      </c>
      <c r="H9" s="58"/>
      <c r="I9" s="16"/>
    </row>
    <row r="10" spans="1:9" x14ac:dyDescent="0.25">
      <c r="A10" s="1">
        <v>4</v>
      </c>
      <c r="B10" s="59"/>
      <c r="C10" s="57"/>
      <c r="D10" s="57"/>
      <c r="E10" s="13" t="s">
        <v>36</v>
      </c>
      <c r="F10" s="14">
        <f>D10/$D$24</f>
        <v>0</v>
      </c>
      <c r="G10" s="15">
        <f>$C$4*F10</f>
        <v>0</v>
      </c>
      <c r="H10" s="58"/>
      <c r="I10" s="16"/>
    </row>
    <row r="11" spans="1:9" x14ac:dyDescent="0.25">
      <c r="A11" s="1">
        <v>5</v>
      </c>
      <c r="B11" s="59"/>
      <c r="C11" s="57"/>
      <c r="D11" s="57"/>
      <c r="E11" s="13" t="s">
        <v>36</v>
      </c>
      <c r="F11" s="14">
        <f>D11/$D$24</f>
        <v>0</v>
      </c>
      <c r="G11" s="15">
        <f>$C$4*F11</f>
        <v>0</v>
      </c>
      <c r="H11" s="58"/>
      <c r="I11" s="16"/>
    </row>
    <row r="12" spans="1:9" x14ac:dyDescent="0.25">
      <c r="A12" s="1">
        <v>6</v>
      </c>
      <c r="B12" s="59"/>
      <c r="C12" s="57"/>
      <c r="D12" s="57"/>
      <c r="E12" s="13" t="s">
        <v>36</v>
      </c>
      <c r="F12" s="14">
        <f>D12/$D$24</f>
        <v>0</v>
      </c>
      <c r="G12" s="15">
        <f>$C$4*F12</f>
        <v>0</v>
      </c>
      <c r="H12" s="58"/>
      <c r="I12" s="16"/>
    </row>
    <row r="13" spans="1:9" x14ac:dyDescent="0.25">
      <c r="A13" s="1">
        <v>7</v>
      </c>
      <c r="B13" s="59"/>
      <c r="C13" s="57"/>
      <c r="D13" s="57"/>
      <c r="E13" s="13" t="s">
        <v>36</v>
      </c>
      <c r="F13" s="14">
        <f>D13/$D$24</f>
        <v>0</v>
      </c>
      <c r="G13" s="15">
        <f>$C$4*F13</f>
        <v>0</v>
      </c>
      <c r="H13" s="58"/>
      <c r="I13" s="16"/>
    </row>
    <row r="14" spans="1:9" x14ac:dyDescent="0.25">
      <c r="A14" s="1">
        <v>8</v>
      </c>
      <c r="B14" s="59"/>
      <c r="C14" s="57"/>
      <c r="D14" s="57"/>
      <c r="E14" s="13" t="s">
        <v>36</v>
      </c>
      <c r="F14" s="14">
        <f>D14/$D$24</f>
        <v>0</v>
      </c>
      <c r="G14" s="15">
        <f>$C$4*F14</f>
        <v>0</v>
      </c>
      <c r="H14" s="58"/>
      <c r="I14" s="16"/>
    </row>
    <row r="15" spans="1:9" x14ac:dyDescent="0.25">
      <c r="A15" s="1">
        <v>9</v>
      </c>
      <c r="B15" s="59"/>
      <c r="C15" s="57"/>
      <c r="D15" s="57"/>
      <c r="E15" s="13" t="s">
        <v>36</v>
      </c>
      <c r="F15" s="14">
        <f>D15/$D$24</f>
        <v>0</v>
      </c>
      <c r="G15" s="15">
        <f>$C$4*F15</f>
        <v>0</v>
      </c>
      <c r="H15" s="58"/>
      <c r="I15" s="16"/>
    </row>
    <row r="16" spans="1:9" x14ac:dyDescent="0.25">
      <c r="A16" s="1">
        <v>10</v>
      </c>
      <c r="B16" s="59"/>
      <c r="C16" s="60"/>
      <c r="D16" s="57"/>
      <c r="E16" s="13" t="s">
        <v>36</v>
      </c>
      <c r="F16" s="14">
        <f>D16/$D$24</f>
        <v>0</v>
      </c>
      <c r="G16" s="15">
        <f>$C$4*F16</f>
        <v>0</v>
      </c>
      <c r="H16" s="58"/>
      <c r="I16" s="16"/>
    </row>
    <row r="17" spans="1:9" x14ac:dyDescent="0.25">
      <c r="A17" s="1">
        <v>11</v>
      </c>
      <c r="B17" s="59"/>
      <c r="C17" s="57"/>
      <c r="D17" s="57"/>
      <c r="E17" s="13" t="s">
        <v>36</v>
      </c>
      <c r="F17" s="14">
        <f>D17/$D$24</f>
        <v>0</v>
      </c>
      <c r="G17" s="15">
        <f>C4*F17</f>
        <v>0</v>
      </c>
      <c r="H17" s="58"/>
      <c r="I17" s="16"/>
    </row>
    <row r="18" spans="1:9" x14ac:dyDescent="0.25">
      <c r="A18" s="1">
        <v>12</v>
      </c>
      <c r="B18" s="59"/>
      <c r="C18" s="57"/>
      <c r="D18" s="57"/>
      <c r="E18" s="13" t="s">
        <v>36</v>
      </c>
      <c r="F18" s="14">
        <f>D18/$D$24</f>
        <v>0</v>
      </c>
      <c r="G18" s="15">
        <f>C4*F18</f>
        <v>0</v>
      </c>
      <c r="H18" s="58"/>
      <c r="I18" s="16"/>
    </row>
    <row r="19" spans="1:9" x14ac:dyDescent="0.25">
      <c r="A19" s="1">
        <v>13</v>
      </c>
      <c r="B19" s="59"/>
      <c r="C19" s="57"/>
      <c r="D19" s="57"/>
      <c r="E19" s="13" t="s">
        <v>36</v>
      </c>
      <c r="F19" s="14">
        <f>D19/$D$24</f>
        <v>0</v>
      </c>
      <c r="G19" s="15">
        <f>C4*F19</f>
        <v>0</v>
      </c>
      <c r="H19" s="58"/>
      <c r="I19" s="16"/>
    </row>
    <row r="20" spans="1:9" x14ac:dyDescent="0.25">
      <c r="A20" s="1">
        <v>14</v>
      </c>
      <c r="B20" s="59"/>
      <c r="C20" s="57"/>
      <c r="D20" s="57"/>
      <c r="E20" s="13" t="s">
        <v>36</v>
      </c>
      <c r="F20" s="14">
        <f>D20/$D$24</f>
        <v>0</v>
      </c>
      <c r="G20" s="15">
        <f>C4*F20</f>
        <v>0</v>
      </c>
      <c r="H20" s="58"/>
      <c r="I20" s="16"/>
    </row>
    <row r="21" spans="1:9" x14ac:dyDescent="0.25">
      <c r="A21" s="1">
        <v>15</v>
      </c>
      <c r="B21" s="59"/>
      <c r="C21" s="57"/>
      <c r="D21" s="57"/>
      <c r="E21" s="13" t="s">
        <v>36</v>
      </c>
      <c r="F21" s="14">
        <f>D21/$D$24</f>
        <v>0</v>
      </c>
      <c r="G21" s="15">
        <f>C4*F21</f>
        <v>0</v>
      </c>
      <c r="H21" s="58"/>
      <c r="I21" s="16"/>
    </row>
    <row r="22" spans="1:9" x14ac:dyDescent="0.25">
      <c r="A22" s="1">
        <v>16</v>
      </c>
      <c r="B22" s="59"/>
      <c r="C22" s="57"/>
      <c r="D22" s="57"/>
      <c r="E22" s="13" t="s">
        <v>36</v>
      </c>
      <c r="F22" s="14">
        <f>D22/$D$24</f>
        <v>0</v>
      </c>
      <c r="G22" s="15">
        <f>C4*F22</f>
        <v>0</v>
      </c>
      <c r="H22" s="58"/>
      <c r="I22" s="16"/>
    </row>
    <row r="23" spans="1:9" x14ac:dyDescent="0.25">
      <c r="A23" s="1">
        <v>17</v>
      </c>
      <c r="B23" s="12"/>
      <c r="C23" s="12"/>
      <c r="D23" s="61"/>
      <c r="E23" s="13" t="s">
        <v>36</v>
      </c>
      <c r="F23" s="14">
        <f>D23/$D$24</f>
        <v>0</v>
      </c>
      <c r="G23" s="15">
        <f>C4*F23</f>
        <v>0</v>
      </c>
      <c r="H23" s="58"/>
      <c r="I23" s="16"/>
    </row>
    <row r="24" spans="1:9" x14ac:dyDescent="0.25">
      <c r="C24" s="17" t="s">
        <v>12</v>
      </c>
      <c r="D24" s="1">
        <f>SUM(D7:D23)</f>
        <v>18119.400000000001</v>
      </c>
      <c r="E24" s="1" t="s">
        <v>36</v>
      </c>
      <c r="F24" s="18">
        <f>SUM(F7:F23)</f>
        <v>0.99999999999999989</v>
      </c>
      <c r="G24" s="29">
        <f>SUM(G7:G23)</f>
        <v>4.9999999999999991</v>
      </c>
      <c r="H24" s="19" t="s">
        <v>13</v>
      </c>
    </row>
    <row r="25" spans="1:9" x14ac:dyDescent="0.25">
      <c r="F25" s="28" t="s">
        <v>25</v>
      </c>
      <c r="G25" s="20">
        <f>-G24*G4+C4</f>
        <v>3.75</v>
      </c>
    </row>
    <row r="26" spans="1:9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ht="18.75" x14ac:dyDescent="0.3">
      <c r="A28" s="1">
        <v>1</v>
      </c>
      <c r="B28" s="46" t="s">
        <v>37</v>
      </c>
      <c r="C28" s="46"/>
      <c r="D28" s="46"/>
      <c r="E28" s="46"/>
      <c r="F28" s="46"/>
      <c r="G28" s="46"/>
      <c r="H28" s="46"/>
      <c r="I28" s="46"/>
    </row>
    <row r="29" spans="1:9" ht="18.75" x14ac:dyDescent="0.3">
      <c r="A29" s="1">
        <v>2</v>
      </c>
      <c r="B29" s="62" t="s">
        <v>38</v>
      </c>
      <c r="C29" s="62"/>
      <c r="D29" s="62"/>
      <c r="E29" s="62"/>
      <c r="F29" s="62"/>
      <c r="G29" s="62"/>
      <c r="H29" s="62"/>
      <c r="I29" s="62"/>
    </row>
    <row r="30" spans="1:9" ht="18.75" x14ac:dyDescent="0.3">
      <c r="A30" s="1">
        <v>3</v>
      </c>
      <c r="B30" s="62" t="s">
        <v>39</v>
      </c>
      <c r="C30" s="62"/>
      <c r="D30" s="62"/>
      <c r="E30" s="62"/>
      <c r="F30" s="62"/>
      <c r="G30" s="62"/>
      <c r="H30" s="62"/>
      <c r="I30" s="62"/>
    </row>
    <row r="31" spans="1:9" ht="18.75" x14ac:dyDescent="0.3">
      <c r="A31" s="1">
        <v>4</v>
      </c>
      <c r="B31" s="62" t="s">
        <v>40</v>
      </c>
      <c r="C31" s="62"/>
      <c r="D31" s="62"/>
      <c r="E31" s="62"/>
      <c r="F31" s="62"/>
      <c r="G31" s="62"/>
      <c r="H31" s="62"/>
      <c r="I31" s="62"/>
    </row>
    <row r="32" spans="1:9" ht="18.75" x14ac:dyDescent="0.3">
      <c r="A32" s="1">
        <v>5</v>
      </c>
      <c r="B32" s="62" t="s">
        <v>41</v>
      </c>
      <c r="C32" s="62"/>
      <c r="D32" s="62"/>
      <c r="E32" s="62"/>
      <c r="F32" s="62"/>
      <c r="G32" s="62"/>
      <c r="H32" s="62"/>
      <c r="I32" s="62"/>
    </row>
    <row r="33" spans="1:9" ht="18.75" x14ac:dyDescent="0.3">
      <c r="A33" s="1">
        <v>6</v>
      </c>
      <c r="B33" s="62"/>
      <c r="C33" s="62"/>
      <c r="D33" s="62"/>
      <c r="E33" s="62"/>
      <c r="F33" s="62"/>
      <c r="G33" s="62"/>
      <c r="H33" s="62"/>
      <c r="I33" s="62"/>
    </row>
    <row r="34" spans="1:9" ht="18.75" x14ac:dyDescent="0.3">
      <c r="A34" s="1">
        <v>7</v>
      </c>
      <c r="B34" s="62" t="s">
        <v>46</v>
      </c>
      <c r="C34" s="62"/>
      <c r="D34" s="62"/>
      <c r="E34" s="62"/>
      <c r="F34" s="62"/>
      <c r="G34" s="62"/>
      <c r="H34" s="62"/>
      <c r="I34" s="62"/>
    </row>
    <row r="35" spans="1:9" ht="18.75" x14ac:dyDescent="0.3">
      <c r="A35" s="1">
        <v>8</v>
      </c>
      <c r="B35" s="62" t="s">
        <v>45</v>
      </c>
      <c r="C35" s="62"/>
      <c r="D35" s="62"/>
      <c r="E35" s="62"/>
      <c r="F35" s="62"/>
      <c r="G35" s="62"/>
      <c r="H35" s="62"/>
      <c r="I35" s="62"/>
    </row>
    <row r="36" spans="1:9" ht="18.75" x14ac:dyDescent="0.3">
      <c r="A36" s="1">
        <v>9</v>
      </c>
      <c r="B36" s="62" t="s">
        <v>44</v>
      </c>
      <c r="C36" s="62"/>
      <c r="D36" s="62"/>
      <c r="E36" s="62"/>
      <c r="F36" s="62"/>
      <c r="G36" s="62"/>
      <c r="H36" s="62"/>
      <c r="I36" s="62"/>
    </row>
    <row r="37" spans="1:9" ht="18.75" x14ac:dyDescent="0.3">
      <c r="A37" s="1">
        <v>10</v>
      </c>
      <c r="B37" s="62" t="s">
        <v>43</v>
      </c>
      <c r="C37" s="62"/>
      <c r="D37" s="62"/>
      <c r="E37" s="62"/>
      <c r="F37" s="62"/>
      <c r="G37" s="62"/>
      <c r="H37" s="62"/>
      <c r="I37" s="62"/>
    </row>
    <row r="38" spans="1:9" ht="18.75" x14ac:dyDescent="0.3">
      <c r="A38" s="1">
        <v>11</v>
      </c>
      <c r="B38" s="62" t="s">
        <v>42</v>
      </c>
      <c r="C38" s="62"/>
      <c r="D38" s="62"/>
      <c r="E38" s="62"/>
      <c r="F38" s="62"/>
      <c r="G38" s="62"/>
      <c r="H38" s="62"/>
      <c r="I38" s="62"/>
    </row>
    <row r="39" spans="1:9" ht="18.75" x14ac:dyDescent="0.3">
      <c r="A39" s="1">
        <v>12</v>
      </c>
      <c r="B39" s="62"/>
      <c r="C39" s="62"/>
      <c r="D39" s="62"/>
      <c r="E39" s="62"/>
      <c r="F39" s="62"/>
      <c r="G39" s="62"/>
      <c r="H39" s="62"/>
      <c r="I39" s="62"/>
    </row>
    <row r="40" spans="1:9" x14ac:dyDescent="0.25">
      <c r="A40" s="1">
        <v>13</v>
      </c>
    </row>
    <row r="41" spans="1:9" x14ac:dyDescent="0.25">
      <c r="A41" s="1">
        <v>14</v>
      </c>
      <c r="B41" t="s">
        <v>16</v>
      </c>
    </row>
    <row r="43" spans="1:9" x14ac:dyDescent="0.25">
      <c r="B43" s="23"/>
      <c r="C43" s="23"/>
      <c r="D43" s="24"/>
      <c r="E43" s="24"/>
      <c r="F43" s="23"/>
      <c r="G43" s="24"/>
      <c r="H43" s="23"/>
      <c r="I43" s="23"/>
    </row>
    <row r="44" spans="1:9" x14ac:dyDescent="0.25">
      <c r="B44" s="44" t="s">
        <v>17</v>
      </c>
      <c r="C44" s="44"/>
      <c r="E44" s="44" t="s">
        <v>18</v>
      </c>
      <c r="F44" s="44"/>
      <c r="G44" s="63" t="s">
        <v>28</v>
      </c>
      <c r="H44" s="63"/>
      <c r="I44" s="64" t="s">
        <v>18</v>
      </c>
    </row>
  </sheetData>
  <mergeCells count="17">
    <mergeCell ref="B37:I37"/>
    <mergeCell ref="E2:F2"/>
    <mergeCell ref="B26:I26"/>
    <mergeCell ref="B28:I28"/>
    <mergeCell ref="B29:I29"/>
    <mergeCell ref="B30:I30"/>
    <mergeCell ref="B31:I31"/>
    <mergeCell ref="B38:I38"/>
    <mergeCell ref="B39:I39"/>
    <mergeCell ref="B44:C44"/>
    <mergeCell ref="E44:F44"/>
    <mergeCell ref="G44:H44"/>
    <mergeCell ref="B32:I32"/>
    <mergeCell ref="B33:I33"/>
    <mergeCell ref="B34:I34"/>
    <mergeCell ref="B35:I35"/>
    <mergeCell ref="B36:I36"/>
  </mergeCells>
  <pageMargins left="0.7" right="0.7" top="0.75" bottom="0.75" header="0.3" footer="0.3"/>
  <pageSetup scale="61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CB49-E407-4007-A996-F604C351C843}">
  <dimension ref="A1"/>
  <sheetViews>
    <sheetView workbookViewId="0">
      <selection activeCell="I6" sqref="I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2040-BEF6-45EE-A56A-DE255EE9201D}">
  <dimension ref="A1"/>
  <sheetViews>
    <sheetView workbookViewId="0">
      <selection activeCell="G5" sqref="G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63C42F-3B52-40C9-B454-A7B6F3AFBB94}"/>
</file>

<file path=customXml/itemProps2.xml><?xml version="1.0" encoding="utf-8"?>
<ds:datastoreItem xmlns:ds="http://schemas.openxmlformats.org/officeDocument/2006/customXml" ds:itemID="{D473C68D-0765-4A11-AC63-6F7396D2EE68}"/>
</file>

<file path=customXml/itemProps3.xml><?xml version="1.0" encoding="utf-8"?>
<ds:datastoreItem xmlns:ds="http://schemas.openxmlformats.org/officeDocument/2006/customXml" ds:itemID="{7F51712A-8930-43F3-BBEE-90EF6DD069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Kit build</vt:lpstr>
      <vt:lpstr>PLATING </vt:lpstr>
      <vt:lpstr>Jollof Rice Sauce Base</vt:lpstr>
      <vt:lpstr>Jollof Rice Mix</vt:lpstr>
      <vt:lpstr>Tri Color Peppers</vt:lpstr>
      <vt:lpstr>Peri Peri CREAM Sauce</vt:lpstr>
      <vt:lpstr>PERI PERI Chicken Leg (2)</vt:lpstr>
      <vt:lpstr>nandos</vt:lpstr>
      <vt:lpstr>PLANTAIN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2025-07-23T16:16:42Z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