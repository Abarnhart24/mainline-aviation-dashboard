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goldberggroup-my.sharepoint.com/personal/chuynh_goldbergsgroup_com/Documents/Documents/Templates/"/>
    </mc:Choice>
  </mc:AlternateContent>
  <xr:revisionPtr revIDLastSave="57" documentId="8_{0DFCAF88-8890-43AE-A837-FECCBADBCB13}" xr6:coauthVersionLast="47" xr6:coauthVersionMax="47" xr10:uidLastSave="{8D55B3E1-B08D-47BF-9954-9ACF42019415}"/>
  <bookViews>
    <workbookView xWindow="10155" yWindow="0" windowWidth="10440" windowHeight="10905" activeTab="1" xr2:uid="{9D773142-25FF-402D-A059-87F5C56EFE7F}"/>
  </bookViews>
  <sheets>
    <sheet name="700 Kit build" sheetId="9" r:id="rId1"/>
    <sheet name="700- PLATING" sheetId="10" r:id="rId2"/>
    <sheet name="Chicken Brine" sheetId="17" r:id="rId3"/>
    <sheet name="Herb Brine" sheetId="16" r:id="rId4"/>
    <sheet name="Rosemary Jus" sheetId="15" r:id="rId5"/>
    <sheet name="Garlic Caper Marinade ." sheetId="14" r:id="rId6"/>
    <sheet name="Marinated Broccoli" sheetId="13" r:id="rId7"/>
    <sheet name="Veg Mirepoix" sheetId="12" r:id="rId8"/>
    <sheet name="Wild Rice Pilaf" sheetId="11" r:id="rId9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2" i="17" l="1"/>
  <c r="F20" i="17" s="1"/>
  <c r="G20" i="17" s="1"/>
  <c r="D22" i="16"/>
  <c r="G21" i="16"/>
  <c r="F21" i="16"/>
  <c r="G20" i="16"/>
  <c r="F20" i="16"/>
  <c r="G19" i="16"/>
  <c r="F19" i="16"/>
  <c r="G18" i="16"/>
  <c r="F18" i="16"/>
  <c r="G17" i="16"/>
  <c r="F17" i="16"/>
  <c r="G16" i="16"/>
  <c r="F16" i="16"/>
  <c r="G15" i="16"/>
  <c r="F15" i="16"/>
  <c r="G14" i="16"/>
  <c r="F14" i="16"/>
  <c r="G13" i="16"/>
  <c r="F13" i="16"/>
  <c r="G12" i="16"/>
  <c r="F12" i="16"/>
  <c r="G11" i="16"/>
  <c r="F11" i="16"/>
  <c r="G10" i="16"/>
  <c r="F10" i="16"/>
  <c r="G9" i="16"/>
  <c r="F9" i="16"/>
  <c r="G8" i="16"/>
  <c r="F8" i="16"/>
  <c r="G7" i="16"/>
  <c r="G22" i="16" s="1"/>
  <c r="G23" i="16" s="1"/>
  <c r="F7" i="16"/>
  <c r="F22" i="16" s="1"/>
  <c r="F10" i="17" l="1"/>
  <c r="G10" i="17" s="1"/>
  <c r="F14" i="17"/>
  <c r="G14" i="17" s="1"/>
  <c r="F18" i="17"/>
  <c r="G18" i="17" s="1"/>
  <c r="F7" i="17"/>
  <c r="F9" i="17"/>
  <c r="G9" i="17" s="1"/>
  <c r="F11" i="17"/>
  <c r="G11" i="17" s="1"/>
  <c r="F13" i="17"/>
  <c r="G13" i="17" s="1"/>
  <c r="F15" i="17"/>
  <c r="G15" i="17" s="1"/>
  <c r="F17" i="17"/>
  <c r="G17" i="17" s="1"/>
  <c r="F19" i="17"/>
  <c r="G19" i="17" s="1"/>
  <c r="F21" i="17"/>
  <c r="G21" i="17" s="1"/>
  <c r="F8" i="17"/>
  <c r="G8" i="17" s="1"/>
  <c r="F12" i="17"/>
  <c r="G12" i="17" s="1"/>
  <c r="F16" i="17"/>
  <c r="G16" i="17" s="1"/>
  <c r="G7" i="17" l="1"/>
  <c r="G22" i="17" s="1"/>
  <c r="G23" i="17" s="1"/>
  <c r="F22" i="17"/>
  <c r="D24" i="15" l="1"/>
  <c r="F12" i="15" s="1"/>
  <c r="G12" i="15" s="1"/>
  <c r="F18" i="15"/>
  <c r="G18" i="15" s="1"/>
  <c r="F16" i="15"/>
  <c r="G16" i="15" s="1"/>
  <c r="F14" i="15"/>
  <c r="G14" i="15" s="1"/>
  <c r="M13" i="15"/>
  <c r="F20" i="15" l="1"/>
  <c r="G20" i="15" s="1"/>
  <c r="F22" i="15"/>
  <c r="G22" i="15" s="1"/>
  <c r="F7" i="15"/>
  <c r="F11" i="15"/>
  <c r="G11" i="15" s="1"/>
  <c r="F15" i="15"/>
  <c r="G15" i="15" s="1"/>
  <c r="F17" i="15"/>
  <c r="G17" i="15" s="1"/>
  <c r="F19" i="15"/>
  <c r="G19" i="15" s="1"/>
  <c r="F21" i="15"/>
  <c r="G21" i="15" s="1"/>
  <c r="F23" i="15"/>
  <c r="G23" i="15" s="1"/>
  <c r="F9" i="15"/>
  <c r="G9" i="15" s="1"/>
  <c r="F13" i="15"/>
  <c r="G13" i="15" s="1"/>
  <c r="F8" i="15"/>
  <c r="G8" i="15" s="1"/>
  <c r="F10" i="15"/>
  <c r="G10" i="15" s="1"/>
  <c r="G7" i="15" l="1"/>
  <c r="G24" i="15" s="1"/>
  <c r="G25" i="15" s="1"/>
  <c r="F24" i="15"/>
  <c r="D24" i="14" l="1"/>
  <c r="F20" i="14" s="1"/>
  <c r="G20" i="14" s="1"/>
  <c r="D24" i="13"/>
  <c r="F23" i="13"/>
  <c r="G23" i="13" s="1"/>
  <c r="G22" i="13"/>
  <c r="F22" i="13"/>
  <c r="F21" i="13"/>
  <c r="G21" i="13" s="1"/>
  <c r="G20" i="13"/>
  <c r="F20" i="13"/>
  <c r="F19" i="13"/>
  <c r="G19" i="13" s="1"/>
  <c r="G18" i="13"/>
  <c r="F18" i="13"/>
  <c r="F17" i="13"/>
  <c r="G17" i="13" s="1"/>
  <c r="G16" i="13"/>
  <c r="F16" i="13"/>
  <c r="F15" i="13"/>
  <c r="G15" i="13" s="1"/>
  <c r="G14" i="13"/>
  <c r="F14" i="13"/>
  <c r="F13" i="13"/>
  <c r="G13" i="13" s="1"/>
  <c r="G12" i="13"/>
  <c r="F12" i="13"/>
  <c r="F11" i="13"/>
  <c r="G11" i="13" s="1"/>
  <c r="G10" i="13"/>
  <c r="F10" i="13"/>
  <c r="F9" i="13"/>
  <c r="G9" i="13" s="1"/>
  <c r="G8" i="13"/>
  <c r="F8" i="13"/>
  <c r="F7" i="13"/>
  <c r="G7" i="13" s="1"/>
  <c r="F8" i="14" l="1"/>
  <c r="G8" i="14" s="1"/>
  <c r="F10" i="14"/>
  <c r="G10" i="14" s="1"/>
  <c r="F14" i="14"/>
  <c r="G14" i="14" s="1"/>
  <c r="F18" i="14"/>
  <c r="G18" i="14" s="1"/>
  <c r="F22" i="14"/>
  <c r="G22" i="14" s="1"/>
  <c r="F7" i="14"/>
  <c r="F9" i="14"/>
  <c r="G9" i="14" s="1"/>
  <c r="F11" i="14"/>
  <c r="G11" i="14" s="1"/>
  <c r="F13" i="14"/>
  <c r="G13" i="14" s="1"/>
  <c r="F15" i="14"/>
  <c r="G15" i="14" s="1"/>
  <c r="F17" i="14"/>
  <c r="G17" i="14" s="1"/>
  <c r="F19" i="14"/>
  <c r="G19" i="14" s="1"/>
  <c r="F21" i="14"/>
  <c r="G21" i="14" s="1"/>
  <c r="F23" i="14"/>
  <c r="G23" i="14" s="1"/>
  <c r="F12" i="14"/>
  <c r="G12" i="14" s="1"/>
  <c r="F16" i="14"/>
  <c r="G16" i="14" s="1"/>
  <c r="G24" i="13"/>
  <c r="G25" i="13" s="1"/>
  <c r="F24" i="13"/>
  <c r="G7" i="14" l="1"/>
  <c r="G24" i="14" s="1"/>
  <c r="G25" i="14" s="1"/>
  <c r="F24" i="14"/>
  <c r="D24" i="12"/>
  <c r="F23" i="12" s="1"/>
  <c r="G23" i="12" s="1"/>
  <c r="F22" i="12"/>
  <c r="G22" i="12" s="1"/>
  <c r="F20" i="12"/>
  <c r="G20" i="12" s="1"/>
  <c r="F18" i="12"/>
  <c r="G18" i="12" s="1"/>
  <c r="F16" i="12"/>
  <c r="G16" i="12" s="1"/>
  <c r="F14" i="12"/>
  <c r="G14" i="12" s="1"/>
  <c r="F13" i="12"/>
  <c r="G13" i="12" s="1"/>
  <c r="F12" i="12"/>
  <c r="G12" i="12" s="1"/>
  <c r="F11" i="12"/>
  <c r="G11" i="12" s="1"/>
  <c r="F10" i="12"/>
  <c r="G10" i="12" s="1"/>
  <c r="F9" i="12"/>
  <c r="G9" i="12" s="1"/>
  <c r="F8" i="12"/>
  <c r="G8" i="12" s="1"/>
  <c r="F7" i="12"/>
  <c r="G7" i="12" s="1"/>
  <c r="D23" i="11"/>
  <c r="F22" i="11" s="1"/>
  <c r="G22" i="11" s="1"/>
  <c r="F21" i="11"/>
  <c r="G21" i="11" s="1"/>
  <c r="F19" i="11"/>
  <c r="G19" i="11" s="1"/>
  <c r="F17" i="11"/>
  <c r="G17" i="11" s="1"/>
  <c r="F15" i="11"/>
  <c r="G15" i="11" s="1"/>
  <c r="F13" i="11"/>
  <c r="G13" i="11" s="1"/>
  <c r="F11" i="11"/>
  <c r="G11" i="11" s="1"/>
  <c r="F9" i="11"/>
  <c r="G9" i="11" s="1"/>
  <c r="F7" i="11"/>
  <c r="F15" i="12" l="1"/>
  <c r="G15" i="12" s="1"/>
  <c r="G24" i="12" s="1"/>
  <c r="G25" i="12" s="1"/>
  <c r="F17" i="12"/>
  <c r="G17" i="12" s="1"/>
  <c r="F19" i="12"/>
  <c r="G19" i="12" s="1"/>
  <c r="F21" i="12"/>
  <c r="G21" i="12" s="1"/>
  <c r="G7" i="11"/>
  <c r="F8" i="11"/>
  <c r="G8" i="11" s="1"/>
  <c r="F10" i="11"/>
  <c r="G10" i="11" s="1"/>
  <c r="F12" i="11"/>
  <c r="G12" i="11" s="1"/>
  <c r="F14" i="11"/>
  <c r="G14" i="11" s="1"/>
  <c r="F16" i="11"/>
  <c r="G16" i="11" s="1"/>
  <c r="F18" i="11"/>
  <c r="G18" i="11" s="1"/>
  <c r="F20" i="11"/>
  <c r="G20" i="11" s="1"/>
  <c r="F24" i="12" l="1"/>
  <c r="G23" i="11"/>
  <c r="G24" i="11" s="1"/>
  <c r="F23" i="11"/>
  <c r="D24" i="10"/>
  <c r="F23" i="10" s="1"/>
  <c r="G23" i="10" s="1"/>
  <c r="F18" i="10"/>
  <c r="G18" i="10" s="1"/>
  <c r="F16" i="10"/>
  <c r="G16" i="10" s="1"/>
  <c r="F12" i="10"/>
  <c r="G12" i="10" s="1"/>
  <c r="F10" i="10"/>
  <c r="F8" i="10"/>
  <c r="G8" i="10" s="1"/>
  <c r="F20" i="10" l="1"/>
  <c r="G20" i="10" s="1"/>
  <c r="F14" i="10"/>
  <c r="G14" i="10" s="1"/>
  <c r="F22" i="10"/>
  <c r="G22" i="10" s="1"/>
  <c r="G10" i="10"/>
  <c r="F7" i="10"/>
  <c r="F9" i="10"/>
  <c r="G9" i="10" s="1"/>
  <c r="F11" i="10"/>
  <c r="G11" i="10" s="1"/>
  <c r="F13" i="10"/>
  <c r="G13" i="10" s="1"/>
  <c r="F15" i="10"/>
  <c r="G15" i="10" s="1"/>
  <c r="F17" i="10"/>
  <c r="G17" i="10" s="1"/>
  <c r="F19" i="10"/>
  <c r="G19" i="10" s="1"/>
  <c r="F21" i="10"/>
  <c r="G21" i="10" s="1"/>
  <c r="G7" i="10" l="1"/>
  <c r="G24" i="10" s="1"/>
  <c r="F24" i="10"/>
  <c r="F23" i="9" l="1"/>
  <c r="F22" i="9"/>
  <c r="F21" i="9"/>
  <c r="F20" i="9"/>
  <c r="F19" i="9"/>
  <c r="F18" i="9"/>
  <c r="F17" i="9"/>
  <c r="F16" i="9"/>
  <c r="F15" i="9"/>
  <c r="F14" i="9"/>
  <c r="F13" i="9"/>
  <c r="F12" i="9"/>
  <c r="F11" i="9"/>
  <c r="F10" i="9"/>
  <c r="F9" i="9"/>
  <c r="F8" i="9"/>
  <c r="F7" i="9"/>
</calcChain>
</file>

<file path=xl/sharedStrings.xml><?xml version="1.0" encoding="utf-8"?>
<sst xmlns="http://schemas.openxmlformats.org/spreadsheetml/2006/main" count="458" uniqueCount="122">
  <si>
    <t>Formula Name:</t>
  </si>
  <si>
    <t>R&amp;D ID Number:</t>
  </si>
  <si>
    <t>Version #:</t>
  </si>
  <si>
    <t>Batch Number:</t>
  </si>
  <si>
    <t>Item Number</t>
  </si>
  <si>
    <t>Description</t>
  </si>
  <si>
    <t>Original Fromula</t>
  </si>
  <si>
    <t>UOM</t>
  </si>
  <si>
    <t>%</t>
  </si>
  <si>
    <t>Desired (lb)</t>
  </si>
  <si>
    <t>Lot Code</t>
  </si>
  <si>
    <t>Notes</t>
  </si>
  <si>
    <t>Total Sample Formula Weight:</t>
  </si>
  <si>
    <t>Total Weight</t>
  </si>
  <si>
    <t>Procedure</t>
  </si>
  <si>
    <t>Batch Formula Instructions</t>
  </si>
  <si>
    <t xml:space="preserve">By signing this sheet the operator is confirming that all information recorded is accurate and that all steps and procedures have been followed as listed. </t>
  </si>
  <si>
    <t>Operator Signature</t>
  </si>
  <si>
    <t>Date</t>
  </si>
  <si>
    <t xml:space="preserve">                    Reviewed By</t>
  </si>
  <si>
    <t xml:space="preserve">                                          Date</t>
  </si>
  <si>
    <t>Desired BOWLS (ea):</t>
  </si>
  <si>
    <t>Desired QTY (lb):</t>
  </si>
  <si>
    <t>Yield Loss:</t>
  </si>
  <si>
    <t>lb</t>
  </si>
  <si>
    <t>Weight After Yield Loss</t>
  </si>
  <si>
    <t>GM</t>
  </si>
  <si>
    <t>Water</t>
  </si>
  <si>
    <t>Desired Cases:</t>
  </si>
  <si>
    <t>Desired Qty</t>
  </si>
  <si>
    <t>Each</t>
  </si>
  <si>
    <t>LB</t>
  </si>
  <si>
    <t>Original formula builds one kit.</t>
  </si>
  <si>
    <t xml:space="preserve">Pack all items according to the build and label the master case. </t>
  </si>
  <si>
    <t>Hold under refrigeration below 41 degrees for shipping</t>
  </si>
  <si>
    <t xml:space="preserve">700 - VA C2 PREM. ENT 1 - CHICKEN </t>
  </si>
  <si>
    <t>Wild Rice Pilaf</t>
  </si>
  <si>
    <t xml:space="preserve">Marinated Broccoli </t>
  </si>
  <si>
    <t>Blanched Snap Peas</t>
  </si>
  <si>
    <t>Thyme Jus</t>
  </si>
  <si>
    <t>25-013</t>
  </si>
  <si>
    <t>LEMON ROASTED AIRLINE CHICKEN BREAST</t>
  </si>
  <si>
    <t>Cooked Wild Rice Pilaf</t>
  </si>
  <si>
    <t>Uncle Bens Wild Rice Pilaf cooked</t>
  </si>
  <si>
    <t>Veg MirePoix</t>
  </si>
  <si>
    <t>Rehydrated Cranberry</t>
  </si>
  <si>
    <t xml:space="preserve">Add all ingredients to a pot and Bring to a Simmer </t>
  </si>
  <si>
    <t>Cook For 20 minutes covered and them remove from heat</t>
  </si>
  <si>
    <t>Cool And Store Below 40F untile Ready for use or pack out</t>
  </si>
  <si>
    <t>Veg Mirepoix</t>
  </si>
  <si>
    <t>C012</t>
  </si>
  <si>
    <t>Carrots 1/4 in Dice</t>
  </si>
  <si>
    <t>Celery 1/4 in Dice</t>
  </si>
  <si>
    <t>C057</t>
  </si>
  <si>
    <t>Yellow Onion 1/4 Dice</t>
  </si>
  <si>
    <t>D109</t>
  </si>
  <si>
    <t>Blended Oil</t>
  </si>
  <si>
    <t>D090</t>
  </si>
  <si>
    <t>Salt</t>
  </si>
  <si>
    <t>D321</t>
  </si>
  <si>
    <t>Black Pepper Fine</t>
  </si>
  <si>
    <t>D051</t>
  </si>
  <si>
    <t>Garlic Mince Rehydrated</t>
  </si>
  <si>
    <t>Heat Oil over Medium heat</t>
  </si>
  <si>
    <t>Add in celery,onion,carrots and begin to sautee</t>
  </si>
  <si>
    <t>Then add in seasoning and garlic, Continue to stir until Veg Started to Soften and Onions are beginning to become Translucent</t>
  </si>
  <si>
    <t>Remove from Heat for use</t>
  </si>
  <si>
    <t>Marinated Broccoli</t>
  </si>
  <si>
    <t>Blanched Broccoli</t>
  </si>
  <si>
    <t>Garlic Caper Marinade</t>
  </si>
  <si>
    <t xml:space="preserve">Toss Ingredients together </t>
  </si>
  <si>
    <t>Store Below 40F until ready for pack out</t>
  </si>
  <si>
    <t>Garlice Mince, Rehydrated</t>
  </si>
  <si>
    <t xml:space="preserve">Capers </t>
  </si>
  <si>
    <t>Salt, Kosher</t>
  </si>
  <si>
    <t>Blend all ingredients together until smooth ande emulsified</t>
  </si>
  <si>
    <t>Rosemary Chicken Jus</t>
  </si>
  <si>
    <t>1-1.12.24</t>
  </si>
  <si>
    <t>Chicken Base (Poulet Classique Flavor 21-111-GF)</t>
  </si>
  <si>
    <t xml:space="preserve">Lemon Juice </t>
  </si>
  <si>
    <t>Thyme, Ground</t>
  </si>
  <si>
    <t>Oregano, Ground</t>
  </si>
  <si>
    <t>Salt, Sea</t>
  </si>
  <si>
    <t>Pepper, White</t>
  </si>
  <si>
    <t>Starch, Thermflo</t>
  </si>
  <si>
    <t>Savory Flavor</t>
  </si>
  <si>
    <t>Rosemary, Fresh, Minced</t>
  </si>
  <si>
    <t>Butter</t>
  </si>
  <si>
    <t>Combine all ingredients and mix well until all is fully incorporated.</t>
  </si>
  <si>
    <t xml:space="preserve">Hold at 41F until ready to use. </t>
  </si>
  <si>
    <t>S196</t>
  </si>
  <si>
    <t xml:space="preserve">BAG 5# - VACUUM 10X16" 3mm </t>
  </si>
  <si>
    <t>S055</t>
  </si>
  <si>
    <t>LABELS 4X6"</t>
  </si>
  <si>
    <t>S030</t>
  </si>
  <si>
    <t>BOX LATKE MC</t>
  </si>
  <si>
    <t>S013</t>
  </si>
  <si>
    <t>BAG 2# - VACUUM 8X10" 3mm</t>
  </si>
  <si>
    <t>Lemon Herb Brine</t>
  </si>
  <si>
    <t>Original Formula</t>
  </si>
  <si>
    <t>Sugar, White, Granulated</t>
  </si>
  <si>
    <t>Thyme, Fresh</t>
  </si>
  <si>
    <t>Black Peppercorns</t>
  </si>
  <si>
    <t>Lemon, Zest</t>
  </si>
  <si>
    <t>Oregano, Fresh</t>
  </si>
  <si>
    <t>Ice</t>
  </si>
  <si>
    <t>Combine all ingredietns EXCEPT the Ice into a kettle and bring to 180F or until sugar and salt is dissolved.</t>
  </si>
  <si>
    <t>Once everything is dissolved discharge the brine into a container and add the ice to throughly chill the brine.</t>
  </si>
  <si>
    <t>Once the brine is 41F it is ready for the chicken.</t>
  </si>
  <si>
    <t>Brine the Chicken in the morning so it can hold under 41F overnight.</t>
  </si>
  <si>
    <t>Reviewed By</t>
  </si>
  <si>
    <t>Chicken Brine</t>
  </si>
  <si>
    <t>Chicken, Airline Breast</t>
  </si>
  <si>
    <t>In a Lexan add 60 pounds of Airline Chicken Breast.</t>
  </si>
  <si>
    <t xml:space="preserve">Add exactly 20 pounds of the Herb Brine to the Chicken and all chicken to brine for 8 hours.  </t>
  </si>
  <si>
    <t>GEN 25-219</t>
  </si>
  <si>
    <t>25-081</t>
  </si>
  <si>
    <t>GEN 25-014</t>
  </si>
  <si>
    <t>GEN 25-220</t>
  </si>
  <si>
    <t>GEN 25-221</t>
  </si>
  <si>
    <t>25-018</t>
  </si>
  <si>
    <t>25-222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</si>
</sst>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0.0000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rgb="FF000000"/>
      <name val="Arial"/>
      <family val="2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65">
    <xf numFmtId="0" fontId="0" fillId="0" borderId="0" xfId="0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2" borderId="1" xfId="0" applyFont="1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2" fillId="2" borderId="2" xfId="0" applyFont="1" applyFill="1" applyBorder="1"/>
    <xf numFmtId="0" fontId="2" fillId="2" borderId="2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left"/>
    </xf>
    <xf numFmtId="0" fontId="2" fillId="2" borderId="3" xfId="0" applyFont="1" applyFill="1" applyBorder="1" applyAlignment="1" applyProtection="1">
      <alignment horizontal="left"/>
      <protection locked="0"/>
    </xf>
    <xf numFmtId="0" fontId="2" fillId="0" borderId="0" xfId="0" applyFont="1"/>
    <xf numFmtId="0" fontId="0" fillId="3" borderId="0" xfId="0" applyFill="1" applyAlignment="1" applyProtection="1">
      <alignment horizontal="center"/>
      <protection locked="0"/>
    </xf>
    <xf numFmtId="0" fontId="2" fillId="0" borderId="4" xfId="0" applyFont="1" applyBorder="1" applyAlignment="1">
      <alignment horizontal="center"/>
    </xf>
    <xf numFmtId="0" fontId="0" fillId="0" borderId="4" xfId="0" applyBorder="1"/>
    <xf numFmtId="0" fontId="0" fillId="0" borderId="4" xfId="0" applyBorder="1" applyAlignment="1">
      <alignment horizontal="center"/>
    </xf>
    <xf numFmtId="10" fontId="0" fillId="0" borderId="4" xfId="2" applyNumberFormat="1" applyFont="1" applyBorder="1" applyAlignment="1">
      <alignment horizontal="center"/>
    </xf>
    <xf numFmtId="2" fontId="0" fillId="3" borderId="4" xfId="1" applyNumberFormat="1" applyFont="1" applyFill="1" applyBorder="1" applyAlignment="1">
      <alignment horizontal="center"/>
    </xf>
    <xf numFmtId="0" fontId="0" fillId="0" borderId="4" xfId="0" applyBorder="1" applyProtection="1">
      <protection locked="0"/>
    </xf>
    <xf numFmtId="0" fontId="2" fillId="0" borderId="0" xfId="0" applyFont="1" applyAlignment="1">
      <alignment horizontal="right"/>
    </xf>
    <xf numFmtId="10" fontId="2" fillId="0" borderId="0" xfId="0" applyNumberFormat="1" applyFont="1" applyAlignment="1">
      <alignment horizontal="center"/>
    </xf>
    <xf numFmtId="0" fontId="0" fillId="4" borderId="0" xfId="0" applyFill="1"/>
    <xf numFmtId="2" fontId="0" fillId="0" borderId="0" xfId="0" applyNumberFormat="1" applyAlignment="1">
      <alignment horizontal="center"/>
    </xf>
    <xf numFmtId="0" fontId="3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0" fontId="0" fillId="0" borderId="7" xfId="0" applyBorder="1"/>
    <xf numFmtId="0" fontId="0" fillId="0" borderId="7" xfId="0" applyBorder="1" applyAlignment="1">
      <alignment horizontal="center"/>
    </xf>
    <xf numFmtId="9" fontId="0" fillId="0" borderId="0" xfId="2" applyFont="1" applyFill="1" applyAlignment="1">
      <alignment horizontal="center"/>
    </xf>
    <xf numFmtId="0" fontId="0" fillId="5" borderId="4" xfId="0" applyFill="1" applyBorder="1" applyProtection="1">
      <protection locked="0"/>
    </xf>
    <xf numFmtId="164" fontId="0" fillId="4" borderId="0" xfId="0" applyNumberFormat="1" applyFill="1" applyAlignment="1">
      <alignment horizontal="center"/>
    </xf>
    <xf numFmtId="9" fontId="0" fillId="6" borderId="0" xfId="2" applyFont="1" applyFill="1" applyAlignment="1">
      <alignment horizontal="center"/>
    </xf>
    <xf numFmtId="2" fontId="0" fillId="4" borderId="0" xfId="0" applyNumberFormat="1" applyFill="1" applyAlignment="1">
      <alignment horizontal="center"/>
    </xf>
    <xf numFmtId="0" fontId="0" fillId="2" borderId="2" xfId="0" applyFill="1" applyBorder="1" applyAlignment="1">
      <alignment horizontal="left"/>
    </xf>
    <xf numFmtId="0" fontId="0" fillId="0" borderId="4" xfId="0" applyBorder="1"/>
    <xf numFmtId="0" fontId="0" fillId="0" borderId="0" xfId="0" applyAlignment="1">
      <alignment horizontal="center"/>
    </xf>
    <xf numFmtId="0" fontId="0" fillId="0" borderId="8" xfId="0" applyBorder="1" applyAlignment="1">
      <alignment horizontal="center"/>
    </xf>
    <xf numFmtId="44" fontId="0" fillId="0" borderId="5" xfId="1" applyFont="1" applyBorder="1" applyAlignment="1" applyProtection="1">
      <alignment horizontal="center"/>
      <protection locked="0"/>
    </xf>
    <xf numFmtId="44" fontId="0" fillId="0" borderId="6" xfId="1" applyFont="1" applyBorder="1" applyAlignment="1" applyProtection="1">
      <alignment horizontal="center"/>
      <protection locked="0"/>
    </xf>
    <xf numFmtId="0" fontId="3" fillId="2" borderId="4" xfId="0" applyFont="1" applyFill="1" applyBorder="1" applyAlignment="1">
      <alignment horizontal="center"/>
    </xf>
    <xf numFmtId="0" fontId="0" fillId="2" borderId="2" xfId="0" applyFill="1" applyBorder="1" applyAlignment="1">
      <alignment horizontal="left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0" fillId="0" borderId="5" xfId="0" applyBorder="1"/>
    <xf numFmtId="0" fontId="0" fillId="0" borderId="9" xfId="0" applyBorder="1"/>
    <xf numFmtId="0" fontId="0" fillId="0" borderId="6" xfId="0" applyBorder="1"/>
    <xf numFmtId="0" fontId="0" fillId="5" borderId="5" xfId="0" applyFill="1" applyBorder="1"/>
    <xf numFmtId="0" fontId="0" fillId="5" borderId="9" xfId="0" applyFill="1" applyBorder="1"/>
    <xf numFmtId="0" fontId="0" fillId="5" borderId="6" xfId="0" applyFill="1" applyBorder="1"/>
    <xf numFmtId="0" fontId="4" fillId="0" borderId="4" xfId="0" applyFont="1" applyBorder="1" applyAlignment="1">
      <alignment horizontal="center" vertical="center"/>
    </xf>
    <xf numFmtId="164" fontId="0" fillId="5" borderId="0" xfId="0" applyNumberFormat="1" applyFill="1" applyAlignment="1">
      <alignment horizontal="center"/>
    </xf>
    <xf numFmtId="0" fontId="0" fillId="5" borderId="0" xfId="0" applyFill="1"/>
    <xf numFmtId="0" fontId="0" fillId="0" borderId="10" xfId="0" applyBorder="1"/>
    <xf numFmtId="0" fontId="0" fillId="0" borderId="10" xfId="0" applyBorder="1" applyAlignment="1">
      <alignment wrapText="1"/>
    </xf>
    <xf numFmtId="0" fontId="0" fillId="0" borderId="11" xfId="0" applyBorder="1"/>
    <xf numFmtId="0" fontId="5" fillId="0" borderId="4" xfId="0" applyFont="1" applyBorder="1"/>
    <xf numFmtId="0" fontId="5" fillId="0" borderId="4" xfId="0" applyFont="1" applyBorder="1" applyAlignment="1">
      <alignment horizontal="center"/>
    </xf>
    <xf numFmtId="10" fontId="5" fillId="0" borderId="4" xfId="2" applyNumberFormat="1" applyFont="1" applyBorder="1" applyAlignment="1">
      <alignment horizontal="center"/>
    </xf>
    <xf numFmtId="2" fontId="5" fillId="3" borderId="4" xfId="1" applyNumberFormat="1" applyFont="1" applyFill="1" applyBorder="1" applyAlignment="1">
      <alignment horizontal="center"/>
    </xf>
    <xf numFmtId="44" fontId="5" fillId="0" borderId="5" xfId="1" applyFont="1" applyBorder="1" applyAlignment="1" applyProtection="1">
      <alignment horizontal="center"/>
      <protection locked="0"/>
    </xf>
    <xf numFmtId="44" fontId="5" fillId="0" borderId="6" xfId="1" applyFont="1" applyBorder="1" applyAlignment="1" applyProtection="1">
      <alignment horizontal="center"/>
      <protection locked="0"/>
    </xf>
    <xf numFmtId="0" fontId="5" fillId="0" borderId="4" xfId="0" applyFont="1" applyBorder="1" applyProtection="1">
      <protection locked="0"/>
    </xf>
    <xf numFmtId="44" fontId="5" fillId="0" borderId="5" xfId="1" applyFont="1" applyBorder="1" applyAlignment="1" applyProtection="1">
      <alignment horizontal="center"/>
      <protection locked="0"/>
    </xf>
    <xf numFmtId="44" fontId="5" fillId="0" borderId="6" xfId="1" applyFont="1" applyBorder="1" applyAlignment="1" applyProtection="1">
      <alignment horizontal="center"/>
      <protection locked="0"/>
    </xf>
    <xf numFmtId="9" fontId="0" fillId="4" borderId="0" xfId="2" applyFont="1" applyFill="1" applyAlignment="1">
      <alignment horizontal="center"/>
    </xf>
    <xf numFmtId="0" fontId="6" fillId="0" borderId="0" xfId="0" applyFont="1" applyAlignment="1">
      <alignment horizontal="center"/>
    </xf>
    <xf numFmtId="0" fontId="7" fillId="0" borderId="4" xfId="0" applyFont="1" applyBorder="1"/>
    <xf numFmtId="0" fontId="0" fillId="2" borderId="2" xfId="0" applyFill="1" applyBorder="1" applyAlignment="1">
      <alignment horizontal="center" wrapText="1"/>
    </xf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337C5E-6455-44A3-91E5-84755CB466CD}">
  <sheetPr>
    <pageSetUpPr fitToPage="1"/>
  </sheetPr>
  <dimension ref="A1:I43"/>
  <sheetViews>
    <sheetView topLeftCell="B1" zoomScale="85" zoomScaleNormal="85" workbookViewId="0">
      <selection activeCell="D24" sqref="D24"/>
    </sheetView>
  </sheetViews>
  <sheetFormatPr defaultRowHeight="15" x14ac:dyDescent="0.25"/>
  <cols>
    <col min="1" max="1" width="3.5703125" style="1" customWidth="1"/>
    <col min="2" max="2" width="21.42578125" customWidth="1"/>
    <col min="3" max="3" width="41.7109375" bestFit="1" customWidth="1"/>
    <col min="4" max="4" width="17.5703125" style="2" customWidth="1"/>
    <col min="5" max="5" width="6.5703125" style="2" customWidth="1"/>
    <col min="6" max="6" width="12.5703125" style="2" customWidth="1"/>
    <col min="7" max="8" width="12.5703125" customWidth="1"/>
    <col min="9" max="9" width="37.42578125" customWidth="1"/>
  </cols>
  <sheetData>
    <row r="1" spans="1:9" ht="15.75" thickBot="1" x14ac:dyDescent="0.3"/>
    <row r="2" spans="1:9" ht="15.75" thickBot="1" x14ac:dyDescent="0.3">
      <c r="B2" s="3" t="s">
        <v>0</v>
      </c>
      <c r="C2" s="4" t="s">
        <v>35</v>
      </c>
      <c r="D2" s="5" t="s">
        <v>1</v>
      </c>
      <c r="E2" s="30"/>
      <c r="F2" s="4"/>
      <c r="G2" s="6" t="s">
        <v>2</v>
      </c>
      <c r="H2" s="7"/>
      <c r="I2" s="8" t="s">
        <v>3</v>
      </c>
    </row>
    <row r="3" spans="1:9" ht="5.25" customHeight="1" x14ac:dyDescent="0.25">
      <c r="B3" s="1"/>
      <c r="D3" s="9"/>
      <c r="G3" s="1"/>
      <c r="H3" s="1"/>
      <c r="I3" s="2"/>
    </row>
    <row r="4" spans="1:9" x14ac:dyDescent="0.25">
      <c r="B4" s="2" t="s">
        <v>28</v>
      </c>
      <c r="C4" s="10">
        <v>1</v>
      </c>
      <c r="D4" s="9"/>
      <c r="F4" s="25"/>
      <c r="H4" s="1"/>
      <c r="I4" s="2"/>
    </row>
    <row r="5" spans="1:9" ht="5.25" customHeight="1" x14ac:dyDescent="0.25">
      <c r="B5" s="1"/>
      <c r="C5">
        <v>5</v>
      </c>
      <c r="D5" s="9"/>
      <c r="G5" s="1"/>
      <c r="H5" s="1"/>
      <c r="I5" s="2"/>
    </row>
    <row r="6" spans="1:9" x14ac:dyDescent="0.25">
      <c r="B6" s="11" t="s">
        <v>4</v>
      </c>
      <c r="C6" s="11" t="s">
        <v>5</v>
      </c>
      <c r="D6" s="11" t="s">
        <v>6</v>
      </c>
      <c r="E6" s="11" t="s">
        <v>7</v>
      </c>
      <c r="F6" s="11" t="s">
        <v>29</v>
      </c>
      <c r="G6" s="38" t="s">
        <v>10</v>
      </c>
      <c r="H6" s="39"/>
      <c r="I6" s="11" t="s">
        <v>11</v>
      </c>
    </row>
    <row r="7" spans="1:9" x14ac:dyDescent="0.25">
      <c r="A7" s="1">
        <v>1</v>
      </c>
      <c r="B7" s="12"/>
      <c r="C7" s="46" t="s">
        <v>36</v>
      </c>
      <c r="D7" s="13">
        <v>3</v>
      </c>
      <c r="E7" s="13" t="s">
        <v>31</v>
      </c>
      <c r="F7" s="15">
        <f>C4*D7</f>
        <v>3</v>
      </c>
      <c r="G7" s="34"/>
      <c r="H7" s="35"/>
      <c r="I7" s="26"/>
    </row>
    <row r="8" spans="1:9" x14ac:dyDescent="0.25">
      <c r="A8" s="1">
        <v>2</v>
      </c>
      <c r="B8" s="12"/>
      <c r="C8" s="46" t="s">
        <v>37</v>
      </c>
      <c r="D8" s="2">
        <v>1.5</v>
      </c>
      <c r="E8" s="13" t="s">
        <v>31</v>
      </c>
      <c r="F8" s="15">
        <f>C4*D8</f>
        <v>1.5</v>
      </c>
      <c r="G8" s="34"/>
      <c r="H8" s="35"/>
      <c r="I8" s="16"/>
    </row>
    <row r="9" spans="1:9" x14ac:dyDescent="0.25">
      <c r="A9" s="1">
        <v>3</v>
      </c>
      <c r="B9" s="12"/>
      <c r="C9" s="46" t="s">
        <v>38</v>
      </c>
      <c r="D9" s="13">
        <v>1</v>
      </c>
      <c r="E9" s="13" t="s">
        <v>31</v>
      </c>
      <c r="F9" s="15">
        <f>C4*D9</f>
        <v>1</v>
      </c>
      <c r="G9" s="34"/>
      <c r="H9" s="35"/>
      <c r="I9" s="16"/>
    </row>
    <row r="10" spans="1:9" x14ac:dyDescent="0.25">
      <c r="A10" s="1">
        <v>4</v>
      </c>
      <c r="B10" s="12"/>
      <c r="C10" s="46" t="s">
        <v>39</v>
      </c>
      <c r="D10" s="13">
        <v>1.5</v>
      </c>
      <c r="E10" s="13" t="s">
        <v>31</v>
      </c>
      <c r="F10" s="15">
        <f>C4*D10</f>
        <v>1.5</v>
      </c>
      <c r="G10" s="34"/>
      <c r="H10" s="35"/>
      <c r="I10" s="16"/>
    </row>
    <row r="11" spans="1:9" x14ac:dyDescent="0.25">
      <c r="A11" s="1">
        <v>5</v>
      </c>
      <c r="B11" s="12"/>
      <c r="C11" s="46"/>
      <c r="D11" s="13">
        <v>1</v>
      </c>
      <c r="E11" s="13" t="s">
        <v>30</v>
      </c>
      <c r="F11" s="15">
        <f>C4*D11</f>
        <v>1</v>
      </c>
      <c r="G11" s="34"/>
      <c r="H11" s="35"/>
      <c r="I11" s="16"/>
    </row>
    <row r="12" spans="1:9" x14ac:dyDescent="0.25">
      <c r="A12" s="1">
        <v>6</v>
      </c>
      <c r="B12" s="13" t="s">
        <v>90</v>
      </c>
      <c r="C12" s="13" t="s">
        <v>91</v>
      </c>
      <c r="D12" s="13">
        <v>1</v>
      </c>
      <c r="E12" s="13" t="s">
        <v>30</v>
      </c>
      <c r="F12" s="15">
        <f>C4*D12</f>
        <v>1</v>
      </c>
      <c r="G12" s="34"/>
      <c r="H12" s="35"/>
      <c r="I12" s="16"/>
    </row>
    <row r="13" spans="1:9" x14ac:dyDescent="0.25">
      <c r="A13" s="1">
        <v>7</v>
      </c>
      <c r="B13" s="13" t="s">
        <v>92</v>
      </c>
      <c r="C13" s="13" t="s">
        <v>93</v>
      </c>
      <c r="D13" s="13">
        <v>5</v>
      </c>
      <c r="E13" s="13" t="s">
        <v>30</v>
      </c>
      <c r="F13" s="15">
        <f t="shared" ref="F13" si="0">C5*D13</f>
        <v>25</v>
      </c>
      <c r="G13" s="34"/>
      <c r="H13" s="35"/>
      <c r="I13" s="16"/>
    </row>
    <row r="14" spans="1:9" x14ac:dyDescent="0.25">
      <c r="A14" s="1">
        <v>8</v>
      </c>
      <c r="B14" s="13" t="s">
        <v>94</v>
      </c>
      <c r="C14" s="13" t="s">
        <v>95</v>
      </c>
      <c r="D14" s="13">
        <v>1</v>
      </c>
      <c r="E14" s="13" t="s">
        <v>30</v>
      </c>
      <c r="F14" s="15">
        <f>C4*D14</f>
        <v>1</v>
      </c>
      <c r="G14" s="34"/>
      <c r="H14" s="35"/>
      <c r="I14" s="16"/>
    </row>
    <row r="15" spans="1:9" x14ac:dyDescent="0.25">
      <c r="A15" s="1">
        <v>9</v>
      </c>
      <c r="B15" s="13" t="s">
        <v>96</v>
      </c>
      <c r="C15" s="13" t="s">
        <v>97</v>
      </c>
      <c r="D15" s="13">
        <v>3</v>
      </c>
      <c r="E15" s="13" t="s">
        <v>30</v>
      </c>
      <c r="F15" s="15">
        <f>C4*D15</f>
        <v>3</v>
      </c>
      <c r="G15" s="34"/>
      <c r="H15" s="35"/>
      <c r="I15" s="16"/>
    </row>
    <row r="16" spans="1:9" x14ac:dyDescent="0.25">
      <c r="A16" s="1">
        <v>10</v>
      </c>
      <c r="B16" s="12"/>
      <c r="C16" s="12"/>
      <c r="D16" s="13"/>
      <c r="E16" s="13"/>
      <c r="F16" s="15">
        <f>C4*D16</f>
        <v>0</v>
      </c>
      <c r="G16" s="34"/>
      <c r="H16" s="35"/>
      <c r="I16" s="16"/>
    </row>
    <row r="17" spans="1:9" x14ac:dyDescent="0.25">
      <c r="A17" s="1">
        <v>11</v>
      </c>
      <c r="B17" s="12"/>
      <c r="C17" s="12"/>
      <c r="D17" s="13"/>
      <c r="E17" s="13"/>
      <c r="F17" s="15">
        <f>C4*D17</f>
        <v>0</v>
      </c>
      <c r="G17" s="34"/>
      <c r="H17" s="35"/>
      <c r="I17" s="16"/>
    </row>
    <row r="18" spans="1:9" x14ac:dyDescent="0.25">
      <c r="A18" s="1">
        <v>12</v>
      </c>
      <c r="B18" s="12"/>
      <c r="C18" s="12"/>
      <c r="D18" s="13"/>
      <c r="E18" s="13"/>
      <c r="F18" s="15">
        <f>C4*D18</f>
        <v>0</v>
      </c>
      <c r="G18" s="34"/>
      <c r="H18" s="35"/>
      <c r="I18" s="16"/>
    </row>
    <row r="19" spans="1:9" x14ac:dyDescent="0.25">
      <c r="A19" s="1">
        <v>13</v>
      </c>
      <c r="B19" s="12"/>
      <c r="C19" s="12"/>
      <c r="D19" s="13"/>
      <c r="E19" s="13"/>
      <c r="F19" s="15">
        <f>C4*D19</f>
        <v>0</v>
      </c>
      <c r="G19" s="34"/>
      <c r="H19" s="35"/>
      <c r="I19" s="16"/>
    </row>
    <row r="20" spans="1:9" x14ac:dyDescent="0.25">
      <c r="A20" s="1">
        <v>14</v>
      </c>
      <c r="B20" s="12"/>
      <c r="C20" s="12"/>
      <c r="D20" s="13"/>
      <c r="E20" s="13"/>
      <c r="F20" s="15">
        <f>C4*D20</f>
        <v>0</v>
      </c>
      <c r="G20" s="34"/>
      <c r="H20" s="35"/>
      <c r="I20" s="16"/>
    </row>
    <row r="21" spans="1:9" x14ac:dyDescent="0.25">
      <c r="A21" s="1">
        <v>15</v>
      </c>
      <c r="B21" s="12"/>
      <c r="C21" s="12"/>
      <c r="D21" s="13"/>
      <c r="E21" s="13"/>
      <c r="F21" s="15">
        <f>C4*D21</f>
        <v>0</v>
      </c>
      <c r="G21" s="34"/>
      <c r="H21" s="35"/>
      <c r="I21" s="16"/>
    </row>
    <row r="22" spans="1:9" x14ac:dyDescent="0.25">
      <c r="A22" s="1">
        <v>16</v>
      </c>
      <c r="B22" s="12"/>
      <c r="C22" s="12"/>
      <c r="D22" s="13"/>
      <c r="E22" s="13"/>
      <c r="F22" s="15">
        <f>C4*D22</f>
        <v>0</v>
      </c>
      <c r="G22" s="34"/>
      <c r="H22" s="35"/>
      <c r="I22" s="16"/>
    </row>
    <row r="23" spans="1:9" x14ac:dyDescent="0.25">
      <c r="A23" s="1">
        <v>17</v>
      </c>
      <c r="B23" s="12"/>
      <c r="C23" s="12"/>
      <c r="D23" s="13"/>
      <c r="E23" s="13"/>
      <c r="F23" s="15">
        <f>C4*D23</f>
        <v>0</v>
      </c>
      <c r="G23" s="34"/>
      <c r="H23" s="35"/>
      <c r="I23" s="16"/>
    </row>
    <row r="24" spans="1:9" x14ac:dyDescent="0.25">
      <c r="C24" s="17"/>
      <c r="D24" s="1"/>
      <c r="F24" s="47"/>
      <c r="G24" s="48"/>
    </row>
    <row r="25" spans="1:9" x14ac:dyDescent="0.25">
      <c r="F25" s="20"/>
    </row>
    <row r="26" spans="1:9" ht="15.75" x14ac:dyDescent="0.25">
      <c r="A26"/>
      <c r="B26" s="36" t="s">
        <v>14</v>
      </c>
      <c r="C26" s="36"/>
      <c r="D26" s="36"/>
      <c r="E26" s="36"/>
      <c r="F26" s="36"/>
      <c r="G26" s="36"/>
      <c r="H26" s="36"/>
      <c r="I26" s="36"/>
    </row>
    <row r="27" spans="1:9" ht="15.75" x14ac:dyDescent="0.25">
      <c r="A27"/>
      <c r="B27" s="21" t="s">
        <v>15</v>
      </c>
      <c r="C27" s="22"/>
      <c r="D27" s="22"/>
      <c r="E27" s="22"/>
      <c r="F27" s="22"/>
      <c r="G27" s="22"/>
      <c r="H27" s="22"/>
      <c r="I27" s="22"/>
    </row>
    <row r="28" spans="1:9" x14ac:dyDescent="0.25">
      <c r="A28" s="1">
        <v>1</v>
      </c>
      <c r="B28" s="31" t="s">
        <v>32</v>
      </c>
      <c r="C28" s="31"/>
      <c r="D28" s="31"/>
      <c r="E28" s="31"/>
      <c r="F28" s="31"/>
      <c r="G28" s="31"/>
      <c r="H28" s="31"/>
      <c r="I28" s="31"/>
    </row>
    <row r="29" spans="1:9" x14ac:dyDescent="0.25">
      <c r="A29" s="1">
        <v>2</v>
      </c>
      <c r="B29" s="31" t="s">
        <v>33</v>
      </c>
      <c r="C29" s="31"/>
      <c r="D29" s="31"/>
      <c r="E29" s="31"/>
      <c r="F29" s="31"/>
      <c r="G29" s="31"/>
      <c r="H29" s="31"/>
      <c r="I29" s="31"/>
    </row>
    <row r="30" spans="1:9" x14ac:dyDescent="0.25">
      <c r="A30" s="1">
        <v>3</v>
      </c>
      <c r="B30" s="31" t="s">
        <v>34</v>
      </c>
      <c r="C30" s="31"/>
      <c r="D30" s="31"/>
      <c r="E30" s="31"/>
      <c r="F30" s="31"/>
      <c r="G30" s="31"/>
      <c r="H30" s="31"/>
      <c r="I30" s="31"/>
    </row>
    <row r="31" spans="1:9" x14ac:dyDescent="0.25">
      <c r="A31" s="1">
        <v>4</v>
      </c>
      <c r="B31" s="31"/>
      <c r="C31" s="31"/>
      <c r="D31" s="31"/>
      <c r="E31" s="31"/>
      <c r="F31" s="31"/>
      <c r="G31" s="31"/>
      <c r="H31" s="31"/>
      <c r="I31" s="31"/>
    </row>
    <row r="32" spans="1:9" x14ac:dyDescent="0.25">
      <c r="A32" s="1">
        <v>5</v>
      </c>
      <c r="B32" s="31"/>
      <c r="C32" s="31"/>
      <c r="D32" s="31"/>
      <c r="E32" s="31"/>
      <c r="F32" s="31"/>
      <c r="G32" s="31"/>
      <c r="H32" s="31"/>
      <c r="I32" s="31"/>
    </row>
    <row r="33" spans="1:9" x14ac:dyDescent="0.25">
      <c r="A33" s="1">
        <v>6</v>
      </c>
      <c r="B33" s="31"/>
      <c r="C33" s="31"/>
      <c r="D33" s="31"/>
      <c r="E33" s="31"/>
      <c r="F33" s="31"/>
      <c r="G33" s="31"/>
      <c r="H33" s="31"/>
      <c r="I33" s="31"/>
    </row>
    <row r="34" spans="1:9" x14ac:dyDescent="0.25">
      <c r="A34" s="1">
        <v>7</v>
      </c>
      <c r="B34" s="31"/>
      <c r="C34" s="31"/>
      <c r="D34" s="31"/>
      <c r="E34" s="31"/>
      <c r="F34" s="31"/>
      <c r="G34" s="31"/>
      <c r="H34" s="31"/>
      <c r="I34" s="31"/>
    </row>
    <row r="35" spans="1:9" x14ac:dyDescent="0.25">
      <c r="A35" s="1">
        <v>8</v>
      </c>
      <c r="B35" s="31"/>
      <c r="C35" s="31"/>
      <c r="D35" s="31"/>
      <c r="E35" s="31"/>
      <c r="F35" s="31"/>
      <c r="G35" s="31"/>
      <c r="H35" s="31"/>
      <c r="I35" s="31"/>
    </row>
    <row r="36" spans="1:9" x14ac:dyDescent="0.25">
      <c r="A36" s="1">
        <v>9</v>
      </c>
      <c r="B36" s="31"/>
      <c r="C36" s="31"/>
      <c r="D36" s="31"/>
      <c r="E36" s="31"/>
      <c r="F36" s="31"/>
      <c r="G36" s="31"/>
      <c r="H36" s="31"/>
      <c r="I36" s="31"/>
    </row>
    <row r="37" spans="1:9" x14ac:dyDescent="0.25">
      <c r="A37" s="1">
        <v>10</v>
      </c>
      <c r="B37" s="31"/>
      <c r="C37" s="31"/>
      <c r="D37" s="31"/>
      <c r="E37" s="31"/>
      <c r="F37" s="31"/>
      <c r="G37" s="31"/>
      <c r="H37" s="31"/>
      <c r="I37" s="31"/>
    </row>
    <row r="38" spans="1:9" x14ac:dyDescent="0.25">
      <c r="A38" s="1">
        <v>11</v>
      </c>
      <c r="B38" s="31"/>
      <c r="C38" s="31"/>
      <c r="D38" s="31"/>
      <c r="E38" s="31"/>
      <c r="F38" s="31"/>
      <c r="G38" s="31"/>
      <c r="H38" s="31"/>
      <c r="I38" s="31"/>
    </row>
    <row r="40" spans="1:9" x14ac:dyDescent="0.25">
      <c r="B40" t="s">
        <v>16</v>
      </c>
    </row>
    <row r="42" spans="1:9" x14ac:dyDescent="0.25">
      <c r="B42" s="23"/>
      <c r="C42" s="23"/>
      <c r="D42" s="24"/>
      <c r="E42" s="24"/>
      <c r="G42" s="23"/>
      <c r="H42" s="23"/>
      <c r="I42" s="23"/>
    </row>
    <row r="43" spans="1:9" x14ac:dyDescent="0.25">
      <c r="B43" s="32" t="s">
        <v>17</v>
      </c>
      <c r="C43" s="32"/>
      <c r="E43" s="2" t="s">
        <v>18</v>
      </c>
      <c r="G43" s="33" t="s">
        <v>19</v>
      </c>
      <c r="H43" s="33"/>
      <c r="I43" s="2" t="s">
        <v>20</v>
      </c>
    </row>
  </sheetData>
  <mergeCells count="32">
    <mergeCell ref="B43:C43"/>
    <mergeCell ref="G43:H43"/>
    <mergeCell ref="B33:I33"/>
    <mergeCell ref="B34:I34"/>
    <mergeCell ref="B35:I35"/>
    <mergeCell ref="B36:I36"/>
    <mergeCell ref="B37:I37"/>
    <mergeCell ref="B38:I38"/>
    <mergeCell ref="B26:I26"/>
    <mergeCell ref="B28:I28"/>
    <mergeCell ref="B29:I29"/>
    <mergeCell ref="B30:I30"/>
    <mergeCell ref="B31:I31"/>
    <mergeCell ref="B32:I32"/>
    <mergeCell ref="G18:H18"/>
    <mergeCell ref="G19:H19"/>
    <mergeCell ref="G20:H20"/>
    <mergeCell ref="G21:H21"/>
    <mergeCell ref="G22:H22"/>
    <mergeCell ref="G23:H23"/>
    <mergeCell ref="G12:H12"/>
    <mergeCell ref="G13:H13"/>
    <mergeCell ref="G14:H14"/>
    <mergeCell ref="G15:H15"/>
    <mergeCell ref="G16:H16"/>
    <mergeCell ref="G17:H17"/>
    <mergeCell ref="G6:H6"/>
    <mergeCell ref="G7:H7"/>
    <mergeCell ref="G8:H8"/>
    <mergeCell ref="G9:H9"/>
    <mergeCell ref="G10:H10"/>
    <mergeCell ref="G11:H11"/>
  </mergeCells>
  <pageMargins left="0.7" right="0.7" top="0.75" bottom="0.75" header="0.3" footer="0.3"/>
  <pageSetup scale="65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1F1097-1519-4C4D-BC80-3273EF3C9D4E}">
  <sheetPr>
    <pageSetUpPr fitToPage="1"/>
  </sheetPr>
  <dimension ref="A1:J43"/>
  <sheetViews>
    <sheetView tabSelected="1" zoomScale="71" zoomScaleNormal="71" workbookViewId="0">
      <selection activeCell="B30" sqref="B30:J30"/>
    </sheetView>
  </sheetViews>
  <sheetFormatPr defaultRowHeight="15" x14ac:dyDescent="0.25"/>
  <cols>
    <col min="1" max="1" width="3.5703125" style="1" customWidth="1"/>
    <col min="2" max="2" width="21.42578125" customWidth="1"/>
    <col min="3" max="3" width="41.7109375" bestFit="1" customWidth="1"/>
    <col min="4" max="4" width="17.5703125" style="2" customWidth="1"/>
    <col min="5" max="5" width="6.5703125" style="2" customWidth="1"/>
    <col min="6" max="6" width="21.85546875" customWidth="1"/>
    <col min="7" max="7" width="12.5703125" style="2" customWidth="1"/>
    <col min="8" max="9" width="12.5703125" customWidth="1"/>
    <col min="10" max="10" width="37.42578125" customWidth="1"/>
  </cols>
  <sheetData>
    <row r="1" spans="1:10" ht="15.75" thickBot="1" x14ac:dyDescent="0.3"/>
    <row r="2" spans="1:10" ht="15.75" thickBot="1" x14ac:dyDescent="0.3">
      <c r="B2" s="3" t="s">
        <v>0</v>
      </c>
      <c r="C2" s="4" t="s">
        <v>35</v>
      </c>
      <c r="D2" s="5" t="s">
        <v>1</v>
      </c>
      <c r="E2" s="37" t="s">
        <v>115</v>
      </c>
      <c r="F2" s="37"/>
      <c r="G2" s="4"/>
      <c r="H2" s="6" t="s">
        <v>2</v>
      </c>
      <c r="I2" s="7"/>
      <c r="J2" s="8" t="s">
        <v>3</v>
      </c>
    </row>
    <row r="3" spans="1:10" ht="5.25" customHeight="1" x14ac:dyDescent="0.25">
      <c r="B3" s="1"/>
      <c r="D3" s="9"/>
      <c r="F3" s="2"/>
      <c r="H3" s="1"/>
      <c r="I3" s="1"/>
      <c r="J3" s="2"/>
    </row>
    <row r="4" spans="1:10" x14ac:dyDescent="0.25">
      <c r="B4" s="2" t="s">
        <v>21</v>
      </c>
      <c r="C4" s="10">
        <v>1</v>
      </c>
      <c r="D4" s="9"/>
      <c r="F4" s="2"/>
      <c r="G4" s="25"/>
      <c r="I4" s="1"/>
      <c r="J4" s="2"/>
    </row>
    <row r="5" spans="1:10" ht="5.25" customHeight="1" x14ac:dyDescent="0.25">
      <c r="B5" s="1"/>
      <c r="D5" s="9"/>
      <c r="F5" s="2"/>
      <c r="H5" s="1"/>
      <c r="I5" s="1"/>
      <c r="J5" s="2"/>
    </row>
    <row r="6" spans="1:10" x14ac:dyDescent="0.25">
      <c r="B6" s="11" t="s">
        <v>4</v>
      </c>
      <c r="C6" s="11" t="s">
        <v>5</v>
      </c>
      <c r="D6" s="11" t="s">
        <v>6</v>
      </c>
      <c r="E6" s="11" t="s">
        <v>7</v>
      </c>
      <c r="F6" s="11" t="s">
        <v>8</v>
      </c>
      <c r="G6" s="11" t="s">
        <v>9</v>
      </c>
      <c r="H6" s="38" t="s">
        <v>10</v>
      </c>
      <c r="I6" s="39"/>
      <c r="J6" s="11" t="s">
        <v>11</v>
      </c>
    </row>
    <row r="7" spans="1:10" x14ac:dyDescent="0.25">
      <c r="A7" s="1">
        <v>1</v>
      </c>
      <c r="B7" s="12" t="s">
        <v>40</v>
      </c>
      <c r="C7" s="12" t="s">
        <v>41</v>
      </c>
      <c r="D7" s="13">
        <v>70</v>
      </c>
      <c r="E7" s="13" t="s">
        <v>26</v>
      </c>
      <c r="F7" s="14">
        <f>D7/D$24</f>
        <v>0.33333333333333331</v>
      </c>
      <c r="G7" s="15">
        <f>F7*D24*C4/453.592</f>
        <v>0.15432370941286444</v>
      </c>
      <c r="H7" s="34"/>
      <c r="I7" s="35"/>
      <c r="J7" s="26"/>
    </row>
    <row r="8" spans="1:10" x14ac:dyDescent="0.25">
      <c r="A8" s="1">
        <v>2</v>
      </c>
      <c r="B8" s="12"/>
      <c r="C8" s="12" t="s">
        <v>36</v>
      </c>
      <c r="D8" s="2">
        <v>70</v>
      </c>
      <c r="E8" s="13" t="s">
        <v>26</v>
      </c>
      <c r="F8" s="14">
        <f>D8/D$24</f>
        <v>0.33333333333333331</v>
      </c>
      <c r="G8" s="15">
        <f>F8*D24*C4/453.592</f>
        <v>0.15432370941286444</v>
      </c>
      <c r="H8" s="34"/>
      <c r="I8" s="35"/>
      <c r="J8" s="16"/>
    </row>
    <row r="9" spans="1:10" x14ac:dyDescent="0.25">
      <c r="A9" s="1">
        <v>3</v>
      </c>
      <c r="B9" s="12"/>
      <c r="C9" s="12" t="s">
        <v>37</v>
      </c>
      <c r="D9" s="13">
        <v>28</v>
      </c>
      <c r="E9" s="13" t="s">
        <v>26</v>
      </c>
      <c r="F9" s="14">
        <f t="shared" ref="F9:F23" si="0">D9/D$24</f>
        <v>0.13333333333333333</v>
      </c>
      <c r="G9" s="15">
        <f>F9*D24*C4/453.592</f>
        <v>6.1729483765145775E-2</v>
      </c>
      <c r="H9" s="34"/>
      <c r="I9" s="35"/>
      <c r="J9" s="16"/>
    </row>
    <row r="10" spans="1:10" x14ac:dyDescent="0.25">
      <c r="A10" s="1">
        <v>4</v>
      </c>
      <c r="B10" s="12"/>
      <c r="C10" s="12" t="s">
        <v>38</v>
      </c>
      <c r="D10" s="13">
        <v>14</v>
      </c>
      <c r="E10" s="13" t="s">
        <v>26</v>
      </c>
      <c r="F10" s="14">
        <f t="shared" si="0"/>
        <v>6.6666666666666666E-2</v>
      </c>
      <c r="G10" s="15">
        <f>C4*D24*F10/453.592</f>
        <v>3.0864741882572887E-2</v>
      </c>
      <c r="H10" s="34"/>
      <c r="I10" s="35"/>
      <c r="J10" s="16"/>
    </row>
    <row r="11" spans="1:10" x14ac:dyDescent="0.25">
      <c r="A11" s="1">
        <v>5</v>
      </c>
      <c r="B11" s="12"/>
      <c r="C11" s="12" t="s">
        <v>39</v>
      </c>
      <c r="D11" s="13">
        <v>28</v>
      </c>
      <c r="E11" s="13" t="s">
        <v>26</v>
      </c>
      <c r="F11" s="14">
        <f t="shared" si="0"/>
        <v>0.13333333333333333</v>
      </c>
      <c r="G11" s="15">
        <f>C4*F11*D24/453.592</f>
        <v>6.1729483765145775E-2</v>
      </c>
      <c r="H11" s="34"/>
      <c r="I11" s="35"/>
      <c r="J11" s="16"/>
    </row>
    <row r="12" spans="1:10" x14ac:dyDescent="0.25">
      <c r="A12" s="1">
        <v>6</v>
      </c>
      <c r="B12" s="12"/>
      <c r="C12" s="12"/>
      <c r="D12" s="13"/>
      <c r="E12" s="13" t="s">
        <v>26</v>
      </c>
      <c r="F12" s="14">
        <f t="shared" si="0"/>
        <v>0</v>
      </c>
      <c r="G12" s="15">
        <f>C4*F12*D24/453.592</f>
        <v>0</v>
      </c>
      <c r="H12" s="34"/>
      <c r="I12" s="35"/>
      <c r="J12" s="16"/>
    </row>
    <row r="13" spans="1:10" x14ac:dyDescent="0.25">
      <c r="A13" s="1">
        <v>7</v>
      </c>
      <c r="B13" s="12"/>
      <c r="C13" s="12"/>
      <c r="D13" s="13"/>
      <c r="E13" s="13" t="s">
        <v>26</v>
      </c>
      <c r="F13" s="14">
        <f t="shared" si="0"/>
        <v>0</v>
      </c>
      <c r="G13" s="15">
        <f>C4*F13*D24/453.592</f>
        <v>0</v>
      </c>
      <c r="H13" s="34"/>
      <c r="I13" s="35"/>
      <c r="J13" s="16"/>
    </row>
    <row r="14" spans="1:10" x14ac:dyDescent="0.25">
      <c r="A14" s="1">
        <v>8</v>
      </c>
      <c r="B14" s="12"/>
      <c r="C14" s="12"/>
      <c r="D14" s="13"/>
      <c r="E14" s="13" t="s">
        <v>26</v>
      </c>
      <c r="F14" s="14">
        <f t="shared" si="0"/>
        <v>0</v>
      </c>
      <c r="G14" s="15">
        <f>C4*F14*D24/453.592</f>
        <v>0</v>
      </c>
      <c r="H14" s="34"/>
      <c r="I14" s="35"/>
      <c r="J14" s="16"/>
    </row>
    <row r="15" spans="1:10" x14ac:dyDescent="0.25">
      <c r="A15" s="1">
        <v>9</v>
      </c>
      <c r="B15" s="12"/>
      <c r="C15" s="12"/>
      <c r="D15" s="13"/>
      <c r="E15" s="13" t="s">
        <v>26</v>
      </c>
      <c r="F15" s="14">
        <f t="shared" si="0"/>
        <v>0</v>
      </c>
      <c r="G15" s="15">
        <f>C4*F15*D24/453.592</f>
        <v>0</v>
      </c>
      <c r="H15" s="34"/>
      <c r="I15" s="35"/>
      <c r="J15" s="16"/>
    </row>
    <row r="16" spans="1:10" x14ac:dyDescent="0.25">
      <c r="A16" s="1">
        <v>10</v>
      </c>
      <c r="B16" s="12"/>
      <c r="C16" s="12"/>
      <c r="D16" s="13"/>
      <c r="E16" s="13" t="s">
        <v>26</v>
      </c>
      <c r="F16" s="14">
        <f t="shared" si="0"/>
        <v>0</v>
      </c>
      <c r="G16" s="15">
        <f>C4*F16*D24/453.592</f>
        <v>0</v>
      </c>
      <c r="H16" s="34"/>
      <c r="I16" s="35"/>
      <c r="J16" s="16"/>
    </row>
    <row r="17" spans="1:10" x14ac:dyDescent="0.25">
      <c r="A17" s="1">
        <v>11</v>
      </c>
      <c r="B17" s="12"/>
      <c r="C17" s="12"/>
      <c r="D17" s="13"/>
      <c r="E17" s="13" t="s">
        <v>26</v>
      </c>
      <c r="F17" s="14">
        <f t="shared" si="0"/>
        <v>0</v>
      </c>
      <c r="G17" s="15">
        <f>C4*F17*D24/453.592</f>
        <v>0</v>
      </c>
      <c r="H17" s="34"/>
      <c r="I17" s="35"/>
      <c r="J17" s="16"/>
    </row>
    <row r="18" spans="1:10" x14ac:dyDescent="0.25">
      <c r="A18" s="1">
        <v>12</v>
      </c>
      <c r="B18" s="12"/>
      <c r="C18" s="12"/>
      <c r="D18" s="13"/>
      <c r="E18" s="13" t="s">
        <v>26</v>
      </c>
      <c r="F18" s="14">
        <f t="shared" si="0"/>
        <v>0</v>
      </c>
      <c r="G18" s="15">
        <f>C4*F18*D24/453.592</f>
        <v>0</v>
      </c>
      <c r="H18" s="34"/>
      <c r="I18" s="35"/>
      <c r="J18" s="16"/>
    </row>
    <row r="19" spans="1:10" x14ac:dyDescent="0.25">
      <c r="A19" s="1">
        <v>13</v>
      </c>
      <c r="B19" s="12"/>
      <c r="C19" s="12"/>
      <c r="D19" s="13"/>
      <c r="E19" s="13" t="s">
        <v>26</v>
      </c>
      <c r="F19" s="14">
        <f t="shared" si="0"/>
        <v>0</v>
      </c>
      <c r="G19" s="15">
        <f>C4*F19*D24/453.592</f>
        <v>0</v>
      </c>
      <c r="H19" s="34"/>
      <c r="I19" s="35"/>
      <c r="J19" s="16"/>
    </row>
    <row r="20" spans="1:10" x14ac:dyDescent="0.25">
      <c r="A20" s="1">
        <v>14</v>
      </c>
      <c r="B20" s="12"/>
      <c r="C20" s="12"/>
      <c r="D20" s="13"/>
      <c r="E20" s="13" t="s">
        <v>26</v>
      </c>
      <c r="F20" s="14">
        <f t="shared" si="0"/>
        <v>0</v>
      </c>
      <c r="G20" s="15">
        <f>C4*F20*D24/453.592</f>
        <v>0</v>
      </c>
      <c r="H20" s="34"/>
      <c r="I20" s="35"/>
      <c r="J20" s="16"/>
    </row>
    <row r="21" spans="1:10" x14ac:dyDescent="0.25">
      <c r="A21" s="1">
        <v>15</v>
      </c>
      <c r="B21" s="12"/>
      <c r="C21" s="12"/>
      <c r="D21" s="13"/>
      <c r="E21" s="13" t="s">
        <v>26</v>
      </c>
      <c r="F21" s="14">
        <f>D21/D$24</f>
        <v>0</v>
      </c>
      <c r="G21" s="15">
        <f>C4*F21*D24/453.592</f>
        <v>0</v>
      </c>
      <c r="H21" s="34"/>
      <c r="I21" s="35"/>
      <c r="J21" s="16"/>
    </row>
    <row r="22" spans="1:10" x14ac:dyDescent="0.25">
      <c r="A22" s="1">
        <v>16</v>
      </c>
      <c r="B22" s="12"/>
      <c r="C22" s="12"/>
      <c r="D22" s="13"/>
      <c r="E22" s="13" t="s">
        <v>26</v>
      </c>
      <c r="F22" s="14">
        <f t="shared" si="0"/>
        <v>0</v>
      </c>
      <c r="G22" s="15">
        <f>C4*F22*D24/453.592</f>
        <v>0</v>
      </c>
      <c r="H22" s="34"/>
      <c r="I22" s="35"/>
      <c r="J22" s="16"/>
    </row>
    <row r="23" spans="1:10" x14ac:dyDescent="0.25">
      <c r="A23" s="1">
        <v>17</v>
      </c>
      <c r="B23" s="12"/>
      <c r="C23" s="12"/>
      <c r="D23" s="13"/>
      <c r="E23" s="13" t="s">
        <v>26</v>
      </c>
      <c r="F23" s="14">
        <f t="shared" si="0"/>
        <v>0</v>
      </c>
      <c r="G23" s="15">
        <f>C4*F23*D24/453.592</f>
        <v>0</v>
      </c>
      <c r="H23" s="34"/>
      <c r="I23" s="35"/>
      <c r="J23" s="16"/>
    </row>
    <row r="24" spans="1:10" x14ac:dyDescent="0.25">
      <c r="C24" s="17" t="s">
        <v>12</v>
      </c>
      <c r="D24" s="1">
        <f>SUM(D7:D23)</f>
        <v>210</v>
      </c>
      <c r="E24" s="13" t="s">
        <v>26</v>
      </c>
      <c r="F24" s="18">
        <f>SUM(F7:F23)</f>
        <v>0.99999999999999989</v>
      </c>
      <c r="G24" s="27">
        <f>SUM(G7:G23)</f>
        <v>0.46297112823859327</v>
      </c>
      <c r="H24" s="19" t="s">
        <v>13</v>
      </c>
    </row>
    <row r="25" spans="1:10" x14ac:dyDescent="0.25">
      <c r="F25" s="25"/>
      <c r="G25" s="20"/>
    </row>
    <row r="26" spans="1:10" ht="15.75" x14ac:dyDescent="0.25">
      <c r="A26"/>
      <c r="B26" s="36" t="s">
        <v>14</v>
      </c>
      <c r="C26" s="36"/>
      <c r="D26" s="36"/>
      <c r="E26" s="36"/>
      <c r="F26" s="36"/>
      <c r="G26" s="36"/>
      <c r="H26" s="36"/>
      <c r="I26" s="36"/>
      <c r="J26" s="36"/>
    </row>
    <row r="27" spans="1:10" ht="15.75" x14ac:dyDescent="0.25">
      <c r="A27"/>
      <c r="B27" s="21" t="s">
        <v>15</v>
      </c>
      <c r="C27" s="22"/>
      <c r="D27" s="22"/>
      <c r="E27" s="22"/>
      <c r="F27" s="22"/>
      <c r="G27" s="22"/>
      <c r="H27" s="22"/>
      <c r="I27" s="22"/>
      <c r="J27" s="22"/>
    </row>
    <row r="28" spans="1:10" x14ac:dyDescent="0.25">
      <c r="A28" s="1">
        <v>1</v>
      </c>
      <c r="B28" s="31"/>
      <c r="C28" s="31"/>
      <c r="D28" s="31"/>
      <c r="E28" s="31"/>
      <c r="F28" s="31"/>
      <c r="G28" s="31"/>
      <c r="H28" s="31"/>
      <c r="I28" s="31"/>
      <c r="J28" s="31"/>
    </row>
    <row r="29" spans="1:10" x14ac:dyDescent="0.25">
      <c r="A29" s="1">
        <v>2</v>
      </c>
      <c r="B29" s="31"/>
      <c r="C29" s="31"/>
      <c r="D29" s="31"/>
      <c r="E29" s="31"/>
      <c r="F29" s="31"/>
      <c r="G29" s="31"/>
      <c r="H29" s="31"/>
      <c r="I29" s="31"/>
      <c r="J29" s="31"/>
    </row>
    <row r="30" spans="1:10" x14ac:dyDescent="0.25">
      <c r="A30" s="1">
        <v>3</v>
      </c>
      <c r="B30" s="31"/>
      <c r="C30" s="31"/>
      <c r="D30" s="31"/>
      <c r="E30" s="31"/>
      <c r="F30" s="31"/>
      <c r="G30" s="31"/>
      <c r="H30" s="31"/>
      <c r="I30" s="31"/>
      <c r="J30" s="31"/>
    </row>
    <row r="31" spans="1:10" x14ac:dyDescent="0.25">
      <c r="A31" s="1">
        <v>4</v>
      </c>
      <c r="B31" s="31"/>
      <c r="C31" s="31"/>
      <c r="D31" s="31"/>
      <c r="E31" s="31"/>
      <c r="F31" s="31"/>
      <c r="G31" s="31"/>
      <c r="H31" s="31"/>
      <c r="I31" s="31"/>
      <c r="J31" s="31"/>
    </row>
    <row r="32" spans="1:10" x14ac:dyDescent="0.25">
      <c r="A32" s="1">
        <v>5</v>
      </c>
      <c r="B32" s="31"/>
      <c r="C32" s="31"/>
      <c r="D32" s="31"/>
      <c r="E32" s="31"/>
      <c r="F32" s="31"/>
      <c r="G32" s="31"/>
      <c r="H32" s="31"/>
      <c r="I32" s="31"/>
      <c r="J32" s="31"/>
    </row>
    <row r="33" spans="1:10" x14ac:dyDescent="0.25">
      <c r="A33" s="1">
        <v>6</v>
      </c>
      <c r="B33" s="31"/>
      <c r="C33" s="31"/>
      <c r="D33" s="31"/>
      <c r="E33" s="31"/>
      <c r="F33" s="31"/>
      <c r="G33" s="31"/>
      <c r="H33" s="31"/>
      <c r="I33" s="31"/>
      <c r="J33" s="31"/>
    </row>
    <row r="34" spans="1:10" x14ac:dyDescent="0.25">
      <c r="A34" s="1">
        <v>7</v>
      </c>
      <c r="B34" s="31"/>
      <c r="C34" s="31"/>
      <c r="D34" s="31"/>
      <c r="E34" s="31"/>
      <c r="F34" s="31"/>
      <c r="G34" s="31"/>
      <c r="H34" s="31"/>
      <c r="I34" s="31"/>
      <c r="J34" s="31"/>
    </row>
    <row r="35" spans="1:10" x14ac:dyDescent="0.25">
      <c r="A35" s="1">
        <v>8</v>
      </c>
      <c r="B35" s="31"/>
      <c r="C35" s="31"/>
      <c r="D35" s="31"/>
      <c r="E35" s="31"/>
      <c r="F35" s="31"/>
      <c r="G35" s="31"/>
      <c r="H35" s="31"/>
      <c r="I35" s="31"/>
      <c r="J35" s="31"/>
    </row>
    <row r="36" spans="1:10" x14ac:dyDescent="0.25">
      <c r="A36" s="1">
        <v>9</v>
      </c>
      <c r="B36" s="31"/>
      <c r="C36" s="31"/>
      <c r="D36" s="31"/>
      <c r="E36" s="31"/>
      <c r="F36" s="31"/>
      <c r="G36" s="31"/>
      <c r="H36" s="31"/>
      <c r="I36" s="31"/>
      <c r="J36" s="31"/>
    </row>
    <row r="37" spans="1:10" x14ac:dyDescent="0.25">
      <c r="A37" s="1">
        <v>10</v>
      </c>
      <c r="B37" s="31"/>
      <c r="C37" s="31"/>
      <c r="D37" s="31"/>
      <c r="E37" s="31"/>
      <c r="F37" s="31"/>
      <c r="G37" s="31"/>
      <c r="H37" s="31"/>
      <c r="I37" s="31"/>
      <c r="J37" s="31"/>
    </row>
    <row r="38" spans="1:10" x14ac:dyDescent="0.25">
      <c r="A38" s="1">
        <v>11</v>
      </c>
      <c r="B38" s="31"/>
      <c r="C38" s="31"/>
      <c r="D38" s="31"/>
      <c r="E38" s="31"/>
      <c r="F38" s="31"/>
      <c r="G38" s="31"/>
      <c r="H38" s="31"/>
      <c r="I38" s="31"/>
      <c r="J38" s="31"/>
    </row>
    <row r="40" spans="1:10" x14ac:dyDescent="0.25">
      <c r="B40" t="s">
        <v>16</v>
      </c>
    </row>
    <row r="42" spans="1:10" x14ac:dyDescent="0.25">
      <c r="B42" s="23"/>
      <c r="C42" s="23"/>
      <c r="D42" s="24"/>
      <c r="E42" s="24"/>
      <c r="F42" s="23"/>
      <c r="H42" s="23"/>
      <c r="I42" s="23"/>
      <c r="J42" s="23"/>
    </row>
    <row r="43" spans="1:10" x14ac:dyDescent="0.25">
      <c r="B43" s="32" t="s">
        <v>17</v>
      </c>
      <c r="C43" s="32"/>
      <c r="E43" s="32" t="s">
        <v>18</v>
      </c>
      <c r="F43" s="32"/>
      <c r="H43" s="33" t="s">
        <v>19</v>
      </c>
      <c r="I43" s="33"/>
      <c r="J43" s="2" t="s">
        <v>20</v>
      </c>
    </row>
  </sheetData>
  <mergeCells count="34">
    <mergeCell ref="B38:J38"/>
    <mergeCell ref="B43:C43"/>
    <mergeCell ref="E43:F43"/>
    <mergeCell ref="H43:I43"/>
    <mergeCell ref="B32:J32"/>
    <mergeCell ref="B33:J33"/>
    <mergeCell ref="B34:J34"/>
    <mergeCell ref="B35:J35"/>
    <mergeCell ref="B36:J36"/>
    <mergeCell ref="B37:J37"/>
    <mergeCell ref="H23:I23"/>
    <mergeCell ref="B26:J26"/>
    <mergeCell ref="B28:J28"/>
    <mergeCell ref="B29:J29"/>
    <mergeCell ref="B30:J30"/>
    <mergeCell ref="B31:J31"/>
    <mergeCell ref="H17:I17"/>
    <mergeCell ref="H18:I18"/>
    <mergeCell ref="H19:I19"/>
    <mergeCell ref="H20:I20"/>
    <mergeCell ref="H21:I21"/>
    <mergeCell ref="H22:I22"/>
    <mergeCell ref="H11:I11"/>
    <mergeCell ref="H12:I12"/>
    <mergeCell ref="H13:I13"/>
    <mergeCell ref="H14:I14"/>
    <mergeCell ref="H15:I15"/>
    <mergeCell ref="H16:I16"/>
    <mergeCell ref="E2:F2"/>
    <mergeCell ref="H6:I6"/>
    <mergeCell ref="H7:I7"/>
    <mergeCell ref="H8:I8"/>
    <mergeCell ref="H9:I9"/>
    <mergeCell ref="H10:I10"/>
  </mergeCells>
  <pageMargins left="0.7" right="0.7" top="0.75" bottom="0.75" header="0.3" footer="0.3"/>
  <pageSetup scale="66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7CCD1B-18C7-4F0A-A21A-0FE0DF9C8F08}">
  <dimension ref="A1:J42"/>
  <sheetViews>
    <sheetView workbookViewId="0">
      <selection activeCell="C16" sqref="C16"/>
    </sheetView>
  </sheetViews>
  <sheetFormatPr defaultRowHeight="15" x14ac:dyDescent="0.25"/>
  <cols>
    <col min="1" max="1" width="4" style="1" customWidth="1"/>
    <col min="2" max="2" width="21.42578125" customWidth="1"/>
    <col min="3" max="3" width="38" customWidth="1"/>
    <col min="4" max="4" width="17.5703125" style="2" customWidth="1"/>
    <col min="5" max="5" width="6.5703125" style="2" customWidth="1"/>
    <col min="6" max="6" width="21.85546875" customWidth="1"/>
    <col min="7" max="7" width="12.5703125" style="2" customWidth="1"/>
    <col min="8" max="8" width="12.5703125" customWidth="1"/>
    <col min="9" max="9" width="5.85546875" customWidth="1"/>
    <col min="10" max="10" width="26.5703125" customWidth="1"/>
  </cols>
  <sheetData>
    <row r="1" spans="1:10" ht="15.75" thickBot="1" x14ac:dyDescent="0.3"/>
    <row r="2" spans="1:10" ht="15.75" thickBot="1" x14ac:dyDescent="0.3">
      <c r="B2" s="3" t="s">
        <v>0</v>
      </c>
      <c r="C2" s="64" t="s">
        <v>111</v>
      </c>
      <c r="D2" s="5" t="s">
        <v>1</v>
      </c>
      <c r="E2" s="37" t="s">
        <v>40</v>
      </c>
      <c r="F2" s="37"/>
      <c r="G2" s="4"/>
      <c r="H2" s="6" t="s">
        <v>2</v>
      </c>
      <c r="I2" s="7">
        <v>1</v>
      </c>
      <c r="J2" s="8" t="s">
        <v>3</v>
      </c>
    </row>
    <row r="3" spans="1:10" x14ac:dyDescent="0.25">
      <c r="B3" s="1"/>
      <c r="D3" s="9"/>
      <c r="F3" s="2"/>
      <c r="H3" s="1"/>
      <c r="I3" s="1"/>
      <c r="J3" s="2"/>
    </row>
    <row r="4" spans="1:10" x14ac:dyDescent="0.25">
      <c r="B4" s="2" t="s">
        <v>22</v>
      </c>
      <c r="C4" s="10">
        <v>1000</v>
      </c>
      <c r="D4" s="9"/>
      <c r="F4" s="2" t="s">
        <v>23</v>
      </c>
      <c r="G4" s="28">
        <v>0</v>
      </c>
      <c r="I4" s="1"/>
      <c r="J4" s="2"/>
    </row>
    <row r="5" spans="1:10" x14ac:dyDescent="0.25">
      <c r="B5" s="1"/>
      <c r="D5" s="9"/>
      <c r="F5" s="2"/>
      <c r="H5" s="1"/>
      <c r="I5" s="1"/>
      <c r="J5" s="2"/>
    </row>
    <row r="6" spans="1:10" x14ac:dyDescent="0.25">
      <c r="B6" s="11" t="s">
        <v>4</v>
      </c>
      <c r="C6" s="11" t="s">
        <v>5</v>
      </c>
      <c r="D6" s="11" t="s">
        <v>99</v>
      </c>
      <c r="E6" s="11" t="s">
        <v>7</v>
      </c>
      <c r="F6" s="11" t="s">
        <v>8</v>
      </c>
      <c r="G6" s="11" t="s">
        <v>9</v>
      </c>
      <c r="H6" s="38" t="s">
        <v>10</v>
      </c>
      <c r="I6" s="39"/>
      <c r="J6" s="11" t="s">
        <v>11</v>
      </c>
    </row>
    <row r="7" spans="1:10" ht="15.75" x14ac:dyDescent="0.25">
      <c r="A7" s="1">
        <v>1</v>
      </c>
      <c r="B7" s="52"/>
      <c r="C7" s="12" t="s">
        <v>112</v>
      </c>
      <c r="D7" s="53">
        <v>500</v>
      </c>
      <c r="E7" s="53" t="s">
        <v>24</v>
      </c>
      <c r="F7" s="54">
        <f t="shared" ref="F7:F21" si="0">D7/D$22</f>
        <v>0.33333333333333331</v>
      </c>
      <c r="G7" s="55">
        <f>C$4*F7</f>
        <v>333.33333333333331</v>
      </c>
      <c r="H7" s="56"/>
      <c r="I7" s="57"/>
      <c r="J7" s="58"/>
    </row>
    <row r="8" spans="1:10" ht="15.75" x14ac:dyDescent="0.25">
      <c r="A8" s="1">
        <v>2</v>
      </c>
      <c r="B8" s="52"/>
      <c r="C8" s="12" t="s">
        <v>98</v>
      </c>
      <c r="D8" s="53">
        <v>1000</v>
      </c>
      <c r="E8" s="53" t="s">
        <v>24</v>
      </c>
      <c r="F8" s="54">
        <f t="shared" si="0"/>
        <v>0.66666666666666663</v>
      </c>
      <c r="G8" s="55">
        <f t="shared" ref="G8:G20" si="1">C$4*F8</f>
        <v>666.66666666666663</v>
      </c>
      <c r="H8" s="56"/>
      <c r="I8" s="57"/>
      <c r="J8" s="58"/>
    </row>
    <row r="9" spans="1:10" ht="15.75" x14ac:dyDescent="0.25">
      <c r="A9" s="1">
        <v>3</v>
      </c>
      <c r="B9" s="52"/>
      <c r="C9" s="12"/>
      <c r="D9" s="53"/>
      <c r="E9" s="53" t="s">
        <v>24</v>
      </c>
      <c r="F9" s="54">
        <f t="shared" si="0"/>
        <v>0</v>
      </c>
      <c r="G9" s="55">
        <f t="shared" si="1"/>
        <v>0</v>
      </c>
      <c r="H9" s="56"/>
      <c r="I9" s="57"/>
      <c r="J9" s="58"/>
    </row>
    <row r="10" spans="1:10" ht="15.75" x14ac:dyDescent="0.25">
      <c r="A10" s="1">
        <v>4</v>
      </c>
      <c r="B10" s="52"/>
      <c r="C10" s="12"/>
      <c r="D10" s="53"/>
      <c r="E10" s="53" t="s">
        <v>24</v>
      </c>
      <c r="F10" s="54">
        <f t="shared" si="0"/>
        <v>0</v>
      </c>
      <c r="G10" s="55">
        <f t="shared" si="1"/>
        <v>0</v>
      </c>
      <c r="H10" s="56"/>
      <c r="I10" s="57"/>
      <c r="J10" s="58"/>
    </row>
    <row r="11" spans="1:10" ht="15.75" x14ac:dyDescent="0.25">
      <c r="A11" s="1">
        <v>5</v>
      </c>
      <c r="B11" s="52"/>
      <c r="C11" s="12"/>
      <c r="D11" s="53"/>
      <c r="E11" s="53" t="s">
        <v>24</v>
      </c>
      <c r="F11" s="54">
        <f t="shared" si="0"/>
        <v>0</v>
      </c>
      <c r="G11" s="55">
        <f t="shared" si="1"/>
        <v>0</v>
      </c>
      <c r="H11" s="56"/>
      <c r="I11" s="57"/>
      <c r="J11" s="58"/>
    </row>
    <row r="12" spans="1:10" ht="15.75" x14ac:dyDescent="0.25">
      <c r="A12" s="1">
        <v>6</v>
      </c>
      <c r="B12" s="52"/>
      <c r="C12" s="12"/>
      <c r="D12" s="53"/>
      <c r="E12" s="53" t="s">
        <v>24</v>
      </c>
      <c r="F12" s="54">
        <f t="shared" si="0"/>
        <v>0</v>
      </c>
      <c r="G12" s="55">
        <f t="shared" si="1"/>
        <v>0</v>
      </c>
      <c r="H12" s="56"/>
      <c r="I12" s="57"/>
      <c r="J12" s="58"/>
    </row>
    <row r="13" spans="1:10" ht="15.75" x14ac:dyDescent="0.25">
      <c r="A13" s="1">
        <v>7</v>
      </c>
      <c r="B13" s="52"/>
      <c r="C13" s="12"/>
      <c r="D13" s="53"/>
      <c r="E13" s="53" t="s">
        <v>24</v>
      </c>
      <c r="F13" s="54">
        <f t="shared" si="0"/>
        <v>0</v>
      </c>
      <c r="G13" s="55">
        <f t="shared" si="1"/>
        <v>0</v>
      </c>
      <c r="H13" s="59"/>
      <c r="I13" s="60"/>
      <c r="J13" s="58"/>
    </row>
    <row r="14" spans="1:10" ht="15.75" x14ac:dyDescent="0.25">
      <c r="A14" s="1">
        <v>8</v>
      </c>
      <c r="B14" s="52"/>
      <c r="C14" s="49"/>
      <c r="D14" s="53"/>
      <c r="E14" s="53" t="s">
        <v>24</v>
      </c>
      <c r="F14" s="54">
        <f t="shared" si="0"/>
        <v>0</v>
      </c>
      <c r="G14" s="55">
        <f t="shared" si="1"/>
        <v>0</v>
      </c>
      <c r="H14" s="59"/>
      <c r="I14" s="60"/>
      <c r="J14" s="58"/>
    </row>
    <row r="15" spans="1:10" ht="15.75" x14ac:dyDescent="0.25">
      <c r="A15" s="1">
        <v>9</v>
      </c>
      <c r="B15" s="52"/>
      <c r="C15" s="49"/>
      <c r="D15" s="53"/>
      <c r="E15" s="53" t="s">
        <v>24</v>
      </c>
      <c r="F15" s="54">
        <f t="shared" si="0"/>
        <v>0</v>
      </c>
      <c r="G15" s="55">
        <f t="shared" si="1"/>
        <v>0</v>
      </c>
      <c r="H15" s="59"/>
      <c r="I15" s="60"/>
      <c r="J15" s="58"/>
    </row>
    <row r="16" spans="1:10" ht="15.75" x14ac:dyDescent="0.25">
      <c r="A16" s="1">
        <v>10</v>
      </c>
      <c r="B16" s="52"/>
      <c r="C16" s="49"/>
      <c r="D16" s="53"/>
      <c r="E16" s="53" t="s">
        <v>24</v>
      </c>
      <c r="F16" s="54">
        <f t="shared" si="0"/>
        <v>0</v>
      </c>
      <c r="G16" s="55">
        <f t="shared" si="1"/>
        <v>0</v>
      </c>
      <c r="H16" s="59"/>
      <c r="I16" s="60"/>
      <c r="J16" s="58"/>
    </row>
    <row r="17" spans="1:10" ht="15.75" x14ac:dyDescent="0.25">
      <c r="A17" s="1">
        <v>11</v>
      </c>
      <c r="B17" s="52"/>
      <c r="C17" s="49"/>
      <c r="D17" s="53"/>
      <c r="E17" s="53" t="s">
        <v>24</v>
      </c>
      <c r="F17" s="54">
        <f t="shared" si="0"/>
        <v>0</v>
      </c>
      <c r="G17" s="55">
        <f t="shared" si="1"/>
        <v>0</v>
      </c>
      <c r="H17" s="59"/>
      <c r="I17" s="60"/>
      <c r="J17" s="58"/>
    </row>
    <row r="18" spans="1:10" ht="15.75" x14ac:dyDescent="0.25">
      <c r="A18" s="1">
        <v>12</v>
      </c>
      <c r="B18" s="52"/>
      <c r="C18" s="49"/>
      <c r="D18" s="53"/>
      <c r="E18" s="53" t="s">
        <v>24</v>
      </c>
      <c r="F18" s="54">
        <f t="shared" si="0"/>
        <v>0</v>
      </c>
      <c r="G18" s="55">
        <f t="shared" si="1"/>
        <v>0</v>
      </c>
      <c r="H18" s="59"/>
      <c r="I18" s="60"/>
      <c r="J18" s="58"/>
    </row>
    <row r="19" spans="1:10" ht="15.75" x14ac:dyDescent="0.25">
      <c r="A19" s="1">
        <v>13</v>
      </c>
      <c r="B19" s="52"/>
      <c r="C19" s="49"/>
      <c r="D19" s="53"/>
      <c r="E19" s="53" t="s">
        <v>24</v>
      </c>
      <c r="F19" s="54">
        <f t="shared" si="0"/>
        <v>0</v>
      </c>
      <c r="G19" s="55">
        <f t="shared" si="1"/>
        <v>0</v>
      </c>
      <c r="H19" s="59"/>
      <c r="I19" s="60"/>
      <c r="J19" s="58"/>
    </row>
    <row r="20" spans="1:10" ht="15.75" x14ac:dyDescent="0.25">
      <c r="A20" s="1">
        <v>14</v>
      </c>
      <c r="B20" s="52"/>
      <c r="C20" s="49"/>
      <c r="D20" s="53"/>
      <c r="E20" s="53" t="s">
        <v>24</v>
      </c>
      <c r="F20" s="54">
        <f t="shared" si="0"/>
        <v>0</v>
      </c>
      <c r="G20" s="55">
        <f t="shared" si="1"/>
        <v>0</v>
      </c>
      <c r="H20" s="56"/>
      <c r="I20" s="57"/>
      <c r="J20" s="58"/>
    </row>
    <row r="21" spans="1:10" ht="15.75" x14ac:dyDescent="0.25">
      <c r="A21" s="1">
        <v>15</v>
      </c>
      <c r="B21" s="52"/>
      <c r="C21" s="49"/>
      <c r="D21" s="53"/>
      <c r="E21" s="53" t="s">
        <v>24</v>
      </c>
      <c r="F21" s="54">
        <f t="shared" si="0"/>
        <v>0</v>
      </c>
      <c r="G21" s="55">
        <f>C4*F21</f>
        <v>0</v>
      </c>
      <c r="H21" s="56"/>
      <c r="I21" s="57"/>
      <c r="J21" s="58"/>
    </row>
    <row r="22" spans="1:10" x14ac:dyDescent="0.25">
      <c r="C22" s="17" t="s">
        <v>12</v>
      </c>
      <c r="D22" s="1">
        <f>SUM(D7:D21)</f>
        <v>1500</v>
      </c>
      <c r="E22" s="1" t="s">
        <v>24</v>
      </c>
      <c r="F22" s="18">
        <f>SUM(F7:F21)</f>
        <v>1</v>
      </c>
      <c r="G22" s="20">
        <f>SUM(G7:G21)</f>
        <v>1000</v>
      </c>
      <c r="H22" t="s">
        <v>13</v>
      </c>
    </row>
    <row r="23" spans="1:10" x14ac:dyDescent="0.25">
      <c r="F23" s="61" t="s">
        <v>25</v>
      </c>
      <c r="G23" s="29">
        <f>-G22*G4+C4</f>
        <v>1000</v>
      </c>
    </row>
    <row r="24" spans="1:10" ht="15.75" x14ac:dyDescent="0.25">
      <c r="A24"/>
      <c r="B24" s="36" t="s">
        <v>14</v>
      </c>
      <c r="C24" s="36"/>
      <c r="D24" s="36"/>
      <c r="E24" s="36"/>
      <c r="F24" s="36"/>
      <c r="G24" s="36"/>
      <c r="H24" s="36"/>
      <c r="I24" s="36"/>
      <c r="J24" s="36"/>
    </row>
    <row r="25" spans="1:10" ht="15.75" x14ac:dyDescent="0.25">
      <c r="A25"/>
      <c r="B25" s="21" t="s">
        <v>15</v>
      </c>
      <c r="C25" s="22"/>
      <c r="D25" s="22"/>
      <c r="E25" s="22"/>
      <c r="F25" s="22"/>
      <c r="G25" s="22"/>
      <c r="H25" s="22"/>
      <c r="I25" s="22"/>
      <c r="J25" s="22"/>
    </row>
    <row r="26" spans="1:10" ht="18.75" x14ac:dyDescent="0.3">
      <c r="A26" s="62">
        <v>1</v>
      </c>
      <c r="B26" s="63" t="s">
        <v>113</v>
      </c>
      <c r="C26" s="63"/>
      <c r="D26" s="63"/>
      <c r="E26" s="63"/>
      <c r="F26" s="63"/>
      <c r="G26" s="63"/>
      <c r="H26" s="63"/>
      <c r="I26" s="63"/>
      <c r="J26" s="63"/>
    </row>
    <row r="27" spans="1:10" ht="18.75" x14ac:dyDescent="0.3">
      <c r="A27" s="62">
        <v>2</v>
      </c>
      <c r="B27" s="63" t="s">
        <v>114</v>
      </c>
      <c r="C27" s="63"/>
      <c r="D27" s="63"/>
      <c r="E27" s="63"/>
      <c r="F27" s="63"/>
      <c r="G27" s="63"/>
      <c r="H27" s="63"/>
      <c r="I27" s="63"/>
      <c r="J27" s="63"/>
    </row>
    <row r="28" spans="1:10" ht="18.75" x14ac:dyDescent="0.3">
      <c r="A28" s="62">
        <v>3</v>
      </c>
      <c r="B28" s="63"/>
      <c r="C28" s="63"/>
      <c r="D28" s="63"/>
      <c r="E28" s="63"/>
      <c r="F28" s="63"/>
      <c r="G28" s="63"/>
      <c r="H28" s="63"/>
      <c r="I28" s="63"/>
      <c r="J28" s="63"/>
    </row>
    <row r="29" spans="1:10" ht="18.75" x14ac:dyDescent="0.3">
      <c r="A29" s="62">
        <v>4</v>
      </c>
      <c r="B29" s="63"/>
      <c r="C29" s="63"/>
      <c r="D29" s="63"/>
      <c r="E29" s="63"/>
      <c r="F29" s="63"/>
      <c r="G29" s="63"/>
      <c r="H29" s="63"/>
      <c r="I29" s="63"/>
      <c r="J29" s="63"/>
    </row>
    <row r="30" spans="1:10" ht="18.75" x14ac:dyDescent="0.3">
      <c r="A30" s="62">
        <v>5</v>
      </c>
      <c r="B30" s="63"/>
      <c r="C30" s="63"/>
      <c r="D30" s="63"/>
      <c r="E30" s="63"/>
      <c r="F30" s="63"/>
      <c r="G30" s="63"/>
      <c r="H30" s="63"/>
      <c r="I30" s="63"/>
      <c r="J30" s="63"/>
    </row>
    <row r="31" spans="1:10" ht="18.75" x14ac:dyDescent="0.3">
      <c r="A31" s="62">
        <v>6</v>
      </c>
      <c r="B31" s="63"/>
      <c r="C31" s="63"/>
      <c r="D31" s="63"/>
      <c r="E31" s="63"/>
      <c r="F31" s="63"/>
      <c r="G31" s="63"/>
      <c r="H31" s="63"/>
      <c r="I31" s="63"/>
      <c r="J31" s="63"/>
    </row>
    <row r="32" spans="1:10" ht="18.75" x14ac:dyDescent="0.3">
      <c r="A32" s="62">
        <v>7</v>
      </c>
      <c r="B32" s="63"/>
      <c r="C32" s="63"/>
      <c r="D32" s="63"/>
      <c r="E32" s="63"/>
      <c r="F32" s="63"/>
      <c r="G32" s="63"/>
      <c r="H32" s="63"/>
      <c r="I32" s="63"/>
      <c r="J32" s="63"/>
    </row>
    <row r="33" spans="1:10" ht="18.75" x14ac:dyDescent="0.3">
      <c r="A33" s="62">
        <v>8</v>
      </c>
      <c r="B33" s="63"/>
      <c r="C33" s="63"/>
      <c r="D33" s="63"/>
      <c r="E33" s="63"/>
      <c r="F33" s="63"/>
      <c r="G33" s="63"/>
      <c r="H33" s="63"/>
      <c r="I33" s="63"/>
      <c r="J33" s="63"/>
    </row>
    <row r="34" spans="1:10" ht="18.75" x14ac:dyDescent="0.3">
      <c r="A34" s="62">
        <v>9</v>
      </c>
      <c r="B34" s="63"/>
      <c r="C34" s="63"/>
      <c r="D34" s="63"/>
      <c r="E34" s="63"/>
      <c r="F34" s="63"/>
      <c r="G34" s="63"/>
      <c r="H34" s="63"/>
      <c r="I34" s="63"/>
      <c r="J34" s="63"/>
    </row>
    <row r="35" spans="1:10" ht="18.75" x14ac:dyDescent="0.3">
      <c r="A35" s="62">
        <v>10</v>
      </c>
      <c r="B35" s="63"/>
      <c r="C35" s="63"/>
      <c r="D35" s="63"/>
      <c r="E35" s="63"/>
      <c r="F35" s="63"/>
      <c r="G35" s="63"/>
      <c r="H35" s="63"/>
      <c r="I35" s="63"/>
      <c r="J35" s="63"/>
    </row>
    <row r="36" spans="1:10" ht="18.75" x14ac:dyDescent="0.3">
      <c r="A36" s="62"/>
      <c r="B36" s="63"/>
      <c r="C36" s="63"/>
      <c r="D36" s="63"/>
      <c r="E36" s="63"/>
      <c r="F36" s="63"/>
      <c r="G36" s="63"/>
      <c r="H36" s="63"/>
      <c r="I36" s="63"/>
      <c r="J36" s="63"/>
    </row>
    <row r="37" spans="1:10" ht="18.75" x14ac:dyDescent="0.3">
      <c r="A37" s="62"/>
      <c r="B37" s="63"/>
      <c r="C37" s="63"/>
      <c r="D37" s="63"/>
      <c r="E37" s="63"/>
      <c r="F37" s="63"/>
      <c r="G37" s="63"/>
      <c r="H37" s="63"/>
      <c r="I37" s="63"/>
      <c r="J37" s="63"/>
    </row>
    <row r="39" spans="1:10" x14ac:dyDescent="0.25">
      <c r="B39" t="s">
        <v>16</v>
      </c>
    </row>
    <row r="41" spans="1:10" x14ac:dyDescent="0.25">
      <c r="B41" s="23"/>
      <c r="C41" s="23"/>
      <c r="D41" s="24"/>
      <c r="E41" s="24"/>
      <c r="F41" s="23"/>
      <c r="G41" s="24"/>
      <c r="H41" s="23"/>
      <c r="I41" s="23"/>
      <c r="J41" s="23"/>
    </row>
    <row r="42" spans="1:10" x14ac:dyDescent="0.25">
      <c r="B42" s="32" t="s">
        <v>17</v>
      </c>
      <c r="C42" s="32"/>
      <c r="E42" s="32" t="s">
        <v>18</v>
      </c>
      <c r="F42" s="32"/>
      <c r="H42" s="33" t="s">
        <v>110</v>
      </c>
      <c r="I42" s="33"/>
      <c r="J42" s="2" t="s">
        <v>18</v>
      </c>
    </row>
  </sheetData>
  <mergeCells count="26">
    <mergeCell ref="B33:J33"/>
    <mergeCell ref="B34:J34"/>
    <mergeCell ref="B35:J35"/>
    <mergeCell ref="B36:J36"/>
    <mergeCell ref="B37:J37"/>
    <mergeCell ref="B42:C42"/>
    <mergeCell ref="E42:F42"/>
    <mergeCell ref="H42:I42"/>
    <mergeCell ref="B27:J27"/>
    <mergeCell ref="B28:J28"/>
    <mergeCell ref="B29:J29"/>
    <mergeCell ref="B30:J30"/>
    <mergeCell ref="B31:J31"/>
    <mergeCell ref="B32:J32"/>
    <mergeCell ref="H11:I11"/>
    <mergeCell ref="H12:I12"/>
    <mergeCell ref="H20:I20"/>
    <mergeCell ref="H21:I21"/>
    <mergeCell ref="B24:J24"/>
    <mergeCell ref="B26:J26"/>
    <mergeCell ref="E2:F2"/>
    <mergeCell ref="H6:I6"/>
    <mergeCell ref="H7:I7"/>
    <mergeCell ref="H8:I8"/>
    <mergeCell ref="H9:I9"/>
    <mergeCell ref="H10:I10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61E050-E7B2-45EB-8B8D-0A5608A5DFE5}">
  <dimension ref="A1:J42"/>
  <sheetViews>
    <sheetView workbookViewId="0">
      <selection activeCell="E2" sqref="E2:F2"/>
    </sheetView>
  </sheetViews>
  <sheetFormatPr defaultRowHeight="15" x14ac:dyDescent="0.25"/>
  <cols>
    <col min="1" max="1" width="4" style="1" customWidth="1"/>
    <col min="2" max="2" width="21.42578125" customWidth="1"/>
    <col min="3" max="3" width="38" customWidth="1"/>
    <col min="4" max="4" width="17.5703125" style="2" customWidth="1"/>
    <col min="5" max="5" width="6.5703125" style="2" customWidth="1"/>
    <col min="6" max="6" width="21.85546875" customWidth="1"/>
    <col min="7" max="7" width="12.5703125" style="2" customWidth="1"/>
    <col min="8" max="8" width="12.5703125" customWidth="1"/>
    <col min="9" max="9" width="5.85546875" customWidth="1"/>
    <col min="10" max="10" width="26.5703125" customWidth="1"/>
  </cols>
  <sheetData>
    <row r="1" spans="1:10" ht="15.75" thickBot="1" x14ac:dyDescent="0.3"/>
    <row r="2" spans="1:10" ht="15.75" thickBot="1" x14ac:dyDescent="0.3">
      <c r="B2" s="3" t="s">
        <v>0</v>
      </c>
      <c r="C2" s="4" t="s">
        <v>98</v>
      </c>
      <c r="D2" s="5" t="s">
        <v>1</v>
      </c>
      <c r="E2" s="37" t="s">
        <v>117</v>
      </c>
      <c r="F2" s="37"/>
      <c r="G2" s="4"/>
      <c r="H2" s="6" t="s">
        <v>2</v>
      </c>
      <c r="I2" s="7">
        <v>1</v>
      </c>
      <c r="J2" s="8" t="s">
        <v>3</v>
      </c>
    </row>
    <row r="3" spans="1:10" x14ac:dyDescent="0.25">
      <c r="B3" s="1"/>
      <c r="D3" s="9"/>
      <c r="F3" s="2"/>
      <c r="H3" s="1"/>
      <c r="I3" s="1"/>
      <c r="J3" s="2"/>
    </row>
    <row r="4" spans="1:10" x14ac:dyDescent="0.25">
      <c r="B4" s="2" t="s">
        <v>22</v>
      </c>
      <c r="C4" s="10">
        <v>300</v>
      </c>
      <c r="D4" s="9"/>
      <c r="F4" s="2" t="s">
        <v>23</v>
      </c>
      <c r="G4" s="28">
        <v>0.03</v>
      </c>
      <c r="I4" s="1"/>
      <c r="J4" s="2"/>
    </row>
    <row r="5" spans="1:10" x14ac:dyDescent="0.25">
      <c r="B5" s="1"/>
      <c r="D5" s="9"/>
      <c r="F5" s="2"/>
      <c r="H5" s="1"/>
      <c r="I5" s="1"/>
      <c r="J5" s="2"/>
    </row>
    <row r="6" spans="1:10" x14ac:dyDescent="0.25">
      <c r="B6" s="11" t="s">
        <v>4</v>
      </c>
      <c r="C6" s="11" t="s">
        <v>5</v>
      </c>
      <c r="D6" s="11" t="s">
        <v>99</v>
      </c>
      <c r="E6" s="11" t="s">
        <v>7</v>
      </c>
      <c r="F6" s="11" t="s">
        <v>8</v>
      </c>
      <c r="G6" s="11" t="s">
        <v>9</v>
      </c>
      <c r="H6" s="38" t="s">
        <v>10</v>
      </c>
      <c r="I6" s="39"/>
      <c r="J6" s="11" t="s">
        <v>11</v>
      </c>
    </row>
    <row r="7" spans="1:10" ht="15.75" x14ac:dyDescent="0.25">
      <c r="A7" s="1">
        <v>1</v>
      </c>
      <c r="B7" s="52"/>
      <c r="C7" s="12" t="s">
        <v>27</v>
      </c>
      <c r="D7" s="53">
        <v>428.3</v>
      </c>
      <c r="E7" s="53" t="s">
        <v>24</v>
      </c>
      <c r="F7" s="54">
        <f t="shared" ref="F7:F21" si="0">D7/D$22</f>
        <v>0.42830000000000001</v>
      </c>
      <c r="G7" s="55">
        <f>C$4*F7</f>
        <v>128.49</v>
      </c>
      <c r="H7" s="56"/>
      <c r="I7" s="57"/>
      <c r="J7" s="58"/>
    </row>
    <row r="8" spans="1:10" ht="15.75" x14ac:dyDescent="0.25">
      <c r="A8" s="1">
        <v>2</v>
      </c>
      <c r="B8" s="52"/>
      <c r="C8" s="12" t="s">
        <v>74</v>
      </c>
      <c r="D8" s="53">
        <v>60</v>
      </c>
      <c r="E8" s="53" t="s">
        <v>24</v>
      </c>
      <c r="F8" s="54">
        <f t="shared" si="0"/>
        <v>0.06</v>
      </c>
      <c r="G8" s="55">
        <f t="shared" ref="G8:G20" si="1">C$4*F8</f>
        <v>18</v>
      </c>
      <c r="H8" s="56"/>
      <c r="I8" s="57"/>
      <c r="J8" s="58"/>
    </row>
    <row r="9" spans="1:10" ht="15.75" x14ac:dyDescent="0.25">
      <c r="A9" s="1">
        <v>3</v>
      </c>
      <c r="B9" s="52"/>
      <c r="C9" s="12" t="s">
        <v>100</v>
      </c>
      <c r="D9" s="53">
        <v>60</v>
      </c>
      <c r="E9" s="53" t="s">
        <v>24</v>
      </c>
      <c r="F9" s="54">
        <f t="shared" si="0"/>
        <v>0.06</v>
      </c>
      <c r="G9" s="55">
        <f t="shared" si="1"/>
        <v>18</v>
      </c>
      <c r="H9" s="56"/>
      <c r="I9" s="57"/>
      <c r="J9" s="58"/>
    </row>
    <row r="10" spans="1:10" ht="15.75" x14ac:dyDescent="0.25">
      <c r="A10" s="1">
        <v>4</v>
      </c>
      <c r="B10" s="52"/>
      <c r="C10" s="12" t="s">
        <v>101</v>
      </c>
      <c r="D10" s="53">
        <v>8.1999999999999993</v>
      </c>
      <c r="E10" s="53" t="s">
        <v>24</v>
      </c>
      <c r="F10" s="54">
        <f t="shared" si="0"/>
        <v>8.199999999999999E-3</v>
      </c>
      <c r="G10" s="55">
        <f t="shared" si="1"/>
        <v>2.4599999999999995</v>
      </c>
      <c r="H10" s="56"/>
      <c r="I10" s="57"/>
      <c r="J10" s="58"/>
    </row>
    <row r="11" spans="1:10" ht="15.75" x14ac:dyDescent="0.25">
      <c r="A11" s="1">
        <v>5</v>
      </c>
      <c r="B11" s="52"/>
      <c r="C11" s="12" t="s">
        <v>102</v>
      </c>
      <c r="D11" s="53">
        <v>5.4</v>
      </c>
      <c r="E11" s="53" t="s">
        <v>24</v>
      </c>
      <c r="F11" s="54">
        <f t="shared" si="0"/>
        <v>5.4000000000000003E-3</v>
      </c>
      <c r="G11" s="55">
        <f t="shared" si="1"/>
        <v>1.62</v>
      </c>
      <c r="H11" s="56"/>
      <c r="I11" s="57"/>
      <c r="J11" s="58"/>
    </row>
    <row r="12" spans="1:10" ht="15.75" x14ac:dyDescent="0.25">
      <c r="A12" s="1">
        <v>6</v>
      </c>
      <c r="B12" s="52"/>
      <c r="C12" s="12" t="s">
        <v>103</v>
      </c>
      <c r="D12" s="53">
        <v>2.7</v>
      </c>
      <c r="E12" s="53" t="s">
        <v>24</v>
      </c>
      <c r="F12" s="54">
        <f t="shared" si="0"/>
        <v>2.7000000000000001E-3</v>
      </c>
      <c r="G12" s="55">
        <f t="shared" si="1"/>
        <v>0.81</v>
      </c>
      <c r="H12" s="56"/>
      <c r="I12" s="57"/>
      <c r="J12" s="58"/>
    </row>
    <row r="13" spans="1:10" ht="15.75" x14ac:dyDescent="0.25">
      <c r="A13" s="1">
        <v>7</v>
      </c>
      <c r="B13" s="52"/>
      <c r="C13" s="12" t="s">
        <v>104</v>
      </c>
      <c r="D13" s="53">
        <v>5.4</v>
      </c>
      <c r="E13" s="53" t="s">
        <v>24</v>
      </c>
      <c r="F13" s="54">
        <f t="shared" si="0"/>
        <v>5.4000000000000003E-3</v>
      </c>
      <c r="G13" s="55">
        <f t="shared" si="1"/>
        <v>1.62</v>
      </c>
      <c r="H13" s="59"/>
      <c r="I13" s="60"/>
      <c r="J13" s="58"/>
    </row>
    <row r="14" spans="1:10" ht="15.75" x14ac:dyDescent="0.25">
      <c r="A14" s="1">
        <v>8</v>
      </c>
      <c r="B14" s="52"/>
      <c r="C14" s="49" t="s">
        <v>105</v>
      </c>
      <c r="D14" s="53">
        <v>430</v>
      </c>
      <c r="E14" s="53" t="s">
        <v>24</v>
      </c>
      <c r="F14" s="54">
        <f t="shared" si="0"/>
        <v>0.43</v>
      </c>
      <c r="G14" s="55">
        <f t="shared" si="1"/>
        <v>129</v>
      </c>
      <c r="H14" s="59"/>
      <c r="I14" s="60"/>
      <c r="J14" s="58"/>
    </row>
    <row r="15" spans="1:10" ht="15.75" x14ac:dyDescent="0.25">
      <c r="A15" s="1">
        <v>9</v>
      </c>
      <c r="B15" s="52"/>
      <c r="C15" s="49"/>
      <c r="D15" s="53"/>
      <c r="E15" s="53" t="s">
        <v>24</v>
      </c>
      <c r="F15" s="54">
        <f t="shared" si="0"/>
        <v>0</v>
      </c>
      <c r="G15" s="55">
        <f t="shared" si="1"/>
        <v>0</v>
      </c>
      <c r="H15" s="59"/>
      <c r="I15" s="60"/>
      <c r="J15" s="58"/>
    </row>
    <row r="16" spans="1:10" ht="15.75" x14ac:dyDescent="0.25">
      <c r="A16" s="1">
        <v>10</v>
      </c>
      <c r="B16" s="52"/>
      <c r="C16" s="49"/>
      <c r="D16" s="53"/>
      <c r="E16" s="53" t="s">
        <v>24</v>
      </c>
      <c r="F16" s="54">
        <f t="shared" si="0"/>
        <v>0</v>
      </c>
      <c r="G16" s="55">
        <f t="shared" si="1"/>
        <v>0</v>
      </c>
      <c r="H16" s="59"/>
      <c r="I16" s="60"/>
      <c r="J16" s="58"/>
    </row>
    <row r="17" spans="1:10" ht="15.75" x14ac:dyDescent="0.25">
      <c r="A17" s="1">
        <v>11</v>
      </c>
      <c r="B17" s="52"/>
      <c r="C17" s="49"/>
      <c r="D17" s="53"/>
      <c r="E17" s="53" t="s">
        <v>24</v>
      </c>
      <c r="F17" s="54">
        <f t="shared" si="0"/>
        <v>0</v>
      </c>
      <c r="G17" s="55">
        <f t="shared" si="1"/>
        <v>0</v>
      </c>
      <c r="H17" s="59"/>
      <c r="I17" s="60"/>
      <c r="J17" s="58"/>
    </row>
    <row r="18" spans="1:10" ht="15.75" x14ac:dyDescent="0.25">
      <c r="A18" s="1">
        <v>12</v>
      </c>
      <c r="B18" s="52"/>
      <c r="C18" s="49"/>
      <c r="D18" s="53"/>
      <c r="E18" s="53" t="s">
        <v>24</v>
      </c>
      <c r="F18" s="54">
        <f t="shared" si="0"/>
        <v>0</v>
      </c>
      <c r="G18" s="55">
        <f t="shared" si="1"/>
        <v>0</v>
      </c>
      <c r="H18" s="59"/>
      <c r="I18" s="60"/>
      <c r="J18" s="58"/>
    </row>
    <row r="19" spans="1:10" ht="15.75" x14ac:dyDescent="0.25">
      <c r="A19" s="1">
        <v>13</v>
      </c>
      <c r="B19" s="52"/>
      <c r="C19" s="49"/>
      <c r="D19" s="53"/>
      <c r="E19" s="53" t="s">
        <v>24</v>
      </c>
      <c r="F19" s="54">
        <f t="shared" si="0"/>
        <v>0</v>
      </c>
      <c r="G19" s="55">
        <f t="shared" si="1"/>
        <v>0</v>
      </c>
      <c r="H19" s="59"/>
      <c r="I19" s="60"/>
      <c r="J19" s="58"/>
    </row>
    <row r="20" spans="1:10" ht="15.75" x14ac:dyDescent="0.25">
      <c r="A20" s="1">
        <v>14</v>
      </c>
      <c r="B20" s="52"/>
      <c r="C20" s="49"/>
      <c r="D20" s="53"/>
      <c r="E20" s="53" t="s">
        <v>24</v>
      </c>
      <c r="F20" s="54">
        <f t="shared" si="0"/>
        <v>0</v>
      </c>
      <c r="G20" s="55">
        <f t="shared" si="1"/>
        <v>0</v>
      </c>
      <c r="H20" s="56"/>
      <c r="I20" s="57"/>
      <c r="J20" s="58"/>
    </row>
    <row r="21" spans="1:10" ht="15.75" x14ac:dyDescent="0.25">
      <c r="A21" s="1">
        <v>15</v>
      </c>
      <c r="B21" s="52"/>
      <c r="C21" s="49"/>
      <c r="D21" s="53"/>
      <c r="E21" s="53" t="s">
        <v>24</v>
      </c>
      <c r="F21" s="54">
        <f t="shared" si="0"/>
        <v>0</v>
      </c>
      <c r="G21" s="55">
        <f>C4*F21</f>
        <v>0</v>
      </c>
      <c r="H21" s="56"/>
      <c r="I21" s="57"/>
      <c r="J21" s="58"/>
    </row>
    <row r="22" spans="1:10" x14ac:dyDescent="0.25">
      <c r="C22" s="17" t="s">
        <v>12</v>
      </c>
      <c r="D22" s="1">
        <f>SUM(D7:D21)</f>
        <v>1000</v>
      </c>
      <c r="E22" s="1" t="s">
        <v>24</v>
      </c>
      <c r="F22" s="18">
        <f>SUM(F7:F21)</f>
        <v>1</v>
      </c>
      <c r="G22" s="20">
        <f>SUM(G7:G21)</f>
        <v>300</v>
      </c>
      <c r="H22" t="s">
        <v>13</v>
      </c>
    </row>
    <row r="23" spans="1:10" x14ac:dyDescent="0.25">
      <c r="F23" s="61" t="s">
        <v>25</v>
      </c>
      <c r="G23" s="29">
        <f>-G22*G4+C4</f>
        <v>291</v>
      </c>
    </row>
    <row r="24" spans="1:10" ht="15.75" x14ac:dyDescent="0.25">
      <c r="A24"/>
      <c r="B24" s="36" t="s">
        <v>14</v>
      </c>
      <c r="C24" s="36"/>
      <c r="D24" s="36"/>
      <c r="E24" s="36"/>
      <c r="F24" s="36"/>
      <c r="G24" s="36"/>
      <c r="H24" s="36"/>
      <c r="I24" s="36"/>
      <c r="J24" s="36"/>
    </row>
    <row r="25" spans="1:10" ht="15.75" x14ac:dyDescent="0.25">
      <c r="A25"/>
      <c r="B25" s="21" t="s">
        <v>15</v>
      </c>
      <c r="C25" s="22"/>
      <c r="D25" s="22"/>
      <c r="E25" s="22"/>
      <c r="F25" s="22"/>
      <c r="G25" s="22"/>
      <c r="H25" s="22"/>
      <c r="I25" s="22"/>
      <c r="J25" s="22"/>
    </row>
    <row r="26" spans="1:10" ht="18.75" x14ac:dyDescent="0.3">
      <c r="A26" s="62">
        <v>1</v>
      </c>
      <c r="B26" s="63" t="s">
        <v>106</v>
      </c>
      <c r="C26" s="63"/>
      <c r="D26" s="63"/>
      <c r="E26" s="63"/>
      <c r="F26" s="63"/>
      <c r="G26" s="63"/>
      <c r="H26" s="63"/>
      <c r="I26" s="63"/>
      <c r="J26" s="63"/>
    </row>
    <row r="27" spans="1:10" ht="18.75" x14ac:dyDescent="0.3">
      <c r="A27" s="62">
        <v>2</v>
      </c>
      <c r="B27" s="63" t="s">
        <v>107</v>
      </c>
      <c r="C27" s="63"/>
      <c r="D27" s="63"/>
      <c r="E27" s="63"/>
      <c r="F27" s="63"/>
      <c r="G27" s="63"/>
      <c r="H27" s="63"/>
      <c r="I27" s="63"/>
      <c r="J27" s="63"/>
    </row>
    <row r="28" spans="1:10" ht="18.75" x14ac:dyDescent="0.3">
      <c r="A28" s="62">
        <v>3</v>
      </c>
      <c r="B28" s="63" t="s">
        <v>108</v>
      </c>
      <c r="C28" s="63"/>
      <c r="D28" s="63"/>
      <c r="E28" s="63"/>
      <c r="F28" s="63"/>
      <c r="G28" s="63"/>
      <c r="H28" s="63"/>
      <c r="I28" s="63"/>
      <c r="J28" s="63"/>
    </row>
    <row r="29" spans="1:10" ht="18.75" x14ac:dyDescent="0.3">
      <c r="A29" s="62">
        <v>4</v>
      </c>
      <c r="B29" s="63" t="s">
        <v>109</v>
      </c>
      <c r="C29" s="63"/>
      <c r="D29" s="63"/>
      <c r="E29" s="63"/>
      <c r="F29" s="63"/>
      <c r="G29" s="63"/>
      <c r="H29" s="63"/>
      <c r="I29" s="63"/>
      <c r="J29" s="63"/>
    </row>
    <row r="30" spans="1:10" ht="18.75" x14ac:dyDescent="0.3">
      <c r="A30" s="62">
        <v>5</v>
      </c>
      <c r="B30" s="63"/>
      <c r="C30" s="63"/>
      <c r="D30" s="63"/>
      <c r="E30" s="63"/>
      <c r="F30" s="63"/>
      <c r="G30" s="63"/>
      <c r="H30" s="63"/>
      <c r="I30" s="63"/>
      <c r="J30" s="63"/>
    </row>
    <row r="31" spans="1:10" ht="18.75" x14ac:dyDescent="0.3">
      <c r="A31" s="62">
        <v>6</v>
      </c>
      <c r="B31" s="63"/>
      <c r="C31" s="63"/>
      <c r="D31" s="63"/>
      <c r="E31" s="63"/>
      <c r="F31" s="63"/>
      <c r="G31" s="63"/>
      <c r="H31" s="63"/>
      <c r="I31" s="63"/>
      <c r="J31" s="63"/>
    </row>
    <row r="32" spans="1:10" ht="18.75" x14ac:dyDescent="0.3">
      <c r="A32" s="62">
        <v>7</v>
      </c>
      <c r="B32" s="63"/>
      <c r="C32" s="63"/>
      <c r="D32" s="63"/>
      <c r="E32" s="63"/>
      <c r="F32" s="63"/>
      <c r="G32" s="63"/>
      <c r="H32" s="63"/>
      <c r="I32" s="63"/>
      <c r="J32" s="63"/>
    </row>
    <row r="33" spans="1:10" ht="18.75" x14ac:dyDescent="0.3">
      <c r="A33" s="62">
        <v>8</v>
      </c>
      <c r="B33" s="63"/>
      <c r="C33" s="63"/>
      <c r="D33" s="63"/>
      <c r="E33" s="63"/>
      <c r="F33" s="63"/>
      <c r="G33" s="63"/>
      <c r="H33" s="63"/>
      <c r="I33" s="63"/>
      <c r="J33" s="63"/>
    </row>
    <row r="34" spans="1:10" ht="18.75" x14ac:dyDescent="0.3">
      <c r="A34" s="62">
        <v>9</v>
      </c>
      <c r="B34" s="63"/>
      <c r="C34" s="63"/>
      <c r="D34" s="63"/>
      <c r="E34" s="63"/>
      <c r="F34" s="63"/>
      <c r="G34" s="63"/>
      <c r="H34" s="63"/>
      <c r="I34" s="63"/>
      <c r="J34" s="63"/>
    </row>
    <row r="35" spans="1:10" ht="18.75" x14ac:dyDescent="0.3">
      <c r="A35" s="62">
        <v>10</v>
      </c>
      <c r="B35" s="63"/>
      <c r="C35" s="63"/>
      <c r="D35" s="63"/>
      <c r="E35" s="63"/>
      <c r="F35" s="63"/>
      <c r="G35" s="63"/>
      <c r="H35" s="63"/>
      <c r="I35" s="63"/>
      <c r="J35" s="63"/>
    </row>
    <row r="36" spans="1:10" ht="18.75" x14ac:dyDescent="0.3">
      <c r="A36" s="62"/>
      <c r="B36" s="63"/>
      <c r="C36" s="63"/>
      <c r="D36" s="63"/>
      <c r="E36" s="63"/>
      <c r="F36" s="63"/>
      <c r="G36" s="63"/>
      <c r="H36" s="63"/>
      <c r="I36" s="63"/>
      <c r="J36" s="63"/>
    </row>
    <row r="37" spans="1:10" ht="18.75" x14ac:dyDescent="0.3">
      <c r="A37" s="62"/>
      <c r="B37" s="63"/>
      <c r="C37" s="63"/>
      <c r="D37" s="63"/>
      <c r="E37" s="63"/>
      <c r="F37" s="63"/>
      <c r="G37" s="63"/>
      <c r="H37" s="63"/>
      <c r="I37" s="63"/>
      <c r="J37" s="63"/>
    </row>
    <row r="39" spans="1:10" x14ac:dyDescent="0.25">
      <c r="B39" t="s">
        <v>16</v>
      </c>
    </row>
    <row r="41" spans="1:10" x14ac:dyDescent="0.25">
      <c r="B41" s="23"/>
      <c r="C41" s="23"/>
      <c r="D41" s="24"/>
      <c r="E41" s="24"/>
      <c r="F41" s="23"/>
      <c r="G41" s="24"/>
      <c r="H41" s="23"/>
      <c r="I41" s="23"/>
      <c r="J41" s="23"/>
    </row>
    <row r="42" spans="1:10" x14ac:dyDescent="0.25">
      <c r="B42" s="32" t="s">
        <v>17</v>
      </c>
      <c r="C42" s="32"/>
      <c r="E42" s="32" t="s">
        <v>18</v>
      </c>
      <c r="F42" s="32"/>
      <c r="H42" s="33" t="s">
        <v>110</v>
      </c>
      <c r="I42" s="33"/>
      <c r="J42" s="2" t="s">
        <v>18</v>
      </c>
    </row>
  </sheetData>
  <mergeCells count="26">
    <mergeCell ref="B33:J33"/>
    <mergeCell ref="B34:J34"/>
    <mergeCell ref="B35:J35"/>
    <mergeCell ref="B36:J36"/>
    <mergeCell ref="B37:J37"/>
    <mergeCell ref="B42:C42"/>
    <mergeCell ref="E42:F42"/>
    <mergeCell ref="H42:I42"/>
    <mergeCell ref="B27:J27"/>
    <mergeCell ref="B28:J28"/>
    <mergeCell ref="B29:J29"/>
    <mergeCell ref="B30:J30"/>
    <mergeCell ref="B31:J31"/>
    <mergeCell ref="B32:J32"/>
    <mergeCell ref="H11:I11"/>
    <mergeCell ref="H12:I12"/>
    <mergeCell ref="H20:I20"/>
    <mergeCell ref="H21:I21"/>
    <mergeCell ref="B24:J24"/>
    <mergeCell ref="B26:J26"/>
    <mergeCell ref="E2:F2"/>
    <mergeCell ref="H6:I6"/>
    <mergeCell ref="H7:I7"/>
    <mergeCell ref="H8:I8"/>
    <mergeCell ref="H9:I9"/>
    <mergeCell ref="H10:I10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87A7C8-168E-4503-BF34-A6CE1DF1F9E2}">
  <dimension ref="A1:M43"/>
  <sheetViews>
    <sheetView workbookViewId="0">
      <selection activeCell="C10" sqref="C10"/>
    </sheetView>
  </sheetViews>
  <sheetFormatPr defaultRowHeight="15" x14ac:dyDescent="0.25"/>
  <cols>
    <col min="1" max="1" width="3.5703125" style="1" customWidth="1"/>
    <col min="2" max="2" width="21.42578125" customWidth="1"/>
    <col min="3" max="3" width="38" customWidth="1"/>
    <col min="4" max="4" width="17.5703125" style="2" customWidth="1"/>
    <col min="5" max="5" width="6.5703125" style="2" customWidth="1"/>
    <col min="6" max="6" width="21.85546875" customWidth="1"/>
    <col min="7" max="7" width="12.5703125" style="2" customWidth="1"/>
    <col min="8" max="9" width="12.5703125" customWidth="1"/>
    <col min="10" max="10" width="37.42578125" customWidth="1"/>
  </cols>
  <sheetData>
    <row r="1" spans="1:13" ht="15.75" thickBot="1" x14ac:dyDescent="0.3"/>
    <row r="2" spans="1:13" ht="15.75" thickBot="1" x14ac:dyDescent="0.3">
      <c r="B2" s="3" t="s">
        <v>0</v>
      </c>
      <c r="C2" s="4" t="s">
        <v>76</v>
      </c>
      <c r="D2" s="5" t="s">
        <v>1</v>
      </c>
      <c r="E2" s="37" t="s">
        <v>121</v>
      </c>
      <c r="F2" s="37"/>
      <c r="G2" s="4"/>
      <c r="H2" s="6" t="s">
        <v>2</v>
      </c>
      <c r="I2" s="7" t="s">
        <v>77</v>
      </c>
      <c r="J2" s="8" t="s">
        <v>3</v>
      </c>
    </row>
    <row r="3" spans="1:13" x14ac:dyDescent="0.25">
      <c r="B3" s="1"/>
      <c r="D3" s="9"/>
      <c r="F3" s="2"/>
      <c r="H3" s="1"/>
      <c r="I3" s="1"/>
      <c r="J3" s="2"/>
    </row>
    <row r="4" spans="1:13" x14ac:dyDescent="0.25">
      <c r="B4" s="2" t="s">
        <v>22</v>
      </c>
      <c r="C4" s="10">
        <v>1000</v>
      </c>
      <c r="D4" s="9"/>
      <c r="F4" s="2" t="s">
        <v>23</v>
      </c>
      <c r="G4" s="28">
        <v>0</v>
      </c>
      <c r="I4" s="1"/>
      <c r="J4" s="2"/>
    </row>
    <row r="5" spans="1:13" x14ac:dyDescent="0.25">
      <c r="B5" s="1"/>
      <c r="D5" s="9"/>
      <c r="F5" s="2"/>
      <c r="H5" s="1"/>
      <c r="I5" s="1"/>
      <c r="J5" s="2"/>
    </row>
    <row r="6" spans="1:13" x14ac:dyDescent="0.25">
      <c r="B6" s="11" t="s">
        <v>4</v>
      </c>
      <c r="C6" s="11" t="s">
        <v>5</v>
      </c>
      <c r="D6" s="11" t="s">
        <v>6</v>
      </c>
      <c r="E6" s="11" t="s">
        <v>7</v>
      </c>
      <c r="F6" s="11" t="s">
        <v>8</v>
      </c>
      <c r="G6" s="11" t="s">
        <v>9</v>
      </c>
      <c r="H6" s="38" t="s">
        <v>10</v>
      </c>
      <c r="I6" s="39"/>
      <c r="J6" s="11" t="s">
        <v>11</v>
      </c>
    </row>
    <row r="7" spans="1:13" x14ac:dyDescent="0.25">
      <c r="A7" s="1">
        <v>1</v>
      </c>
      <c r="B7" s="12"/>
      <c r="C7" s="49" t="s">
        <v>27</v>
      </c>
      <c r="D7" s="13">
        <v>82.32</v>
      </c>
      <c r="E7" s="13" t="s">
        <v>24</v>
      </c>
      <c r="F7" s="14">
        <f>D7/D$24</f>
        <v>0.82319999999999993</v>
      </c>
      <c r="G7" s="15">
        <f>C4*F7</f>
        <v>823.19999999999993</v>
      </c>
      <c r="H7" s="34"/>
      <c r="I7" s="35"/>
      <c r="J7" s="16"/>
    </row>
    <row r="8" spans="1:13" ht="30" x14ac:dyDescent="0.25">
      <c r="A8" s="1">
        <v>2</v>
      </c>
      <c r="B8" s="12"/>
      <c r="C8" s="50" t="s">
        <v>78</v>
      </c>
      <c r="D8" s="13">
        <v>6.3</v>
      </c>
      <c r="E8" s="13" t="s">
        <v>24</v>
      </c>
      <c r="F8" s="14">
        <f t="shared" ref="F8:F23" si="0">D8/D$24</f>
        <v>6.3E-2</v>
      </c>
      <c r="G8" s="15">
        <f>C4*F8</f>
        <v>63</v>
      </c>
      <c r="H8" s="34"/>
      <c r="I8" s="35"/>
      <c r="J8" s="16"/>
    </row>
    <row r="9" spans="1:13" x14ac:dyDescent="0.25">
      <c r="A9" s="1">
        <v>3</v>
      </c>
      <c r="B9" s="12"/>
      <c r="C9" s="49" t="s">
        <v>79</v>
      </c>
      <c r="D9" s="13">
        <v>0.5</v>
      </c>
      <c r="E9" s="13" t="s">
        <v>24</v>
      </c>
      <c r="F9" s="14">
        <f t="shared" si="0"/>
        <v>5.0000000000000001E-3</v>
      </c>
      <c r="G9" s="15">
        <f>C4*F9</f>
        <v>5</v>
      </c>
      <c r="H9" s="34"/>
      <c r="I9" s="35"/>
      <c r="J9" s="16"/>
    </row>
    <row r="10" spans="1:13" x14ac:dyDescent="0.25">
      <c r="A10" s="1">
        <v>4</v>
      </c>
      <c r="B10" s="12"/>
      <c r="C10" s="49" t="s">
        <v>80</v>
      </c>
      <c r="D10" s="13">
        <v>0.05</v>
      </c>
      <c r="E10" s="13" t="s">
        <v>24</v>
      </c>
      <c r="F10" s="14">
        <f t="shared" si="0"/>
        <v>5.0000000000000001E-4</v>
      </c>
      <c r="G10" s="15">
        <f>C4*F10</f>
        <v>0.5</v>
      </c>
      <c r="H10" s="34"/>
      <c r="I10" s="35"/>
      <c r="J10" s="16"/>
    </row>
    <row r="11" spans="1:13" x14ac:dyDescent="0.25">
      <c r="A11" s="1">
        <v>5</v>
      </c>
      <c r="B11" s="12"/>
      <c r="C11" s="49" t="s">
        <v>81</v>
      </c>
      <c r="D11" s="13">
        <v>0.05</v>
      </c>
      <c r="E11" s="13" t="s">
        <v>24</v>
      </c>
      <c r="F11" s="14">
        <f t="shared" si="0"/>
        <v>5.0000000000000001E-4</v>
      </c>
      <c r="G11" s="15">
        <f>C4*F11</f>
        <v>0.5</v>
      </c>
      <c r="H11" s="34"/>
      <c r="I11" s="35"/>
      <c r="J11" s="16"/>
      <c r="M11">
        <v>454</v>
      </c>
    </row>
    <row r="12" spans="1:13" x14ac:dyDescent="0.25">
      <c r="A12" s="1">
        <v>6</v>
      </c>
      <c r="B12" s="12"/>
      <c r="C12" s="49" t="s">
        <v>82</v>
      </c>
      <c r="D12" s="13">
        <v>0.4</v>
      </c>
      <c r="E12" s="13" t="s">
        <v>24</v>
      </c>
      <c r="F12" s="14">
        <f t="shared" si="0"/>
        <v>4.0000000000000001E-3</v>
      </c>
      <c r="G12" s="15">
        <f>C4*F12</f>
        <v>4</v>
      </c>
      <c r="H12" s="34"/>
      <c r="I12" s="35"/>
      <c r="J12" s="16"/>
      <c r="M12">
        <v>3</v>
      </c>
    </row>
    <row r="13" spans="1:13" x14ac:dyDescent="0.25">
      <c r="A13" s="1">
        <v>7</v>
      </c>
      <c r="B13" s="12"/>
      <c r="C13" s="49" t="s">
        <v>83</v>
      </c>
      <c r="D13" s="13">
        <v>0.03</v>
      </c>
      <c r="E13" s="13" t="s">
        <v>24</v>
      </c>
      <c r="F13" s="14">
        <f t="shared" si="0"/>
        <v>2.9999999999999997E-4</v>
      </c>
      <c r="G13" s="15">
        <f>C4*F13</f>
        <v>0.3</v>
      </c>
      <c r="H13" s="34"/>
      <c r="I13" s="35"/>
      <c r="J13" s="16"/>
      <c r="M13">
        <f>SUM(M11*M12)</f>
        <v>1362</v>
      </c>
    </row>
    <row r="14" spans="1:13" x14ac:dyDescent="0.25">
      <c r="A14" s="1">
        <v>8</v>
      </c>
      <c r="B14" s="12"/>
      <c r="C14" s="49" t="s">
        <v>84</v>
      </c>
      <c r="D14" s="13">
        <v>5</v>
      </c>
      <c r="E14" s="13" t="s">
        <v>24</v>
      </c>
      <c r="F14" s="14">
        <f t="shared" si="0"/>
        <v>0.05</v>
      </c>
      <c r="G14" s="15">
        <f>C4*F14</f>
        <v>50</v>
      </c>
      <c r="H14" s="34"/>
      <c r="I14" s="35"/>
      <c r="J14" s="16"/>
    </row>
    <row r="15" spans="1:13" x14ac:dyDescent="0.25">
      <c r="A15" s="1">
        <v>9</v>
      </c>
      <c r="B15" s="12"/>
      <c r="C15" s="49" t="s">
        <v>85</v>
      </c>
      <c r="D15" s="13">
        <v>0.5</v>
      </c>
      <c r="E15" s="13" t="s">
        <v>24</v>
      </c>
      <c r="F15" s="14">
        <f t="shared" si="0"/>
        <v>5.0000000000000001E-3</v>
      </c>
      <c r="G15" s="15">
        <f>C4*F15</f>
        <v>5</v>
      </c>
      <c r="H15" s="34"/>
      <c r="I15" s="35"/>
      <c r="J15" s="16"/>
    </row>
    <row r="16" spans="1:13" x14ac:dyDescent="0.25">
      <c r="A16" s="1">
        <v>10</v>
      </c>
      <c r="B16" s="12"/>
      <c r="C16" s="51" t="s">
        <v>86</v>
      </c>
      <c r="D16" s="13">
        <v>0.2</v>
      </c>
      <c r="E16" s="13" t="s">
        <v>24</v>
      </c>
      <c r="F16" s="14">
        <f t="shared" si="0"/>
        <v>2E-3</v>
      </c>
      <c r="G16" s="15">
        <f>C4*F16</f>
        <v>2</v>
      </c>
      <c r="H16" s="34"/>
      <c r="I16" s="35"/>
      <c r="J16" s="16"/>
    </row>
    <row r="17" spans="1:10" x14ac:dyDescent="0.25">
      <c r="A17" s="1">
        <v>11</v>
      </c>
      <c r="B17" s="12"/>
      <c r="C17" s="12" t="s">
        <v>87</v>
      </c>
      <c r="D17" s="13">
        <v>4.6500000000000004</v>
      </c>
      <c r="E17" s="13" t="s">
        <v>24</v>
      </c>
      <c r="F17" s="14">
        <f t="shared" si="0"/>
        <v>4.6500000000000007E-2</v>
      </c>
      <c r="G17" s="15">
        <f>C4*F17</f>
        <v>46.500000000000007</v>
      </c>
      <c r="H17" s="34"/>
      <c r="I17" s="35"/>
      <c r="J17" s="16"/>
    </row>
    <row r="18" spans="1:10" x14ac:dyDescent="0.25">
      <c r="A18" s="1">
        <v>12</v>
      </c>
      <c r="B18" s="12"/>
      <c r="C18" s="12"/>
      <c r="D18" s="13"/>
      <c r="E18" s="13" t="s">
        <v>24</v>
      </c>
      <c r="F18" s="14">
        <f t="shared" si="0"/>
        <v>0</v>
      </c>
      <c r="G18" s="15">
        <f>C4*F18</f>
        <v>0</v>
      </c>
      <c r="H18" s="34"/>
      <c r="I18" s="35"/>
      <c r="J18" s="16"/>
    </row>
    <row r="19" spans="1:10" x14ac:dyDescent="0.25">
      <c r="A19" s="1">
        <v>13</v>
      </c>
      <c r="B19" s="12"/>
      <c r="C19" s="12"/>
      <c r="D19" s="13"/>
      <c r="E19" s="13" t="s">
        <v>24</v>
      </c>
      <c r="F19" s="14">
        <f t="shared" si="0"/>
        <v>0</v>
      </c>
      <c r="G19" s="15">
        <f>C4*F19</f>
        <v>0</v>
      </c>
      <c r="H19" s="34"/>
      <c r="I19" s="35"/>
      <c r="J19" s="16"/>
    </row>
    <row r="20" spans="1:10" x14ac:dyDescent="0.25">
      <c r="A20" s="1">
        <v>14</v>
      </c>
      <c r="B20" s="12"/>
      <c r="C20" s="12"/>
      <c r="D20" s="13"/>
      <c r="E20" s="13" t="s">
        <v>24</v>
      </c>
      <c r="F20" s="14">
        <f t="shared" si="0"/>
        <v>0</v>
      </c>
      <c r="G20" s="15">
        <f>C4*F20</f>
        <v>0</v>
      </c>
      <c r="H20" s="34"/>
      <c r="I20" s="35"/>
      <c r="J20" s="16"/>
    </row>
    <row r="21" spans="1:10" x14ac:dyDescent="0.25">
      <c r="A21" s="1">
        <v>15</v>
      </c>
      <c r="B21" s="12"/>
      <c r="C21" s="12"/>
      <c r="D21" s="13"/>
      <c r="E21" s="13" t="s">
        <v>24</v>
      </c>
      <c r="F21" s="14">
        <f>D21/D$24</f>
        <v>0</v>
      </c>
      <c r="G21" s="15">
        <f>C4*F21</f>
        <v>0</v>
      </c>
      <c r="H21" s="34"/>
      <c r="I21" s="35"/>
      <c r="J21" s="16"/>
    </row>
    <row r="22" spans="1:10" x14ac:dyDescent="0.25">
      <c r="A22" s="1">
        <v>16</v>
      </c>
      <c r="B22" s="12"/>
      <c r="C22" s="12"/>
      <c r="D22" s="13"/>
      <c r="E22" s="13" t="s">
        <v>24</v>
      </c>
      <c r="F22" s="14">
        <f t="shared" si="0"/>
        <v>0</v>
      </c>
      <c r="G22" s="15">
        <f>C4*F22</f>
        <v>0</v>
      </c>
      <c r="H22" s="34"/>
      <c r="I22" s="35"/>
      <c r="J22" s="16"/>
    </row>
    <row r="23" spans="1:10" x14ac:dyDescent="0.25">
      <c r="A23" s="1">
        <v>17</v>
      </c>
      <c r="B23" s="12"/>
      <c r="C23" s="12"/>
      <c r="D23" s="13"/>
      <c r="E23" s="13" t="s">
        <v>24</v>
      </c>
      <c r="F23" s="14">
        <f t="shared" si="0"/>
        <v>0</v>
      </c>
      <c r="G23" s="15">
        <f>C4*F23</f>
        <v>0</v>
      </c>
      <c r="H23" s="34"/>
      <c r="I23" s="35"/>
      <c r="J23" s="16"/>
    </row>
    <row r="24" spans="1:10" x14ac:dyDescent="0.25">
      <c r="C24" s="17" t="s">
        <v>12</v>
      </c>
      <c r="D24" s="1">
        <f>SUM(D7:D23)</f>
        <v>100</v>
      </c>
      <c r="E24" s="1" t="s">
        <v>24</v>
      </c>
      <c r="F24" s="18">
        <f>SUM(F7:F23)</f>
        <v>0.99999999999999978</v>
      </c>
      <c r="G24" s="29">
        <f>SUM(G7:G23)</f>
        <v>999.99999999999989</v>
      </c>
      <c r="H24" s="19" t="s">
        <v>13</v>
      </c>
    </row>
    <row r="25" spans="1:10" x14ac:dyDescent="0.25">
      <c r="F25" s="28" t="s">
        <v>25</v>
      </c>
      <c r="G25" s="20">
        <f>-G24*G4+C4</f>
        <v>1000</v>
      </c>
    </row>
    <row r="26" spans="1:10" ht="15.75" x14ac:dyDescent="0.25">
      <c r="A26"/>
      <c r="B26" s="36" t="s">
        <v>14</v>
      </c>
      <c r="C26" s="36"/>
      <c r="D26" s="36"/>
      <c r="E26" s="36"/>
      <c r="F26" s="36"/>
      <c r="G26" s="36"/>
      <c r="H26" s="36"/>
      <c r="I26" s="36"/>
      <c r="J26" s="36"/>
    </row>
    <row r="27" spans="1:10" ht="15.75" x14ac:dyDescent="0.25">
      <c r="A27"/>
      <c r="B27" s="21" t="s">
        <v>15</v>
      </c>
      <c r="C27" s="22"/>
      <c r="D27" s="22"/>
      <c r="E27" s="22"/>
      <c r="F27" s="22"/>
      <c r="G27" s="22"/>
      <c r="H27" s="22"/>
      <c r="I27" s="22"/>
      <c r="J27" s="22"/>
    </row>
    <row r="28" spans="1:10" x14ac:dyDescent="0.25">
      <c r="A28" s="1">
        <v>1</v>
      </c>
      <c r="B28" s="31" t="s">
        <v>88</v>
      </c>
      <c r="C28" s="31"/>
      <c r="D28" s="31"/>
      <c r="E28" s="31"/>
      <c r="F28" s="31"/>
      <c r="G28" s="31"/>
      <c r="H28" s="31"/>
      <c r="I28" s="31"/>
      <c r="J28" s="31"/>
    </row>
    <row r="29" spans="1:10" x14ac:dyDescent="0.25">
      <c r="A29" s="1">
        <v>2</v>
      </c>
      <c r="B29" s="31" t="s">
        <v>89</v>
      </c>
      <c r="C29" s="31"/>
      <c r="D29" s="31"/>
      <c r="E29" s="31"/>
      <c r="F29" s="31"/>
      <c r="G29" s="31"/>
      <c r="H29" s="31"/>
      <c r="I29" s="31"/>
      <c r="J29" s="31"/>
    </row>
    <row r="30" spans="1:10" x14ac:dyDescent="0.25">
      <c r="A30" s="1">
        <v>3</v>
      </c>
      <c r="B30" s="31"/>
      <c r="C30" s="31"/>
      <c r="D30" s="31"/>
      <c r="E30" s="31"/>
      <c r="F30" s="31"/>
      <c r="G30" s="31"/>
      <c r="H30" s="31"/>
      <c r="I30" s="31"/>
      <c r="J30" s="31"/>
    </row>
    <row r="31" spans="1:10" x14ac:dyDescent="0.25">
      <c r="A31" s="1">
        <v>4</v>
      </c>
      <c r="B31" s="31"/>
      <c r="C31" s="31"/>
      <c r="D31" s="31"/>
      <c r="E31" s="31"/>
      <c r="F31" s="31"/>
      <c r="G31" s="31"/>
      <c r="H31" s="31"/>
      <c r="I31" s="31"/>
      <c r="J31" s="31"/>
    </row>
    <row r="32" spans="1:10" x14ac:dyDescent="0.25">
      <c r="A32" s="1">
        <v>5</v>
      </c>
      <c r="B32" s="31"/>
      <c r="C32" s="31"/>
      <c r="D32" s="31"/>
      <c r="E32" s="31"/>
      <c r="F32" s="31"/>
      <c r="G32" s="31"/>
      <c r="H32" s="31"/>
      <c r="I32" s="31"/>
      <c r="J32" s="31"/>
    </row>
    <row r="33" spans="1:10" x14ac:dyDescent="0.25">
      <c r="A33" s="1">
        <v>6</v>
      </c>
      <c r="B33" s="31"/>
      <c r="C33" s="31"/>
      <c r="D33" s="31"/>
      <c r="E33" s="31"/>
      <c r="F33" s="31"/>
      <c r="G33" s="31"/>
      <c r="H33" s="31"/>
      <c r="I33" s="31"/>
      <c r="J33" s="31"/>
    </row>
    <row r="34" spans="1:10" x14ac:dyDescent="0.25">
      <c r="A34" s="1">
        <v>7</v>
      </c>
      <c r="B34" s="31"/>
      <c r="C34" s="31"/>
      <c r="D34" s="31"/>
      <c r="E34" s="31"/>
      <c r="F34" s="31"/>
      <c r="G34" s="31"/>
      <c r="H34" s="31"/>
      <c r="I34" s="31"/>
      <c r="J34" s="31"/>
    </row>
    <row r="35" spans="1:10" x14ac:dyDescent="0.25">
      <c r="A35" s="1">
        <v>8</v>
      </c>
      <c r="B35" s="31"/>
      <c r="C35" s="31"/>
      <c r="D35" s="31"/>
      <c r="E35" s="31"/>
      <c r="F35" s="31"/>
      <c r="G35" s="31"/>
      <c r="H35" s="31"/>
      <c r="I35" s="31"/>
      <c r="J35" s="31"/>
    </row>
    <row r="36" spans="1:10" x14ac:dyDescent="0.25">
      <c r="A36" s="1">
        <v>9</v>
      </c>
      <c r="B36" s="31"/>
      <c r="C36" s="31"/>
      <c r="D36" s="31"/>
      <c r="E36" s="31"/>
      <c r="F36" s="31"/>
      <c r="G36" s="31"/>
      <c r="H36" s="31"/>
      <c r="I36" s="31"/>
      <c r="J36" s="31"/>
    </row>
    <row r="37" spans="1:10" x14ac:dyDescent="0.25">
      <c r="A37" s="1">
        <v>10</v>
      </c>
      <c r="B37" s="31"/>
      <c r="C37" s="31"/>
      <c r="D37" s="31"/>
      <c r="E37" s="31"/>
      <c r="F37" s="31"/>
      <c r="G37" s="31"/>
      <c r="H37" s="31"/>
      <c r="I37" s="31"/>
      <c r="J37" s="31"/>
    </row>
    <row r="38" spans="1:10" x14ac:dyDescent="0.25">
      <c r="A38" s="1">
        <v>11</v>
      </c>
      <c r="B38" s="31"/>
      <c r="C38" s="31"/>
      <c r="D38" s="31"/>
      <c r="E38" s="31"/>
      <c r="F38" s="31"/>
      <c r="G38" s="31"/>
      <c r="H38" s="31"/>
      <c r="I38" s="31"/>
      <c r="J38" s="31"/>
    </row>
    <row r="40" spans="1:10" x14ac:dyDescent="0.25">
      <c r="B40" t="s">
        <v>16</v>
      </c>
    </row>
    <row r="42" spans="1:10" x14ac:dyDescent="0.25">
      <c r="B42" s="23"/>
      <c r="C42" s="23"/>
      <c r="D42" s="24"/>
      <c r="E42" s="24"/>
      <c r="F42" s="23"/>
      <c r="H42" s="23"/>
      <c r="I42" s="23"/>
      <c r="J42" s="23"/>
    </row>
    <row r="43" spans="1:10" x14ac:dyDescent="0.25">
      <c r="B43" s="32" t="s">
        <v>17</v>
      </c>
      <c r="C43" s="32"/>
      <c r="E43" s="32" t="s">
        <v>18</v>
      </c>
      <c r="F43" s="32"/>
      <c r="H43" s="33" t="s">
        <v>19</v>
      </c>
      <c r="I43" s="33"/>
      <c r="J43" s="2" t="s">
        <v>20</v>
      </c>
    </row>
  </sheetData>
  <mergeCells count="34">
    <mergeCell ref="B38:J38"/>
    <mergeCell ref="B43:C43"/>
    <mergeCell ref="E43:F43"/>
    <mergeCell ref="H43:I43"/>
    <mergeCell ref="B32:J32"/>
    <mergeCell ref="B33:J33"/>
    <mergeCell ref="B34:J34"/>
    <mergeCell ref="B35:J35"/>
    <mergeCell ref="B36:J36"/>
    <mergeCell ref="B37:J37"/>
    <mergeCell ref="H23:I23"/>
    <mergeCell ref="B26:J26"/>
    <mergeCell ref="B28:J28"/>
    <mergeCell ref="B29:J29"/>
    <mergeCell ref="B30:J30"/>
    <mergeCell ref="B31:J31"/>
    <mergeCell ref="H17:I17"/>
    <mergeCell ref="H18:I18"/>
    <mergeCell ref="H19:I19"/>
    <mergeCell ref="H20:I20"/>
    <mergeCell ref="H21:I21"/>
    <mergeCell ref="H22:I22"/>
    <mergeCell ref="H11:I11"/>
    <mergeCell ref="H12:I12"/>
    <mergeCell ref="H13:I13"/>
    <mergeCell ref="H14:I14"/>
    <mergeCell ref="H15:I15"/>
    <mergeCell ref="H16:I16"/>
    <mergeCell ref="E2:F2"/>
    <mergeCell ref="H6:I6"/>
    <mergeCell ref="H7:I7"/>
    <mergeCell ref="H8:I8"/>
    <mergeCell ref="H9:I9"/>
    <mergeCell ref="H10:I10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568663-2C96-4453-9A25-B79317C07B2C}">
  <sheetPr>
    <pageSetUpPr fitToPage="1"/>
  </sheetPr>
  <dimension ref="A1:J43"/>
  <sheetViews>
    <sheetView zoomScale="80" zoomScaleNormal="80" workbookViewId="0">
      <selection activeCell="C12" sqref="C12"/>
    </sheetView>
  </sheetViews>
  <sheetFormatPr defaultRowHeight="15" x14ac:dyDescent="0.25"/>
  <cols>
    <col min="1" max="1" width="3.5703125" style="1" customWidth="1"/>
    <col min="2" max="2" width="21.42578125" customWidth="1"/>
    <col min="3" max="3" width="38" customWidth="1"/>
    <col min="4" max="4" width="17.5703125" style="2" customWidth="1"/>
    <col min="5" max="5" width="6.5703125" style="2" customWidth="1"/>
    <col min="6" max="6" width="21.85546875" customWidth="1"/>
    <col min="7" max="7" width="12.5703125" style="2" customWidth="1"/>
    <col min="8" max="9" width="12.5703125" customWidth="1"/>
    <col min="10" max="10" width="37.42578125" customWidth="1"/>
  </cols>
  <sheetData>
    <row r="1" spans="1:10" ht="15.75" thickBot="1" x14ac:dyDescent="0.3"/>
    <row r="2" spans="1:10" ht="15.75" thickBot="1" x14ac:dyDescent="0.3">
      <c r="B2" s="3" t="s">
        <v>0</v>
      </c>
      <c r="C2" s="4" t="s">
        <v>69</v>
      </c>
      <c r="D2" s="5" t="s">
        <v>1</v>
      </c>
      <c r="E2" s="37" t="s">
        <v>120</v>
      </c>
      <c r="F2" s="37"/>
      <c r="G2" s="4"/>
      <c r="H2" s="6" t="s">
        <v>2</v>
      </c>
      <c r="I2" s="7"/>
      <c r="J2" s="8" t="s">
        <v>3</v>
      </c>
    </row>
    <row r="3" spans="1:10" ht="5.25" customHeight="1" x14ac:dyDescent="0.25">
      <c r="B3" s="1"/>
      <c r="D3" s="9"/>
      <c r="F3" s="2"/>
      <c r="H3" s="1"/>
      <c r="I3" s="1"/>
      <c r="J3" s="2"/>
    </row>
    <row r="4" spans="1:10" x14ac:dyDescent="0.25">
      <c r="B4" s="2" t="s">
        <v>22</v>
      </c>
      <c r="C4" s="10">
        <v>0.56000000000000005</v>
      </c>
      <c r="D4" s="9"/>
      <c r="F4" s="2" t="s">
        <v>23</v>
      </c>
      <c r="G4" s="28">
        <v>0</v>
      </c>
      <c r="I4" s="1"/>
      <c r="J4" s="2"/>
    </row>
    <row r="5" spans="1:10" ht="5.25" customHeight="1" x14ac:dyDescent="0.25">
      <c r="B5" s="1"/>
      <c r="D5" s="9"/>
      <c r="F5" s="2"/>
      <c r="H5" s="1"/>
      <c r="I5" s="1"/>
      <c r="J5" s="2"/>
    </row>
    <row r="6" spans="1:10" x14ac:dyDescent="0.25">
      <c r="B6" s="11" t="s">
        <v>4</v>
      </c>
      <c r="C6" s="11" t="s">
        <v>5</v>
      </c>
      <c r="D6" s="11" t="s">
        <v>6</v>
      </c>
      <c r="E6" s="11" t="s">
        <v>7</v>
      </c>
      <c r="F6" s="11" t="s">
        <v>8</v>
      </c>
      <c r="G6" s="11" t="s">
        <v>9</v>
      </c>
      <c r="H6" s="38" t="s">
        <v>10</v>
      </c>
      <c r="I6" s="39"/>
      <c r="J6" s="11" t="s">
        <v>11</v>
      </c>
    </row>
    <row r="7" spans="1:10" x14ac:dyDescent="0.25">
      <c r="A7" s="1">
        <v>1</v>
      </c>
      <c r="B7" s="12"/>
      <c r="C7" s="12" t="s">
        <v>56</v>
      </c>
      <c r="D7" s="13">
        <v>0.7</v>
      </c>
      <c r="E7" s="13" t="s">
        <v>24</v>
      </c>
      <c r="F7" s="14">
        <f t="shared" ref="F7:F23" si="0">D7/D$24</f>
        <v>0.7</v>
      </c>
      <c r="G7" s="15">
        <f>C4*F7</f>
        <v>0.39200000000000002</v>
      </c>
      <c r="H7" s="34"/>
      <c r="I7" s="35"/>
      <c r="J7" s="16"/>
    </row>
    <row r="8" spans="1:10" x14ac:dyDescent="0.25">
      <c r="A8" s="1">
        <v>2</v>
      </c>
      <c r="B8" s="12"/>
      <c r="C8" s="12" t="s">
        <v>72</v>
      </c>
      <c r="D8" s="13">
        <v>0.125</v>
      </c>
      <c r="E8" s="13" t="s">
        <v>24</v>
      </c>
      <c r="F8" s="14">
        <f t="shared" si="0"/>
        <v>0.125</v>
      </c>
      <c r="G8" s="15">
        <f>C4*F8</f>
        <v>7.0000000000000007E-2</v>
      </c>
      <c r="H8" s="34"/>
      <c r="I8" s="35"/>
      <c r="J8" s="16"/>
    </row>
    <row r="9" spans="1:10" x14ac:dyDescent="0.25">
      <c r="A9" s="1">
        <v>3</v>
      </c>
      <c r="B9" s="12"/>
      <c r="C9" s="12" t="s">
        <v>73</v>
      </c>
      <c r="D9" s="13">
        <v>0.125</v>
      </c>
      <c r="E9" s="13" t="s">
        <v>24</v>
      </c>
      <c r="F9" s="14">
        <f t="shared" si="0"/>
        <v>0.125</v>
      </c>
      <c r="G9" s="15">
        <f>C4*F9</f>
        <v>7.0000000000000007E-2</v>
      </c>
      <c r="H9" s="34"/>
      <c r="I9" s="35"/>
      <c r="J9" s="16"/>
    </row>
    <row r="10" spans="1:10" x14ac:dyDescent="0.25">
      <c r="A10" s="1">
        <v>4</v>
      </c>
      <c r="B10" s="12"/>
      <c r="C10" s="12" t="s">
        <v>60</v>
      </c>
      <c r="D10" s="13">
        <v>6.0000000000000001E-3</v>
      </c>
      <c r="E10" s="13" t="s">
        <v>24</v>
      </c>
      <c r="F10" s="14">
        <f t="shared" si="0"/>
        <v>6.0000000000000001E-3</v>
      </c>
      <c r="G10" s="15">
        <f>C4*F10</f>
        <v>3.3600000000000006E-3</v>
      </c>
      <c r="H10" s="34"/>
      <c r="I10" s="35"/>
      <c r="J10" s="16"/>
    </row>
    <row r="11" spans="1:10" x14ac:dyDescent="0.25">
      <c r="A11" s="1">
        <v>5</v>
      </c>
      <c r="B11" s="12"/>
      <c r="C11" s="12" t="s">
        <v>74</v>
      </c>
      <c r="D11" s="13">
        <v>4.3999999999999997E-2</v>
      </c>
      <c r="E11" s="13" t="s">
        <v>24</v>
      </c>
      <c r="F11" s="14">
        <f t="shared" si="0"/>
        <v>4.3999999999999997E-2</v>
      </c>
      <c r="G11" s="15">
        <f>C4*F11</f>
        <v>2.4640000000000002E-2</v>
      </c>
      <c r="H11" s="34"/>
      <c r="I11" s="35"/>
      <c r="J11" s="16"/>
    </row>
    <row r="12" spans="1:10" x14ac:dyDescent="0.25">
      <c r="A12" s="1">
        <v>6</v>
      </c>
      <c r="B12" s="12"/>
      <c r="C12" s="12"/>
      <c r="D12" s="13"/>
      <c r="E12" s="13" t="s">
        <v>24</v>
      </c>
      <c r="F12" s="14">
        <f t="shared" si="0"/>
        <v>0</v>
      </c>
      <c r="G12" s="15">
        <f>C4*F12</f>
        <v>0</v>
      </c>
      <c r="H12" s="34"/>
      <c r="I12" s="35"/>
      <c r="J12" s="16"/>
    </row>
    <row r="13" spans="1:10" x14ac:dyDescent="0.25">
      <c r="A13" s="1">
        <v>7</v>
      </c>
      <c r="B13" s="12"/>
      <c r="C13" s="12"/>
      <c r="D13" s="13"/>
      <c r="E13" s="13" t="s">
        <v>24</v>
      </c>
      <c r="F13" s="14">
        <f t="shared" si="0"/>
        <v>0</v>
      </c>
      <c r="G13" s="15">
        <f>C4*F13</f>
        <v>0</v>
      </c>
      <c r="H13" s="34"/>
      <c r="I13" s="35"/>
      <c r="J13" s="16"/>
    </row>
    <row r="14" spans="1:10" x14ac:dyDescent="0.25">
      <c r="A14" s="1">
        <v>8</v>
      </c>
      <c r="B14" s="12"/>
      <c r="C14" s="12"/>
      <c r="D14" s="13"/>
      <c r="E14" s="13" t="s">
        <v>24</v>
      </c>
      <c r="F14" s="14">
        <f t="shared" si="0"/>
        <v>0</v>
      </c>
      <c r="G14" s="15">
        <f>C4*F14</f>
        <v>0</v>
      </c>
      <c r="H14" s="34"/>
      <c r="I14" s="35"/>
      <c r="J14" s="16"/>
    </row>
    <row r="15" spans="1:10" x14ac:dyDescent="0.25">
      <c r="A15" s="1">
        <v>9</v>
      </c>
      <c r="B15" s="12"/>
      <c r="C15" s="12"/>
      <c r="D15" s="13"/>
      <c r="E15" s="13" t="s">
        <v>24</v>
      </c>
      <c r="F15" s="14">
        <f t="shared" si="0"/>
        <v>0</v>
      </c>
      <c r="G15" s="15">
        <f>C4*F15</f>
        <v>0</v>
      </c>
      <c r="H15" s="34"/>
      <c r="I15" s="35"/>
      <c r="J15" s="16"/>
    </row>
    <row r="16" spans="1:10" x14ac:dyDescent="0.25">
      <c r="A16" s="1">
        <v>10</v>
      </c>
      <c r="B16" s="12"/>
      <c r="C16" s="12"/>
      <c r="D16" s="13"/>
      <c r="E16" s="13" t="s">
        <v>24</v>
      </c>
      <c r="F16" s="14">
        <f t="shared" si="0"/>
        <v>0</v>
      </c>
      <c r="G16" s="15">
        <f>C4*F16</f>
        <v>0</v>
      </c>
      <c r="H16" s="34"/>
      <c r="I16" s="35"/>
      <c r="J16" s="16"/>
    </row>
    <row r="17" spans="1:10" x14ac:dyDescent="0.25">
      <c r="A17" s="1">
        <v>11</v>
      </c>
      <c r="B17" s="12"/>
      <c r="C17" s="12"/>
      <c r="D17" s="13"/>
      <c r="E17" s="13" t="s">
        <v>24</v>
      </c>
      <c r="F17" s="14">
        <f t="shared" si="0"/>
        <v>0</v>
      </c>
      <c r="G17" s="15">
        <f>C4*F17</f>
        <v>0</v>
      </c>
      <c r="H17" s="34"/>
      <c r="I17" s="35"/>
      <c r="J17" s="16"/>
    </row>
    <row r="18" spans="1:10" x14ac:dyDescent="0.25">
      <c r="A18" s="1">
        <v>12</v>
      </c>
      <c r="B18" s="12"/>
      <c r="C18" s="12"/>
      <c r="D18" s="13"/>
      <c r="E18" s="13" t="s">
        <v>24</v>
      </c>
      <c r="F18" s="14">
        <f t="shared" si="0"/>
        <v>0</v>
      </c>
      <c r="G18" s="15">
        <f>C4*F18</f>
        <v>0</v>
      </c>
      <c r="H18" s="34"/>
      <c r="I18" s="35"/>
      <c r="J18" s="16"/>
    </row>
    <row r="19" spans="1:10" x14ac:dyDescent="0.25">
      <c r="A19" s="1">
        <v>13</v>
      </c>
      <c r="B19" s="12"/>
      <c r="C19" s="12"/>
      <c r="D19" s="13"/>
      <c r="E19" s="13" t="s">
        <v>24</v>
      </c>
      <c r="F19" s="14">
        <f t="shared" si="0"/>
        <v>0</v>
      </c>
      <c r="G19" s="15">
        <f>C4*F19</f>
        <v>0</v>
      </c>
      <c r="H19" s="34"/>
      <c r="I19" s="35"/>
      <c r="J19" s="16"/>
    </row>
    <row r="20" spans="1:10" x14ac:dyDescent="0.25">
      <c r="A20" s="1">
        <v>14</v>
      </c>
      <c r="B20" s="12"/>
      <c r="C20" s="12"/>
      <c r="D20" s="13"/>
      <c r="E20" s="13" t="s">
        <v>24</v>
      </c>
      <c r="F20" s="14">
        <f t="shared" si="0"/>
        <v>0</v>
      </c>
      <c r="G20" s="15">
        <f>C4*F20</f>
        <v>0</v>
      </c>
      <c r="H20" s="34"/>
      <c r="I20" s="35"/>
      <c r="J20" s="16"/>
    </row>
    <row r="21" spans="1:10" x14ac:dyDescent="0.25">
      <c r="A21" s="1">
        <v>15</v>
      </c>
      <c r="B21" s="12"/>
      <c r="C21" s="12"/>
      <c r="D21" s="13"/>
      <c r="E21" s="13" t="s">
        <v>24</v>
      </c>
      <c r="F21" s="14">
        <f t="shared" si="0"/>
        <v>0</v>
      </c>
      <c r="G21" s="15">
        <f>C4*F21</f>
        <v>0</v>
      </c>
      <c r="H21" s="34"/>
      <c r="I21" s="35"/>
      <c r="J21" s="16"/>
    </row>
    <row r="22" spans="1:10" x14ac:dyDescent="0.25">
      <c r="A22" s="1">
        <v>16</v>
      </c>
      <c r="B22" s="12"/>
      <c r="C22" s="12"/>
      <c r="D22" s="13"/>
      <c r="E22" s="13" t="s">
        <v>24</v>
      </c>
      <c r="F22" s="14">
        <f t="shared" si="0"/>
        <v>0</v>
      </c>
      <c r="G22" s="15">
        <f>C4*F22</f>
        <v>0</v>
      </c>
      <c r="H22" s="34"/>
      <c r="I22" s="35"/>
      <c r="J22" s="16"/>
    </row>
    <row r="23" spans="1:10" x14ac:dyDescent="0.25">
      <c r="A23" s="1">
        <v>17</v>
      </c>
      <c r="B23" s="12"/>
      <c r="C23" s="12"/>
      <c r="D23" s="13"/>
      <c r="E23" s="13" t="s">
        <v>24</v>
      </c>
      <c r="F23" s="14">
        <f t="shared" si="0"/>
        <v>0</v>
      </c>
      <c r="G23" s="15">
        <f>C4*F23</f>
        <v>0</v>
      </c>
      <c r="H23" s="34"/>
      <c r="I23" s="35"/>
      <c r="J23" s="16"/>
    </row>
    <row r="24" spans="1:10" x14ac:dyDescent="0.25">
      <c r="C24" s="17" t="s">
        <v>12</v>
      </c>
      <c r="D24" s="1">
        <f>SUM(D7:D23)</f>
        <v>1</v>
      </c>
      <c r="E24" s="1" t="s">
        <v>24</v>
      </c>
      <c r="F24" s="18">
        <f>SUM(F7:F23)</f>
        <v>1</v>
      </c>
      <c r="G24" s="29">
        <f>SUM(G7:G23)</f>
        <v>0.56000000000000005</v>
      </c>
      <c r="H24" s="19" t="s">
        <v>13</v>
      </c>
    </row>
    <row r="25" spans="1:10" x14ac:dyDescent="0.25">
      <c r="F25" s="28" t="s">
        <v>25</v>
      </c>
      <c r="G25" s="20">
        <f>-G24*G4+C4</f>
        <v>0.56000000000000005</v>
      </c>
    </row>
    <row r="26" spans="1:10" ht="15.75" x14ac:dyDescent="0.25">
      <c r="A26"/>
      <c r="B26" s="36" t="s">
        <v>14</v>
      </c>
      <c r="C26" s="36"/>
      <c r="D26" s="36"/>
      <c r="E26" s="36"/>
      <c r="F26" s="36"/>
      <c r="G26" s="36"/>
      <c r="H26" s="36"/>
      <c r="I26" s="36"/>
      <c r="J26" s="36"/>
    </row>
    <row r="27" spans="1:10" ht="15.75" x14ac:dyDescent="0.25">
      <c r="A27"/>
      <c r="B27" s="21" t="s">
        <v>15</v>
      </c>
      <c r="C27" s="22"/>
      <c r="D27" s="22"/>
      <c r="E27" s="22"/>
      <c r="F27" s="22"/>
      <c r="G27" s="22"/>
      <c r="H27" s="22"/>
      <c r="I27" s="22"/>
      <c r="J27" s="22"/>
    </row>
    <row r="28" spans="1:10" x14ac:dyDescent="0.25">
      <c r="A28" s="1">
        <v>1</v>
      </c>
      <c r="B28" s="40" t="s">
        <v>75</v>
      </c>
      <c r="C28" s="41"/>
      <c r="D28" s="41"/>
      <c r="E28" s="41"/>
      <c r="F28" s="41"/>
      <c r="G28" s="41"/>
      <c r="H28" s="41"/>
      <c r="I28" s="41"/>
      <c r="J28" s="42"/>
    </row>
    <row r="29" spans="1:10" x14ac:dyDescent="0.25">
      <c r="A29" s="1">
        <v>2</v>
      </c>
      <c r="B29" s="40"/>
      <c r="C29" s="41"/>
      <c r="D29" s="41"/>
      <c r="E29" s="41"/>
      <c r="F29" s="41"/>
      <c r="G29" s="41"/>
      <c r="H29" s="41"/>
      <c r="I29" s="41"/>
      <c r="J29" s="42"/>
    </row>
    <row r="30" spans="1:10" x14ac:dyDescent="0.25">
      <c r="A30" s="1">
        <v>3</v>
      </c>
      <c r="B30" s="43"/>
      <c r="C30" s="44"/>
      <c r="D30" s="44"/>
      <c r="E30" s="44"/>
      <c r="F30" s="44"/>
      <c r="G30" s="44"/>
      <c r="H30" s="44"/>
      <c r="I30" s="44"/>
      <c r="J30" s="45"/>
    </row>
    <row r="31" spans="1:10" x14ac:dyDescent="0.25">
      <c r="A31" s="1">
        <v>4</v>
      </c>
      <c r="B31" s="40"/>
      <c r="C31" s="41"/>
      <c r="D31" s="41"/>
      <c r="E31" s="41"/>
      <c r="F31" s="41"/>
      <c r="G31" s="41"/>
      <c r="H31" s="41"/>
      <c r="I31" s="41"/>
      <c r="J31" s="42"/>
    </row>
    <row r="32" spans="1:10" x14ac:dyDescent="0.25">
      <c r="A32" s="1">
        <v>5</v>
      </c>
      <c r="B32" s="31"/>
      <c r="C32" s="31"/>
      <c r="D32" s="31"/>
      <c r="E32" s="31"/>
      <c r="F32" s="31"/>
      <c r="G32" s="31"/>
      <c r="H32" s="31"/>
      <c r="I32" s="31"/>
      <c r="J32" s="31"/>
    </row>
    <row r="33" spans="1:10" x14ac:dyDescent="0.25">
      <c r="A33" s="1">
        <v>6</v>
      </c>
      <c r="B33" s="31"/>
      <c r="C33" s="31"/>
      <c r="D33" s="31"/>
      <c r="E33" s="31"/>
      <c r="F33" s="31"/>
      <c r="G33" s="31"/>
      <c r="H33" s="31"/>
      <c r="I33" s="31"/>
      <c r="J33" s="31"/>
    </row>
    <row r="34" spans="1:10" x14ac:dyDescent="0.25">
      <c r="A34" s="1">
        <v>7</v>
      </c>
      <c r="B34" s="31"/>
      <c r="C34" s="31"/>
      <c r="D34" s="31"/>
      <c r="E34" s="31"/>
      <c r="F34" s="31"/>
      <c r="G34" s="31"/>
      <c r="H34" s="31"/>
      <c r="I34" s="31"/>
      <c r="J34" s="31"/>
    </row>
    <row r="35" spans="1:10" x14ac:dyDescent="0.25">
      <c r="A35" s="1">
        <v>8</v>
      </c>
      <c r="B35" s="31"/>
      <c r="C35" s="31"/>
      <c r="D35" s="31"/>
      <c r="E35" s="31"/>
      <c r="F35" s="31"/>
      <c r="G35" s="31"/>
      <c r="H35" s="31"/>
      <c r="I35" s="31"/>
      <c r="J35" s="31"/>
    </row>
    <row r="36" spans="1:10" x14ac:dyDescent="0.25">
      <c r="A36" s="1">
        <v>9</v>
      </c>
      <c r="B36" s="31"/>
      <c r="C36" s="31"/>
      <c r="D36" s="31"/>
      <c r="E36" s="31"/>
      <c r="F36" s="31"/>
      <c r="G36" s="31"/>
      <c r="H36" s="31"/>
      <c r="I36" s="31"/>
      <c r="J36" s="31"/>
    </row>
    <row r="37" spans="1:10" x14ac:dyDescent="0.25">
      <c r="A37" s="1">
        <v>10</v>
      </c>
      <c r="B37" s="31"/>
      <c r="C37" s="31"/>
      <c r="D37" s="31"/>
      <c r="E37" s="31"/>
      <c r="F37" s="31"/>
      <c r="G37" s="31"/>
      <c r="H37" s="31"/>
      <c r="I37" s="31"/>
      <c r="J37" s="31"/>
    </row>
    <row r="38" spans="1:10" x14ac:dyDescent="0.25">
      <c r="A38" s="1">
        <v>11</v>
      </c>
      <c r="B38" s="31"/>
      <c r="C38" s="31"/>
      <c r="D38" s="31"/>
      <c r="E38" s="31"/>
      <c r="F38" s="31"/>
      <c r="G38" s="31"/>
      <c r="H38" s="31"/>
      <c r="I38" s="31"/>
      <c r="J38" s="31"/>
    </row>
    <row r="40" spans="1:10" x14ac:dyDescent="0.25">
      <c r="B40" t="s">
        <v>16</v>
      </c>
    </row>
    <row r="42" spans="1:10" x14ac:dyDescent="0.25">
      <c r="B42" s="23"/>
      <c r="C42" s="23"/>
      <c r="D42" s="24"/>
      <c r="E42" s="24"/>
      <c r="F42" s="23"/>
      <c r="H42" s="23"/>
      <c r="I42" s="23"/>
      <c r="J42" s="23"/>
    </row>
    <row r="43" spans="1:10" x14ac:dyDescent="0.25">
      <c r="B43" s="32" t="s">
        <v>17</v>
      </c>
      <c r="C43" s="32"/>
      <c r="E43" s="32" t="s">
        <v>18</v>
      </c>
      <c r="F43" s="32"/>
      <c r="H43" s="33" t="s">
        <v>19</v>
      </c>
      <c r="I43" s="33"/>
      <c r="J43" s="2" t="s">
        <v>20</v>
      </c>
    </row>
  </sheetData>
  <mergeCells count="34">
    <mergeCell ref="B38:J38"/>
    <mergeCell ref="B43:C43"/>
    <mergeCell ref="E43:F43"/>
    <mergeCell ref="H43:I43"/>
    <mergeCell ref="B32:J32"/>
    <mergeCell ref="B33:J33"/>
    <mergeCell ref="B34:J34"/>
    <mergeCell ref="B35:J35"/>
    <mergeCell ref="B36:J36"/>
    <mergeCell ref="B37:J37"/>
    <mergeCell ref="H23:I23"/>
    <mergeCell ref="B26:J26"/>
    <mergeCell ref="B28:J28"/>
    <mergeCell ref="B29:J29"/>
    <mergeCell ref="B30:J30"/>
    <mergeCell ref="B31:J31"/>
    <mergeCell ref="H17:I17"/>
    <mergeCell ref="H18:I18"/>
    <mergeCell ref="H19:I19"/>
    <mergeCell ref="H20:I20"/>
    <mergeCell ref="H21:I21"/>
    <mergeCell ref="H22:I22"/>
    <mergeCell ref="H11:I11"/>
    <mergeCell ref="H12:I12"/>
    <mergeCell ref="H13:I13"/>
    <mergeCell ref="H14:I14"/>
    <mergeCell ref="H15:I15"/>
    <mergeCell ref="H16:I16"/>
    <mergeCell ref="E2:F2"/>
    <mergeCell ref="H6:I6"/>
    <mergeCell ref="H7:I7"/>
    <mergeCell ref="H8:I8"/>
    <mergeCell ref="H9:I9"/>
    <mergeCell ref="H10:I10"/>
  </mergeCells>
  <pageMargins left="0.7" right="0.7" top="0.75" bottom="0.75" header="0.3" footer="0.3"/>
  <pageSetup scale="66" fitToHeight="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979F44-EE73-4076-9D02-2F20BE10ECC4}">
  <sheetPr>
    <pageSetUpPr fitToPage="1"/>
  </sheetPr>
  <dimension ref="A1:J43"/>
  <sheetViews>
    <sheetView zoomScale="80" zoomScaleNormal="80" workbookViewId="0">
      <selection activeCell="C13" sqref="C13"/>
    </sheetView>
  </sheetViews>
  <sheetFormatPr defaultRowHeight="15" x14ac:dyDescent="0.25"/>
  <cols>
    <col min="1" max="1" width="3.5703125" style="1" customWidth="1"/>
    <col min="2" max="2" width="21.42578125" customWidth="1"/>
    <col min="3" max="3" width="38" customWidth="1"/>
    <col min="4" max="4" width="17.5703125" style="2" customWidth="1"/>
    <col min="5" max="5" width="6.5703125" style="2" customWidth="1"/>
    <col min="6" max="6" width="21.85546875" customWidth="1"/>
    <col min="7" max="7" width="12.5703125" style="2" customWidth="1"/>
    <col min="8" max="9" width="12.5703125" customWidth="1"/>
    <col min="10" max="10" width="37.42578125" customWidth="1"/>
  </cols>
  <sheetData>
    <row r="1" spans="1:10" ht="15.75" thickBot="1" x14ac:dyDescent="0.3"/>
    <row r="2" spans="1:10" ht="15.75" thickBot="1" x14ac:dyDescent="0.3">
      <c r="B2" s="3" t="s">
        <v>0</v>
      </c>
      <c r="C2" s="4" t="s">
        <v>67</v>
      </c>
      <c r="D2" s="5" t="s">
        <v>1</v>
      </c>
      <c r="E2" s="37" t="s">
        <v>116</v>
      </c>
      <c r="F2" s="37"/>
      <c r="G2" s="4"/>
      <c r="H2" s="6" t="s">
        <v>2</v>
      </c>
      <c r="I2" s="7"/>
      <c r="J2" s="8" t="s">
        <v>3</v>
      </c>
    </row>
    <row r="3" spans="1:10" ht="5.25" customHeight="1" x14ac:dyDescent="0.25">
      <c r="B3" s="1"/>
      <c r="D3" s="9"/>
      <c r="F3" s="2"/>
      <c r="H3" s="1"/>
      <c r="I3" s="1"/>
      <c r="J3" s="2"/>
    </row>
    <row r="4" spans="1:10" x14ac:dyDescent="0.25">
      <c r="B4" s="2" t="s">
        <v>22</v>
      </c>
      <c r="C4" s="10">
        <v>7</v>
      </c>
      <c r="D4" s="9"/>
      <c r="F4" s="2" t="s">
        <v>23</v>
      </c>
      <c r="G4" s="28">
        <v>0.1</v>
      </c>
      <c r="I4" s="1"/>
      <c r="J4" s="2"/>
    </row>
    <row r="5" spans="1:10" ht="5.25" customHeight="1" x14ac:dyDescent="0.25">
      <c r="B5" s="1"/>
      <c r="D5" s="9"/>
      <c r="F5" s="2"/>
      <c r="H5" s="1"/>
      <c r="I5" s="1"/>
      <c r="J5" s="2"/>
    </row>
    <row r="6" spans="1:10" x14ac:dyDescent="0.25">
      <c r="B6" s="11" t="s">
        <v>4</v>
      </c>
      <c r="C6" s="11" t="s">
        <v>5</v>
      </c>
      <c r="D6" s="11" t="s">
        <v>6</v>
      </c>
      <c r="E6" s="11" t="s">
        <v>7</v>
      </c>
      <c r="F6" s="11" t="s">
        <v>8</v>
      </c>
      <c r="G6" s="11" t="s">
        <v>9</v>
      </c>
      <c r="H6" s="38" t="s">
        <v>10</v>
      </c>
      <c r="I6" s="39"/>
      <c r="J6" s="11" t="s">
        <v>11</v>
      </c>
    </row>
    <row r="7" spans="1:10" x14ac:dyDescent="0.25">
      <c r="A7" s="1">
        <v>1</v>
      </c>
      <c r="B7" s="12"/>
      <c r="C7" s="12" t="s">
        <v>68</v>
      </c>
      <c r="D7" s="13">
        <v>0.92</v>
      </c>
      <c r="E7" s="13" t="s">
        <v>24</v>
      </c>
      <c r="F7" s="14">
        <f t="shared" ref="F7:F23" si="0">D7/D$24</f>
        <v>0.92</v>
      </c>
      <c r="G7" s="15">
        <f>C4*F7</f>
        <v>6.44</v>
      </c>
      <c r="H7" s="34"/>
      <c r="I7" s="35"/>
      <c r="J7" s="16"/>
    </row>
    <row r="8" spans="1:10" x14ac:dyDescent="0.25">
      <c r="A8" s="1">
        <v>2</v>
      </c>
      <c r="B8" s="12"/>
      <c r="C8" s="12" t="s">
        <v>69</v>
      </c>
      <c r="D8" s="13">
        <v>0.08</v>
      </c>
      <c r="E8" s="13" t="s">
        <v>24</v>
      </c>
      <c r="F8" s="14">
        <f t="shared" si="0"/>
        <v>0.08</v>
      </c>
      <c r="G8" s="15">
        <f>C4*F8</f>
        <v>0.56000000000000005</v>
      </c>
      <c r="H8" s="34"/>
      <c r="I8" s="35"/>
      <c r="J8" s="16"/>
    </row>
    <row r="9" spans="1:10" x14ac:dyDescent="0.25">
      <c r="A9" s="1">
        <v>3</v>
      </c>
      <c r="B9" s="12"/>
      <c r="C9" s="12"/>
      <c r="D9" s="13"/>
      <c r="E9" s="13" t="s">
        <v>24</v>
      </c>
      <c r="F9" s="14">
        <f t="shared" si="0"/>
        <v>0</v>
      </c>
      <c r="G9" s="15">
        <f>C4*F9</f>
        <v>0</v>
      </c>
      <c r="H9" s="34"/>
      <c r="I9" s="35"/>
      <c r="J9" s="16"/>
    </row>
    <row r="10" spans="1:10" x14ac:dyDescent="0.25">
      <c r="A10" s="1">
        <v>4</v>
      </c>
      <c r="B10" s="12"/>
      <c r="C10" s="12"/>
      <c r="D10" s="13"/>
      <c r="E10" s="13" t="s">
        <v>24</v>
      </c>
      <c r="F10" s="14">
        <f t="shared" si="0"/>
        <v>0</v>
      </c>
      <c r="G10" s="15">
        <f>C4*F10</f>
        <v>0</v>
      </c>
      <c r="H10" s="34"/>
      <c r="I10" s="35"/>
      <c r="J10" s="16"/>
    </row>
    <row r="11" spans="1:10" x14ac:dyDescent="0.25">
      <c r="A11" s="1">
        <v>5</v>
      </c>
      <c r="B11" s="12"/>
      <c r="C11" s="12"/>
      <c r="D11" s="13"/>
      <c r="E11" s="13" t="s">
        <v>24</v>
      </c>
      <c r="F11" s="14">
        <f t="shared" si="0"/>
        <v>0</v>
      </c>
      <c r="G11" s="15">
        <f>C4*F11</f>
        <v>0</v>
      </c>
      <c r="H11" s="34"/>
      <c r="I11" s="35"/>
      <c r="J11" s="16"/>
    </row>
    <row r="12" spans="1:10" x14ac:dyDescent="0.25">
      <c r="A12" s="1">
        <v>6</v>
      </c>
      <c r="B12" s="12"/>
      <c r="C12" s="12"/>
      <c r="D12" s="13"/>
      <c r="E12" s="13" t="s">
        <v>24</v>
      </c>
      <c r="F12" s="14">
        <f t="shared" si="0"/>
        <v>0</v>
      </c>
      <c r="G12" s="15">
        <f>C4*F12</f>
        <v>0</v>
      </c>
      <c r="H12" s="34"/>
      <c r="I12" s="35"/>
      <c r="J12" s="16"/>
    </row>
    <row r="13" spans="1:10" x14ac:dyDescent="0.25">
      <c r="A13" s="1">
        <v>7</v>
      </c>
      <c r="B13" s="12"/>
      <c r="C13" s="12"/>
      <c r="D13" s="13"/>
      <c r="E13" s="13" t="s">
        <v>24</v>
      </c>
      <c r="F13" s="14">
        <f t="shared" si="0"/>
        <v>0</v>
      </c>
      <c r="G13" s="15">
        <f>C4*F13</f>
        <v>0</v>
      </c>
      <c r="H13" s="34"/>
      <c r="I13" s="35"/>
      <c r="J13" s="16"/>
    </row>
    <row r="14" spans="1:10" x14ac:dyDescent="0.25">
      <c r="A14" s="1">
        <v>8</v>
      </c>
      <c r="B14" s="12"/>
      <c r="C14" s="12"/>
      <c r="D14" s="13"/>
      <c r="E14" s="13" t="s">
        <v>24</v>
      </c>
      <c r="F14" s="14">
        <f t="shared" si="0"/>
        <v>0</v>
      </c>
      <c r="G14" s="15">
        <f>C4*F14</f>
        <v>0</v>
      </c>
      <c r="H14" s="34"/>
      <c r="I14" s="35"/>
      <c r="J14" s="16"/>
    </row>
    <row r="15" spans="1:10" x14ac:dyDescent="0.25">
      <c r="A15" s="1">
        <v>9</v>
      </c>
      <c r="B15" s="12"/>
      <c r="C15" s="12"/>
      <c r="D15" s="13"/>
      <c r="E15" s="13" t="s">
        <v>24</v>
      </c>
      <c r="F15" s="14">
        <f t="shared" si="0"/>
        <v>0</v>
      </c>
      <c r="G15" s="15">
        <f>C4*F15</f>
        <v>0</v>
      </c>
      <c r="H15" s="34"/>
      <c r="I15" s="35"/>
      <c r="J15" s="16"/>
    </row>
    <row r="16" spans="1:10" x14ac:dyDescent="0.25">
      <c r="A16" s="1">
        <v>10</v>
      </c>
      <c r="B16" s="12"/>
      <c r="C16" s="12"/>
      <c r="D16" s="13"/>
      <c r="E16" s="13" t="s">
        <v>24</v>
      </c>
      <c r="F16" s="14">
        <f t="shared" si="0"/>
        <v>0</v>
      </c>
      <c r="G16" s="15">
        <f>C4*F16</f>
        <v>0</v>
      </c>
      <c r="H16" s="34"/>
      <c r="I16" s="35"/>
      <c r="J16" s="16"/>
    </row>
    <row r="17" spans="1:10" x14ac:dyDescent="0.25">
      <c r="A17" s="1">
        <v>11</v>
      </c>
      <c r="B17" s="12"/>
      <c r="C17" s="12"/>
      <c r="D17" s="13"/>
      <c r="E17" s="13" t="s">
        <v>24</v>
      </c>
      <c r="F17" s="14">
        <f t="shared" si="0"/>
        <v>0</v>
      </c>
      <c r="G17" s="15">
        <f>C4*F17</f>
        <v>0</v>
      </c>
      <c r="H17" s="34"/>
      <c r="I17" s="35"/>
      <c r="J17" s="16"/>
    </row>
    <row r="18" spans="1:10" x14ac:dyDescent="0.25">
      <c r="A18" s="1">
        <v>12</v>
      </c>
      <c r="B18" s="12"/>
      <c r="C18" s="12"/>
      <c r="D18" s="13"/>
      <c r="E18" s="13" t="s">
        <v>24</v>
      </c>
      <c r="F18" s="14">
        <f t="shared" si="0"/>
        <v>0</v>
      </c>
      <c r="G18" s="15">
        <f>C4*F18</f>
        <v>0</v>
      </c>
      <c r="H18" s="34"/>
      <c r="I18" s="35"/>
      <c r="J18" s="16"/>
    </row>
    <row r="19" spans="1:10" x14ac:dyDescent="0.25">
      <c r="A19" s="1">
        <v>13</v>
      </c>
      <c r="B19" s="12"/>
      <c r="C19" s="12"/>
      <c r="D19" s="13"/>
      <c r="E19" s="13" t="s">
        <v>24</v>
      </c>
      <c r="F19" s="14">
        <f t="shared" si="0"/>
        <v>0</v>
      </c>
      <c r="G19" s="15">
        <f>C4*F19</f>
        <v>0</v>
      </c>
      <c r="H19" s="34"/>
      <c r="I19" s="35"/>
      <c r="J19" s="16"/>
    </row>
    <row r="20" spans="1:10" x14ac:dyDescent="0.25">
      <c r="A20" s="1">
        <v>14</v>
      </c>
      <c r="B20" s="12"/>
      <c r="C20" s="12"/>
      <c r="D20" s="13"/>
      <c r="E20" s="13" t="s">
        <v>24</v>
      </c>
      <c r="F20" s="14">
        <f t="shared" si="0"/>
        <v>0</v>
      </c>
      <c r="G20" s="15">
        <f>C4*F20</f>
        <v>0</v>
      </c>
      <c r="H20" s="34"/>
      <c r="I20" s="35"/>
      <c r="J20" s="16"/>
    </row>
    <row r="21" spans="1:10" x14ac:dyDescent="0.25">
      <c r="A21" s="1">
        <v>15</v>
      </c>
      <c r="B21" s="12"/>
      <c r="C21" s="12"/>
      <c r="D21" s="13"/>
      <c r="E21" s="13" t="s">
        <v>24</v>
      </c>
      <c r="F21" s="14">
        <f t="shared" si="0"/>
        <v>0</v>
      </c>
      <c r="G21" s="15">
        <f>C4*F21</f>
        <v>0</v>
      </c>
      <c r="H21" s="34"/>
      <c r="I21" s="35"/>
      <c r="J21" s="16"/>
    </row>
    <row r="22" spans="1:10" x14ac:dyDescent="0.25">
      <c r="A22" s="1">
        <v>16</v>
      </c>
      <c r="B22" s="12"/>
      <c r="C22" s="12"/>
      <c r="D22" s="13"/>
      <c r="E22" s="13" t="s">
        <v>24</v>
      </c>
      <c r="F22" s="14">
        <f t="shared" si="0"/>
        <v>0</v>
      </c>
      <c r="G22" s="15">
        <f>C4*F22</f>
        <v>0</v>
      </c>
      <c r="H22" s="34"/>
      <c r="I22" s="35"/>
      <c r="J22" s="16"/>
    </row>
    <row r="23" spans="1:10" x14ac:dyDescent="0.25">
      <c r="A23" s="1">
        <v>17</v>
      </c>
      <c r="B23" s="12"/>
      <c r="C23" s="12"/>
      <c r="D23" s="13"/>
      <c r="E23" s="13" t="s">
        <v>24</v>
      </c>
      <c r="F23" s="14">
        <f t="shared" si="0"/>
        <v>0</v>
      </c>
      <c r="G23" s="15">
        <f>C4*F23</f>
        <v>0</v>
      </c>
      <c r="H23" s="34"/>
      <c r="I23" s="35"/>
      <c r="J23" s="16"/>
    </row>
    <row r="24" spans="1:10" x14ac:dyDescent="0.25">
      <c r="C24" s="17" t="s">
        <v>12</v>
      </c>
      <c r="D24" s="1">
        <f>SUM(D7:D23)</f>
        <v>1</v>
      </c>
      <c r="E24" s="1" t="s">
        <v>24</v>
      </c>
      <c r="F24" s="18">
        <f>SUM(F7:F23)</f>
        <v>1</v>
      </c>
      <c r="G24" s="29">
        <f>SUM(G7:G23)</f>
        <v>7</v>
      </c>
      <c r="H24" s="19" t="s">
        <v>13</v>
      </c>
    </row>
    <row r="25" spans="1:10" x14ac:dyDescent="0.25">
      <c r="F25" s="28" t="s">
        <v>25</v>
      </c>
      <c r="G25" s="20">
        <f>-G24*G4+C4</f>
        <v>6.3</v>
      </c>
    </row>
    <row r="26" spans="1:10" ht="15.75" x14ac:dyDescent="0.25">
      <c r="A26"/>
      <c r="B26" s="36" t="s">
        <v>14</v>
      </c>
      <c r="C26" s="36"/>
      <c r="D26" s="36"/>
      <c r="E26" s="36"/>
      <c r="F26" s="36"/>
      <c r="G26" s="36"/>
      <c r="H26" s="36"/>
      <c r="I26" s="36"/>
      <c r="J26" s="36"/>
    </row>
    <row r="27" spans="1:10" ht="15.75" x14ac:dyDescent="0.25">
      <c r="A27"/>
      <c r="B27" s="21" t="s">
        <v>15</v>
      </c>
      <c r="C27" s="22"/>
      <c r="D27" s="22"/>
      <c r="E27" s="22"/>
      <c r="F27" s="22"/>
      <c r="G27" s="22"/>
      <c r="H27" s="22"/>
      <c r="I27" s="22"/>
      <c r="J27" s="22"/>
    </row>
    <row r="28" spans="1:10" x14ac:dyDescent="0.25">
      <c r="A28" s="1">
        <v>1</v>
      </c>
      <c r="B28" s="40" t="s">
        <v>70</v>
      </c>
      <c r="C28" s="41"/>
      <c r="D28" s="41"/>
      <c r="E28" s="41"/>
      <c r="F28" s="41"/>
      <c r="G28" s="41"/>
      <c r="H28" s="41"/>
      <c r="I28" s="41"/>
      <c r="J28" s="42"/>
    </row>
    <row r="29" spans="1:10" x14ac:dyDescent="0.25">
      <c r="A29" s="1">
        <v>2</v>
      </c>
      <c r="B29" s="40" t="s">
        <v>71</v>
      </c>
      <c r="C29" s="41"/>
      <c r="D29" s="41"/>
      <c r="E29" s="41"/>
      <c r="F29" s="41"/>
      <c r="G29" s="41"/>
      <c r="H29" s="41"/>
      <c r="I29" s="41"/>
      <c r="J29" s="42"/>
    </row>
    <row r="30" spans="1:10" x14ac:dyDescent="0.25">
      <c r="A30" s="1">
        <v>3</v>
      </c>
      <c r="B30" s="43"/>
      <c r="C30" s="44"/>
      <c r="D30" s="44"/>
      <c r="E30" s="44"/>
      <c r="F30" s="44"/>
      <c r="G30" s="44"/>
      <c r="H30" s="44"/>
      <c r="I30" s="44"/>
      <c r="J30" s="45"/>
    </row>
    <row r="31" spans="1:10" x14ac:dyDescent="0.25">
      <c r="A31" s="1">
        <v>4</v>
      </c>
      <c r="B31" s="40"/>
      <c r="C31" s="41"/>
      <c r="D31" s="41"/>
      <c r="E31" s="41"/>
      <c r="F31" s="41"/>
      <c r="G31" s="41"/>
      <c r="H31" s="41"/>
      <c r="I31" s="41"/>
      <c r="J31" s="42"/>
    </row>
    <row r="32" spans="1:10" x14ac:dyDescent="0.25">
      <c r="A32" s="1">
        <v>5</v>
      </c>
      <c r="B32" s="31"/>
      <c r="C32" s="31"/>
      <c r="D32" s="31"/>
      <c r="E32" s="31"/>
      <c r="F32" s="31"/>
      <c r="G32" s="31"/>
      <c r="H32" s="31"/>
      <c r="I32" s="31"/>
      <c r="J32" s="31"/>
    </row>
    <row r="33" spans="1:10" x14ac:dyDescent="0.25">
      <c r="A33" s="1">
        <v>6</v>
      </c>
      <c r="B33" s="31"/>
      <c r="C33" s="31"/>
      <c r="D33" s="31"/>
      <c r="E33" s="31"/>
      <c r="F33" s="31"/>
      <c r="G33" s="31"/>
      <c r="H33" s="31"/>
      <c r="I33" s="31"/>
      <c r="J33" s="31"/>
    </row>
    <row r="34" spans="1:10" x14ac:dyDescent="0.25">
      <c r="A34" s="1">
        <v>7</v>
      </c>
      <c r="B34" s="31"/>
      <c r="C34" s="31"/>
      <c r="D34" s="31"/>
      <c r="E34" s="31"/>
      <c r="F34" s="31"/>
      <c r="G34" s="31"/>
      <c r="H34" s="31"/>
      <c r="I34" s="31"/>
      <c r="J34" s="31"/>
    </row>
    <row r="35" spans="1:10" x14ac:dyDescent="0.25">
      <c r="A35" s="1">
        <v>8</v>
      </c>
      <c r="B35" s="31"/>
      <c r="C35" s="31"/>
      <c r="D35" s="31"/>
      <c r="E35" s="31"/>
      <c r="F35" s="31"/>
      <c r="G35" s="31"/>
      <c r="H35" s="31"/>
      <c r="I35" s="31"/>
      <c r="J35" s="31"/>
    </row>
    <row r="36" spans="1:10" x14ac:dyDescent="0.25">
      <c r="A36" s="1">
        <v>9</v>
      </c>
      <c r="B36" s="31"/>
      <c r="C36" s="31"/>
      <c r="D36" s="31"/>
      <c r="E36" s="31"/>
      <c r="F36" s="31"/>
      <c r="G36" s="31"/>
      <c r="H36" s="31"/>
      <c r="I36" s="31"/>
      <c r="J36" s="31"/>
    </row>
    <row r="37" spans="1:10" x14ac:dyDescent="0.25">
      <c r="A37" s="1">
        <v>10</v>
      </c>
      <c r="B37" s="31"/>
      <c r="C37" s="31"/>
      <c r="D37" s="31"/>
      <c r="E37" s="31"/>
      <c r="F37" s="31"/>
      <c r="G37" s="31"/>
      <c r="H37" s="31"/>
      <c r="I37" s="31"/>
      <c r="J37" s="31"/>
    </row>
    <row r="38" spans="1:10" x14ac:dyDescent="0.25">
      <c r="A38" s="1">
        <v>11</v>
      </c>
      <c r="B38" s="31"/>
      <c r="C38" s="31"/>
      <c r="D38" s="31"/>
      <c r="E38" s="31"/>
      <c r="F38" s="31"/>
      <c r="G38" s="31"/>
      <c r="H38" s="31"/>
      <c r="I38" s="31"/>
      <c r="J38" s="31"/>
    </row>
    <row r="40" spans="1:10" x14ac:dyDescent="0.25">
      <c r="B40" t="s">
        <v>16</v>
      </c>
    </row>
    <row r="42" spans="1:10" x14ac:dyDescent="0.25">
      <c r="B42" s="23"/>
      <c r="C42" s="23"/>
      <c r="D42" s="24"/>
      <c r="E42" s="24"/>
      <c r="F42" s="23"/>
      <c r="H42" s="23"/>
      <c r="I42" s="23"/>
      <c r="J42" s="23"/>
    </row>
    <row r="43" spans="1:10" x14ac:dyDescent="0.25">
      <c r="B43" s="32" t="s">
        <v>17</v>
      </c>
      <c r="C43" s="32"/>
      <c r="E43" s="32" t="s">
        <v>18</v>
      </c>
      <c r="F43" s="32"/>
      <c r="H43" s="33" t="s">
        <v>19</v>
      </c>
      <c r="I43" s="33"/>
      <c r="J43" s="2" t="s">
        <v>20</v>
      </c>
    </row>
  </sheetData>
  <mergeCells count="34">
    <mergeCell ref="B38:J38"/>
    <mergeCell ref="B43:C43"/>
    <mergeCell ref="E43:F43"/>
    <mergeCell ref="H43:I43"/>
    <mergeCell ref="B32:J32"/>
    <mergeCell ref="B33:J33"/>
    <mergeCell ref="B34:J34"/>
    <mergeCell ref="B35:J35"/>
    <mergeCell ref="B36:J36"/>
    <mergeCell ref="B37:J37"/>
    <mergeCell ref="H23:I23"/>
    <mergeCell ref="B26:J26"/>
    <mergeCell ref="B28:J28"/>
    <mergeCell ref="B29:J29"/>
    <mergeCell ref="B30:J30"/>
    <mergeCell ref="B31:J31"/>
    <mergeCell ref="H17:I17"/>
    <mergeCell ref="H18:I18"/>
    <mergeCell ref="H19:I19"/>
    <mergeCell ref="H20:I20"/>
    <mergeCell ref="H21:I21"/>
    <mergeCell ref="H22:I22"/>
    <mergeCell ref="H11:I11"/>
    <mergeCell ref="H12:I12"/>
    <mergeCell ref="H13:I13"/>
    <mergeCell ref="H14:I14"/>
    <mergeCell ref="H15:I15"/>
    <mergeCell ref="H16:I16"/>
    <mergeCell ref="E2:F2"/>
    <mergeCell ref="H6:I6"/>
    <mergeCell ref="H7:I7"/>
    <mergeCell ref="H8:I8"/>
    <mergeCell ref="H9:I9"/>
    <mergeCell ref="H10:I10"/>
  </mergeCells>
  <pageMargins left="0.7" right="0.7" top="0.75" bottom="0.75" header="0.3" footer="0.3"/>
  <pageSetup scale="66" fitToHeight="0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C4B94-8A13-4EB7-B8B4-0B2A671741BC}">
  <sheetPr>
    <pageSetUpPr fitToPage="1"/>
  </sheetPr>
  <dimension ref="A1:J43"/>
  <sheetViews>
    <sheetView workbookViewId="0">
      <selection activeCell="C13" sqref="C13"/>
    </sheetView>
  </sheetViews>
  <sheetFormatPr defaultRowHeight="15" x14ac:dyDescent="0.25"/>
  <cols>
    <col min="1" max="1" width="3.5703125" style="1" customWidth="1"/>
    <col min="2" max="2" width="21.42578125" customWidth="1"/>
    <col min="3" max="3" width="38" customWidth="1"/>
    <col min="4" max="4" width="17.5703125" style="2" customWidth="1"/>
    <col min="5" max="5" width="6.5703125" style="2" customWidth="1"/>
    <col min="6" max="6" width="21.85546875" customWidth="1"/>
    <col min="7" max="7" width="12.5703125" style="2" customWidth="1"/>
    <col min="8" max="9" width="12.5703125" customWidth="1"/>
    <col min="10" max="10" width="37.42578125" customWidth="1"/>
  </cols>
  <sheetData>
    <row r="1" spans="1:10" ht="15.75" thickBot="1" x14ac:dyDescent="0.3"/>
    <row r="2" spans="1:10" ht="15.75" thickBot="1" x14ac:dyDescent="0.3">
      <c r="B2" s="3" t="s">
        <v>0</v>
      </c>
      <c r="C2" s="4" t="s">
        <v>49</v>
      </c>
      <c r="D2" s="5" t="s">
        <v>1</v>
      </c>
      <c r="E2" s="37" t="s">
        <v>119</v>
      </c>
      <c r="F2" s="37"/>
      <c r="G2" s="4"/>
      <c r="H2" s="6" t="s">
        <v>2</v>
      </c>
      <c r="I2" s="7"/>
      <c r="J2" s="8" t="s">
        <v>3</v>
      </c>
    </row>
    <row r="3" spans="1:10" ht="5.25" customHeight="1" x14ac:dyDescent="0.25">
      <c r="B3" s="1"/>
      <c r="D3" s="9"/>
      <c r="F3" s="2"/>
      <c r="H3" s="1"/>
      <c r="I3" s="1"/>
      <c r="J3" s="2"/>
    </row>
    <row r="4" spans="1:10" x14ac:dyDescent="0.25">
      <c r="B4" s="2" t="s">
        <v>22</v>
      </c>
      <c r="C4" s="10">
        <v>0.5</v>
      </c>
      <c r="D4" s="9"/>
      <c r="F4" s="2" t="s">
        <v>23</v>
      </c>
      <c r="G4" s="28">
        <v>0.15</v>
      </c>
      <c r="I4" s="1"/>
      <c r="J4" s="2"/>
    </row>
    <row r="5" spans="1:10" ht="5.25" customHeight="1" x14ac:dyDescent="0.25">
      <c r="B5" s="1"/>
      <c r="D5" s="9"/>
      <c r="F5" s="2"/>
      <c r="H5" s="1"/>
      <c r="I5" s="1"/>
      <c r="J5" s="2"/>
    </row>
    <row r="6" spans="1:10" x14ac:dyDescent="0.25">
      <c r="B6" s="11" t="s">
        <v>4</v>
      </c>
      <c r="C6" s="11" t="s">
        <v>5</v>
      </c>
      <c r="D6" s="11" t="s">
        <v>6</v>
      </c>
      <c r="E6" s="11" t="s">
        <v>7</v>
      </c>
      <c r="F6" s="11" t="s">
        <v>8</v>
      </c>
      <c r="G6" s="11" t="s">
        <v>9</v>
      </c>
      <c r="H6" s="38" t="s">
        <v>10</v>
      </c>
      <c r="I6" s="39"/>
      <c r="J6" s="11" t="s">
        <v>11</v>
      </c>
    </row>
    <row r="7" spans="1:10" x14ac:dyDescent="0.25">
      <c r="A7" s="1">
        <v>1</v>
      </c>
      <c r="B7" s="12" t="s">
        <v>50</v>
      </c>
      <c r="C7" s="12" t="s">
        <v>51</v>
      </c>
      <c r="D7" s="13">
        <v>1.55</v>
      </c>
      <c r="E7" s="13" t="s">
        <v>24</v>
      </c>
      <c r="F7" s="14">
        <f t="shared" ref="F7:F23" si="0">D7/D$24</f>
        <v>0.31</v>
      </c>
      <c r="G7" s="15">
        <f>C4*F7</f>
        <v>0.155</v>
      </c>
      <c r="H7" s="34"/>
      <c r="I7" s="35"/>
      <c r="J7" s="16"/>
    </row>
    <row r="8" spans="1:10" x14ac:dyDescent="0.25">
      <c r="A8" s="1">
        <v>2</v>
      </c>
      <c r="B8" s="12"/>
      <c r="C8" s="12" t="s">
        <v>52</v>
      </c>
      <c r="D8" s="13">
        <v>1.55</v>
      </c>
      <c r="E8" s="13" t="s">
        <v>24</v>
      </c>
      <c r="F8" s="14">
        <f t="shared" si="0"/>
        <v>0.31</v>
      </c>
      <c r="G8" s="15">
        <f>C4*F8</f>
        <v>0.155</v>
      </c>
      <c r="H8" s="34"/>
      <c r="I8" s="35"/>
      <c r="J8" s="16"/>
    </row>
    <row r="9" spans="1:10" x14ac:dyDescent="0.25">
      <c r="A9" s="1">
        <v>3</v>
      </c>
      <c r="B9" s="12" t="s">
        <v>53</v>
      </c>
      <c r="C9" s="12" t="s">
        <v>54</v>
      </c>
      <c r="D9" s="13">
        <v>1.55</v>
      </c>
      <c r="E9" s="13" t="s">
        <v>24</v>
      </c>
      <c r="F9" s="14">
        <f t="shared" si="0"/>
        <v>0.31</v>
      </c>
      <c r="G9" s="15">
        <f>C4*F9</f>
        <v>0.155</v>
      </c>
      <c r="H9" s="34"/>
      <c r="I9" s="35"/>
      <c r="J9" s="16"/>
    </row>
    <row r="10" spans="1:10" x14ac:dyDescent="0.25">
      <c r="A10" s="1">
        <v>4</v>
      </c>
      <c r="B10" s="12" t="s">
        <v>55</v>
      </c>
      <c r="C10" s="12" t="s">
        <v>56</v>
      </c>
      <c r="D10" s="13">
        <v>0.22</v>
      </c>
      <c r="E10" s="13" t="s">
        <v>24</v>
      </c>
      <c r="F10" s="14">
        <f t="shared" si="0"/>
        <v>4.3999999999999997E-2</v>
      </c>
      <c r="G10" s="15">
        <f>C4*F10</f>
        <v>2.1999999999999999E-2</v>
      </c>
      <c r="H10" s="34"/>
      <c r="I10" s="35"/>
      <c r="J10" s="16"/>
    </row>
    <row r="11" spans="1:10" x14ac:dyDescent="0.25">
      <c r="A11" s="1">
        <v>5</v>
      </c>
      <c r="B11" s="12" t="s">
        <v>57</v>
      </c>
      <c r="C11" s="12" t="s">
        <v>58</v>
      </c>
      <c r="D11" s="13">
        <v>3.2000000000000001E-2</v>
      </c>
      <c r="E11" s="13" t="s">
        <v>24</v>
      </c>
      <c r="F11" s="14">
        <f t="shared" si="0"/>
        <v>6.4000000000000003E-3</v>
      </c>
      <c r="G11" s="15">
        <f>C4*F11</f>
        <v>3.2000000000000002E-3</v>
      </c>
      <c r="H11" s="34"/>
      <c r="I11" s="35"/>
      <c r="J11" s="16"/>
    </row>
    <row r="12" spans="1:10" x14ac:dyDescent="0.25">
      <c r="A12" s="1">
        <v>6</v>
      </c>
      <c r="B12" s="12" t="s">
        <v>59</v>
      </c>
      <c r="C12" s="12" t="s">
        <v>60</v>
      </c>
      <c r="D12" s="13">
        <v>8.0000000000000002E-3</v>
      </c>
      <c r="E12" s="13" t="s">
        <v>24</v>
      </c>
      <c r="F12" s="14">
        <f t="shared" si="0"/>
        <v>1.6000000000000001E-3</v>
      </c>
      <c r="G12" s="15">
        <f>C4*F12</f>
        <v>8.0000000000000004E-4</v>
      </c>
      <c r="H12" s="34"/>
      <c r="I12" s="35"/>
      <c r="J12" s="16"/>
    </row>
    <row r="13" spans="1:10" x14ac:dyDescent="0.25">
      <c r="A13" s="1">
        <v>7</v>
      </c>
      <c r="B13" s="12" t="s">
        <v>61</v>
      </c>
      <c r="C13" s="12" t="s">
        <v>62</v>
      </c>
      <c r="D13" s="13">
        <v>0.09</v>
      </c>
      <c r="E13" s="13" t="s">
        <v>24</v>
      </c>
      <c r="F13" s="14">
        <f t="shared" si="0"/>
        <v>1.7999999999999999E-2</v>
      </c>
      <c r="G13" s="15">
        <f>C4*F13</f>
        <v>8.9999999999999993E-3</v>
      </c>
      <c r="H13" s="34"/>
      <c r="I13" s="35"/>
      <c r="J13" s="16"/>
    </row>
    <row r="14" spans="1:10" x14ac:dyDescent="0.25">
      <c r="A14" s="1">
        <v>8</v>
      </c>
      <c r="B14" s="12"/>
      <c r="C14" s="12"/>
      <c r="D14" s="13"/>
      <c r="E14" s="13" t="s">
        <v>24</v>
      </c>
      <c r="F14" s="14">
        <f t="shared" si="0"/>
        <v>0</v>
      </c>
      <c r="G14" s="15">
        <f>C4*F14</f>
        <v>0</v>
      </c>
      <c r="H14" s="34"/>
      <c r="I14" s="35"/>
      <c r="J14" s="16"/>
    </row>
    <row r="15" spans="1:10" x14ac:dyDescent="0.25">
      <c r="A15" s="1">
        <v>9</v>
      </c>
      <c r="B15" s="12"/>
      <c r="C15" s="12"/>
      <c r="D15" s="13"/>
      <c r="E15" s="13" t="s">
        <v>24</v>
      </c>
      <c r="F15" s="14">
        <f t="shared" si="0"/>
        <v>0</v>
      </c>
      <c r="G15" s="15">
        <f>C4*F15</f>
        <v>0</v>
      </c>
      <c r="H15" s="34"/>
      <c r="I15" s="35"/>
      <c r="J15" s="16"/>
    </row>
    <row r="16" spans="1:10" x14ac:dyDescent="0.25">
      <c r="A16" s="1">
        <v>10</v>
      </c>
      <c r="B16" s="12"/>
      <c r="C16" s="12"/>
      <c r="D16" s="13"/>
      <c r="E16" s="13" t="s">
        <v>24</v>
      </c>
      <c r="F16" s="14">
        <f t="shared" si="0"/>
        <v>0</v>
      </c>
      <c r="G16" s="15">
        <f>C4*F16</f>
        <v>0</v>
      </c>
      <c r="H16" s="34"/>
      <c r="I16" s="35"/>
      <c r="J16" s="16"/>
    </row>
    <row r="17" spans="1:10" x14ac:dyDescent="0.25">
      <c r="A17" s="1">
        <v>11</v>
      </c>
      <c r="B17" s="12"/>
      <c r="C17" s="12"/>
      <c r="D17" s="13"/>
      <c r="E17" s="13" t="s">
        <v>24</v>
      </c>
      <c r="F17" s="14">
        <f t="shared" si="0"/>
        <v>0</v>
      </c>
      <c r="G17" s="15">
        <f>C4*F17</f>
        <v>0</v>
      </c>
      <c r="H17" s="34"/>
      <c r="I17" s="35"/>
      <c r="J17" s="16"/>
    </row>
    <row r="18" spans="1:10" x14ac:dyDescent="0.25">
      <c r="A18" s="1">
        <v>12</v>
      </c>
      <c r="B18" s="12"/>
      <c r="C18" s="12"/>
      <c r="D18" s="13"/>
      <c r="E18" s="13" t="s">
        <v>24</v>
      </c>
      <c r="F18" s="14">
        <f t="shared" si="0"/>
        <v>0</v>
      </c>
      <c r="G18" s="15">
        <f>C4*F18</f>
        <v>0</v>
      </c>
      <c r="H18" s="34"/>
      <c r="I18" s="35"/>
      <c r="J18" s="16"/>
    </row>
    <row r="19" spans="1:10" x14ac:dyDescent="0.25">
      <c r="A19" s="1">
        <v>13</v>
      </c>
      <c r="B19" s="12"/>
      <c r="C19" s="12"/>
      <c r="D19" s="13"/>
      <c r="E19" s="13" t="s">
        <v>24</v>
      </c>
      <c r="F19" s="14">
        <f t="shared" si="0"/>
        <v>0</v>
      </c>
      <c r="G19" s="15">
        <f>C4*F19</f>
        <v>0</v>
      </c>
      <c r="H19" s="34"/>
      <c r="I19" s="35"/>
      <c r="J19" s="16"/>
    </row>
    <row r="20" spans="1:10" x14ac:dyDescent="0.25">
      <c r="A20" s="1">
        <v>14</v>
      </c>
      <c r="B20" s="12"/>
      <c r="C20" s="12"/>
      <c r="D20" s="13"/>
      <c r="E20" s="13" t="s">
        <v>24</v>
      </c>
      <c r="F20" s="14">
        <f t="shared" si="0"/>
        <v>0</v>
      </c>
      <c r="G20" s="15">
        <f>C4*F20</f>
        <v>0</v>
      </c>
      <c r="H20" s="34"/>
      <c r="I20" s="35"/>
      <c r="J20" s="16"/>
    </row>
    <row r="21" spans="1:10" x14ac:dyDescent="0.25">
      <c r="A21" s="1">
        <v>15</v>
      </c>
      <c r="B21" s="12"/>
      <c r="C21" s="12"/>
      <c r="D21" s="13"/>
      <c r="E21" s="13" t="s">
        <v>24</v>
      </c>
      <c r="F21" s="14">
        <f t="shared" si="0"/>
        <v>0</v>
      </c>
      <c r="G21" s="15">
        <f>C4*F21</f>
        <v>0</v>
      </c>
      <c r="H21" s="34"/>
      <c r="I21" s="35"/>
      <c r="J21" s="16"/>
    </row>
    <row r="22" spans="1:10" x14ac:dyDescent="0.25">
      <c r="A22" s="1">
        <v>16</v>
      </c>
      <c r="B22" s="12"/>
      <c r="C22" s="12"/>
      <c r="D22" s="13"/>
      <c r="E22" s="13" t="s">
        <v>24</v>
      </c>
      <c r="F22" s="14">
        <f t="shared" si="0"/>
        <v>0</v>
      </c>
      <c r="G22" s="15">
        <f>C4*F22</f>
        <v>0</v>
      </c>
      <c r="H22" s="34"/>
      <c r="I22" s="35"/>
      <c r="J22" s="16"/>
    </row>
    <row r="23" spans="1:10" x14ac:dyDescent="0.25">
      <c r="A23" s="1">
        <v>17</v>
      </c>
      <c r="B23" s="12"/>
      <c r="C23" s="12"/>
      <c r="D23" s="13"/>
      <c r="E23" s="13" t="s">
        <v>24</v>
      </c>
      <c r="F23" s="14">
        <f t="shared" si="0"/>
        <v>0</v>
      </c>
      <c r="G23" s="15">
        <f>C4*F23</f>
        <v>0</v>
      </c>
      <c r="H23" s="34"/>
      <c r="I23" s="35"/>
      <c r="J23" s="16"/>
    </row>
    <row r="24" spans="1:10" x14ac:dyDescent="0.25">
      <c r="C24" s="17" t="s">
        <v>12</v>
      </c>
      <c r="D24" s="1">
        <f>SUM(D7:D23)</f>
        <v>5</v>
      </c>
      <c r="E24" s="1" t="s">
        <v>24</v>
      </c>
      <c r="F24" s="18">
        <f>SUM(F7:F23)</f>
        <v>1</v>
      </c>
      <c r="G24" s="29">
        <f>SUM(G7:G23)</f>
        <v>0.5</v>
      </c>
      <c r="H24" s="19" t="s">
        <v>13</v>
      </c>
    </row>
    <row r="25" spans="1:10" x14ac:dyDescent="0.25">
      <c r="F25" s="28" t="s">
        <v>25</v>
      </c>
      <c r="G25" s="20">
        <f>-G24*G4+C4</f>
        <v>0.42499999999999999</v>
      </c>
    </row>
    <row r="26" spans="1:10" ht="15.75" x14ac:dyDescent="0.25">
      <c r="A26"/>
      <c r="B26" s="36" t="s">
        <v>14</v>
      </c>
      <c r="C26" s="36"/>
      <c r="D26" s="36"/>
      <c r="E26" s="36"/>
      <c r="F26" s="36"/>
      <c r="G26" s="36"/>
      <c r="H26" s="36"/>
      <c r="I26" s="36"/>
      <c r="J26" s="36"/>
    </row>
    <row r="27" spans="1:10" ht="15.75" x14ac:dyDescent="0.25">
      <c r="A27"/>
      <c r="B27" s="21" t="s">
        <v>15</v>
      </c>
      <c r="C27" s="22"/>
      <c r="D27" s="22"/>
      <c r="E27" s="22"/>
      <c r="F27" s="22"/>
      <c r="G27" s="22"/>
      <c r="H27" s="22"/>
      <c r="I27" s="22"/>
      <c r="J27" s="22"/>
    </row>
    <row r="28" spans="1:10" x14ac:dyDescent="0.25">
      <c r="A28" s="1">
        <v>1</v>
      </c>
      <c r="B28" s="40" t="s">
        <v>63</v>
      </c>
      <c r="C28" s="41"/>
      <c r="D28" s="41"/>
      <c r="E28" s="41"/>
      <c r="F28" s="41"/>
      <c r="G28" s="41"/>
      <c r="H28" s="41"/>
      <c r="I28" s="41"/>
      <c r="J28" s="42"/>
    </row>
    <row r="29" spans="1:10" x14ac:dyDescent="0.25">
      <c r="A29" s="1">
        <v>2</v>
      </c>
      <c r="B29" s="40" t="s">
        <v>64</v>
      </c>
      <c r="C29" s="41"/>
      <c r="D29" s="41"/>
      <c r="E29" s="41"/>
      <c r="F29" s="41"/>
      <c r="G29" s="41"/>
      <c r="H29" s="41"/>
      <c r="I29" s="41"/>
      <c r="J29" s="42"/>
    </row>
    <row r="30" spans="1:10" x14ac:dyDescent="0.25">
      <c r="A30" s="1">
        <v>3</v>
      </c>
      <c r="B30" s="43" t="s">
        <v>65</v>
      </c>
      <c r="C30" s="44"/>
      <c r="D30" s="44"/>
      <c r="E30" s="44"/>
      <c r="F30" s="44"/>
      <c r="G30" s="44"/>
      <c r="H30" s="44"/>
      <c r="I30" s="44"/>
      <c r="J30" s="45"/>
    </row>
    <row r="31" spans="1:10" x14ac:dyDescent="0.25">
      <c r="A31" s="1">
        <v>4</v>
      </c>
      <c r="B31" s="31" t="s">
        <v>66</v>
      </c>
      <c r="C31" s="31"/>
      <c r="D31" s="31"/>
      <c r="E31" s="31"/>
      <c r="F31" s="31"/>
      <c r="G31" s="31"/>
      <c r="H31" s="31"/>
      <c r="I31" s="31"/>
      <c r="J31" s="31"/>
    </row>
    <row r="32" spans="1:10" x14ac:dyDescent="0.25">
      <c r="A32" s="1">
        <v>5</v>
      </c>
      <c r="B32" s="31"/>
      <c r="C32" s="31"/>
      <c r="D32" s="31"/>
      <c r="E32" s="31"/>
      <c r="F32" s="31"/>
      <c r="G32" s="31"/>
      <c r="H32" s="31"/>
      <c r="I32" s="31"/>
      <c r="J32" s="31"/>
    </row>
    <row r="33" spans="1:10" x14ac:dyDescent="0.25">
      <c r="A33" s="1">
        <v>6</v>
      </c>
      <c r="B33" s="31"/>
      <c r="C33" s="31"/>
      <c r="D33" s="31"/>
      <c r="E33" s="31"/>
      <c r="F33" s="31"/>
      <c r="G33" s="31"/>
      <c r="H33" s="31"/>
      <c r="I33" s="31"/>
      <c r="J33" s="31"/>
    </row>
    <row r="34" spans="1:10" x14ac:dyDescent="0.25">
      <c r="A34" s="1">
        <v>7</v>
      </c>
      <c r="B34" s="31"/>
      <c r="C34" s="31"/>
      <c r="D34" s="31"/>
      <c r="E34" s="31"/>
      <c r="F34" s="31"/>
      <c r="G34" s="31"/>
      <c r="H34" s="31"/>
      <c r="I34" s="31"/>
      <c r="J34" s="31"/>
    </row>
    <row r="35" spans="1:10" x14ac:dyDescent="0.25">
      <c r="A35" s="1">
        <v>8</v>
      </c>
      <c r="B35" s="31"/>
      <c r="C35" s="31"/>
      <c r="D35" s="31"/>
      <c r="E35" s="31"/>
      <c r="F35" s="31"/>
      <c r="G35" s="31"/>
      <c r="H35" s="31"/>
      <c r="I35" s="31"/>
      <c r="J35" s="31"/>
    </row>
    <row r="36" spans="1:10" x14ac:dyDescent="0.25">
      <c r="A36" s="1">
        <v>9</v>
      </c>
      <c r="B36" s="31"/>
      <c r="C36" s="31"/>
      <c r="D36" s="31"/>
      <c r="E36" s="31"/>
      <c r="F36" s="31"/>
      <c r="G36" s="31"/>
      <c r="H36" s="31"/>
      <c r="I36" s="31"/>
      <c r="J36" s="31"/>
    </row>
    <row r="37" spans="1:10" x14ac:dyDescent="0.25">
      <c r="A37" s="1">
        <v>10</v>
      </c>
      <c r="B37" s="31"/>
      <c r="C37" s="31"/>
      <c r="D37" s="31"/>
      <c r="E37" s="31"/>
      <c r="F37" s="31"/>
      <c r="G37" s="31"/>
      <c r="H37" s="31"/>
      <c r="I37" s="31"/>
      <c r="J37" s="31"/>
    </row>
    <row r="38" spans="1:10" x14ac:dyDescent="0.25">
      <c r="A38" s="1">
        <v>11</v>
      </c>
      <c r="B38" s="31"/>
      <c r="C38" s="31"/>
      <c r="D38" s="31"/>
      <c r="E38" s="31"/>
      <c r="F38" s="31"/>
      <c r="G38" s="31"/>
      <c r="H38" s="31"/>
      <c r="I38" s="31"/>
      <c r="J38" s="31"/>
    </row>
    <row r="40" spans="1:10" x14ac:dyDescent="0.25">
      <c r="B40" t="s">
        <v>16</v>
      </c>
    </row>
    <row r="42" spans="1:10" x14ac:dyDescent="0.25">
      <c r="B42" s="23"/>
      <c r="C42" s="23"/>
      <c r="D42" s="24"/>
      <c r="E42" s="24"/>
      <c r="F42" s="23"/>
      <c r="H42" s="23"/>
      <c r="I42" s="23"/>
      <c r="J42" s="23"/>
    </row>
    <row r="43" spans="1:10" x14ac:dyDescent="0.25">
      <c r="B43" s="32" t="s">
        <v>17</v>
      </c>
      <c r="C43" s="32"/>
      <c r="E43" s="32" t="s">
        <v>18</v>
      </c>
      <c r="F43" s="32"/>
      <c r="H43" s="33" t="s">
        <v>19</v>
      </c>
      <c r="I43" s="33"/>
      <c r="J43" s="2" t="s">
        <v>20</v>
      </c>
    </row>
  </sheetData>
  <mergeCells count="34">
    <mergeCell ref="B38:J38"/>
    <mergeCell ref="B43:C43"/>
    <mergeCell ref="E43:F43"/>
    <mergeCell ref="H43:I43"/>
    <mergeCell ref="B32:J32"/>
    <mergeCell ref="B33:J33"/>
    <mergeCell ref="B34:J34"/>
    <mergeCell ref="B35:J35"/>
    <mergeCell ref="B36:J36"/>
    <mergeCell ref="B37:J37"/>
    <mergeCell ref="H23:I23"/>
    <mergeCell ref="B26:J26"/>
    <mergeCell ref="B28:J28"/>
    <mergeCell ref="B29:J29"/>
    <mergeCell ref="B30:J30"/>
    <mergeCell ref="B31:J31"/>
    <mergeCell ref="H17:I17"/>
    <mergeCell ref="H18:I18"/>
    <mergeCell ref="H19:I19"/>
    <mergeCell ref="H20:I20"/>
    <mergeCell ref="H21:I21"/>
    <mergeCell ref="H22:I22"/>
    <mergeCell ref="H11:I11"/>
    <mergeCell ref="H12:I12"/>
    <mergeCell ref="H13:I13"/>
    <mergeCell ref="H14:I14"/>
    <mergeCell ref="H15:I15"/>
    <mergeCell ref="H16:I16"/>
    <mergeCell ref="E2:F2"/>
    <mergeCell ref="H6:I6"/>
    <mergeCell ref="H7:I7"/>
    <mergeCell ref="H8:I8"/>
    <mergeCell ref="H9:I9"/>
    <mergeCell ref="H10:I10"/>
  </mergeCells>
  <pageMargins left="0.7" right="0.7" top="0.75" bottom="0.75" header="0.3" footer="0.3"/>
  <pageSetup scale="66" fitToHeight="0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54BEE8-3324-44F9-AAE1-97C8FA00CB41}">
  <sheetPr>
    <pageSetUpPr fitToPage="1"/>
  </sheetPr>
  <dimension ref="A1:J42"/>
  <sheetViews>
    <sheetView topLeftCell="C1" zoomScale="110" zoomScaleNormal="110" workbookViewId="0">
      <selection activeCell="D15" sqref="D15"/>
    </sheetView>
  </sheetViews>
  <sheetFormatPr defaultRowHeight="15" x14ac:dyDescent="0.25"/>
  <cols>
    <col min="1" max="1" width="3.5703125" style="1" customWidth="1"/>
    <col min="2" max="2" width="21.42578125" customWidth="1"/>
    <col min="3" max="3" width="38" customWidth="1"/>
    <col min="4" max="4" width="17.5703125" style="2" customWidth="1"/>
    <col min="5" max="5" width="6.5703125" style="2" customWidth="1"/>
    <col min="6" max="6" width="21.85546875" customWidth="1"/>
    <col min="7" max="7" width="12.5703125" style="2" customWidth="1"/>
    <col min="8" max="9" width="12.5703125" customWidth="1"/>
    <col min="10" max="10" width="37.42578125" customWidth="1"/>
  </cols>
  <sheetData>
    <row r="1" spans="1:10" ht="15.75" thickBot="1" x14ac:dyDescent="0.3"/>
    <row r="2" spans="1:10" ht="15.75" thickBot="1" x14ac:dyDescent="0.3">
      <c r="B2" s="3" t="s">
        <v>0</v>
      </c>
      <c r="C2" s="4" t="s">
        <v>42</v>
      </c>
      <c r="D2" s="5" t="s">
        <v>1</v>
      </c>
      <c r="E2" s="37" t="s">
        <v>118</v>
      </c>
      <c r="F2" s="37"/>
      <c r="G2" s="4"/>
      <c r="H2" s="6" t="s">
        <v>2</v>
      </c>
      <c r="I2" s="7"/>
      <c r="J2" s="8" t="s">
        <v>3</v>
      </c>
    </row>
    <row r="3" spans="1:10" ht="5.25" customHeight="1" x14ac:dyDescent="0.25">
      <c r="B3" s="1"/>
      <c r="D3" s="9"/>
      <c r="F3" s="2"/>
      <c r="H3" s="1"/>
      <c r="I3" s="1"/>
      <c r="J3" s="2"/>
    </row>
    <row r="4" spans="1:10" x14ac:dyDescent="0.25">
      <c r="B4" s="2" t="s">
        <v>22</v>
      </c>
      <c r="C4" s="10">
        <v>4</v>
      </c>
      <c r="D4" s="9"/>
      <c r="F4" s="2" t="s">
        <v>23</v>
      </c>
      <c r="G4" s="28">
        <v>0</v>
      </c>
      <c r="I4" s="1"/>
      <c r="J4" s="2"/>
    </row>
    <row r="5" spans="1:10" ht="5.25" customHeight="1" x14ac:dyDescent="0.25">
      <c r="B5" s="1"/>
      <c r="D5" s="9"/>
      <c r="F5" s="2"/>
      <c r="H5" s="1"/>
      <c r="I5" s="1"/>
      <c r="J5" s="2"/>
    </row>
    <row r="6" spans="1:10" x14ac:dyDescent="0.25">
      <c r="B6" s="11" t="s">
        <v>4</v>
      </c>
      <c r="C6" s="11" t="s">
        <v>5</v>
      </c>
      <c r="D6" s="11" t="s">
        <v>6</v>
      </c>
      <c r="E6" s="11" t="s">
        <v>7</v>
      </c>
      <c r="F6" s="11" t="s">
        <v>8</v>
      </c>
      <c r="G6" s="11" t="s">
        <v>9</v>
      </c>
      <c r="H6" s="38" t="s">
        <v>10</v>
      </c>
      <c r="I6" s="39"/>
      <c r="J6" s="11" t="s">
        <v>11</v>
      </c>
    </row>
    <row r="7" spans="1:10" x14ac:dyDescent="0.25">
      <c r="A7" s="1">
        <v>1</v>
      </c>
      <c r="B7" s="12"/>
      <c r="C7" s="12" t="s">
        <v>43</v>
      </c>
      <c r="D7" s="13">
        <v>5</v>
      </c>
      <c r="E7" s="13" t="s">
        <v>24</v>
      </c>
      <c r="F7" s="14">
        <f t="shared" ref="F7:F22" si="0">D7/D$23</f>
        <v>0.88967971530249113</v>
      </c>
      <c r="G7" s="15">
        <f>C4*F7</f>
        <v>3.5587188612099645</v>
      </c>
      <c r="H7" s="34"/>
      <c r="I7" s="35"/>
      <c r="J7" s="16"/>
    </row>
    <row r="8" spans="1:10" x14ac:dyDescent="0.25">
      <c r="A8" s="1">
        <v>3</v>
      </c>
      <c r="B8" s="12"/>
      <c r="C8" s="12" t="s">
        <v>44</v>
      </c>
      <c r="D8" s="13">
        <v>0.5</v>
      </c>
      <c r="E8" s="13" t="s">
        <v>24</v>
      </c>
      <c r="F8" s="14">
        <f t="shared" si="0"/>
        <v>8.8967971530249115E-2</v>
      </c>
      <c r="G8" s="15">
        <f>C4*F8</f>
        <v>0.35587188612099646</v>
      </c>
      <c r="H8" s="34"/>
      <c r="I8" s="35"/>
      <c r="J8" s="16"/>
    </row>
    <row r="9" spans="1:10" x14ac:dyDescent="0.25">
      <c r="A9" s="1">
        <v>4</v>
      </c>
      <c r="B9" s="12"/>
      <c r="C9" s="12" t="s">
        <v>45</v>
      </c>
      <c r="D9" s="13">
        <v>0.12</v>
      </c>
      <c r="E9" s="13" t="s">
        <v>24</v>
      </c>
      <c r="F9" s="14">
        <f t="shared" si="0"/>
        <v>2.1352313167259784E-2</v>
      </c>
      <c r="G9" s="15">
        <f>C4*F9</f>
        <v>8.5409252669039135E-2</v>
      </c>
      <c r="H9" s="34"/>
      <c r="I9" s="35"/>
      <c r="J9" s="16"/>
    </row>
    <row r="10" spans="1:10" x14ac:dyDescent="0.25">
      <c r="A10" s="1">
        <v>5</v>
      </c>
      <c r="B10" s="12"/>
      <c r="C10" s="12"/>
      <c r="D10" s="13"/>
      <c r="E10" s="13" t="s">
        <v>24</v>
      </c>
      <c r="F10" s="14">
        <f t="shared" si="0"/>
        <v>0</v>
      </c>
      <c r="G10" s="15">
        <f>C4*F10</f>
        <v>0</v>
      </c>
      <c r="H10" s="34"/>
      <c r="I10" s="35"/>
      <c r="J10" s="16"/>
    </row>
    <row r="11" spans="1:10" x14ac:dyDescent="0.25">
      <c r="A11" s="1">
        <v>6</v>
      </c>
      <c r="B11" s="12"/>
      <c r="C11" s="12"/>
      <c r="D11" s="13"/>
      <c r="E11" s="13" t="s">
        <v>24</v>
      </c>
      <c r="F11" s="14">
        <f t="shared" si="0"/>
        <v>0</v>
      </c>
      <c r="G11" s="15">
        <f>C4*F11</f>
        <v>0</v>
      </c>
      <c r="H11" s="34"/>
      <c r="I11" s="35"/>
      <c r="J11" s="16"/>
    </row>
    <row r="12" spans="1:10" x14ac:dyDescent="0.25">
      <c r="A12" s="1">
        <v>7</v>
      </c>
      <c r="B12" s="12"/>
      <c r="C12" s="12"/>
      <c r="D12" s="13"/>
      <c r="E12" s="13" t="s">
        <v>24</v>
      </c>
      <c r="F12" s="14">
        <f t="shared" si="0"/>
        <v>0</v>
      </c>
      <c r="G12" s="15">
        <f>C4*F12</f>
        <v>0</v>
      </c>
      <c r="H12" s="34"/>
      <c r="I12" s="35"/>
      <c r="J12" s="16"/>
    </row>
    <row r="13" spans="1:10" x14ac:dyDescent="0.25">
      <c r="A13" s="1">
        <v>8</v>
      </c>
      <c r="B13" s="12"/>
      <c r="C13" s="12"/>
      <c r="D13" s="13"/>
      <c r="E13" s="13" t="s">
        <v>24</v>
      </c>
      <c r="F13" s="14">
        <f t="shared" si="0"/>
        <v>0</v>
      </c>
      <c r="G13" s="15">
        <f>C4*F13</f>
        <v>0</v>
      </c>
      <c r="H13" s="34"/>
      <c r="I13" s="35"/>
      <c r="J13" s="16"/>
    </row>
    <row r="14" spans="1:10" x14ac:dyDescent="0.25">
      <c r="A14" s="1">
        <v>9</v>
      </c>
      <c r="B14" s="12"/>
      <c r="C14" s="12"/>
      <c r="D14" s="13"/>
      <c r="E14" s="13" t="s">
        <v>24</v>
      </c>
      <c r="F14" s="14">
        <f t="shared" si="0"/>
        <v>0</v>
      </c>
      <c r="G14" s="15">
        <f>C4*F14</f>
        <v>0</v>
      </c>
      <c r="H14" s="34"/>
      <c r="I14" s="35"/>
      <c r="J14" s="16"/>
    </row>
    <row r="15" spans="1:10" x14ac:dyDescent="0.25">
      <c r="A15" s="1">
        <v>10</v>
      </c>
      <c r="B15" s="12"/>
      <c r="C15" s="12"/>
      <c r="D15" s="13"/>
      <c r="E15" s="13" t="s">
        <v>24</v>
      </c>
      <c r="F15" s="14">
        <f t="shared" si="0"/>
        <v>0</v>
      </c>
      <c r="G15" s="15">
        <f>C4*F15</f>
        <v>0</v>
      </c>
      <c r="H15" s="34"/>
      <c r="I15" s="35"/>
      <c r="J15" s="16"/>
    </row>
    <row r="16" spans="1:10" x14ac:dyDescent="0.25">
      <c r="A16" s="1">
        <v>11</v>
      </c>
      <c r="B16" s="12"/>
      <c r="C16" s="12"/>
      <c r="D16" s="13"/>
      <c r="E16" s="13" t="s">
        <v>24</v>
      </c>
      <c r="F16" s="14">
        <f t="shared" si="0"/>
        <v>0</v>
      </c>
      <c r="G16" s="15">
        <f>C4*F16</f>
        <v>0</v>
      </c>
      <c r="H16" s="34"/>
      <c r="I16" s="35"/>
      <c r="J16" s="16"/>
    </row>
    <row r="17" spans="1:10" x14ac:dyDescent="0.25">
      <c r="A17" s="1">
        <v>12</v>
      </c>
      <c r="B17" s="12"/>
      <c r="C17" s="12"/>
      <c r="D17" s="13"/>
      <c r="E17" s="13" t="s">
        <v>24</v>
      </c>
      <c r="F17" s="14">
        <f t="shared" si="0"/>
        <v>0</v>
      </c>
      <c r="G17" s="15">
        <f>C4*F17</f>
        <v>0</v>
      </c>
      <c r="H17" s="34"/>
      <c r="I17" s="35"/>
      <c r="J17" s="16"/>
    </row>
    <row r="18" spans="1:10" x14ac:dyDescent="0.25">
      <c r="A18" s="1">
        <v>13</v>
      </c>
      <c r="B18" s="12"/>
      <c r="C18" s="12"/>
      <c r="D18" s="13"/>
      <c r="E18" s="13" t="s">
        <v>24</v>
      </c>
      <c r="F18" s="14">
        <f t="shared" si="0"/>
        <v>0</v>
      </c>
      <c r="G18" s="15">
        <f>C4*F18</f>
        <v>0</v>
      </c>
      <c r="H18" s="34"/>
      <c r="I18" s="35"/>
      <c r="J18" s="16"/>
    </row>
    <row r="19" spans="1:10" x14ac:dyDescent="0.25">
      <c r="A19" s="1">
        <v>14</v>
      </c>
      <c r="B19" s="12"/>
      <c r="C19" s="12"/>
      <c r="D19" s="13"/>
      <c r="E19" s="13" t="s">
        <v>24</v>
      </c>
      <c r="F19" s="14">
        <f t="shared" si="0"/>
        <v>0</v>
      </c>
      <c r="G19" s="15">
        <f>C4*F19</f>
        <v>0</v>
      </c>
      <c r="H19" s="34"/>
      <c r="I19" s="35"/>
      <c r="J19" s="16"/>
    </row>
    <row r="20" spans="1:10" x14ac:dyDescent="0.25">
      <c r="A20" s="1">
        <v>15</v>
      </c>
      <c r="B20" s="12"/>
      <c r="C20" s="12"/>
      <c r="D20" s="13"/>
      <c r="E20" s="13" t="s">
        <v>24</v>
      </c>
      <c r="F20" s="14">
        <f t="shared" si="0"/>
        <v>0</v>
      </c>
      <c r="G20" s="15">
        <f>C4*F20</f>
        <v>0</v>
      </c>
      <c r="H20" s="34"/>
      <c r="I20" s="35"/>
      <c r="J20" s="16"/>
    </row>
    <row r="21" spans="1:10" x14ac:dyDescent="0.25">
      <c r="A21" s="1">
        <v>16</v>
      </c>
      <c r="B21" s="12"/>
      <c r="C21" s="12"/>
      <c r="D21" s="13"/>
      <c r="E21" s="13" t="s">
        <v>24</v>
      </c>
      <c r="F21" s="14">
        <f t="shared" si="0"/>
        <v>0</v>
      </c>
      <c r="G21" s="15">
        <f>C4*F21</f>
        <v>0</v>
      </c>
      <c r="H21" s="34"/>
      <c r="I21" s="35"/>
      <c r="J21" s="16"/>
    </row>
    <row r="22" spans="1:10" x14ac:dyDescent="0.25">
      <c r="A22" s="1">
        <v>17</v>
      </c>
      <c r="B22" s="12"/>
      <c r="C22" s="12"/>
      <c r="D22" s="13"/>
      <c r="E22" s="13" t="s">
        <v>24</v>
      </c>
      <c r="F22" s="14">
        <f t="shared" si="0"/>
        <v>0</v>
      </c>
      <c r="G22" s="15">
        <f>C4*F22</f>
        <v>0</v>
      </c>
      <c r="H22" s="34"/>
      <c r="I22" s="35"/>
      <c r="J22" s="16"/>
    </row>
    <row r="23" spans="1:10" x14ac:dyDescent="0.25">
      <c r="C23" s="17" t="s">
        <v>12</v>
      </c>
      <c r="D23" s="1">
        <f>SUM(D7:D22)</f>
        <v>5.62</v>
      </c>
      <c r="E23" s="1" t="s">
        <v>24</v>
      </c>
      <c r="F23" s="18">
        <f>SUM(F7:F22)</f>
        <v>1</v>
      </c>
      <c r="G23" s="29">
        <f>SUM(G7:G22)</f>
        <v>4</v>
      </c>
      <c r="H23" s="19" t="s">
        <v>13</v>
      </c>
    </row>
    <row r="24" spans="1:10" x14ac:dyDescent="0.25">
      <c r="F24" s="28" t="s">
        <v>25</v>
      </c>
      <c r="G24" s="20">
        <f>-G23*G4+C4</f>
        <v>4</v>
      </c>
    </row>
    <row r="25" spans="1:10" ht="15.75" x14ac:dyDescent="0.25">
      <c r="A25"/>
      <c r="B25" s="36" t="s">
        <v>14</v>
      </c>
      <c r="C25" s="36"/>
      <c r="D25" s="36"/>
      <c r="E25" s="36"/>
      <c r="F25" s="36"/>
      <c r="G25" s="36"/>
      <c r="H25" s="36"/>
      <c r="I25" s="36"/>
      <c r="J25" s="36"/>
    </row>
    <row r="26" spans="1:10" ht="15.75" x14ac:dyDescent="0.25">
      <c r="A26"/>
      <c r="B26" s="21" t="s">
        <v>15</v>
      </c>
      <c r="C26" s="22"/>
      <c r="D26" s="22"/>
      <c r="E26" s="22"/>
      <c r="F26" s="22"/>
      <c r="G26" s="22"/>
      <c r="H26" s="22"/>
      <c r="I26" s="22"/>
      <c r="J26" s="22"/>
    </row>
    <row r="27" spans="1:10" x14ac:dyDescent="0.25">
      <c r="A27" s="1">
        <v>1</v>
      </c>
      <c r="B27" s="40" t="s">
        <v>46</v>
      </c>
      <c r="C27" s="41"/>
      <c r="D27" s="41"/>
      <c r="E27" s="41"/>
      <c r="F27" s="41"/>
      <c r="G27" s="41"/>
      <c r="H27" s="41"/>
      <c r="I27" s="41"/>
      <c r="J27" s="42"/>
    </row>
    <row r="28" spans="1:10" x14ac:dyDescent="0.25">
      <c r="A28" s="1">
        <v>2</v>
      </c>
      <c r="B28" s="40" t="s">
        <v>47</v>
      </c>
      <c r="C28" s="41"/>
      <c r="D28" s="41"/>
      <c r="E28" s="41"/>
      <c r="F28" s="41"/>
      <c r="G28" s="41"/>
      <c r="H28" s="41"/>
      <c r="I28" s="41"/>
      <c r="J28" s="42"/>
    </row>
    <row r="29" spans="1:10" x14ac:dyDescent="0.25">
      <c r="A29" s="1">
        <v>3</v>
      </c>
      <c r="B29" s="43" t="s">
        <v>48</v>
      </c>
      <c r="C29" s="44"/>
      <c r="D29" s="44"/>
      <c r="E29" s="44"/>
      <c r="F29" s="44"/>
      <c r="G29" s="44"/>
      <c r="H29" s="44"/>
      <c r="I29" s="44"/>
      <c r="J29" s="45"/>
    </row>
    <row r="30" spans="1:10" x14ac:dyDescent="0.25">
      <c r="A30" s="1">
        <v>4</v>
      </c>
      <c r="B30" s="31"/>
      <c r="C30" s="31"/>
      <c r="D30" s="31"/>
      <c r="E30" s="31"/>
      <c r="F30" s="31"/>
      <c r="G30" s="31"/>
      <c r="H30" s="31"/>
      <c r="I30" s="31"/>
      <c r="J30" s="31"/>
    </row>
    <row r="31" spans="1:10" x14ac:dyDescent="0.25">
      <c r="A31" s="1">
        <v>5</v>
      </c>
      <c r="B31" s="31"/>
      <c r="C31" s="31"/>
      <c r="D31" s="31"/>
      <c r="E31" s="31"/>
      <c r="F31" s="31"/>
      <c r="G31" s="31"/>
      <c r="H31" s="31"/>
      <c r="I31" s="31"/>
      <c r="J31" s="31"/>
    </row>
    <row r="32" spans="1:10" x14ac:dyDescent="0.25">
      <c r="A32" s="1">
        <v>6</v>
      </c>
      <c r="B32" s="31"/>
      <c r="C32" s="31"/>
      <c r="D32" s="31"/>
      <c r="E32" s="31"/>
      <c r="F32" s="31"/>
      <c r="G32" s="31"/>
      <c r="H32" s="31"/>
      <c r="I32" s="31"/>
      <c r="J32" s="31"/>
    </row>
    <row r="33" spans="1:10" x14ac:dyDescent="0.25">
      <c r="A33" s="1">
        <v>7</v>
      </c>
      <c r="B33" s="31"/>
      <c r="C33" s="31"/>
      <c r="D33" s="31"/>
      <c r="E33" s="31"/>
      <c r="F33" s="31"/>
      <c r="G33" s="31"/>
      <c r="H33" s="31"/>
      <c r="I33" s="31"/>
      <c r="J33" s="31"/>
    </row>
    <row r="34" spans="1:10" x14ac:dyDescent="0.25">
      <c r="A34" s="1">
        <v>8</v>
      </c>
      <c r="B34" s="31"/>
      <c r="C34" s="31"/>
      <c r="D34" s="31"/>
      <c r="E34" s="31"/>
      <c r="F34" s="31"/>
      <c r="G34" s="31"/>
      <c r="H34" s="31"/>
      <c r="I34" s="31"/>
      <c r="J34" s="31"/>
    </row>
    <row r="35" spans="1:10" x14ac:dyDescent="0.25">
      <c r="A35" s="1">
        <v>9</v>
      </c>
      <c r="B35" s="31"/>
      <c r="C35" s="31"/>
      <c r="D35" s="31"/>
      <c r="E35" s="31"/>
      <c r="F35" s="31"/>
      <c r="G35" s="31"/>
      <c r="H35" s="31"/>
      <c r="I35" s="31"/>
      <c r="J35" s="31"/>
    </row>
    <row r="36" spans="1:10" x14ac:dyDescent="0.25">
      <c r="A36" s="1">
        <v>10</v>
      </c>
      <c r="B36" s="31"/>
      <c r="C36" s="31"/>
      <c r="D36" s="31"/>
      <c r="E36" s="31"/>
      <c r="F36" s="31"/>
      <c r="G36" s="31"/>
      <c r="H36" s="31"/>
      <c r="I36" s="31"/>
      <c r="J36" s="31"/>
    </row>
    <row r="37" spans="1:10" x14ac:dyDescent="0.25">
      <c r="A37" s="1">
        <v>11</v>
      </c>
      <c r="B37" s="31"/>
      <c r="C37" s="31"/>
      <c r="D37" s="31"/>
      <c r="E37" s="31"/>
      <c r="F37" s="31"/>
      <c r="G37" s="31"/>
      <c r="H37" s="31"/>
      <c r="I37" s="31"/>
      <c r="J37" s="31"/>
    </row>
    <row r="39" spans="1:10" x14ac:dyDescent="0.25">
      <c r="B39" t="s">
        <v>16</v>
      </c>
    </row>
    <row r="41" spans="1:10" x14ac:dyDescent="0.25">
      <c r="B41" s="23"/>
      <c r="C41" s="23"/>
      <c r="D41" s="24"/>
      <c r="E41" s="24"/>
      <c r="F41" s="23"/>
      <c r="H41" s="23"/>
      <c r="I41" s="23"/>
      <c r="J41" s="23"/>
    </row>
    <row r="42" spans="1:10" x14ac:dyDescent="0.25">
      <c r="B42" s="32" t="s">
        <v>17</v>
      </c>
      <c r="C42" s="32"/>
      <c r="E42" s="32" t="s">
        <v>18</v>
      </c>
      <c r="F42" s="32"/>
      <c r="H42" s="33" t="s">
        <v>19</v>
      </c>
      <c r="I42" s="33"/>
      <c r="J42" s="2" t="s">
        <v>20</v>
      </c>
    </row>
  </sheetData>
  <mergeCells count="33">
    <mergeCell ref="B42:C42"/>
    <mergeCell ref="E42:F42"/>
    <mergeCell ref="H42:I42"/>
    <mergeCell ref="B32:J32"/>
    <mergeCell ref="B33:J33"/>
    <mergeCell ref="B34:J34"/>
    <mergeCell ref="B35:J35"/>
    <mergeCell ref="B36:J36"/>
    <mergeCell ref="B37:J37"/>
    <mergeCell ref="B25:J25"/>
    <mergeCell ref="B27:J27"/>
    <mergeCell ref="B28:J28"/>
    <mergeCell ref="B29:J29"/>
    <mergeCell ref="B30:J30"/>
    <mergeCell ref="B31:J31"/>
    <mergeCell ref="H17:I17"/>
    <mergeCell ref="H18:I18"/>
    <mergeCell ref="H19:I19"/>
    <mergeCell ref="H20:I20"/>
    <mergeCell ref="H21:I21"/>
    <mergeCell ref="H22:I22"/>
    <mergeCell ref="H11:I11"/>
    <mergeCell ref="H12:I12"/>
    <mergeCell ref="H13:I13"/>
    <mergeCell ref="H14:I14"/>
    <mergeCell ref="H15:I15"/>
    <mergeCell ref="H16:I16"/>
    <mergeCell ref="E2:F2"/>
    <mergeCell ref="H6:I6"/>
    <mergeCell ref="H7:I7"/>
    <mergeCell ref="H8:I8"/>
    <mergeCell ref="H9:I9"/>
    <mergeCell ref="H10:I10"/>
  </mergeCells>
  <pageMargins left="0.7" right="0.7" top="0.75" bottom="0.75" header="0.3" footer="0.3"/>
  <pageSetup scale="66" fitToHeight="0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560CDE7020FBE4F987D5680CBA97CD3" ma:contentTypeVersion="10" ma:contentTypeDescription="Create a new document." ma:contentTypeScope="" ma:versionID="4fbed0173a2ebcc74ba7d005722587c6">
  <xsd:schema xmlns:xsd="http://www.w3.org/2001/XMLSchema" xmlns:xs="http://www.w3.org/2001/XMLSchema" xmlns:p="http://schemas.microsoft.com/office/2006/metadata/properties" xmlns:ns2="042478ca-ca2d-4d01-83eb-90396d5625e9" xmlns:ns3="70b03f2f-74c7-4926-a36d-d4bdb9e02d45" targetNamespace="http://schemas.microsoft.com/office/2006/metadata/properties" ma:root="true" ma:fieldsID="1e47617018f8bf8a4d157a39e72236d1" ns2:_="" ns3:_="">
    <xsd:import namespace="042478ca-ca2d-4d01-83eb-90396d5625e9"/>
    <xsd:import namespace="70b03f2f-74c7-4926-a36d-d4bdb9e02d4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EventHashCode" minOccurs="0"/>
                <xsd:element ref="ns2:MediaServiceOCR" minOccurs="0"/>
                <xsd:element ref="ns2:MediaServiceGenerationTim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42478ca-ca2d-4d01-83eb-90396d5625e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fieldId="{5cf76f15-5ced-4ddc-b409-7134ff3c332f}" ma:taxonomyMulti="true" ma:sspId="00000000-0000-0000-0000-000000000000" ma:termSetId="00000000-0000-0000-0000-000000000000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0b03f2f-74c7-4926-a36d-d4bdb9e02d4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a7cd25fd-8387-47a0-a3a2-f48b21d35c24}" ma:internalName="TaxCatchAll" ma:showField="CatchAllData" ma:web="70b03f2f-74c7-4926-a36d-d4bdb9e02d4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0b03f2f-74c7-4926-a36d-d4bdb9e02d45" xsi:nil="true"/>
    <lcf76f155ced4ddcb4097134ff3c332f xmlns="042478ca-ca2d-4d01-83eb-90396d5625e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B318014-4ACD-484C-9AC0-132661025DD7}"/>
</file>

<file path=customXml/itemProps2.xml><?xml version="1.0" encoding="utf-8"?>
<ds:datastoreItem xmlns:ds="http://schemas.openxmlformats.org/officeDocument/2006/customXml" ds:itemID="{8EAF704F-C15B-4D19-8702-B9263285703E}"/>
</file>

<file path=customXml/itemProps3.xml><?xml version="1.0" encoding="utf-8"?>
<ds:datastoreItem xmlns:ds="http://schemas.openxmlformats.org/officeDocument/2006/customXml" ds:itemID="{08EC8636-9DA6-4BCF-B566-E8FFD2C1B21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700 Kit build</vt:lpstr>
      <vt:lpstr>700- PLATING</vt:lpstr>
      <vt:lpstr>Chicken Brine</vt:lpstr>
      <vt:lpstr>Herb Brine</vt:lpstr>
      <vt:lpstr>Rosemary Jus</vt:lpstr>
      <vt:lpstr>Garlic Caper Marinade .</vt:lpstr>
      <vt:lpstr>Marinated Broccoli</vt:lpstr>
      <vt:lpstr>Veg Mirepoix</vt:lpstr>
      <vt:lpstr>Wild Rice Pilaf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Christian Huynh</dc:creator>
  <cp:lastModifiedBy>Christian Huynh</cp:lastModifiedBy>
  <cp:lastPrinted>2025-08-08T13:58:47Z</cp:lastPrinted>
  <dcterms:created xsi:type="dcterms:W3CDTF">2023-08-17T15:10:54Z</dcterms:created>
  <dcterms:modified xsi:type="dcterms:W3CDTF">2025-08-19T15:19:47Z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0x0101000560CDE7020FBE4F987D5680CBA97CD3</vt:lpwstr>
  </property>
</Properties>
</file>