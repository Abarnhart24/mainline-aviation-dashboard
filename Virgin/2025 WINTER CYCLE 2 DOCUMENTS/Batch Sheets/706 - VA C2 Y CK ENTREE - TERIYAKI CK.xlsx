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chuynh_goldbergsgroup_com/Documents/Documents/Templates/"/>
    </mc:Choice>
  </mc:AlternateContent>
  <xr:revisionPtr revIDLastSave="84" documentId="8_{7F2A32FC-ACC6-47F1-B29F-66E0F25F7526}" xr6:coauthVersionLast="47" xr6:coauthVersionMax="47" xr10:uidLastSave="{F341A2C3-E5D9-49D3-BE9F-13CD9ECF1427}"/>
  <bookViews>
    <workbookView xWindow="10140" yWindow="0" windowWidth="10455" windowHeight="10905" activeTab="1" xr2:uid="{9D773142-25FF-402D-A059-87F5C56EFE7F}"/>
  </bookViews>
  <sheets>
    <sheet name="Pack out" sheetId="9" r:id="rId1"/>
    <sheet name="Plating" sheetId="7" r:id="rId2"/>
    <sheet name="Bulgolgi Sauce" sheetId="5" r:id="rId3"/>
    <sheet name="Vegetable Fried Rice" sheetId="10" r:id="rId4"/>
    <sheet name="Teriyaki Chicken" sheetId="11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1" l="1"/>
  <c r="F23" i="11" s="1"/>
  <c r="G23" i="11" s="1"/>
  <c r="F8" i="11" l="1"/>
  <c r="G8" i="11" s="1"/>
  <c r="F15" i="11"/>
  <c r="G15" i="11" s="1"/>
  <c r="F9" i="11"/>
  <c r="G9" i="11" s="1"/>
  <c r="F16" i="11"/>
  <c r="G16" i="11" s="1"/>
  <c r="F11" i="11"/>
  <c r="G11" i="11" s="1"/>
  <c r="F18" i="11"/>
  <c r="G18" i="11" s="1"/>
  <c r="F12" i="11"/>
  <c r="G12" i="11" s="1"/>
  <c r="F22" i="11"/>
  <c r="G22" i="11" s="1"/>
  <c r="F10" i="11"/>
  <c r="G10" i="11" s="1"/>
  <c r="F13" i="11"/>
  <c r="G13" i="11" s="1"/>
  <c r="F19" i="11"/>
  <c r="G19" i="11" s="1"/>
  <c r="F7" i="11"/>
  <c r="F14" i="11"/>
  <c r="G14" i="11" s="1"/>
  <c r="F17" i="11"/>
  <c r="G17" i="11" s="1"/>
  <c r="F21" i="11"/>
  <c r="G21" i="11" s="1"/>
  <c r="F20" i="11"/>
  <c r="G20" i="11" s="1"/>
  <c r="F24" i="11" l="1"/>
  <c r="G7" i="11"/>
  <c r="G24" i="11" s="1"/>
  <c r="G25" i="11" s="1"/>
  <c r="D24" i="10" l="1"/>
  <c r="F22" i="10" s="1"/>
  <c r="G22" i="10" s="1"/>
  <c r="F21" i="10"/>
  <c r="G21" i="10" s="1"/>
  <c r="F20" i="10"/>
  <c r="G20" i="10" s="1"/>
  <c r="F17" i="10"/>
  <c r="G17" i="10" s="1"/>
  <c r="F16" i="10"/>
  <c r="G16" i="10" s="1"/>
  <c r="F13" i="10"/>
  <c r="G13" i="10" s="1"/>
  <c r="F12" i="10"/>
  <c r="G12" i="10" s="1"/>
  <c r="F9" i="10"/>
  <c r="G9" i="10" s="1"/>
  <c r="F8" i="10"/>
  <c r="G8" i="10" s="1"/>
  <c r="F7" i="10" l="1"/>
  <c r="F10" i="10"/>
  <c r="G10" i="10" s="1"/>
  <c r="F15" i="10"/>
  <c r="G15" i="10" s="1"/>
  <c r="F18" i="10"/>
  <c r="G18" i="10" s="1"/>
  <c r="F23" i="10"/>
  <c r="G23" i="10" s="1"/>
  <c r="F11" i="10"/>
  <c r="G11" i="10" s="1"/>
  <c r="F14" i="10"/>
  <c r="G14" i="10" s="1"/>
  <c r="F19" i="10"/>
  <c r="G19" i="10" s="1"/>
  <c r="G7" i="10" l="1"/>
  <c r="G24" i="10" s="1"/>
  <c r="G25" i="10" s="1"/>
  <c r="F24" i="10"/>
  <c r="F13" i="9"/>
  <c r="F23" i="9" l="1"/>
  <c r="F22" i="9"/>
  <c r="F21" i="9"/>
  <c r="F20" i="9"/>
  <c r="F19" i="9"/>
  <c r="F18" i="9"/>
  <c r="F17" i="9"/>
  <c r="F16" i="9"/>
  <c r="F15" i="9"/>
  <c r="F14" i="9"/>
  <c r="F12" i="9"/>
  <c r="F11" i="9"/>
  <c r="F10" i="9"/>
  <c r="F9" i="9"/>
  <c r="F8" i="9"/>
  <c r="F7" i="9"/>
  <c r="D24" i="7"/>
  <c r="F21" i="7" s="1"/>
  <c r="G21" i="7" s="1"/>
  <c r="F9" i="7" l="1"/>
  <c r="G9" i="7" s="1"/>
  <c r="F14" i="7"/>
  <c r="G14" i="7" s="1"/>
  <c r="F17" i="7"/>
  <c r="G17" i="7" s="1"/>
  <c r="F22" i="7"/>
  <c r="G22" i="7" s="1"/>
  <c r="F13" i="7"/>
  <c r="G13" i="7" s="1"/>
  <c r="F8" i="7"/>
  <c r="G8" i="7" s="1"/>
  <c r="F11" i="7"/>
  <c r="G11" i="7" s="1"/>
  <c r="F16" i="7"/>
  <c r="G16" i="7" s="1"/>
  <c r="F19" i="7"/>
  <c r="G19" i="7" s="1"/>
  <c r="F7" i="7"/>
  <c r="F12" i="7"/>
  <c r="G12" i="7" s="1"/>
  <c r="F15" i="7"/>
  <c r="G15" i="7" s="1"/>
  <c r="F20" i="7"/>
  <c r="G20" i="7" s="1"/>
  <c r="F23" i="7"/>
  <c r="G23" i="7" s="1"/>
  <c r="F10" i="7"/>
  <c r="G10" i="7" s="1"/>
  <c r="F18" i="7"/>
  <c r="G18" i="7" s="1"/>
  <c r="F24" i="7" l="1"/>
  <c r="G7" i="7"/>
  <c r="G24" i="7" s="1"/>
  <c r="D24" i="5" l="1"/>
  <c r="F21" i="5" s="1"/>
  <c r="G21" i="5" s="1"/>
  <c r="F9" i="5" l="1"/>
  <c r="G9" i="5" s="1"/>
  <c r="F12" i="5"/>
  <c r="G12" i="5" s="1"/>
  <c r="F19" i="5"/>
  <c r="G19" i="5" s="1"/>
  <c r="F10" i="5"/>
  <c r="G10" i="5" s="1"/>
  <c r="F13" i="5"/>
  <c r="G13" i="5" s="1"/>
  <c r="F16" i="5"/>
  <c r="G16" i="5" s="1"/>
  <c r="F8" i="5"/>
  <c r="G8" i="5" s="1"/>
  <c r="F15" i="5"/>
  <c r="G15" i="5" s="1"/>
  <c r="F18" i="5"/>
  <c r="G18" i="5" s="1"/>
  <c r="F7" i="5"/>
  <c r="G7" i="5" s="1"/>
  <c r="F11" i="5"/>
  <c r="G11" i="5" s="1"/>
  <c r="F14" i="5"/>
  <c r="G14" i="5" s="1"/>
  <c r="F17" i="5"/>
  <c r="G17" i="5" s="1"/>
  <c r="F22" i="5"/>
  <c r="G22" i="5" s="1"/>
  <c r="F20" i="5"/>
  <c r="G20" i="5" s="1"/>
  <c r="F23" i="5"/>
  <c r="G23" i="5" s="1"/>
  <c r="G24" i="5" l="1"/>
  <c r="G25" i="5" s="1"/>
  <c r="F24" i="5"/>
</calcChain>
</file>

<file path=xl/sharedStrings.xml><?xml version="1.0" encoding="utf-8"?>
<sst xmlns="http://schemas.openxmlformats.org/spreadsheetml/2006/main" count="278" uniqueCount="102">
  <si>
    <t>Formula Name:</t>
  </si>
  <si>
    <t>R&amp;D ID Number:</t>
  </si>
  <si>
    <t>Version #:</t>
  </si>
  <si>
    <t>Batch Number:</t>
  </si>
  <si>
    <t>Item Number</t>
  </si>
  <si>
    <t>Description</t>
  </si>
  <si>
    <t>Original Fromula</t>
  </si>
  <si>
    <t>UOM</t>
  </si>
  <si>
    <t>%</t>
  </si>
  <si>
    <t>Desired (lb)</t>
  </si>
  <si>
    <t>Lot Code</t>
  </si>
  <si>
    <t>Notes</t>
  </si>
  <si>
    <t>Total Sample Formula Weight:</t>
  </si>
  <si>
    <t>Total Weight</t>
  </si>
  <si>
    <t>Procedure</t>
  </si>
  <si>
    <t>Batch Formula Instructions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</si>
  <si>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</si>
  <si>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</si>
  <si>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</si>
  <si>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 xml:space="preserve">                    Reviewed By</t>
  </si>
  <si>
    <t xml:space="preserve">                                          Date</t>
  </si>
  <si>
    <t>Desired BOWLS (ea):</t>
  </si>
  <si>
    <t>Desired QTY (lb):</t>
  </si>
  <si>
    <t>Yield Loss:</t>
  </si>
  <si>
    <t>lb</t>
  </si>
  <si>
    <t>Weight After Yield Loss</t>
  </si>
  <si>
    <t>GM</t>
  </si>
  <si>
    <t>Water</t>
  </si>
  <si>
    <t>Desired Cases:</t>
  </si>
  <si>
    <t>Desired Qty</t>
  </si>
  <si>
    <t>Each</t>
  </si>
  <si>
    <t>LB</t>
  </si>
  <si>
    <t>Original formula builds one kit.</t>
  </si>
  <si>
    <t xml:space="preserve">Pack all items according to the build and label the master case. </t>
  </si>
  <si>
    <t>Hold under refrigeration below 41 degrees for shipping</t>
  </si>
  <si>
    <t>S023</t>
  </si>
  <si>
    <t>BOX DELTA 64</t>
  </si>
  <si>
    <t>S055</t>
  </si>
  <si>
    <t>LABELS 4X6"</t>
  </si>
  <si>
    <t>S144</t>
  </si>
  <si>
    <t>LABEL WHITE 2X1</t>
  </si>
  <si>
    <t>VA C2 Y CK ENTREE - TERIYAKI CK</t>
  </si>
  <si>
    <t>706 - VA C2 Y CK ENTREE - TERIYAKI CK</t>
  </si>
  <si>
    <t>Teriyaki Chicken</t>
  </si>
  <si>
    <t>Bulgolgi Sauce</t>
  </si>
  <si>
    <t>Veggie Fried Rice</t>
  </si>
  <si>
    <t>WIP</t>
  </si>
  <si>
    <t>F065</t>
  </si>
  <si>
    <t>SCALLIONS ICELESS</t>
  </si>
  <si>
    <t>Slack out the IQF White Rice before beginning.</t>
  </si>
  <si>
    <t>Combine the thawed IQF White Rice with the Soy Sauce and the Sesame Oil and mix well until rice is fully mixed.</t>
  </si>
  <si>
    <t>Once the rice is fully mixed, add the Peas, Corn, Carrots and Egg and mix just until combined.</t>
  </si>
  <si>
    <t>Keep cold until ready to use.</t>
  </si>
  <si>
    <t>IQF RICE JASMIN</t>
  </si>
  <si>
    <t>F097</t>
  </si>
  <si>
    <t xml:space="preserve">IQF GREEN PEAS </t>
  </si>
  <si>
    <t>F220</t>
  </si>
  <si>
    <t>IQF CORN KERNAL</t>
  </si>
  <si>
    <t>P276</t>
  </si>
  <si>
    <t>CARROTS SHREDDED</t>
  </si>
  <si>
    <t>D326</t>
  </si>
  <si>
    <t>SAUCE SOY</t>
  </si>
  <si>
    <t>D074</t>
  </si>
  <si>
    <t>OIL SESAME</t>
  </si>
  <si>
    <t>xantham</t>
  </si>
  <si>
    <t>D135</t>
  </si>
  <si>
    <t>SPICE ONION POWDER L</t>
  </si>
  <si>
    <t>P259</t>
  </si>
  <si>
    <t>DOLE PINEAPPLE JUICE 6/#10CAN</t>
  </si>
  <si>
    <t>D157</t>
  </si>
  <si>
    <t>SUGAR BROWN DARK</t>
  </si>
  <si>
    <t>D140</t>
  </si>
  <si>
    <t>SPICE PEPPER BLACK TABLE L</t>
  </si>
  <si>
    <t>C298</t>
  </si>
  <si>
    <t>GARLIC PEELED</t>
  </si>
  <si>
    <t>D466</t>
  </si>
  <si>
    <t>FLAVOR SAVORY</t>
  </si>
  <si>
    <t>D218</t>
  </si>
  <si>
    <t>STARCH THERM FLOR</t>
  </si>
  <si>
    <t>D172</t>
  </si>
  <si>
    <t>XANTHAN GUM</t>
  </si>
  <si>
    <t>Apple Juice</t>
  </si>
  <si>
    <t>IQF STIR FRY VEGGIES ALL MIXED BROCCOLI, SNAP PEAS, RED PEPPERS</t>
  </si>
  <si>
    <t>C243</t>
  </si>
  <si>
    <t>CHICKEN THIGHS BONELESS/SKINLESS</t>
  </si>
  <si>
    <t>F206</t>
  </si>
  <si>
    <t>PUREE GINGER</t>
  </si>
  <si>
    <t>Rice Wine Vinegar</t>
  </si>
  <si>
    <t>D056</t>
  </si>
  <si>
    <t>HONEY AMBER DAWN FOODS</t>
  </si>
  <si>
    <t xml:space="preserve">Blend ingredients highlighted in green into a smoothe sauce </t>
  </si>
  <si>
    <t>Marinate Chicken in made sauce for minimum 2 HRs</t>
  </si>
  <si>
    <t>Line on greased and lined Baking Sheet Pan</t>
  </si>
  <si>
    <t>Roast on 375F for 25-35 Minutes until internal reacher 165F</t>
  </si>
  <si>
    <t>Follow HACCP cooling procedure for protiens</t>
  </si>
  <si>
    <t>Store below 40F until ready for use</t>
  </si>
  <si>
    <t>25-229</t>
  </si>
  <si>
    <t xml:space="preserve">VEGETABLE FRIED RICE </t>
  </si>
  <si>
    <t>25-230</t>
  </si>
  <si>
    <t xml:space="preserve">Oven Roasted Teriyaki Chicken </t>
  </si>
  <si>
    <t>25-231</t>
  </si>
  <si>
    <t>25-232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</si>
</sst>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 applyProtection="1">
      <alignment horizontal="left"/>
      <protection locked="0"/>
    </xf>
    <xf numFmtId="0" fontId="2" fillId="0" borderId="0" xfId="0" applyFont="1"/>
    <xf numFmtId="0" fontId="0" fillId="3" borderId="0" xfId="0" applyFill="1" applyAlignment="1" applyProtection="1">
      <alignment horizontal="center"/>
      <protection locked="0"/>
    </xf>
    <xf numFmtId="0" fontId="2" fillId="0" borderId="4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10" fontId="0" fillId="0" borderId="4" xfId="2" applyNumberFormat="1" applyFont="1" applyBorder="1" applyAlignment="1">
      <alignment horizontal="center"/>
    </xf>
    <xf numFmtId="2" fontId="0" fillId="3" borderId="4" xfId="1" applyNumberFormat="1" applyFont="1" applyFill="1" applyBorder="1" applyAlignment="1">
      <alignment horizontal="center"/>
    </xf>
    <xf numFmtId="0" fontId="0" fillId="0" borderId="4" xfId="0" applyBorder="1" applyProtection="1">
      <protection locked="0"/>
    </xf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center"/>
    </xf>
    <xf numFmtId="0" fontId="0" fillId="4" borderId="0" xfId="0" applyFill="1"/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9" fontId="0" fillId="0" borderId="0" xfId="2" applyFont="1" applyFill="1" applyAlignment="1">
      <alignment horizontal="center"/>
    </xf>
    <xf numFmtId="0" fontId="0" fillId="5" borderId="4" xfId="0" applyFill="1" applyBorder="1" applyProtection="1">
      <protection locked="0"/>
    </xf>
    <xf numFmtId="164" fontId="0" fillId="4" borderId="0" xfId="0" applyNumberFormat="1" applyFill="1" applyAlignment="1">
      <alignment horizontal="center"/>
    </xf>
    <xf numFmtId="9" fontId="0" fillId="6" borderId="0" xfId="2" applyFont="1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2" borderId="2" xfId="0" applyFill="1" applyBorder="1" applyAlignment="1">
      <alignment horizontal="left"/>
    </xf>
    <xf numFmtId="0" fontId="0" fillId="0" borderId="4" xfId="0" applyBorder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44" fontId="0" fillId="0" borderId="5" xfId="1" applyFont="1" applyBorder="1" applyAlignment="1" applyProtection="1">
      <alignment horizontal="center"/>
      <protection locked="0"/>
    </xf>
    <xf numFmtId="44" fontId="0" fillId="0" borderId="6" xfId="1" applyFont="1" applyBorder="1" applyAlignment="1" applyProtection="1">
      <alignment horizontal="center"/>
      <protection locked="0"/>
    </xf>
    <xf numFmtId="0" fontId="3" fillId="2" borderId="4" xfId="0" applyFont="1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5" xfId="0" applyBorder="1"/>
    <xf numFmtId="0" fontId="0" fillId="0" borderId="9" xfId="0" applyBorder="1"/>
    <xf numFmtId="0" fontId="0" fillId="0" borderId="6" xfId="0" applyBorder="1"/>
    <xf numFmtId="0" fontId="0" fillId="5" borderId="5" xfId="0" applyFill="1" applyBorder="1"/>
    <xf numFmtId="0" fontId="0" fillId="5" borderId="9" xfId="0" applyFill="1" applyBorder="1"/>
    <xf numFmtId="0" fontId="0" fillId="5" borderId="6" xfId="0" applyFill="1" applyBorder="1"/>
    <xf numFmtId="0" fontId="4" fillId="0" borderId="4" xfId="0" applyFont="1" applyBorder="1" applyAlignment="1">
      <alignment horizontal="center" vertical="center"/>
    </xf>
    <xf numFmtId="164" fontId="0" fillId="5" borderId="0" xfId="0" applyNumberFormat="1" applyFill="1" applyAlignment="1">
      <alignment horizontal="center"/>
    </xf>
    <xf numFmtId="0" fontId="0" fillId="5" borderId="0" xfId="0" applyFill="1"/>
    <xf numFmtId="0" fontId="0" fillId="7" borderId="4" xfId="0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2A4F0-AC9D-4032-8658-4B90CEACC899}">
  <sheetPr>
    <pageSetUpPr fitToPage="1"/>
  </sheetPr>
  <dimension ref="A1:I43"/>
  <sheetViews>
    <sheetView zoomScale="130" zoomScaleNormal="130" workbookViewId="0">
      <selection activeCell="C10" sqref="C10"/>
    </sheetView>
  </sheetViews>
  <sheetFormatPr defaultRowHeight="15" x14ac:dyDescent="0.25"/>
  <cols>
    <col min="1" max="1" width="3.5703125" style="1" customWidth="1"/>
    <col min="2" max="2" width="21.42578125" customWidth="1"/>
    <col min="3" max="3" width="41.7109375" bestFit="1" customWidth="1"/>
    <col min="4" max="4" width="17.5703125" style="2" customWidth="1"/>
    <col min="5" max="5" width="6.5703125" style="2" customWidth="1"/>
    <col min="6" max="6" width="12.5703125" style="2" customWidth="1"/>
    <col min="7" max="8" width="12.5703125" customWidth="1"/>
    <col min="9" max="9" width="37.42578125" customWidth="1"/>
  </cols>
  <sheetData>
    <row r="1" spans="1:9" ht="15.75" thickBot="1" x14ac:dyDescent="0.3"/>
    <row r="2" spans="1:9" ht="15.75" thickBot="1" x14ac:dyDescent="0.3">
      <c r="B2" s="3" t="s">
        <v>0</v>
      </c>
      <c r="C2" s="4" t="s">
        <v>42</v>
      </c>
      <c r="D2" s="5" t="s">
        <v>1</v>
      </c>
      <c r="E2" s="30"/>
      <c r="F2" s="4"/>
      <c r="G2" s="6" t="s">
        <v>2</v>
      </c>
      <c r="H2" s="7"/>
      <c r="I2" s="8" t="s">
        <v>3</v>
      </c>
    </row>
    <row r="3" spans="1:9" ht="5.25" customHeight="1" x14ac:dyDescent="0.25">
      <c r="B3" s="1"/>
      <c r="D3" s="9"/>
      <c r="G3" s="1"/>
      <c r="H3" s="1"/>
      <c r="I3" s="2"/>
    </row>
    <row r="4" spans="1:9" x14ac:dyDescent="0.25">
      <c r="B4" s="2" t="s">
        <v>28</v>
      </c>
      <c r="C4" s="10">
        <v>1</v>
      </c>
      <c r="D4" s="9"/>
      <c r="F4" s="25"/>
      <c r="H4" s="1"/>
      <c r="I4" s="2"/>
    </row>
    <row r="5" spans="1:9" ht="5.25" customHeight="1" x14ac:dyDescent="0.25">
      <c r="B5" s="1"/>
      <c r="C5">
        <v>5</v>
      </c>
      <c r="D5" s="9"/>
      <c r="G5" s="1"/>
      <c r="H5" s="1"/>
      <c r="I5" s="2"/>
    </row>
    <row r="6" spans="1:9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29</v>
      </c>
      <c r="G6" s="38" t="s">
        <v>10</v>
      </c>
      <c r="H6" s="39"/>
      <c r="I6" s="11" t="s">
        <v>11</v>
      </c>
    </row>
    <row r="7" spans="1:9" x14ac:dyDescent="0.25">
      <c r="A7" s="1">
        <v>1</v>
      </c>
      <c r="B7" s="12"/>
      <c r="C7" s="46" t="s">
        <v>41</v>
      </c>
      <c r="D7" s="13">
        <v>42</v>
      </c>
      <c r="E7" s="13" t="s">
        <v>30</v>
      </c>
      <c r="F7" s="15">
        <f>C4*D7</f>
        <v>42</v>
      </c>
      <c r="G7" s="34"/>
      <c r="H7" s="35"/>
      <c r="I7" s="26"/>
    </row>
    <row r="8" spans="1:9" x14ac:dyDescent="0.25">
      <c r="A8" s="1">
        <v>2</v>
      </c>
      <c r="B8" s="12"/>
      <c r="C8" s="46"/>
      <c r="E8" s="13" t="s">
        <v>31</v>
      </c>
      <c r="F8" s="15">
        <f>C4*D8</f>
        <v>0</v>
      </c>
      <c r="G8" s="34"/>
      <c r="H8" s="35"/>
      <c r="I8" s="16"/>
    </row>
    <row r="9" spans="1:9" x14ac:dyDescent="0.25">
      <c r="A9" s="1">
        <v>3</v>
      </c>
      <c r="B9" s="12"/>
      <c r="C9" s="46"/>
      <c r="D9" s="13"/>
      <c r="E9" s="13" t="s">
        <v>30</v>
      </c>
      <c r="F9" s="15">
        <f>C4*D9</f>
        <v>0</v>
      </c>
      <c r="G9" s="34"/>
      <c r="H9" s="35"/>
      <c r="I9" s="16"/>
    </row>
    <row r="10" spans="1:9" x14ac:dyDescent="0.25">
      <c r="A10" s="1">
        <v>4</v>
      </c>
      <c r="B10" s="12"/>
      <c r="C10" s="46"/>
      <c r="D10" s="13"/>
      <c r="E10" s="13" t="s">
        <v>30</v>
      </c>
      <c r="F10" s="15">
        <f>C4*D10</f>
        <v>0</v>
      </c>
      <c r="G10" s="34"/>
      <c r="H10" s="35"/>
      <c r="I10" s="16"/>
    </row>
    <row r="11" spans="1:9" x14ac:dyDescent="0.25">
      <c r="A11" s="1">
        <v>5</v>
      </c>
      <c r="B11" s="12" t="s">
        <v>35</v>
      </c>
      <c r="C11" s="46" t="s">
        <v>36</v>
      </c>
      <c r="D11" s="13">
        <v>1</v>
      </c>
      <c r="E11" s="13" t="s">
        <v>30</v>
      </c>
      <c r="F11" s="15">
        <f>C4*D11</f>
        <v>1</v>
      </c>
      <c r="G11" s="34"/>
      <c r="H11" s="35"/>
      <c r="I11" s="16"/>
    </row>
    <row r="12" spans="1:9" x14ac:dyDescent="0.25">
      <c r="A12" s="1">
        <v>6</v>
      </c>
      <c r="B12" s="12" t="s">
        <v>37</v>
      </c>
      <c r="C12" s="13" t="s">
        <v>38</v>
      </c>
      <c r="D12" s="13">
        <v>1</v>
      </c>
      <c r="E12" s="13" t="s">
        <v>30</v>
      </c>
      <c r="F12" s="15">
        <f>C4*D12</f>
        <v>1</v>
      </c>
      <c r="G12" s="34"/>
      <c r="H12" s="35"/>
      <c r="I12" s="16"/>
    </row>
    <row r="13" spans="1:9" x14ac:dyDescent="0.25">
      <c r="A13" s="1">
        <v>7</v>
      </c>
      <c r="B13" s="12" t="s">
        <v>39</v>
      </c>
      <c r="C13" s="12" t="s">
        <v>40</v>
      </c>
      <c r="D13" s="13">
        <v>42</v>
      </c>
      <c r="E13" s="13" t="s">
        <v>30</v>
      </c>
      <c r="F13" s="15">
        <f>C4*D13</f>
        <v>42</v>
      </c>
      <c r="G13" s="34"/>
      <c r="H13" s="35"/>
      <c r="I13" s="16"/>
    </row>
    <row r="14" spans="1:9" x14ac:dyDescent="0.25">
      <c r="A14" s="1">
        <v>8</v>
      </c>
      <c r="B14" s="12"/>
      <c r="C14" s="12"/>
      <c r="D14" s="13"/>
      <c r="E14" s="13"/>
      <c r="F14" s="15">
        <f>C4*D14</f>
        <v>0</v>
      </c>
      <c r="G14" s="34"/>
      <c r="H14" s="35"/>
      <c r="I14" s="16"/>
    </row>
    <row r="15" spans="1:9" x14ac:dyDescent="0.25">
      <c r="A15" s="1">
        <v>9</v>
      </c>
      <c r="B15" s="12"/>
      <c r="C15" s="12"/>
      <c r="D15" s="13"/>
      <c r="E15" s="13"/>
      <c r="F15" s="15">
        <f>C4*D15</f>
        <v>0</v>
      </c>
      <c r="G15" s="34"/>
      <c r="H15" s="35"/>
      <c r="I15" s="16"/>
    </row>
    <row r="16" spans="1:9" x14ac:dyDescent="0.25">
      <c r="A16" s="1">
        <v>10</v>
      </c>
      <c r="B16" s="12"/>
      <c r="C16" s="12"/>
      <c r="D16" s="13"/>
      <c r="E16" s="13"/>
      <c r="F16" s="15">
        <f>C4*D16</f>
        <v>0</v>
      </c>
      <c r="G16" s="34"/>
      <c r="H16" s="35"/>
      <c r="I16" s="16"/>
    </row>
    <row r="17" spans="1:9" x14ac:dyDescent="0.25">
      <c r="A17" s="1">
        <v>11</v>
      </c>
      <c r="B17" s="12"/>
      <c r="C17" s="12"/>
      <c r="D17" s="13"/>
      <c r="E17" s="13"/>
      <c r="F17" s="15">
        <f>C4*D17</f>
        <v>0</v>
      </c>
      <c r="G17" s="34"/>
      <c r="H17" s="35"/>
      <c r="I17" s="16"/>
    </row>
    <row r="18" spans="1:9" x14ac:dyDescent="0.25">
      <c r="A18" s="1">
        <v>12</v>
      </c>
      <c r="B18" s="12"/>
      <c r="C18" s="12"/>
      <c r="D18" s="13"/>
      <c r="E18" s="13"/>
      <c r="F18" s="15">
        <f>C4*D18</f>
        <v>0</v>
      </c>
      <c r="G18" s="34"/>
      <c r="H18" s="35"/>
      <c r="I18" s="16"/>
    </row>
    <row r="19" spans="1:9" x14ac:dyDescent="0.25">
      <c r="A19" s="1">
        <v>13</v>
      </c>
      <c r="B19" s="12"/>
      <c r="C19" s="12"/>
      <c r="D19" s="13"/>
      <c r="E19" s="13"/>
      <c r="F19" s="15">
        <f>C4*D19</f>
        <v>0</v>
      </c>
      <c r="G19" s="34"/>
      <c r="H19" s="35"/>
      <c r="I19" s="16"/>
    </row>
    <row r="20" spans="1:9" x14ac:dyDescent="0.25">
      <c r="A20" s="1">
        <v>14</v>
      </c>
      <c r="B20" s="12"/>
      <c r="C20" s="12"/>
      <c r="D20" s="13"/>
      <c r="E20" s="13"/>
      <c r="F20" s="15">
        <f>C4*D20</f>
        <v>0</v>
      </c>
      <c r="G20" s="34"/>
      <c r="H20" s="35"/>
      <c r="I20" s="16"/>
    </row>
    <row r="21" spans="1:9" x14ac:dyDescent="0.25">
      <c r="A21" s="1">
        <v>15</v>
      </c>
      <c r="B21" s="12"/>
      <c r="C21" s="12"/>
      <c r="D21" s="13"/>
      <c r="E21" s="13"/>
      <c r="F21" s="15">
        <f>C4*D21</f>
        <v>0</v>
      </c>
      <c r="G21" s="34"/>
      <c r="H21" s="35"/>
      <c r="I21" s="16"/>
    </row>
    <row r="22" spans="1:9" x14ac:dyDescent="0.25">
      <c r="A22" s="1">
        <v>16</v>
      </c>
      <c r="B22" s="12"/>
      <c r="C22" s="12"/>
      <c r="D22" s="13"/>
      <c r="E22" s="13"/>
      <c r="F22" s="15">
        <f>C4*D22</f>
        <v>0</v>
      </c>
      <c r="G22" s="34"/>
      <c r="H22" s="35"/>
      <c r="I22" s="16"/>
    </row>
    <row r="23" spans="1:9" x14ac:dyDescent="0.25">
      <c r="A23" s="1">
        <v>17</v>
      </c>
      <c r="B23" s="12"/>
      <c r="C23" s="12"/>
      <c r="D23" s="13"/>
      <c r="E23" s="13"/>
      <c r="F23" s="15">
        <f>C4*D23</f>
        <v>0</v>
      </c>
      <c r="G23" s="34"/>
      <c r="H23" s="35"/>
      <c r="I23" s="16"/>
    </row>
    <row r="24" spans="1:9" x14ac:dyDescent="0.25">
      <c r="C24" s="17"/>
      <c r="D24" s="1"/>
      <c r="F24" s="47"/>
      <c r="G24" s="48"/>
    </row>
    <row r="25" spans="1:9" x14ac:dyDescent="0.25">
      <c r="F25" s="20"/>
    </row>
    <row r="26" spans="1:9" ht="15.75" x14ac:dyDescent="0.25">
      <c r="A26"/>
      <c r="B26" s="36" t="s">
        <v>14</v>
      </c>
      <c r="C26" s="36"/>
      <c r="D26" s="36"/>
      <c r="E26" s="36"/>
      <c r="F26" s="36"/>
      <c r="G26" s="36"/>
      <c r="H26" s="36"/>
      <c r="I26" s="36"/>
    </row>
    <row r="27" spans="1:9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</row>
    <row r="28" spans="1:9" x14ac:dyDescent="0.25">
      <c r="A28" s="1">
        <v>1</v>
      </c>
      <c r="B28" s="31" t="s">
        <v>32</v>
      </c>
      <c r="C28" s="31"/>
      <c r="D28" s="31"/>
      <c r="E28" s="31"/>
      <c r="F28" s="31"/>
      <c r="G28" s="31"/>
      <c r="H28" s="31"/>
      <c r="I28" s="31"/>
    </row>
    <row r="29" spans="1:9" x14ac:dyDescent="0.25">
      <c r="A29" s="1">
        <v>2</v>
      </c>
      <c r="B29" s="31" t="s">
        <v>33</v>
      </c>
      <c r="C29" s="31"/>
      <c r="D29" s="31"/>
      <c r="E29" s="31"/>
      <c r="F29" s="31"/>
      <c r="G29" s="31"/>
      <c r="H29" s="31"/>
      <c r="I29" s="31"/>
    </row>
    <row r="30" spans="1:9" x14ac:dyDescent="0.25">
      <c r="A30" s="1">
        <v>3</v>
      </c>
      <c r="B30" s="31" t="s">
        <v>34</v>
      </c>
      <c r="C30" s="31"/>
      <c r="D30" s="31"/>
      <c r="E30" s="31"/>
      <c r="F30" s="31"/>
      <c r="G30" s="31"/>
      <c r="H30" s="31"/>
      <c r="I30" s="31"/>
    </row>
    <row r="31" spans="1:9" x14ac:dyDescent="0.25">
      <c r="A31" s="1">
        <v>4</v>
      </c>
      <c r="B31" s="31"/>
      <c r="C31" s="31"/>
      <c r="D31" s="31"/>
      <c r="E31" s="31"/>
      <c r="F31" s="31"/>
      <c r="G31" s="31"/>
      <c r="H31" s="31"/>
      <c r="I31" s="31"/>
    </row>
    <row r="32" spans="1:9" x14ac:dyDescent="0.25">
      <c r="A32" s="1">
        <v>5</v>
      </c>
      <c r="B32" s="31"/>
      <c r="C32" s="31"/>
      <c r="D32" s="31"/>
      <c r="E32" s="31"/>
      <c r="F32" s="31"/>
      <c r="G32" s="31"/>
      <c r="H32" s="31"/>
      <c r="I32" s="31"/>
    </row>
    <row r="33" spans="1:9" x14ac:dyDescent="0.25">
      <c r="A33" s="1">
        <v>6</v>
      </c>
      <c r="B33" s="31"/>
      <c r="C33" s="31"/>
      <c r="D33" s="31"/>
      <c r="E33" s="31"/>
      <c r="F33" s="31"/>
      <c r="G33" s="31"/>
      <c r="H33" s="31"/>
      <c r="I33" s="31"/>
    </row>
    <row r="34" spans="1:9" x14ac:dyDescent="0.25">
      <c r="A34" s="1">
        <v>7</v>
      </c>
      <c r="B34" s="31"/>
      <c r="C34" s="31"/>
      <c r="D34" s="31"/>
      <c r="E34" s="31"/>
      <c r="F34" s="31"/>
      <c r="G34" s="31"/>
      <c r="H34" s="31"/>
      <c r="I34" s="31"/>
    </row>
    <row r="35" spans="1:9" x14ac:dyDescent="0.25">
      <c r="A35" s="1">
        <v>8</v>
      </c>
      <c r="B35" s="31"/>
      <c r="C35" s="31"/>
      <c r="D35" s="31"/>
      <c r="E35" s="31"/>
      <c r="F35" s="31"/>
      <c r="G35" s="31"/>
      <c r="H35" s="31"/>
      <c r="I35" s="31"/>
    </row>
    <row r="36" spans="1:9" x14ac:dyDescent="0.25">
      <c r="A36" s="1">
        <v>9</v>
      </c>
      <c r="B36" s="31"/>
      <c r="C36" s="31"/>
      <c r="D36" s="31"/>
      <c r="E36" s="31"/>
      <c r="F36" s="31"/>
      <c r="G36" s="31"/>
      <c r="H36" s="31"/>
      <c r="I36" s="31"/>
    </row>
    <row r="37" spans="1:9" x14ac:dyDescent="0.25">
      <c r="A37" s="1">
        <v>10</v>
      </c>
      <c r="B37" s="31"/>
      <c r="C37" s="31"/>
      <c r="D37" s="31"/>
      <c r="E37" s="31"/>
      <c r="F37" s="31"/>
      <c r="G37" s="31"/>
      <c r="H37" s="31"/>
      <c r="I37" s="31"/>
    </row>
    <row r="38" spans="1:9" x14ac:dyDescent="0.25">
      <c r="A38" s="1">
        <v>11</v>
      </c>
      <c r="B38" s="31"/>
      <c r="C38" s="31"/>
      <c r="D38" s="31"/>
      <c r="E38" s="31"/>
      <c r="F38" s="31"/>
      <c r="G38" s="31"/>
      <c r="H38" s="31"/>
      <c r="I38" s="31"/>
    </row>
    <row r="40" spans="1:9" x14ac:dyDescent="0.25">
      <c r="B40" t="s">
        <v>16</v>
      </c>
    </row>
    <row r="42" spans="1:9" x14ac:dyDescent="0.25">
      <c r="B42" s="23"/>
      <c r="C42" s="23"/>
      <c r="D42" s="24"/>
      <c r="E42" s="24"/>
      <c r="G42" s="23"/>
      <c r="H42" s="23"/>
      <c r="I42" s="23"/>
    </row>
    <row r="43" spans="1:9" x14ac:dyDescent="0.25">
      <c r="B43" s="32" t="s">
        <v>17</v>
      </c>
      <c r="C43" s="32"/>
      <c r="E43" s="2" t="s">
        <v>18</v>
      </c>
      <c r="G43" s="33" t="s">
        <v>19</v>
      </c>
      <c r="H43" s="33"/>
      <c r="I43" s="2" t="s">
        <v>20</v>
      </c>
    </row>
  </sheetData>
  <mergeCells count="32">
    <mergeCell ref="B43:C43"/>
    <mergeCell ref="G43:H43"/>
    <mergeCell ref="B33:I33"/>
    <mergeCell ref="B34:I34"/>
    <mergeCell ref="B35:I35"/>
    <mergeCell ref="B36:I36"/>
    <mergeCell ref="B37:I37"/>
    <mergeCell ref="B38:I38"/>
    <mergeCell ref="B26:I26"/>
    <mergeCell ref="B28:I28"/>
    <mergeCell ref="B29:I29"/>
    <mergeCell ref="B30:I30"/>
    <mergeCell ref="B31:I31"/>
    <mergeCell ref="B32:I32"/>
    <mergeCell ref="G18:H18"/>
    <mergeCell ref="G19:H19"/>
    <mergeCell ref="G20:H20"/>
    <mergeCell ref="G21:H21"/>
    <mergeCell ref="G22:H22"/>
    <mergeCell ref="G23:H23"/>
    <mergeCell ref="G12:H12"/>
    <mergeCell ref="G13:H13"/>
    <mergeCell ref="G14:H14"/>
    <mergeCell ref="G15:H15"/>
    <mergeCell ref="G16:H16"/>
    <mergeCell ref="G17:H17"/>
    <mergeCell ref="G6:H6"/>
    <mergeCell ref="G7:H7"/>
    <mergeCell ref="G8:H8"/>
    <mergeCell ref="G9:H9"/>
    <mergeCell ref="G10:H10"/>
    <mergeCell ref="G11:H11"/>
  </mergeCells>
  <pageMargins left="0.7" right="0.7" top="0.75" bottom="0.75" header="0.3" footer="0.3"/>
  <pageSetup scale="6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D974C-121C-4532-9A11-49822329687F}">
  <sheetPr>
    <pageSetUpPr fitToPage="1"/>
  </sheetPr>
  <dimension ref="A1:J43"/>
  <sheetViews>
    <sheetView tabSelected="1" zoomScale="71" zoomScaleNormal="71" workbookViewId="0">
      <selection activeCell="C18" sqref="C18"/>
    </sheetView>
  </sheetViews>
  <sheetFormatPr defaultRowHeight="15" x14ac:dyDescent="0.25"/>
  <cols>
    <col min="1" max="1" width="3.5703125" style="1" customWidth="1"/>
    <col min="2" max="2" width="21.42578125" customWidth="1"/>
    <col min="3" max="3" width="41.7109375" bestFit="1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42</v>
      </c>
      <c r="D2" s="5" t="s">
        <v>1</v>
      </c>
      <c r="E2" s="37" t="s">
        <v>101</v>
      </c>
      <c r="F2" s="37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21</v>
      </c>
      <c r="C4" s="10">
        <v>1</v>
      </c>
      <c r="D4" s="9"/>
      <c r="F4" s="2"/>
      <c r="G4" s="25"/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38" t="s">
        <v>10</v>
      </c>
      <c r="I6" s="39"/>
      <c r="J6" s="11" t="s">
        <v>11</v>
      </c>
    </row>
    <row r="7" spans="1:10" x14ac:dyDescent="0.25">
      <c r="A7" s="1">
        <v>1</v>
      </c>
      <c r="B7" s="12" t="s">
        <v>46</v>
      </c>
      <c r="C7" s="12" t="s">
        <v>43</v>
      </c>
      <c r="D7" s="13">
        <v>70</v>
      </c>
      <c r="E7" s="13" t="s">
        <v>26</v>
      </c>
      <c r="F7" s="14">
        <f>D7/D$24</f>
        <v>0.33175355450236965</v>
      </c>
      <c r="G7" s="15">
        <f>F7*D24*C4/453.592</f>
        <v>0.15432370941286444</v>
      </c>
      <c r="H7" s="34"/>
      <c r="I7" s="35"/>
      <c r="J7" s="26"/>
    </row>
    <row r="8" spans="1:10" x14ac:dyDescent="0.25">
      <c r="A8" s="1">
        <v>2</v>
      </c>
      <c r="B8" s="12" t="s">
        <v>46</v>
      </c>
      <c r="C8" s="12" t="s">
        <v>44</v>
      </c>
      <c r="D8" s="2">
        <v>56</v>
      </c>
      <c r="E8" s="13" t="s">
        <v>26</v>
      </c>
      <c r="F8" s="14">
        <f>D8/D$24</f>
        <v>0.26540284360189575</v>
      </c>
      <c r="G8" s="15">
        <f>F8*D24*C4/453.592</f>
        <v>0.12345896753029156</v>
      </c>
      <c r="H8" s="34"/>
      <c r="I8" s="35"/>
      <c r="J8" s="16"/>
    </row>
    <row r="9" spans="1:10" x14ac:dyDescent="0.25">
      <c r="A9" s="1">
        <v>3</v>
      </c>
      <c r="B9" s="12" t="s">
        <v>47</v>
      </c>
      <c r="C9" s="12" t="s">
        <v>48</v>
      </c>
      <c r="D9" s="13">
        <v>1</v>
      </c>
      <c r="E9" s="13" t="s">
        <v>26</v>
      </c>
      <c r="F9" s="14">
        <f t="shared" ref="F9:F23" si="0">D9/D$24</f>
        <v>4.7393364928909956E-3</v>
      </c>
      <c r="G9" s="15">
        <f>F9*D24*C4/453.592</f>
        <v>2.2046244201837776E-3</v>
      </c>
      <c r="H9" s="34"/>
      <c r="I9" s="35"/>
      <c r="J9" s="16"/>
    </row>
    <row r="10" spans="1:10" x14ac:dyDescent="0.25">
      <c r="A10" s="1">
        <v>4</v>
      </c>
      <c r="B10" s="12" t="s">
        <v>46</v>
      </c>
      <c r="C10" s="12" t="s">
        <v>45</v>
      </c>
      <c r="D10" s="13">
        <v>56</v>
      </c>
      <c r="E10" s="13" t="s">
        <v>26</v>
      </c>
      <c r="F10" s="14">
        <f t="shared" si="0"/>
        <v>0.26540284360189575</v>
      </c>
      <c r="G10" s="15">
        <f>C4*D24*F10/453.592</f>
        <v>0.12345896753029156</v>
      </c>
      <c r="H10" s="34"/>
      <c r="I10" s="35"/>
      <c r="J10" s="16"/>
    </row>
    <row r="11" spans="1:10" x14ac:dyDescent="0.25">
      <c r="A11" s="1">
        <v>5</v>
      </c>
      <c r="B11" s="12"/>
      <c r="C11" s="12" t="s">
        <v>82</v>
      </c>
      <c r="D11" s="13">
        <v>28</v>
      </c>
      <c r="E11" s="13" t="s">
        <v>26</v>
      </c>
      <c r="F11" s="14">
        <f t="shared" si="0"/>
        <v>0.13270142180094788</v>
      </c>
      <c r="G11" s="15">
        <f>C4*F11*D24/453.592</f>
        <v>6.1729483765145782E-2</v>
      </c>
      <c r="H11" s="34"/>
      <c r="I11" s="35"/>
      <c r="J11" s="16"/>
    </row>
    <row r="12" spans="1:10" x14ac:dyDescent="0.25">
      <c r="A12" s="1">
        <v>6</v>
      </c>
      <c r="B12" s="12"/>
      <c r="C12" s="12"/>
      <c r="D12" s="13"/>
      <c r="E12" s="13" t="s">
        <v>26</v>
      </c>
      <c r="F12" s="14">
        <f t="shared" si="0"/>
        <v>0</v>
      </c>
      <c r="G12" s="15">
        <f>C4*F12*D24/453.592</f>
        <v>0</v>
      </c>
      <c r="H12" s="34"/>
      <c r="I12" s="35"/>
      <c r="J12" s="16"/>
    </row>
    <row r="13" spans="1:10" x14ac:dyDescent="0.25">
      <c r="A13" s="1">
        <v>7</v>
      </c>
      <c r="B13" s="12"/>
      <c r="C13" s="12"/>
      <c r="D13" s="13"/>
      <c r="E13" s="13" t="s">
        <v>26</v>
      </c>
      <c r="F13" s="14">
        <f t="shared" si="0"/>
        <v>0</v>
      </c>
      <c r="G13" s="15">
        <f>C4*F13*D24/453.592</f>
        <v>0</v>
      </c>
      <c r="H13" s="34"/>
      <c r="I13" s="35"/>
      <c r="J13" s="16"/>
    </row>
    <row r="14" spans="1:10" x14ac:dyDescent="0.25">
      <c r="A14" s="1">
        <v>8</v>
      </c>
      <c r="B14" s="12"/>
      <c r="C14" s="12"/>
      <c r="D14" s="13"/>
      <c r="E14" s="13" t="s">
        <v>26</v>
      </c>
      <c r="F14" s="14">
        <f t="shared" si="0"/>
        <v>0</v>
      </c>
      <c r="G14" s="15">
        <f>C4*F14*D24/453.592</f>
        <v>0</v>
      </c>
      <c r="H14" s="34"/>
      <c r="I14" s="35"/>
      <c r="J14" s="16"/>
    </row>
    <row r="15" spans="1:10" x14ac:dyDescent="0.25">
      <c r="A15" s="1">
        <v>9</v>
      </c>
      <c r="B15" s="12"/>
      <c r="C15" s="12"/>
      <c r="D15" s="13"/>
      <c r="E15" s="13" t="s">
        <v>26</v>
      </c>
      <c r="F15" s="14">
        <f t="shared" si="0"/>
        <v>0</v>
      </c>
      <c r="G15" s="15">
        <f>C4*F15*D24/453.592</f>
        <v>0</v>
      </c>
      <c r="H15" s="34"/>
      <c r="I15" s="35"/>
      <c r="J15" s="16"/>
    </row>
    <row r="16" spans="1:10" x14ac:dyDescent="0.25">
      <c r="A16" s="1">
        <v>10</v>
      </c>
      <c r="B16" s="12"/>
      <c r="C16" s="12"/>
      <c r="D16" s="13"/>
      <c r="E16" s="13" t="s">
        <v>26</v>
      </c>
      <c r="F16" s="14">
        <f t="shared" si="0"/>
        <v>0</v>
      </c>
      <c r="G16" s="15">
        <f>C4*F16*D24/453.592</f>
        <v>0</v>
      </c>
      <c r="H16" s="34"/>
      <c r="I16" s="35"/>
      <c r="J16" s="16"/>
    </row>
    <row r="17" spans="1:10" x14ac:dyDescent="0.25">
      <c r="A17" s="1">
        <v>11</v>
      </c>
      <c r="B17" s="12"/>
      <c r="C17" s="12"/>
      <c r="D17" s="13"/>
      <c r="E17" s="13" t="s">
        <v>26</v>
      </c>
      <c r="F17" s="14">
        <f t="shared" si="0"/>
        <v>0</v>
      </c>
      <c r="G17" s="15">
        <f>C4*F17*D24/453.592</f>
        <v>0</v>
      </c>
      <c r="H17" s="34"/>
      <c r="I17" s="35"/>
      <c r="J17" s="16"/>
    </row>
    <row r="18" spans="1:10" x14ac:dyDescent="0.25">
      <c r="A18" s="1">
        <v>12</v>
      </c>
      <c r="B18" s="12"/>
      <c r="C18" s="12"/>
      <c r="D18" s="13"/>
      <c r="E18" s="13" t="s">
        <v>26</v>
      </c>
      <c r="F18" s="14">
        <f t="shared" si="0"/>
        <v>0</v>
      </c>
      <c r="G18" s="15">
        <f>C4*F18*D24/453.592</f>
        <v>0</v>
      </c>
      <c r="H18" s="34"/>
      <c r="I18" s="35"/>
      <c r="J18" s="16"/>
    </row>
    <row r="19" spans="1:10" x14ac:dyDescent="0.25">
      <c r="A19" s="1">
        <v>13</v>
      </c>
      <c r="B19" s="12"/>
      <c r="C19" s="12"/>
      <c r="D19" s="13"/>
      <c r="E19" s="13" t="s">
        <v>26</v>
      </c>
      <c r="F19" s="14">
        <f t="shared" si="0"/>
        <v>0</v>
      </c>
      <c r="G19" s="15">
        <f>C4*F19*D24/453.592</f>
        <v>0</v>
      </c>
      <c r="H19" s="34"/>
      <c r="I19" s="35"/>
      <c r="J19" s="16"/>
    </row>
    <row r="20" spans="1:10" x14ac:dyDescent="0.25">
      <c r="A20" s="1">
        <v>14</v>
      </c>
      <c r="B20" s="12"/>
      <c r="C20" s="12"/>
      <c r="D20" s="13"/>
      <c r="E20" s="13" t="s">
        <v>26</v>
      </c>
      <c r="F20" s="14">
        <f t="shared" si="0"/>
        <v>0</v>
      </c>
      <c r="G20" s="15">
        <f>C4*F20*D24/453.592</f>
        <v>0</v>
      </c>
      <c r="H20" s="34"/>
      <c r="I20" s="35"/>
      <c r="J20" s="16"/>
    </row>
    <row r="21" spans="1:10" x14ac:dyDescent="0.25">
      <c r="A21" s="1">
        <v>15</v>
      </c>
      <c r="B21" s="12"/>
      <c r="C21" s="12"/>
      <c r="D21" s="13"/>
      <c r="E21" s="13" t="s">
        <v>26</v>
      </c>
      <c r="F21" s="14">
        <f>D21/D$24</f>
        <v>0</v>
      </c>
      <c r="G21" s="15">
        <f>C4*F21*D24/453.592</f>
        <v>0</v>
      </c>
      <c r="H21" s="34"/>
      <c r="I21" s="35"/>
      <c r="J21" s="16"/>
    </row>
    <row r="22" spans="1:10" x14ac:dyDescent="0.25">
      <c r="A22" s="1">
        <v>16</v>
      </c>
      <c r="B22" s="12"/>
      <c r="C22" s="12"/>
      <c r="D22" s="13"/>
      <c r="E22" s="13" t="s">
        <v>26</v>
      </c>
      <c r="F22" s="14">
        <f t="shared" si="0"/>
        <v>0</v>
      </c>
      <c r="G22" s="15">
        <f>C4*F22*D24/453.592</f>
        <v>0</v>
      </c>
      <c r="H22" s="34"/>
      <c r="I22" s="35"/>
      <c r="J22" s="16"/>
    </row>
    <row r="23" spans="1:10" x14ac:dyDescent="0.25">
      <c r="A23" s="1">
        <v>17</v>
      </c>
      <c r="B23" s="12"/>
      <c r="C23" s="12"/>
      <c r="D23" s="13"/>
      <c r="E23" s="13" t="s">
        <v>26</v>
      </c>
      <c r="F23" s="14">
        <f t="shared" si="0"/>
        <v>0</v>
      </c>
      <c r="G23" s="15">
        <f>C4*F23*D24/453.592</f>
        <v>0</v>
      </c>
      <c r="H23" s="34"/>
      <c r="I23" s="35"/>
      <c r="J23" s="16"/>
    </row>
    <row r="24" spans="1:10" x14ac:dyDescent="0.25">
      <c r="C24" s="17" t="s">
        <v>12</v>
      </c>
      <c r="D24" s="1">
        <f>SUM(D7:D23)</f>
        <v>211</v>
      </c>
      <c r="E24" s="13" t="s">
        <v>26</v>
      </c>
      <c r="F24" s="18">
        <f>SUM(F7:F23)</f>
        <v>1</v>
      </c>
      <c r="G24" s="27">
        <f>SUM(G7:G23)</f>
        <v>0.46517575265877709</v>
      </c>
      <c r="H24" s="19" t="s">
        <v>13</v>
      </c>
    </row>
    <row r="25" spans="1:10" x14ac:dyDescent="0.25">
      <c r="F25" s="25"/>
      <c r="G25" s="20"/>
    </row>
    <row r="26" spans="1:10" ht="15.75" x14ac:dyDescent="0.25">
      <c r="A26"/>
      <c r="B26" s="36" t="s">
        <v>14</v>
      </c>
      <c r="C26" s="36"/>
      <c r="D26" s="36"/>
      <c r="E26" s="36"/>
      <c r="F26" s="36"/>
      <c r="G26" s="36"/>
      <c r="H26" s="36"/>
      <c r="I26" s="36"/>
      <c r="J26" s="36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31"/>
      <c r="C28" s="31"/>
      <c r="D28" s="31"/>
      <c r="E28" s="31"/>
      <c r="F28" s="31"/>
      <c r="G28" s="31"/>
      <c r="H28" s="31"/>
      <c r="I28" s="31"/>
      <c r="J28" s="31"/>
    </row>
    <row r="29" spans="1:10" x14ac:dyDescent="0.25">
      <c r="A29" s="1">
        <v>2</v>
      </c>
      <c r="B29" s="31"/>
      <c r="C29" s="31"/>
      <c r="D29" s="31"/>
      <c r="E29" s="31"/>
      <c r="F29" s="31"/>
      <c r="G29" s="31"/>
      <c r="H29" s="31"/>
      <c r="I29" s="31"/>
      <c r="J29" s="31"/>
    </row>
    <row r="30" spans="1:10" x14ac:dyDescent="0.25">
      <c r="A30" s="1">
        <v>3</v>
      </c>
      <c r="B30" s="31"/>
      <c r="C30" s="31"/>
      <c r="D30" s="31"/>
      <c r="E30" s="31"/>
      <c r="F30" s="31"/>
      <c r="G30" s="31"/>
      <c r="H30" s="31"/>
      <c r="I30" s="31"/>
      <c r="J30" s="31"/>
    </row>
    <row r="31" spans="1:10" x14ac:dyDescent="0.25">
      <c r="A31" s="1">
        <v>4</v>
      </c>
      <c r="B31" s="31"/>
      <c r="C31" s="31"/>
      <c r="D31" s="31"/>
      <c r="E31" s="31"/>
      <c r="F31" s="31"/>
      <c r="G31" s="31"/>
      <c r="H31" s="31"/>
      <c r="I31" s="31"/>
      <c r="J31" s="31"/>
    </row>
    <row r="32" spans="1:10" x14ac:dyDescent="0.25">
      <c r="A32" s="1">
        <v>5</v>
      </c>
      <c r="B32" s="31"/>
      <c r="C32" s="31"/>
      <c r="D32" s="31"/>
      <c r="E32" s="31"/>
      <c r="F32" s="31"/>
      <c r="G32" s="31"/>
      <c r="H32" s="31"/>
      <c r="I32" s="31"/>
      <c r="J32" s="31"/>
    </row>
    <row r="33" spans="1:10" x14ac:dyDescent="0.25">
      <c r="A33" s="1">
        <v>6</v>
      </c>
      <c r="B33" s="31"/>
      <c r="C33" s="31"/>
      <c r="D33" s="31"/>
      <c r="E33" s="31"/>
      <c r="F33" s="31"/>
      <c r="G33" s="31"/>
      <c r="H33" s="31"/>
      <c r="I33" s="31"/>
      <c r="J33" s="31"/>
    </row>
    <row r="34" spans="1:10" x14ac:dyDescent="0.25">
      <c r="A34" s="1">
        <v>7</v>
      </c>
      <c r="B34" s="31"/>
      <c r="C34" s="31"/>
      <c r="D34" s="31"/>
      <c r="E34" s="31"/>
      <c r="F34" s="31"/>
      <c r="G34" s="31"/>
      <c r="H34" s="31"/>
      <c r="I34" s="31"/>
      <c r="J34" s="31"/>
    </row>
    <row r="35" spans="1:10" x14ac:dyDescent="0.25">
      <c r="A35" s="1">
        <v>8</v>
      </c>
      <c r="B35" s="31"/>
      <c r="C35" s="31"/>
      <c r="D35" s="31"/>
      <c r="E35" s="31"/>
      <c r="F35" s="31"/>
      <c r="G35" s="31"/>
      <c r="H35" s="31"/>
      <c r="I35" s="31"/>
      <c r="J35" s="31"/>
    </row>
    <row r="36" spans="1:10" x14ac:dyDescent="0.25">
      <c r="A36" s="1">
        <v>9</v>
      </c>
      <c r="B36" s="31"/>
      <c r="C36" s="31"/>
      <c r="D36" s="31"/>
      <c r="E36" s="31"/>
      <c r="F36" s="31"/>
      <c r="G36" s="31"/>
      <c r="H36" s="31"/>
      <c r="I36" s="31"/>
      <c r="J36" s="31"/>
    </row>
    <row r="37" spans="1:10" x14ac:dyDescent="0.25">
      <c r="A37" s="1">
        <v>10</v>
      </c>
      <c r="B37" s="31"/>
      <c r="C37" s="31"/>
      <c r="D37" s="31"/>
      <c r="E37" s="31"/>
      <c r="F37" s="31"/>
      <c r="G37" s="31"/>
      <c r="H37" s="31"/>
      <c r="I37" s="31"/>
      <c r="J37" s="31"/>
    </row>
    <row r="38" spans="1:10" x14ac:dyDescent="0.25">
      <c r="A38" s="1">
        <v>11</v>
      </c>
      <c r="B38" s="31"/>
      <c r="C38" s="31"/>
      <c r="D38" s="31"/>
      <c r="E38" s="31"/>
      <c r="F38" s="31"/>
      <c r="G38" s="31"/>
      <c r="H38" s="31"/>
      <c r="I38" s="31"/>
      <c r="J38" s="31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32" t="s">
        <v>17</v>
      </c>
      <c r="C43" s="32"/>
      <c r="E43" s="32" t="s">
        <v>18</v>
      </c>
      <c r="F43" s="32"/>
      <c r="H43" s="33" t="s">
        <v>19</v>
      </c>
      <c r="I43" s="33"/>
      <c r="J43" s="2" t="s">
        <v>20</v>
      </c>
    </row>
  </sheetData>
  <mergeCells count="34"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</mergeCells>
  <pageMargins left="0.7" right="0.7" top="0.75" bottom="0.75" header="0.3" footer="0.3"/>
  <pageSetup scale="6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AA8B0-DF78-49B8-8EE0-E3DA5999D50F}">
  <sheetPr>
    <pageSetUpPr fitToPage="1"/>
  </sheetPr>
  <dimension ref="A1:J43"/>
  <sheetViews>
    <sheetView workbookViewId="0">
      <selection activeCell="E2" sqref="E2:F2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44</v>
      </c>
      <c r="D2" s="5" t="s">
        <v>1</v>
      </c>
      <c r="E2" s="37" t="s">
        <v>96</v>
      </c>
      <c r="F2" s="37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22</v>
      </c>
      <c r="C4" s="10">
        <v>3</v>
      </c>
      <c r="D4" s="9"/>
      <c r="F4" s="2" t="s">
        <v>23</v>
      </c>
      <c r="G4" s="28" t="s">
        <v>8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38" t="s">
        <v>10</v>
      </c>
      <c r="I6" s="39"/>
      <c r="J6" s="11" t="s">
        <v>11</v>
      </c>
    </row>
    <row r="7" spans="1:10" x14ac:dyDescent="0.25">
      <c r="A7" s="1">
        <v>1</v>
      </c>
      <c r="B7" s="12" t="s">
        <v>65</v>
      </c>
      <c r="C7" s="12" t="s">
        <v>66</v>
      </c>
      <c r="D7" s="13">
        <v>20.3</v>
      </c>
      <c r="E7" s="13" t="s">
        <v>24</v>
      </c>
      <c r="F7" s="14">
        <f t="shared" ref="F7:F23" si="0">D7/D$24</f>
        <v>2.0300812032481304E-2</v>
      </c>
      <c r="G7" s="15">
        <f>C4*F7</f>
        <v>6.0902436097443911E-2</v>
      </c>
      <c r="H7" s="34"/>
      <c r="I7" s="35"/>
      <c r="J7" s="16"/>
    </row>
    <row r="8" spans="1:10" x14ac:dyDescent="0.25">
      <c r="A8" s="1">
        <v>2</v>
      </c>
      <c r="B8" s="12" t="s">
        <v>67</v>
      </c>
      <c r="C8" s="12" t="s">
        <v>68</v>
      </c>
      <c r="D8" s="13">
        <v>262.82</v>
      </c>
      <c r="E8" s="13" t="s">
        <v>24</v>
      </c>
      <c r="F8" s="14">
        <f t="shared" si="0"/>
        <v>0.26283051322052886</v>
      </c>
      <c r="G8" s="15">
        <f>C4*F8</f>
        <v>0.78849153966158658</v>
      </c>
      <c r="H8" s="34"/>
      <c r="I8" s="35"/>
      <c r="J8" s="16"/>
    </row>
    <row r="9" spans="1:10" x14ac:dyDescent="0.25">
      <c r="A9" s="1">
        <v>3</v>
      </c>
      <c r="B9" s="12" t="e">
        <v>#N/A</v>
      </c>
      <c r="C9" s="12" t="s">
        <v>81</v>
      </c>
      <c r="D9" s="13">
        <v>55.15</v>
      </c>
      <c r="E9" s="13" t="s">
        <v>24</v>
      </c>
      <c r="F9" s="14">
        <f t="shared" si="0"/>
        <v>5.515220608824354E-2</v>
      </c>
      <c r="G9" s="15">
        <f>C4*F9</f>
        <v>0.16545661826473063</v>
      </c>
      <c r="H9" s="34"/>
      <c r="I9" s="35"/>
      <c r="J9" s="16"/>
    </row>
    <row r="10" spans="1:10" x14ac:dyDescent="0.25">
      <c r="A10" s="1">
        <v>4</v>
      </c>
      <c r="B10" s="12" t="e">
        <v>#N/A</v>
      </c>
      <c r="C10" s="12" t="s">
        <v>27</v>
      </c>
      <c r="D10" s="13">
        <v>206.16</v>
      </c>
      <c r="E10" s="13" t="s">
        <v>24</v>
      </c>
      <c r="F10" s="14">
        <f t="shared" si="0"/>
        <v>0.20616824672986922</v>
      </c>
      <c r="G10" s="15">
        <f>C4*F10</f>
        <v>0.61850474018960766</v>
      </c>
      <c r="H10" s="34"/>
      <c r="I10" s="35"/>
      <c r="J10" s="16"/>
    </row>
    <row r="11" spans="1:10" x14ac:dyDescent="0.25">
      <c r="A11" s="1">
        <v>5</v>
      </c>
      <c r="B11" s="12" t="s">
        <v>69</v>
      </c>
      <c r="C11" s="12" t="s">
        <v>70</v>
      </c>
      <c r="D11" s="13">
        <v>156.66</v>
      </c>
      <c r="E11" s="13" t="s">
        <v>24</v>
      </c>
      <c r="F11" s="14">
        <f t="shared" si="0"/>
        <v>0.15666626665066605</v>
      </c>
      <c r="G11" s="15">
        <f>C4*F11</f>
        <v>0.46999879995199811</v>
      </c>
      <c r="H11" s="34"/>
      <c r="I11" s="35"/>
      <c r="J11" s="16"/>
    </row>
    <row r="12" spans="1:10" x14ac:dyDescent="0.25">
      <c r="A12" s="1">
        <v>6</v>
      </c>
      <c r="B12" s="12" t="s">
        <v>62</v>
      </c>
      <c r="C12" s="12" t="s">
        <v>63</v>
      </c>
      <c r="D12" s="13">
        <v>86.16</v>
      </c>
      <c r="E12" s="13" t="s">
        <v>24</v>
      </c>
      <c r="F12" s="14">
        <f t="shared" si="0"/>
        <v>8.6163446537861524E-2</v>
      </c>
      <c r="G12" s="15">
        <f>C4*F12</f>
        <v>0.25849033961358459</v>
      </c>
      <c r="H12" s="34"/>
      <c r="I12" s="35"/>
      <c r="J12" s="16"/>
    </row>
    <row r="13" spans="1:10" x14ac:dyDescent="0.25">
      <c r="A13" s="1">
        <v>7</v>
      </c>
      <c r="B13" s="12" t="s">
        <v>71</v>
      </c>
      <c r="C13" s="12" t="s">
        <v>72</v>
      </c>
      <c r="D13" s="13">
        <v>81.41</v>
      </c>
      <c r="E13" s="13" t="s">
        <v>24</v>
      </c>
      <c r="F13" s="14">
        <f t="shared" si="0"/>
        <v>8.1413256530261227E-2</v>
      </c>
      <c r="G13" s="15">
        <f>C4*F13</f>
        <v>0.2442397695907837</v>
      </c>
      <c r="H13" s="34"/>
      <c r="I13" s="35"/>
      <c r="J13" s="16"/>
    </row>
    <row r="14" spans="1:10" x14ac:dyDescent="0.25">
      <c r="A14" s="1">
        <v>8</v>
      </c>
      <c r="B14" s="12" t="s">
        <v>73</v>
      </c>
      <c r="C14" s="12" t="s">
        <v>74</v>
      </c>
      <c r="D14" s="13">
        <v>5.15</v>
      </c>
      <c r="E14" s="13" t="s">
        <v>24</v>
      </c>
      <c r="F14" s="14">
        <f t="shared" si="0"/>
        <v>5.1502060082403312E-3</v>
      </c>
      <c r="G14" s="15">
        <f>C4*F14</f>
        <v>1.5450618024720994E-2</v>
      </c>
      <c r="H14" s="34"/>
      <c r="I14" s="35"/>
      <c r="J14" s="16"/>
    </row>
    <row r="15" spans="1:10" x14ac:dyDescent="0.25">
      <c r="A15" s="1">
        <v>9</v>
      </c>
      <c r="B15" s="12" t="s">
        <v>75</v>
      </c>
      <c r="C15" s="12" t="s">
        <v>76</v>
      </c>
      <c r="D15" s="13">
        <v>35.049999999999997</v>
      </c>
      <c r="E15" s="13" t="s">
        <v>24</v>
      </c>
      <c r="F15" s="14">
        <f t="shared" si="0"/>
        <v>3.5051402056082245E-2</v>
      </c>
      <c r="G15" s="15">
        <f>C4*F15</f>
        <v>0.10515420616824674</v>
      </c>
      <c r="H15" s="34"/>
      <c r="I15" s="35"/>
      <c r="J15" s="16"/>
    </row>
    <row r="16" spans="1:10" x14ac:dyDescent="0.25">
      <c r="A16" s="1">
        <v>10</v>
      </c>
      <c r="B16" s="12" t="s">
        <v>77</v>
      </c>
      <c r="C16" s="12" t="s">
        <v>78</v>
      </c>
      <c r="D16" s="13">
        <v>5.0999999999999996</v>
      </c>
      <c r="E16" s="13" t="s">
        <v>24</v>
      </c>
      <c r="F16" s="14">
        <f t="shared" si="0"/>
        <v>5.1002040081603271E-3</v>
      </c>
      <c r="G16" s="15">
        <f>C4*F16</f>
        <v>1.5300612024480981E-2</v>
      </c>
      <c r="H16" s="34"/>
      <c r="I16" s="35"/>
      <c r="J16" s="16"/>
    </row>
    <row r="17" spans="1:10" x14ac:dyDescent="0.25">
      <c r="A17" s="1">
        <v>11</v>
      </c>
      <c r="B17" s="12" t="e">
        <v>#N/A</v>
      </c>
      <c r="C17" s="12" t="s">
        <v>27</v>
      </c>
      <c r="D17" s="13">
        <v>20</v>
      </c>
      <c r="E17" s="13" t="s">
        <v>24</v>
      </c>
      <c r="F17" s="14">
        <f t="shared" si="0"/>
        <v>2.0000800032001283E-2</v>
      </c>
      <c r="G17" s="15">
        <f>C4*F17</f>
        <v>6.0002400096003848E-2</v>
      </c>
      <c r="H17" s="34"/>
      <c r="I17" s="35"/>
      <c r="J17" s="16"/>
    </row>
    <row r="18" spans="1:10" x14ac:dyDescent="0.25">
      <c r="A18" s="1">
        <v>12</v>
      </c>
      <c r="B18" s="12" t="s">
        <v>79</v>
      </c>
      <c r="C18" s="12" t="s">
        <v>80</v>
      </c>
      <c r="D18" s="13">
        <v>65</v>
      </c>
      <c r="E18" s="13" t="s">
        <v>24</v>
      </c>
      <c r="F18" s="14">
        <f t="shared" si="0"/>
        <v>6.5002600104004174E-2</v>
      </c>
      <c r="G18" s="15">
        <f>C4*F18</f>
        <v>0.19500780031201254</v>
      </c>
      <c r="H18" s="34"/>
      <c r="I18" s="35"/>
      <c r="J18" s="16"/>
    </row>
    <row r="19" spans="1:10" x14ac:dyDescent="0.25">
      <c r="A19" s="1">
        <v>13</v>
      </c>
      <c r="B19" s="12"/>
      <c r="C19" s="12" t="s">
        <v>64</v>
      </c>
      <c r="D19" s="13">
        <v>1</v>
      </c>
      <c r="E19" s="13" t="s">
        <v>24</v>
      </c>
      <c r="F19" s="14">
        <f t="shared" si="0"/>
        <v>1.0000400016000643E-3</v>
      </c>
      <c r="G19" s="15">
        <f>C4*F19</f>
        <v>3.0001200048001926E-3</v>
      </c>
      <c r="H19" s="34"/>
      <c r="I19" s="35"/>
      <c r="J19" s="16"/>
    </row>
    <row r="20" spans="1:10" x14ac:dyDescent="0.25">
      <c r="A20" s="1">
        <v>14</v>
      </c>
      <c r="B20" s="12"/>
      <c r="C20" s="12"/>
      <c r="D20" s="13"/>
      <c r="E20" s="13" t="s">
        <v>24</v>
      </c>
      <c r="F20" s="14">
        <f t="shared" si="0"/>
        <v>0</v>
      </c>
      <c r="G20" s="15">
        <f>C4*F20</f>
        <v>0</v>
      </c>
      <c r="H20" s="34"/>
      <c r="I20" s="35"/>
      <c r="J20" s="16"/>
    </row>
    <row r="21" spans="1:10" x14ac:dyDescent="0.25">
      <c r="A21" s="1">
        <v>15</v>
      </c>
      <c r="B21" s="12"/>
      <c r="C21" s="12"/>
      <c r="D21" s="13"/>
      <c r="E21" s="13" t="s">
        <v>24</v>
      </c>
      <c r="F21" s="14">
        <f t="shared" si="0"/>
        <v>0</v>
      </c>
      <c r="G21" s="15">
        <f>C4*F21</f>
        <v>0</v>
      </c>
      <c r="H21" s="34"/>
      <c r="I21" s="35"/>
      <c r="J21" s="16"/>
    </row>
    <row r="22" spans="1:10" x14ac:dyDescent="0.25">
      <c r="A22" s="1">
        <v>16</v>
      </c>
      <c r="B22" s="12"/>
      <c r="C22" s="12"/>
      <c r="D22" s="13"/>
      <c r="E22" s="13" t="s">
        <v>24</v>
      </c>
      <c r="F22" s="14">
        <f t="shared" si="0"/>
        <v>0</v>
      </c>
      <c r="G22" s="15">
        <f>C4*F22</f>
        <v>0</v>
      </c>
      <c r="H22" s="34"/>
      <c r="I22" s="35"/>
      <c r="J22" s="16"/>
    </row>
    <row r="23" spans="1:10" x14ac:dyDescent="0.25">
      <c r="A23" s="1">
        <v>17</v>
      </c>
      <c r="B23" s="12"/>
      <c r="C23" s="12"/>
      <c r="D23" s="13"/>
      <c r="E23" s="13" t="s">
        <v>24</v>
      </c>
      <c r="F23" s="14">
        <f t="shared" si="0"/>
        <v>0</v>
      </c>
      <c r="G23" s="15">
        <f>C4*F23</f>
        <v>0</v>
      </c>
      <c r="H23" s="34"/>
      <c r="I23" s="35"/>
      <c r="J23" s="16"/>
    </row>
    <row r="24" spans="1:10" x14ac:dyDescent="0.25">
      <c r="C24" s="17" t="s">
        <v>12</v>
      </c>
      <c r="D24" s="1">
        <f>SUM(D7:D23)</f>
        <v>999.95999999999981</v>
      </c>
      <c r="E24" s="1" t="s">
        <v>24</v>
      </c>
      <c r="F24" s="18">
        <f>SUM(F7:F23)</f>
        <v>1.0000000000000002</v>
      </c>
      <c r="G24" s="29">
        <f>SUM(G7:G23)</f>
        <v>3.0000000000000009</v>
      </c>
      <c r="H24" s="19" t="s">
        <v>13</v>
      </c>
    </row>
    <row r="25" spans="1:10" x14ac:dyDescent="0.25">
      <c r="F25" s="28" t="s">
        <v>25</v>
      </c>
      <c r="G25" s="20" t="e">
        <f>-G24*G4+C4</f>
        <v>#VALUE!</v>
      </c>
    </row>
    <row r="26" spans="1:10" ht="15.75" x14ac:dyDescent="0.25">
      <c r="A26"/>
      <c r="B26" s="36" t="s">
        <v>14</v>
      </c>
      <c r="C26" s="36"/>
      <c r="D26" s="36"/>
      <c r="E26" s="36"/>
      <c r="F26" s="36"/>
      <c r="G26" s="36"/>
      <c r="H26" s="36"/>
      <c r="I26" s="36"/>
      <c r="J26" s="36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40"/>
      <c r="C28" s="41"/>
      <c r="D28" s="41"/>
      <c r="E28" s="41"/>
      <c r="F28" s="41"/>
      <c r="G28" s="41"/>
      <c r="H28" s="41"/>
      <c r="I28" s="41"/>
      <c r="J28" s="42"/>
    </row>
    <row r="29" spans="1:10" x14ac:dyDescent="0.25">
      <c r="A29" s="1">
        <v>2</v>
      </c>
      <c r="B29" s="40"/>
      <c r="C29" s="41"/>
      <c r="D29" s="41"/>
      <c r="E29" s="41"/>
      <c r="F29" s="41"/>
      <c r="G29" s="41"/>
      <c r="H29" s="41"/>
      <c r="I29" s="41"/>
      <c r="J29" s="42"/>
    </row>
    <row r="30" spans="1:10" x14ac:dyDescent="0.25">
      <c r="A30" s="1">
        <v>3</v>
      </c>
      <c r="B30" s="43"/>
      <c r="C30" s="44"/>
      <c r="D30" s="44"/>
      <c r="E30" s="44"/>
      <c r="F30" s="44"/>
      <c r="G30" s="44"/>
      <c r="H30" s="44"/>
      <c r="I30" s="44"/>
      <c r="J30" s="45"/>
    </row>
    <row r="31" spans="1:10" x14ac:dyDescent="0.25">
      <c r="A31" s="1">
        <v>4</v>
      </c>
      <c r="B31" s="31"/>
      <c r="C31" s="31"/>
      <c r="D31" s="31"/>
      <c r="E31" s="31"/>
      <c r="F31" s="31"/>
      <c r="G31" s="31"/>
      <c r="H31" s="31"/>
      <c r="I31" s="31"/>
      <c r="J31" s="31"/>
    </row>
    <row r="32" spans="1:10" x14ac:dyDescent="0.25">
      <c r="A32" s="1">
        <v>5</v>
      </c>
      <c r="B32" s="31"/>
      <c r="C32" s="31"/>
      <c r="D32" s="31"/>
      <c r="E32" s="31"/>
      <c r="F32" s="31"/>
      <c r="G32" s="31"/>
      <c r="H32" s="31"/>
      <c r="I32" s="31"/>
      <c r="J32" s="31"/>
    </row>
    <row r="33" spans="1:10" x14ac:dyDescent="0.25">
      <c r="A33" s="1">
        <v>6</v>
      </c>
      <c r="B33" s="31"/>
      <c r="C33" s="31"/>
      <c r="D33" s="31"/>
      <c r="E33" s="31"/>
      <c r="F33" s="31"/>
      <c r="G33" s="31"/>
      <c r="H33" s="31"/>
      <c r="I33" s="31"/>
      <c r="J33" s="31"/>
    </row>
    <row r="34" spans="1:10" x14ac:dyDescent="0.25">
      <c r="A34" s="1">
        <v>7</v>
      </c>
      <c r="B34" s="31"/>
      <c r="C34" s="31"/>
      <c r="D34" s="31"/>
      <c r="E34" s="31"/>
      <c r="F34" s="31"/>
      <c r="G34" s="31"/>
      <c r="H34" s="31"/>
      <c r="I34" s="31"/>
      <c r="J34" s="31"/>
    </row>
    <row r="35" spans="1:10" x14ac:dyDescent="0.25">
      <c r="A35" s="1">
        <v>8</v>
      </c>
      <c r="B35" s="31"/>
      <c r="C35" s="31"/>
      <c r="D35" s="31"/>
      <c r="E35" s="31"/>
      <c r="F35" s="31"/>
      <c r="G35" s="31"/>
      <c r="H35" s="31"/>
      <c r="I35" s="31"/>
      <c r="J35" s="31"/>
    </row>
    <row r="36" spans="1:10" x14ac:dyDescent="0.25">
      <c r="A36" s="1">
        <v>9</v>
      </c>
      <c r="B36" s="31"/>
      <c r="C36" s="31"/>
      <c r="D36" s="31"/>
      <c r="E36" s="31"/>
      <c r="F36" s="31"/>
      <c r="G36" s="31"/>
      <c r="H36" s="31"/>
      <c r="I36" s="31"/>
      <c r="J36" s="31"/>
    </row>
    <row r="37" spans="1:10" x14ac:dyDescent="0.25">
      <c r="A37" s="1">
        <v>10</v>
      </c>
      <c r="B37" s="31"/>
      <c r="C37" s="31"/>
      <c r="D37" s="31"/>
      <c r="E37" s="31"/>
      <c r="F37" s="31"/>
      <c r="G37" s="31"/>
      <c r="H37" s="31"/>
      <c r="I37" s="31"/>
      <c r="J37" s="31"/>
    </row>
    <row r="38" spans="1:10" x14ac:dyDescent="0.25">
      <c r="A38" s="1">
        <v>11</v>
      </c>
      <c r="B38" s="31"/>
      <c r="C38" s="31"/>
      <c r="D38" s="31"/>
      <c r="E38" s="31"/>
      <c r="F38" s="31"/>
      <c r="G38" s="31"/>
      <c r="H38" s="31"/>
      <c r="I38" s="31"/>
      <c r="J38" s="31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32" t="s">
        <v>17</v>
      </c>
      <c r="C43" s="32"/>
      <c r="E43" s="32" t="s">
        <v>18</v>
      </c>
      <c r="F43" s="32"/>
      <c r="H43" s="33" t="s">
        <v>19</v>
      </c>
      <c r="I43" s="33"/>
      <c r="J43" s="2" t="s">
        <v>20</v>
      </c>
    </row>
  </sheetData>
  <mergeCells count="34">
    <mergeCell ref="H16:I16"/>
    <mergeCell ref="E2:F2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B31:J31"/>
    <mergeCell ref="H17:I17"/>
    <mergeCell ref="H18:I18"/>
    <mergeCell ref="H19:I19"/>
    <mergeCell ref="H20:I20"/>
    <mergeCell ref="H21:I21"/>
    <mergeCell ref="H22:I22"/>
    <mergeCell ref="H23:I23"/>
    <mergeCell ref="B26:J26"/>
    <mergeCell ref="B28:J28"/>
    <mergeCell ref="B29:J29"/>
    <mergeCell ref="B30:J30"/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</mergeCells>
  <pageMargins left="0.7" right="0.7" top="0.75" bottom="0.75" header="0.3" footer="0.3"/>
  <pageSetup scale="66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0B975-2D15-46A9-B334-C4BA5F6E5040}">
  <sheetPr>
    <pageSetUpPr fitToPage="1"/>
  </sheetPr>
  <dimension ref="A1:J43"/>
  <sheetViews>
    <sheetView workbookViewId="0">
      <selection activeCell="E2" sqref="E2:F2"/>
    </sheetView>
  </sheetViews>
  <sheetFormatPr defaultRowHeight="15" x14ac:dyDescent="0.25"/>
  <cols>
    <col min="1" max="1" width="3.7109375" style="1" customWidth="1"/>
    <col min="2" max="2" width="21.28515625" customWidth="1"/>
    <col min="3" max="3" width="38" customWidth="1"/>
    <col min="4" max="4" width="17.7109375" style="2" customWidth="1"/>
    <col min="5" max="5" width="6.5703125" style="2" customWidth="1"/>
    <col min="6" max="6" width="21.85546875" customWidth="1"/>
    <col min="7" max="7" width="12.7109375" style="2" customWidth="1"/>
    <col min="8" max="9" width="12.7109375" customWidth="1"/>
    <col min="10" max="10" width="37.285156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97</v>
      </c>
      <c r="D2" s="5" t="s">
        <v>1</v>
      </c>
      <c r="E2" s="37" t="s">
        <v>98</v>
      </c>
      <c r="F2" s="37"/>
      <c r="G2" s="4"/>
      <c r="H2" s="6" t="s">
        <v>2</v>
      </c>
      <c r="I2" s="7">
        <v>1</v>
      </c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22</v>
      </c>
      <c r="C4" s="10">
        <v>5</v>
      </c>
      <c r="D4" s="9"/>
      <c r="F4" s="2" t="s">
        <v>23</v>
      </c>
      <c r="G4" s="28">
        <v>0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38" t="s">
        <v>10</v>
      </c>
      <c r="I6" s="39"/>
      <c r="J6" s="11" t="s">
        <v>11</v>
      </c>
    </row>
    <row r="7" spans="1:10" x14ac:dyDescent="0.25">
      <c r="A7" s="1">
        <v>1</v>
      </c>
      <c r="B7" s="12">
        <v>0</v>
      </c>
      <c r="C7" s="12" t="s">
        <v>53</v>
      </c>
      <c r="D7" s="13">
        <v>3.3319999999999999</v>
      </c>
      <c r="E7" s="13" t="s">
        <v>24</v>
      </c>
      <c r="F7" s="14">
        <f>D7/D$24</f>
        <v>0.71779405428694532</v>
      </c>
      <c r="G7" s="15">
        <f>C4*F7</f>
        <v>3.5889702714347265</v>
      </c>
      <c r="H7" s="34"/>
      <c r="I7" s="35"/>
      <c r="J7" s="16"/>
    </row>
    <row r="8" spans="1:10" x14ac:dyDescent="0.25">
      <c r="A8" s="1">
        <v>2</v>
      </c>
      <c r="B8" s="12" t="s">
        <v>54</v>
      </c>
      <c r="C8" s="12" t="s">
        <v>55</v>
      </c>
      <c r="D8" s="13">
        <v>0.3</v>
      </c>
      <c r="E8" s="13" t="s">
        <v>24</v>
      </c>
      <c r="F8" s="14">
        <f t="shared" ref="F8:F23" si="0">D8/D$24</f>
        <v>6.4627315812149935E-2</v>
      </c>
      <c r="G8" s="15">
        <f>C4*F8</f>
        <v>0.32313657906074966</v>
      </c>
      <c r="H8" s="34"/>
      <c r="I8" s="35"/>
      <c r="J8" s="16"/>
    </row>
    <row r="9" spans="1:10" x14ac:dyDescent="0.25">
      <c r="A9" s="1">
        <v>3</v>
      </c>
      <c r="B9" s="12" t="s">
        <v>56</v>
      </c>
      <c r="C9" s="12" t="s">
        <v>57</v>
      </c>
      <c r="D9" s="13">
        <v>0.3</v>
      </c>
      <c r="E9" s="13" t="s">
        <v>24</v>
      </c>
      <c r="F9" s="14">
        <f t="shared" si="0"/>
        <v>6.4627315812149935E-2</v>
      </c>
      <c r="G9" s="15">
        <f>C4*F9</f>
        <v>0.32313657906074966</v>
      </c>
      <c r="H9" s="34"/>
      <c r="I9" s="35"/>
      <c r="J9" s="16"/>
    </row>
    <row r="10" spans="1:10" x14ac:dyDescent="0.25">
      <c r="A10" s="1">
        <v>4</v>
      </c>
      <c r="B10" s="12" t="s">
        <v>58</v>
      </c>
      <c r="C10" s="12" t="s">
        <v>59</v>
      </c>
      <c r="D10" s="13">
        <v>0.3</v>
      </c>
      <c r="E10" s="13" t="s">
        <v>24</v>
      </c>
      <c r="F10" s="14">
        <f t="shared" si="0"/>
        <v>6.4627315812149935E-2</v>
      </c>
      <c r="G10" s="15">
        <f>C4*F10</f>
        <v>0.32313657906074966</v>
      </c>
      <c r="H10" s="34"/>
      <c r="I10" s="35"/>
      <c r="J10" s="16"/>
    </row>
    <row r="11" spans="1:10" x14ac:dyDescent="0.25">
      <c r="A11" s="1">
        <v>5</v>
      </c>
      <c r="B11" s="12" t="s">
        <v>60</v>
      </c>
      <c r="C11" s="12" t="s">
        <v>61</v>
      </c>
      <c r="D11" s="13">
        <v>0.3</v>
      </c>
      <c r="E11" s="13" t="s">
        <v>24</v>
      </c>
      <c r="F11" s="14">
        <f t="shared" si="0"/>
        <v>6.4627315812149935E-2</v>
      </c>
      <c r="G11" s="15">
        <f>C4*F11</f>
        <v>0.32313657906074966</v>
      </c>
      <c r="H11" s="34"/>
      <c r="I11" s="35"/>
      <c r="J11" s="16"/>
    </row>
    <row r="12" spans="1:10" x14ac:dyDescent="0.25">
      <c r="A12" s="1">
        <v>6</v>
      </c>
      <c r="B12" s="12" t="s">
        <v>62</v>
      </c>
      <c r="C12" s="12" t="s">
        <v>63</v>
      </c>
      <c r="D12" s="13">
        <v>0.11</v>
      </c>
      <c r="E12" s="13" t="s">
        <v>24</v>
      </c>
      <c r="F12" s="14">
        <f t="shared" si="0"/>
        <v>2.3696682464454978E-2</v>
      </c>
      <c r="G12" s="15">
        <f>C4*F12</f>
        <v>0.11848341232227488</v>
      </c>
      <c r="H12" s="34"/>
      <c r="I12" s="35"/>
      <c r="J12" s="16"/>
    </row>
    <row r="13" spans="1:10" x14ac:dyDescent="0.25">
      <c r="A13" s="1">
        <v>7</v>
      </c>
      <c r="B13" s="12"/>
      <c r="C13" s="12"/>
      <c r="D13" s="13"/>
      <c r="E13" s="13" t="s">
        <v>24</v>
      </c>
      <c r="F13" s="14">
        <f t="shared" si="0"/>
        <v>0</v>
      </c>
      <c r="G13" s="15">
        <f>C4*F13</f>
        <v>0</v>
      </c>
      <c r="H13" s="34"/>
      <c r="I13" s="35"/>
      <c r="J13" s="16"/>
    </row>
    <row r="14" spans="1:10" x14ac:dyDescent="0.25">
      <c r="A14" s="1">
        <v>8</v>
      </c>
      <c r="B14" s="12"/>
      <c r="C14" s="12"/>
      <c r="D14" s="13"/>
      <c r="E14" s="13" t="s">
        <v>24</v>
      </c>
      <c r="F14" s="14">
        <f t="shared" si="0"/>
        <v>0</v>
      </c>
      <c r="G14" s="15">
        <f>C4*F14</f>
        <v>0</v>
      </c>
      <c r="H14" s="34"/>
      <c r="I14" s="35"/>
      <c r="J14" s="16"/>
    </row>
    <row r="15" spans="1:10" x14ac:dyDescent="0.25">
      <c r="A15" s="1">
        <v>9</v>
      </c>
      <c r="B15" s="12"/>
      <c r="C15" s="12"/>
      <c r="D15" s="13"/>
      <c r="E15" s="13" t="s">
        <v>24</v>
      </c>
      <c r="F15" s="14">
        <f t="shared" si="0"/>
        <v>0</v>
      </c>
      <c r="G15" s="15">
        <f>C4*F15</f>
        <v>0</v>
      </c>
      <c r="H15" s="34"/>
      <c r="I15" s="35"/>
      <c r="J15" s="16"/>
    </row>
    <row r="16" spans="1:10" x14ac:dyDescent="0.25">
      <c r="A16" s="1">
        <v>10</v>
      </c>
      <c r="B16" s="12"/>
      <c r="C16" s="12"/>
      <c r="D16" s="13"/>
      <c r="E16" s="13" t="s">
        <v>24</v>
      </c>
      <c r="F16" s="14">
        <f t="shared" si="0"/>
        <v>0</v>
      </c>
      <c r="G16" s="15">
        <f>C4*F16</f>
        <v>0</v>
      </c>
      <c r="H16" s="34"/>
      <c r="I16" s="35"/>
      <c r="J16" s="16"/>
    </row>
    <row r="17" spans="1:10" x14ac:dyDescent="0.25">
      <c r="A17" s="1">
        <v>11</v>
      </c>
      <c r="B17" s="12"/>
      <c r="C17" s="12"/>
      <c r="D17" s="13"/>
      <c r="E17" s="13" t="s">
        <v>24</v>
      </c>
      <c r="F17" s="14">
        <f t="shared" si="0"/>
        <v>0</v>
      </c>
      <c r="G17" s="15">
        <f>C4*F17</f>
        <v>0</v>
      </c>
      <c r="H17" s="34"/>
      <c r="I17" s="35"/>
      <c r="J17" s="16"/>
    </row>
    <row r="18" spans="1:10" x14ac:dyDescent="0.25">
      <c r="A18" s="1">
        <v>12</v>
      </c>
      <c r="B18" s="12"/>
      <c r="C18" s="12"/>
      <c r="D18" s="13"/>
      <c r="E18" s="13" t="s">
        <v>24</v>
      </c>
      <c r="F18" s="14">
        <f t="shared" si="0"/>
        <v>0</v>
      </c>
      <c r="G18" s="15">
        <f>C4*F18</f>
        <v>0</v>
      </c>
      <c r="H18" s="34"/>
      <c r="I18" s="35"/>
      <c r="J18" s="16"/>
    </row>
    <row r="19" spans="1:10" x14ac:dyDescent="0.25">
      <c r="A19" s="1">
        <v>13</v>
      </c>
      <c r="B19" s="12"/>
      <c r="C19" s="12"/>
      <c r="D19" s="13"/>
      <c r="E19" s="13" t="s">
        <v>24</v>
      </c>
      <c r="F19" s="14">
        <f t="shared" si="0"/>
        <v>0</v>
      </c>
      <c r="G19" s="15">
        <f>C4*F19</f>
        <v>0</v>
      </c>
      <c r="H19" s="34"/>
      <c r="I19" s="35"/>
      <c r="J19" s="16"/>
    </row>
    <row r="20" spans="1:10" x14ac:dyDescent="0.25">
      <c r="A20" s="1">
        <v>14</v>
      </c>
      <c r="B20" s="12"/>
      <c r="C20" s="12"/>
      <c r="D20" s="13"/>
      <c r="E20" s="13" t="s">
        <v>24</v>
      </c>
      <c r="F20" s="14">
        <f t="shared" si="0"/>
        <v>0</v>
      </c>
      <c r="G20" s="15">
        <f>C4*F20</f>
        <v>0</v>
      </c>
      <c r="H20" s="34"/>
      <c r="I20" s="35"/>
      <c r="J20" s="16"/>
    </row>
    <row r="21" spans="1:10" x14ac:dyDescent="0.25">
      <c r="A21" s="1">
        <v>15</v>
      </c>
      <c r="B21" s="12"/>
      <c r="C21" s="12"/>
      <c r="D21" s="13"/>
      <c r="E21" s="13" t="s">
        <v>24</v>
      </c>
      <c r="F21" s="14">
        <f>D21/D$24</f>
        <v>0</v>
      </c>
      <c r="G21" s="15">
        <f>C4*F21</f>
        <v>0</v>
      </c>
      <c r="H21" s="34"/>
      <c r="I21" s="35"/>
      <c r="J21" s="16"/>
    </row>
    <row r="22" spans="1:10" x14ac:dyDescent="0.25">
      <c r="A22" s="1">
        <v>16</v>
      </c>
      <c r="B22" s="12"/>
      <c r="C22" s="12"/>
      <c r="D22" s="13"/>
      <c r="E22" s="13" t="s">
        <v>24</v>
      </c>
      <c r="F22" s="14">
        <f t="shared" si="0"/>
        <v>0</v>
      </c>
      <c r="G22" s="15">
        <f>C4*F22</f>
        <v>0</v>
      </c>
      <c r="H22" s="34"/>
      <c r="I22" s="35"/>
      <c r="J22" s="16"/>
    </row>
    <row r="23" spans="1:10" x14ac:dyDescent="0.25">
      <c r="A23" s="1">
        <v>17</v>
      </c>
      <c r="B23" s="12"/>
      <c r="C23" s="12"/>
      <c r="D23" s="13"/>
      <c r="E23" s="13" t="s">
        <v>24</v>
      </c>
      <c r="F23" s="14">
        <f t="shared" si="0"/>
        <v>0</v>
      </c>
      <c r="G23" s="15">
        <f>C4*F23</f>
        <v>0</v>
      </c>
      <c r="H23" s="34"/>
      <c r="I23" s="35"/>
      <c r="J23" s="16"/>
    </row>
    <row r="24" spans="1:10" x14ac:dyDescent="0.25">
      <c r="C24" s="17" t="s">
        <v>12</v>
      </c>
      <c r="D24" s="1">
        <f>SUM(D7:D23)</f>
        <v>4.6419999999999995</v>
      </c>
      <c r="E24" s="1" t="s">
        <v>24</v>
      </c>
      <c r="F24" s="18">
        <f>SUM(F7:F23)</f>
        <v>1.0000000000000002</v>
      </c>
      <c r="G24" s="29">
        <f>SUM(G7:G23)</f>
        <v>5</v>
      </c>
      <c r="H24" s="19" t="s">
        <v>13</v>
      </c>
    </row>
    <row r="25" spans="1:10" x14ac:dyDescent="0.25">
      <c r="F25" s="28" t="s">
        <v>25</v>
      </c>
      <c r="G25" s="20">
        <f>-G24*G4+C4</f>
        <v>5</v>
      </c>
    </row>
    <row r="26" spans="1:10" ht="15.75" x14ac:dyDescent="0.25">
      <c r="A26"/>
      <c r="B26" s="36" t="s">
        <v>14</v>
      </c>
      <c r="C26" s="36"/>
      <c r="D26" s="36"/>
      <c r="E26" s="36"/>
      <c r="F26" s="36"/>
      <c r="G26" s="36"/>
      <c r="H26" s="36"/>
      <c r="I26" s="36"/>
      <c r="J26" s="36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31" t="s">
        <v>49</v>
      </c>
      <c r="C28" s="31"/>
      <c r="D28" s="31"/>
      <c r="E28" s="31"/>
      <c r="F28" s="31"/>
      <c r="G28" s="31"/>
      <c r="H28" s="31"/>
      <c r="I28" s="31"/>
      <c r="J28" s="31"/>
    </row>
    <row r="29" spans="1:10" x14ac:dyDescent="0.25">
      <c r="A29" s="1">
        <v>2</v>
      </c>
      <c r="B29" s="31" t="s">
        <v>50</v>
      </c>
      <c r="C29" s="31"/>
      <c r="D29" s="31"/>
      <c r="E29" s="31"/>
      <c r="F29" s="31"/>
      <c r="G29" s="31"/>
      <c r="H29" s="31"/>
      <c r="I29" s="31"/>
      <c r="J29" s="31"/>
    </row>
    <row r="30" spans="1:10" x14ac:dyDescent="0.25">
      <c r="A30" s="1">
        <v>3</v>
      </c>
      <c r="B30" s="31" t="s">
        <v>51</v>
      </c>
      <c r="C30" s="31"/>
      <c r="D30" s="31"/>
      <c r="E30" s="31"/>
      <c r="F30" s="31"/>
      <c r="G30" s="31"/>
      <c r="H30" s="31"/>
      <c r="I30" s="31"/>
      <c r="J30" s="31"/>
    </row>
    <row r="31" spans="1:10" x14ac:dyDescent="0.25">
      <c r="A31" s="1">
        <v>4</v>
      </c>
      <c r="B31" s="31" t="s">
        <v>52</v>
      </c>
      <c r="C31" s="31"/>
      <c r="D31" s="31"/>
      <c r="E31" s="31"/>
      <c r="F31" s="31"/>
      <c r="G31" s="31"/>
      <c r="H31" s="31"/>
      <c r="I31" s="31"/>
      <c r="J31" s="31"/>
    </row>
    <row r="32" spans="1:10" x14ac:dyDescent="0.25">
      <c r="A32" s="1">
        <v>5</v>
      </c>
      <c r="B32" s="31"/>
      <c r="C32" s="31"/>
      <c r="D32" s="31"/>
      <c r="E32" s="31"/>
      <c r="F32" s="31"/>
      <c r="G32" s="31"/>
      <c r="H32" s="31"/>
      <c r="I32" s="31"/>
      <c r="J32" s="31"/>
    </row>
    <row r="33" spans="1:10" x14ac:dyDescent="0.25">
      <c r="A33" s="1">
        <v>6</v>
      </c>
      <c r="B33" s="31"/>
      <c r="C33" s="31"/>
      <c r="D33" s="31"/>
      <c r="E33" s="31"/>
      <c r="F33" s="31"/>
      <c r="G33" s="31"/>
      <c r="H33" s="31"/>
      <c r="I33" s="31"/>
      <c r="J33" s="31"/>
    </row>
    <row r="34" spans="1:10" x14ac:dyDescent="0.25">
      <c r="A34" s="1">
        <v>7</v>
      </c>
      <c r="B34" s="31"/>
      <c r="C34" s="31"/>
      <c r="D34" s="31"/>
      <c r="E34" s="31"/>
      <c r="F34" s="31"/>
      <c r="G34" s="31"/>
      <c r="H34" s="31"/>
      <c r="I34" s="31"/>
      <c r="J34" s="31"/>
    </row>
    <row r="35" spans="1:10" x14ac:dyDescent="0.25">
      <c r="A35" s="1">
        <v>8</v>
      </c>
      <c r="B35" s="31"/>
      <c r="C35" s="31"/>
      <c r="D35" s="31"/>
      <c r="E35" s="31"/>
      <c r="F35" s="31"/>
      <c r="G35" s="31"/>
      <c r="H35" s="31"/>
      <c r="I35" s="31"/>
      <c r="J35" s="31"/>
    </row>
    <row r="36" spans="1:10" x14ac:dyDescent="0.25">
      <c r="A36" s="1">
        <v>9</v>
      </c>
      <c r="B36" s="31"/>
      <c r="C36" s="31"/>
      <c r="D36" s="31"/>
      <c r="E36" s="31"/>
      <c r="F36" s="31"/>
      <c r="G36" s="31"/>
      <c r="H36" s="31"/>
      <c r="I36" s="31"/>
      <c r="J36" s="31"/>
    </row>
    <row r="37" spans="1:10" x14ac:dyDescent="0.25">
      <c r="A37" s="1">
        <v>10</v>
      </c>
      <c r="B37" s="31"/>
      <c r="C37" s="31"/>
      <c r="D37" s="31"/>
      <c r="E37" s="31"/>
      <c r="F37" s="31"/>
      <c r="G37" s="31"/>
      <c r="H37" s="31"/>
      <c r="I37" s="31"/>
      <c r="J37" s="31"/>
    </row>
    <row r="38" spans="1:10" x14ac:dyDescent="0.25">
      <c r="A38" s="1">
        <v>11</v>
      </c>
      <c r="B38" s="31"/>
      <c r="C38" s="31"/>
      <c r="D38" s="31"/>
      <c r="E38" s="31"/>
      <c r="F38" s="31"/>
      <c r="G38" s="31"/>
      <c r="H38" s="31"/>
      <c r="I38" s="31"/>
      <c r="J38" s="31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32" t="s">
        <v>17</v>
      </c>
      <c r="C43" s="32"/>
      <c r="E43" s="32" t="s">
        <v>18</v>
      </c>
      <c r="F43" s="32"/>
      <c r="H43" s="33" t="s">
        <v>19</v>
      </c>
      <c r="I43" s="33"/>
      <c r="J43" s="2" t="s">
        <v>20</v>
      </c>
    </row>
  </sheetData>
  <mergeCells count="34"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  <mergeCell ref="H23:I23"/>
    <mergeCell ref="B26:J26"/>
    <mergeCell ref="B28:J28"/>
    <mergeCell ref="B29:J29"/>
    <mergeCell ref="B30:J30"/>
    <mergeCell ref="B31:J31"/>
    <mergeCell ref="H17:I17"/>
    <mergeCell ref="H18:I18"/>
    <mergeCell ref="H19:I19"/>
    <mergeCell ref="H20:I20"/>
    <mergeCell ref="H21:I21"/>
    <mergeCell ref="H22:I22"/>
    <mergeCell ref="H11:I11"/>
    <mergeCell ref="H12:I12"/>
    <mergeCell ref="H13:I13"/>
    <mergeCell ref="H14:I14"/>
    <mergeCell ref="H15:I15"/>
    <mergeCell ref="H16:I16"/>
    <mergeCell ref="E2:F2"/>
    <mergeCell ref="H6:I6"/>
    <mergeCell ref="H7:I7"/>
    <mergeCell ref="H8:I8"/>
    <mergeCell ref="H9:I9"/>
    <mergeCell ref="H10:I10"/>
  </mergeCells>
  <pageMargins left="0.7" right="0.7" top="0.75" bottom="0.75" header="0.3" footer="0.3"/>
  <pageSetup scale="6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954C4-3017-4C93-9B64-3BE226EA6B93}">
  <sheetPr>
    <pageSetUpPr fitToPage="1"/>
  </sheetPr>
  <dimension ref="A1:J43"/>
  <sheetViews>
    <sheetView workbookViewId="0">
      <selection activeCell="C20" sqref="C20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99</v>
      </c>
      <c r="D2" s="5" t="s">
        <v>1</v>
      </c>
      <c r="E2" s="37" t="s">
        <v>100</v>
      </c>
      <c r="F2" s="37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22</v>
      </c>
      <c r="C4" s="10">
        <v>3</v>
      </c>
      <c r="D4" s="9"/>
      <c r="F4" s="2" t="s">
        <v>23</v>
      </c>
      <c r="G4" s="28" t="s">
        <v>8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38" t="s">
        <v>10</v>
      </c>
      <c r="I6" s="39"/>
      <c r="J6" s="11" t="s">
        <v>11</v>
      </c>
    </row>
    <row r="7" spans="1:10" x14ac:dyDescent="0.25">
      <c r="A7" s="1">
        <v>1</v>
      </c>
      <c r="B7" s="12" t="s">
        <v>83</v>
      </c>
      <c r="C7" s="12" t="s">
        <v>84</v>
      </c>
      <c r="D7" s="13">
        <v>2.5</v>
      </c>
      <c r="E7" s="13" t="s">
        <v>24</v>
      </c>
      <c r="F7" s="14">
        <f t="shared" ref="F7:F23" si="0">D7/D$24</f>
        <v>0.81274382314694404</v>
      </c>
      <c r="G7" s="15">
        <f>C4*F7</f>
        <v>2.438231469440832</v>
      </c>
      <c r="H7" s="34"/>
      <c r="I7" s="35"/>
      <c r="J7" s="16"/>
    </row>
    <row r="8" spans="1:10" x14ac:dyDescent="0.25">
      <c r="A8" s="1">
        <v>2</v>
      </c>
      <c r="B8" s="12" t="s">
        <v>60</v>
      </c>
      <c r="C8" s="49" t="s">
        <v>61</v>
      </c>
      <c r="D8" s="13">
        <v>0.25</v>
      </c>
      <c r="E8" s="13" t="s">
        <v>24</v>
      </c>
      <c r="F8" s="14">
        <f t="shared" si="0"/>
        <v>8.1274382314694402E-2</v>
      </c>
      <c r="G8" s="15">
        <f>C4*F8</f>
        <v>0.24382314694408319</v>
      </c>
      <c r="H8" s="34"/>
      <c r="I8" s="35"/>
      <c r="J8" s="16"/>
    </row>
    <row r="9" spans="1:10" x14ac:dyDescent="0.25">
      <c r="A9" s="1">
        <v>3</v>
      </c>
      <c r="B9" s="12" t="s">
        <v>69</v>
      </c>
      <c r="C9" s="49" t="s">
        <v>70</v>
      </c>
      <c r="D9" s="13">
        <v>0.125</v>
      </c>
      <c r="E9" s="13" t="s">
        <v>24</v>
      </c>
      <c r="F9" s="14">
        <f t="shared" si="0"/>
        <v>4.0637191157347201E-2</v>
      </c>
      <c r="G9" s="15">
        <f>C4*F9</f>
        <v>0.1219115734720416</v>
      </c>
      <c r="H9" s="34"/>
      <c r="I9" s="35"/>
      <c r="J9" s="16"/>
    </row>
    <row r="10" spans="1:10" x14ac:dyDescent="0.25">
      <c r="A10" s="1">
        <v>4</v>
      </c>
      <c r="B10" s="12" t="s">
        <v>88</v>
      </c>
      <c r="C10" s="49" t="s">
        <v>89</v>
      </c>
      <c r="D10" s="13">
        <v>0.125</v>
      </c>
      <c r="E10" s="13" t="s">
        <v>24</v>
      </c>
      <c r="F10" s="14">
        <f t="shared" si="0"/>
        <v>4.0637191157347201E-2</v>
      </c>
      <c r="G10" s="15">
        <f>C4*F10</f>
        <v>0.1219115734720416</v>
      </c>
      <c r="H10" s="34"/>
      <c r="I10" s="35"/>
      <c r="J10" s="16"/>
    </row>
    <row r="11" spans="1:10" x14ac:dyDescent="0.25">
      <c r="A11" s="1">
        <v>5</v>
      </c>
      <c r="B11" s="12" t="e">
        <v>#N/A</v>
      </c>
      <c r="C11" s="49" t="s">
        <v>87</v>
      </c>
      <c r="D11" s="13">
        <v>3.2000000000000001E-2</v>
      </c>
      <c r="E11" s="13" t="s">
        <v>24</v>
      </c>
      <c r="F11" s="14">
        <f t="shared" si="0"/>
        <v>1.0403120936280884E-2</v>
      </c>
      <c r="G11" s="15">
        <f>C4*F11</f>
        <v>3.1209362808842653E-2</v>
      </c>
      <c r="H11" s="34"/>
      <c r="I11" s="35"/>
      <c r="J11" s="16"/>
    </row>
    <row r="12" spans="1:10" x14ac:dyDescent="0.25">
      <c r="A12" s="1">
        <v>6</v>
      </c>
      <c r="B12" s="12" t="s">
        <v>85</v>
      </c>
      <c r="C12" s="49" t="s">
        <v>86</v>
      </c>
      <c r="D12" s="13">
        <v>8.0000000000000002E-3</v>
      </c>
      <c r="E12" s="13" t="s">
        <v>24</v>
      </c>
      <c r="F12" s="14">
        <f t="shared" si="0"/>
        <v>2.6007802340702211E-3</v>
      </c>
      <c r="G12" s="15">
        <f>C4*F12</f>
        <v>7.8023407022106634E-3</v>
      </c>
      <c r="H12" s="34"/>
      <c r="I12" s="35"/>
      <c r="J12" s="16"/>
    </row>
    <row r="13" spans="1:10" x14ac:dyDescent="0.25">
      <c r="A13" s="1">
        <v>7</v>
      </c>
      <c r="B13" s="12" t="s">
        <v>73</v>
      </c>
      <c r="C13" s="49" t="s">
        <v>74</v>
      </c>
      <c r="D13" s="13">
        <v>3.5999999999999997E-2</v>
      </c>
      <c r="E13" s="13" t="s">
        <v>24</v>
      </c>
      <c r="F13" s="14">
        <f t="shared" si="0"/>
        <v>1.1703511053315994E-2</v>
      </c>
      <c r="G13" s="15">
        <f>C4*F13</f>
        <v>3.5110533159947985E-2</v>
      </c>
      <c r="H13" s="34"/>
      <c r="I13" s="35"/>
      <c r="J13" s="16"/>
    </row>
    <row r="14" spans="1:10" x14ac:dyDescent="0.25">
      <c r="A14" s="1">
        <v>8</v>
      </c>
      <c r="B14" s="12"/>
      <c r="C14" s="12"/>
      <c r="D14" s="13"/>
      <c r="E14" s="13" t="s">
        <v>24</v>
      </c>
      <c r="F14" s="14">
        <f t="shared" si="0"/>
        <v>0</v>
      </c>
      <c r="G14" s="15">
        <f>C4*F14</f>
        <v>0</v>
      </c>
      <c r="H14" s="34"/>
      <c r="I14" s="35"/>
      <c r="J14" s="16"/>
    </row>
    <row r="15" spans="1:10" x14ac:dyDescent="0.25">
      <c r="A15" s="1">
        <v>9</v>
      </c>
      <c r="B15" s="12"/>
      <c r="C15" s="12"/>
      <c r="D15" s="13"/>
      <c r="E15" s="13" t="s">
        <v>24</v>
      </c>
      <c r="F15" s="14">
        <f t="shared" si="0"/>
        <v>0</v>
      </c>
      <c r="G15" s="15">
        <f>C4*F15</f>
        <v>0</v>
      </c>
      <c r="H15" s="34"/>
      <c r="I15" s="35"/>
      <c r="J15" s="16"/>
    </row>
    <row r="16" spans="1:10" x14ac:dyDescent="0.25">
      <c r="A16" s="1">
        <v>10</v>
      </c>
      <c r="B16" s="12"/>
      <c r="C16" s="12"/>
      <c r="D16" s="13"/>
      <c r="E16" s="13" t="s">
        <v>24</v>
      </c>
      <c r="F16" s="14">
        <f t="shared" si="0"/>
        <v>0</v>
      </c>
      <c r="G16" s="15">
        <f>C4*F16</f>
        <v>0</v>
      </c>
      <c r="H16" s="34"/>
      <c r="I16" s="35"/>
      <c r="J16" s="16"/>
    </row>
    <row r="17" spans="1:10" x14ac:dyDescent="0.25">
      <c r="A17" s="1">
        <v>11</v>
      </c>
      <c r="B17" s="12"/>
      <c r="C17" s="12"/>
      <c r="D17" s="13"/>
      <c r="E17" s="13" t="s">
        <v>24</v>
      </c>
      <c r="F17" s="14">
        <f t="shared" si="0"/>
        <v>0</v>
      </c>
      <c r="G17" s="15">
        <f>C4*F17</f>
        <v>0</v>
      </c>
      <c r="H17" s="34"/>
      <c r="I17" s="35"/>
      <c r="J17" s="16"/>
    </row>
    <row r="18" spans="1:10" x14ac:dyDescent="0.25">
      <c r="A18" s="1">
        <v>12</v>
      </c>
      <c r="B18" s="12"/>
      <c r="C18" s="12"/>
      <c r="D18" s="13"/>
      <c r="E18" s="13" t="s">
        <v>24</v>
      </c>
      <c r="F18" s="14">
        <f t="shared" si="0"/>
        <v>0</v>
      </c>
      <c r="G18" s="15">
        <f>C4*F18</f>
        <v>0</v>
      </c>
      <c r="H18" s="34"/>
      <c r="I18" s="35"/>
      <c r="J18" s="16"/>
    </row>
    <row r="19" spans="1:10" x14ac:dyDescent="0.25">
      <c r="A19" s="1">
        <v>13</v>
      </c>
      <c r="B19" s="12"/>
      <c r="C19" s="12"/>
      <c r="D19" s="13"/>
      <c r="E19" s="13" t="s">
        <v>24</v>
      </c>
      <c r="F19" s="14">
        <f t="shared" si="0"/>
        <v>0</v>
      </c>
      <c r="G19" s="15">
        <f>C4*F19</f>
        <v>0</v>
      </c>
      <c r="H19" s="34"/>
      <c r="I19" s="35"/>
      <c r="J19" s="16"/>
    </row>
    <row r="20" spans="1:10" x14ac:dyDescent="0.25">
      <c r="A20" s="1">
        <v>14</v>
      </c>
      <c r="B20" s="12"/>
      <c r="C20" s="12"/>
      <c r="D20" s="13"/>
      <c r="E20" s="13" t="s">
        <v>24</v>
      </c>
      <c r="F20" s="14">
        <f t="shared" si="0"/>
        <v>0</v>
      </c>
      <c r="G20" s="15">
        <f>C4*F20</f>
        <v>0</v>
      </c>
      <c r="H20" s="34"/>
      <c r="I20" s="35"/>
      <c r="J20" s="16"/>
    </row>
    <row r="21" spans="1:10" x14ac:dyDescent="0.25">
      <c r="A21" s="1">
        <v>15</v>
      </c>
      <c r="B21" s="12"/>
      <c r="C21" s="12"/>
      <c r="D21" s="13"/>
      <c r="E21" s="13" t="s">
        <v>24</v>
      </c>
      <c r="F21" s="14">
        <f t="shared" si="0"/>
        <v>0</v>
      </c>
      <c r="G21" s="15">
        <f>C4*F21</f>
        <v>0</v>
      </c>
      <c r="H21" s="34"/>
      <c r="I21" s="35"/>
      <c r="J21" s="16"/>
    </row>
    <row r="22" spans="1:10" x14ac:dyDescent="0.25">
      <c r="A22" s="1">
        <v>16</v>
      </c>
      <c r="B22" s="12"/>
      <c r="C22" s="12"/>
      <c r="D22" s="13"/>
      <c r="E22" s="13" t="s">
        <v>24</v>
      </c>
      <c r="F22" s="14">
        <f t="shared" si="0"/>
        <v>0</v>
      </c>
      <c r="G22" s="15">
        <f>C4*F22</f>
        <v>0</v>
      </c>
      <c r="H22" s="34"/>
      <c r="I22" s="35"/>
      <c r="J22" s="16"/>
    </row>
    <row r="23" spans="1:10" x14ac:dyDescent="0.25">
      <c r="A23" s="1">
        <v>17</v>
      </c>
      <c r="B23" s="12"/>
      <c r="C23" s="12"/>
      <c r="D23" s="13"/>
      <c r="E23" s="13" t="s">
        <v>24</v>
      </c>
      <c r="F23" s="14">
        <f t="shared" si="0"/>
        <v>0</v>
      </c>
      <c r="G23" s="15">
        <f>C4*F23</f>
        <v>0</v>
      </c>
      <c r="H23" s="34"/>
      <c r="I23" s="35"/>
      <c r="J23" s="16"/>
    </row>
    <row r="24" spans="1:10" x14ac:dyDescent="0.25">
      <c r="C24" s="17" t="s">
        <v>12</v>
      </c>
      <c r="D24" s="1">
        <f>SUM(D7:D23)</f>
        <v>3.0760000000000001</v>
      </c>
      <c r="E24" s="1" t="s">
        <v>24</v>
      </c>
      <c r="F24" s="18">
        <f>SUM(F7:F23)</f>
        <v>1</v>
      </c>
      <c r="G24" s="29">
        <f>SUM(G7:G23)</f>
        <v>3</v>
      </c>
      <c r="H24" s="19" t="s">
        <v>13</v>
      </c>
    </row>
    <row r="25" spans="1:10" x14ac:dyDescent="0.25">
      <c r="F25" s="28" t="s">
        <v>25</v>
      </c>
      <c r="G25" s="20" t="e">
        <f>-G24*G4+C4</f>
        <v>#VALUE!</v>
      </c>
    </row>
    <row r="26" spans="1:10" ht="15.75" x14ac:dyDescent="0.25">
      <c r="A26"/>
      <c r="B26" s="36" t="s">
        <v>14</v>
      </c>
      <c r="C26" s="36"/>
      <c r="D26" s="36"/>
      <c r="E26" s="36"/>
      <c r="F26" s="36"/>
      <c r="G26" s="36"/>
      <c r="H26" s="36"/>
      <c r="I26" s="36"/>
      <c r="J26" s="36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40" t="s">
        <v>90</v>
      </c>
      <c r="C28" s="41"/>
      <c r="D28" s="41"/>
      <c r="E28" s="41"/>
      <c r="F28" s="41"/>
      <c r="G28" s="41"/>
      <c r="H28" s="41"/>
      <c r="I28" s="41"/>
      <c r="J28" s="42"/>
    </row>
    <row r="29" spans="1:10" x14ac:dyDescent="0.25">
      <c r="A29" s="1">
        <v>2</v>
      </c>
      <c r="B29" s="40" t="s">
        <v>91</v>
      </c>
      <c r="C29" s="41"/>
      <c r="D29" s="41"/>
      <c r="E29" s="41"/>
      <c r="F29" s="41"/>
      <c r="G29" s="41"/>
      <c r="H29" s="41"/>
      <c r="I29" s="41"/>
      <c r="J29" s="42"/>
    </row>
    <row r="30" spans="1:10" x14ac:dyDescent="0.25">
      <c r="A30" s="1">
        <v>3</v>
      </c>
      <c r="B30" s="43" t="s">
        <v>92</v>
      </c>
      <c r="C30" s="44"/>
      <c r="D30" s="44"/>
      <c r="E30" s="44"/>
      <c r="F30" s="44"/>
      <c r="G30" s="44"/>
      <c r="H30" s="44"/>
      <c r="I30" s="44"/>
      <c r="J30" s="45"/>
    </row>
    <row r="31" spans="1:10" x14ac:dyDescent="0.25">
      <c r="A31" s="1">
        <v>4</v>
      </c>
      <c r="B31" s="31" t="s">
        <v>93</v>
      </c>
      <c r="C31" s="31"/>
      <c r="D31" s="31"/>
      <c r="E31" s="31"/>
      <c r="F31" s="31"/>
      <c r="G31" s="31"/>
      <c r="H31" s="31"/>
      <c r="I31" s="31"/>
      <c r="J31" s="31"/>
    </row>
    <row r="32" spans="1:10" x14ac:dyDescent="0.25">
      <c r="A32" s="1">
        <v>5</v>
      </c>
      <c r="B32" s="31" t="s">
        <v>94</v>
      </c>
      <c r="C32" s="31"/>
      <c r="D32" s="31"/>
      <c r="E32" s="31"/>
      <c r="F32" s="31"/>
      <c r="G32" s="31"/>
      <c r="H32" s="31"/>
      <c r="I32" s="31"/>
      <c r="J32" s="31"/>
    </row>
    <row r="33" spans="1:10" x14ac:dyDescent="0.25">
      <c r="A33" s="1">
        <v>6</v>
      </c>
      <c r="B33" s="31" t="s">
        <v>95</v>
      </c>
      <c r="C33" s="31"/>
      <c r="D33" s="31"/>
      <c r="E33" s="31"/>
      <c r="F33" s="31"/>
      <c r="G33" s="31"/>
      <c r="H33" s="31"/>
      <c r="I33" s="31"/>
      <c r="J33" s="31"/>
    </row>
    <row r="34" spans="1:10" x14ac:dyDescent="0.25">
      <c r="A34" s="1">
        <v>7</v>
      </c>
      <c r="B34" s="31"/>
      <c r="C34" s="31"/>
      <c r="D34" s="31"/>
      <c r="E34" s="31"/>
      <c r="F34" s="31"/>
      <c r="G34" s="31"/>
      <c r="H34" s="31"/>
      <c r="I34" s="31"/>
      <c r="J34" s="31"/>
    </row>
    <row r="35" spans="1:10" x14ac:dyDescent="0.25">
      <c r="A35" s="1">
        <v>8</v>
      </c>
      <c r="B35" s="31"/>
      <c r="C35" s="31"/>
      <c r="D35" s="31"/>
      <c r="E35" s="31"/>
      <c r="F35" s="31"/>
      <c r="G35" s="31"/>
      <c r="H35" s="31"/>
      <c r="I35" s="31"/>
      <c r="J35" s="31"/>
    </row>
    <row r="36" spans="1:10" x14ac:dyDescent="0.25">
      <c r="A36" s="1">
        <v>9</v>
      </c>
      <c r="B36" s="31"/>
      <c r="C36" s="31"/>
      <c r="D36" s="31"/>
      <c r="E36" s="31"/>
      <c r="F36" s="31"/>
      <c r="G36" s="31"/>
      <c r="H36" s="31"/>
      <c r="I36" s="31"/>
      <c r="J36" s="31"/>
    </row>
    <row r="37" spans="1:10" x14ac:dyDescent="0.25">
      <c r="A37" s="1">
        <v>10</v>
      </c>
      <c r="B37" s="31"/>
      <c r="C37" s="31"/>
      <c r="D37" s="31"/>
      <c r="E37" s="31"/>
      <c r="F37" s="31"/>
      <c r="G37" s="31"/>
      <c r="H37" s="31"/>
      <c r="I37" s="31"/>
      <c r="J37" s="31"/>
    </row>
    <row r="38" spans="1:10" x14ac:dyDescent="0.25">
      <c r="A38" s="1">
        <v>11</v>
      </c>
      <c r="B38" s="31"/>
      <c r="C38" s="31"/>
      <c r="D38" s="31"/>
      <c r="E38" s="31"/>
      <c r="F38" s="31"/>
      <c r="G38" s="31"/>
      <c r="H38" s="31"/>
      <c r="I38" s="31"/>
      <c r="J38" s="31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32" t="s">
        <v>17</v>
      </c>
      <c r="C43" s="32"/>
      <c r="E43" s="32" t="s">
        <v>18</v>
      </c>
      <c r="F43" s="32"/>
      <c r="H43" s="33" t="s">
        <v>19</v>
      </c>
      <c r="I43" s="33"/>
      <c r="J43" s="2" t="s">
        <v>20</v>
      </c>
    </row>
  </sheetData>
  <mergeCells count="34"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  <mergeCell ref="H23:I23"/>
    <mergeCell ref="B26:J26"/>
    <mergeCell ref="B28:J28"/>
    <mergeCell ref="B29:J29"/>
    <mergeCell ref="B30:J30"/>
    <mergeCell ref="B31:J31"/>
    <mergeCell ref="H17:I17"/>
    <mergeCell ref="H18:I18"/>
    <mergeCell ref="H19:I19"/>
    <mergeCell ref="H20:I20"/>
    <mergeCell ref="H21:I21"/>
    <mergeCell ref="H22:I22"/>
    <mergeCell ref="H11:I11"/>
    <mergeCell ref="H12:I12"/>
    <mergeCell ref="H13:I13"/>
    <mergeCell ref="H14:I14"/>
    <mergeCell ref="H15:I15"/>
    <mergeCell ref="H16:I16"/>
    <mergeCell ref="E2:F2"/>
    <mergeCell ref="H6:I6"/>
    <mergeCell ref="H7:I7"/>
    <mergeCell ref="H8:I8"/>
    <mergeCell ref="H9:I9"/>
    <mergeCell ref="H10:I10"/>
  </mergeCells>
  <pageMargins left="0.7" right="0.7" top="0.75" bottom="0.75" header="0.3" footer="0.3"/>
  <pageSetup scale="6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b03f2f-74c7-4926-a36d-d4bdb9e02d45" xsi:nil="true"/>
    <lcf76f155ced4ddcb4097134ff3c332f xmlns="042478ca-ca2d-4d01-83eb-90396d5625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51621C-87FD-493C-9E0D-A81AB14C0900}"/>
</file>

<file path=customXml/itemProps2.xml><?xml version="1.0" encoding="utf-8"?>
<ds:datastoreItem xmlns:ds="http://schemas.openxmlformats.org/officeDocument/2006/customXml" ds:itemID="{02FCC6B4-78ED-4870-A3BD-41BEC6B75593}"/>
</file>

<file path=customXml/itemProps3.xml><?xml version="1.0" encoding="utf-8"?>
<ds:datastoreItem xmlns:ds="http://schemas.openxmlformats.org/officeDocument/2006/customXml" ds:itemID="{DF9612D1-9BF7-4D09-9E65-CAC8085863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Pack out</vt:lpstr>
      <vt:lpstr>Plating</vt:lpstr>
      <vt:lpstr>Bulgolgi Sauce</vt:lpstr>
      <vt:lpstr>Vegetable Fried Rice</vt:lpstr>
      <vt:lpstr>Teriyaki Chicken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Huynh</dc:creator>
  <cp:lastModifiedBy>Christian Huynh</cp:lastModifiedBy>
  <cp:lastPrinted>2025-08-08T13:58:47Z</cp:lastPrinted>
  <dcterms:created xsi:type="dcterms:W3CDTF">2023-08-17T15:10:54Z</dcterms:created>
  <dcterms:modified xsi:type="dcterms:W3CDTF">2025-09-01T18:48:18Z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</Properties>
</file>