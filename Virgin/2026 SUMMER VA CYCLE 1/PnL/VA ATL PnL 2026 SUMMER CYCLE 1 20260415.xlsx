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.sharepoint.com/sites/VirginAtlantic/Shared Documents/General/2026 SUMMER VA CYCLE 1/PnL/"/>
    </mc:Choice>
  </mc:AlternateContent>
  <xr:revisionPtr revIDLastSave="11" documentId="8_{8C7E1DDA-BE3B-4885-BA6F-5B0376A2F8E9}" xr6:coauthVersionLast="47" xr6:coauthVersionMax="47" xr10:uidLastSave="{DDCE6F0D-8209-4B95-B9FD-32D25A9CF455}"/>
  <bookViews>
    <workbookView minimized="1" xWindow="40620" yWindow="-1440" windowWidth="28800" windowHeight="15345" tabRatio="656" firstSheet="16" activeTab="16" xr2:uid="{557CA74F-562A-48FA-AA89-16AC4759ED15}"/>
  </bookViews>
  <sheets>
    <sheet name="P&amp;L" sheetId="21" r:id="rId1"/>
    <sheet name="Bid Assumption " sheetId="9" state="hidden" r:id="rId2"/>
    <sheet name="Summary " sheetId="29" r:id="rId3"/>
    <sheet name="Summary Short Haul" sheetId="56" state="hidden" r:id="rId4"/>
    <sheet name="Summary Long Haul" sheetId="57" state="hidden" r:id="rId5"/>
    <sheet name="Summary  735" sheetId="43" state="hidden" r:id="rId6"/>
    <sheet name="Summary 2221" sheetId="44" state="hidden" r:id="rId7"/>
    <sheet name="Summary 2439" sheetId="45" state="hidden" r:id="rId8"/>
    <sheet name="Summary 2682" sheetId="46" state="hidden" r:id="rId9"/>
    <sheet name="Summary 2855" sheetId="47" state="hidden" r:id="rId10"/>
    <sheet name="Summary FLT104" sheetId="49" r:id="rId11"/>
    <sheet name="Summary FLT110" sheetId="50" r:id="rId12"/>
    <sheet name="Summary 2037" sheetId="54" state="hidden" r:id="rId13"/>
    <sheet name="Summary 2817" sheetId="55" state="hidden" r:id="rId14"/>
    <sheet name="Handling" sheetId="2" r:id="rId15"/>
    <sheet name="FlightConfig " sheetId="3" r:id="rId16"/>
    <sheet name="Food" sheetId="1" r:id="rId17"/>
    <sheet name="Avg Per Flight" sheetId="8" state="hidden" r:id="rId18"/>
    <sheet name="FG MASTER" sheetId="28" r:id="rId19"/>
    <sheet name="SPML" sheetId="58" r:id="rId20"/>
  </sheets>
  <externalReferences>
    <externalReference r:id="rId21"/>
  </externalReferences>
  <definedNames>
    <definedName name="_Fill" hidden="1">#REF!</definedName>
    <definedName name="_Fill1" hidden="1">#REF!</definedName>
    <definedName name="_xlnm._FilterDatabase" localSheetId="16" hidden="1">Food!$A$3:$AK$155</definedName>
    <definedName name="_Order1" hidden="1">0</definedName>
    <definedName name="_Order2" hidden="1">0</definedName>
    <definedName name="_Sort" hidden="1">#REF!</definedName>
    <definedName name="_Sort1" hidden="1">#REF!</definedName>
    <definedName name="COMMERCIAL_ITEMS" localSheetId="18">#REF!</definedName>
    <definedName name="COMMERCIAL_ITEMS">#REF!</definedName>
    <definedName name="_xlnm.Print_Area" localSheetId="18">'FG MASTER'!$A$1:$AB$9</definedName>
    <definedName name="SAPBEXrevision" hidden="1">1</definedName>
    <definedName name="SAPBEXsysID" hidden="1">"P17"</definedName>
    <definedName name="SAPBEXwbID" hidden="1">"40XL7TJW6JQIMI6CJDUSVHGJV"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2" i="1" l="1"/>
  <c r="M162" i="1" s="1"/>
  <c r="J162" i="1"/>
  <c r="G162" i="1"/>
  <c r="G67" i="1"/>
  <c r="O282" i="28"/>
  <c r="G70" i="1"/>
  <c r="P278" i="28"/>
  <c r="L40" i="1"/>
  <c r="M40" i="1" s="1"/>
  <c r="J40" i="1"/>
  <c r="W40" i="1" s="1"/>
  <c r="AF40" i="1" s="1"/>
  <c r="G40" i="1"/>
  <c r="C40" i="1"/>
  <c r="L47" i="1"/>
  <c r="Y47" i="1" s="1"/>
  <c r="AH47" i="1" s="1"/>
  <c r="J47" i="1"/>
  <c r="W47" i="1" s="1"/>
  <c r="AF47" i="1" s="1"/>
  <c r="G47" i="1"/>
  <c r="C47" i="1"/>
  <c r="G42" i="1"/>
  <c r="I25" i="1"/>
  <c r="S162" i="1" l="1"/>
  <c r="P162" i="1"/>
  <c r="AC162" i="1" s="1"/>
  <c r="Y162" i="1"/>
  <c r="AH162" i="1" s="1"/>
  <c r="W162" i="1"/>
  <c r="AF162" i="1" s="1"/>
  <c r="Z162" i="1"/>
  <c r="AI162" i="1" s="1"/>
  <c r="Y40" i="1"/>
  <c r="AH40" i="1" s="1"/>
  <c r="Z40" i="1"/>
  <c r="AI40" i="1" s="1"/>
  <c r="M47" i="1"/>
  <c r="G22" i="1"/>
  <c r="G5" i="1"/>
  <c r="O239" i="28"/>
  <c r="O244" i="28"/>
  <c r="L118" i="1"/>
  <c r="M118" i="1" s="1"/>
  <c r="J118" i="1"/>
  <c r="W118" i="1" s="1"/>
  <c r="AF118" i="1" s="1"/>
  <c r="G118" i="1"/>
  <c r="C118" i="1"/>
  <c r="L130" i="1"/>
  <c r="M130" i="1" s="1"/>
  <c r="J130" i="1"/>
  <c r="W130" i="1" s="1"/>
  <c r="AF130" i="1" s="1"/>
  <c r="G130" i="1"/>
  <c r="C130" i="1"/>
  <c r="L53" i="1"/>
  <c r="J53" i="1"/>
  <c r="W53" i="1" s="1"/>
  <c r="AF53" i="1" s="1"/>
  <c r="G53" i="1"/>
  <c r="C53" i="1"/>
  <c r="O234" i="28"/>
  <c r="G39" i="1"/>
  <c r="L39" i="1"/>
  <c r="J39" i="1"/>
  <c r="W39" i="1" s="1"/>
  <c r="AF39" i="1" s="1"/>
  <c r="C39" i="1"/>
  <c r="L105" i="1"/>
  <c r="M105" i="1" s="1"/>
  <c r="J105" i="1"/>
  <c r="W105" i="1" s="1"/>
  <c r="AF105" i="1" s="1"/>
  <c r="G105" i="1"/>
  <c r="C105" i="1"/>
  <c r="L25" i="1"/>
  <c r="M25" i="1" s="1"/>
  <c r="J25" i="1"/>
  <c r="W25" i="1" s="1"/>
  <c r="AF25" i="1" s="1"/>
  <c r="G25" i="1"/>
  <c r="C25" i="1"/>
  <c r="Z47" i="1" l="1"/>
  <c r="AI47" i="1" s="1"/>
  <c r="Z118" i="1"/>
  <c r="AI118" i="1" s="1"/>
  <c r="Y118" i="1"/>
  <c r="AH118" i="1" s="1"/>
  <c r="Z130" i="1"/>
  <c r="AI130" i="1" s="1"/>
  <c r="Y130" i="1"/>
  <c r="AH130" i="1" s="1"/>
  <c r="Y53" i="1"/>
  <c r="AH53" i="1" s="1"/>
  <c r="M53" i="1"/>
  <c r="Y39" i="1"/>
  <c r="AH39" i="1" s="1"/>
  <c r="M39" i="1"/>
  <c r="Z105" i="1"/>
  <c r="AI105" i="1" s="1"/>
  <c r="Y105" i="1"/>
  <c r="AH105" i="1" s="1"/>
  <c r="Z25" i="1"/>
  <c r="AI25" i="1" s="1"/>
  <c r="Y25" i="1"/>
  <c r="AH25" i="1" s="1"/>
  <c r="Z53" i="1" l="1"/>
  <c r="AI53" i="1" s="1"/>
  <c r="Z39" i="1"/>
  <c r="AI39" i="1" s="1"/>
  <c r="L158" i="1" l="1"/>
  <c r="L157" i="1"/>
  <c r="M157" i="1" s="1"/>
  <c r="L156" i="1"/>
  <c r="M156" i="1" s="1"/>
  <c r="L155" i="1"/>
  <c r="M155" i="1" s="1"/>
  <c r="L154" i="1"/>
  <c r="M154" i="1" s="1"/>
  <c r="L153" i="1"/>
  <c r="L152" i="1"/>
  <c r="M152" i="1" s="1"/>
  <c r="L151" i="1"/>
  <c r="L150" i="1"/>
  <c r="L149" i="1"/>
  <c r="L148" i="1"/>
  <c r="M148" i="1" s="1"/>
  <c r="L147" i="1"/>
  <c r="L146" i="1"/>
  <c r="M146" i="1" s="1"/>
  <c r="L145" i="1"/>
  <c r="L144" i="1"/>
  <c r="M144" i="1" s="1"/>
  <c r="L143" i="1"/>
  <c r="M143" i="1" s="1"/>
  <c r="L142" i="1"/>
  <c r="L141" i="1"/>
  <c r="L140" i="1"/>
  <c r="L139" i="1"/>
  <c r="L138" i="1"/>
  <c r="L137" i="1"/>
  <c r="L136" i="1"/>
  <c r="L135" i="1"/>
  <c r="M135" i="1" s="1"/>
  <c r="L134" i="1"/>
  <c r="M134" i="1" s="1"/>
  <c r="L133" i="1"/>
  <c r="L132" i="1"/>
  <c r="M132" i="1" s="1"/>
  <c r="L131" i="1"/>
  <c r="M131" i="1" s="1"/>
  <c r="L129" i="1"/>
  <c r="M129" i="1" s="1"/>
  <c r="L128" i="1"/>
  <c r="M128" i="1" s="1"/>
  <c r="L127" i="1"/>
  <c r="L126" i="1"/>
  <c r="M126" i="1" s="1"/>
  <c r="L125" i="1"/>
  <c r="M125" i="1" s="1"/>
  <c r="L124" i="1"/>
  <c r="L123" i="1"/>
  <c r="M123" i="1" s="1"/>
  <c r="L122" i="1"/>
  <c r="M122" i="1" s="1"/>
  <c r="L121" i="1"/>
  <c r="L120" i="1"/>
  <c r="M120" i="1" s="1"/>
  <c r="L119" i="1"/>
  <c r="L117" i="1"/>
  <c r="M117" i="1" s="1"/>
  <c r="L116" i="1"/>
  <c r="L115" i="1"/>
  <c r="L114" i="1"/>
  <c r="M114" i="1" s="1"/>
  <c r="L113" i="1"/>
  <c r="L112" i="1"/>
  <c r="M112" i="1" s="1"/>
  <c r="L111" i="1"/>
  <c r="L110" i="1"/>
  <c r="M110" i="1" s="1"/>
  <c r="L109" i="1"/>
  <c r="L108" i="1"/>
  <c r="M108" i="1" s="1"/>
  <c r="L107" i="1"/>
  <c r="L106" i="1"/>
  <c r="L104" i="1"/>
  <c r="L103" i="1"/>
  <c r="M103" i="1" s="1"/>
  <c r="L102" i="1"/>
  <c r="L101" i="1"/>
  <c r="M101" i="1" s="1"/>
  <c r="L100" i="1"/>
  <c r="M100" i="1" s="1"/>
  <c r="L99" i="1"/>
  <c r="M99" i="1" s="1"/>
  <c r="L98" i="1"/>
  <c r="L97" i="1"/>
  <c r="M97" i="1" s="1"/>
  <c r="L96" i="1"/>
  <c r="M96" i="1" s="1"/>
  <c r="L95" i="1"/>
  <c r="L94" i="1"/>
  <c r="M94" i="1" s="1"/>
  <c r="L93" i="1"/>
  <c r="L92" i="1"/>
  <c r="L91" i="1"/>
  <c r="M91" i="1" s="1"/>
  <c r="L90" i="1"/>
  <c r="L89" i="1"/>
  <c r="L88" i="1"/>
  <c r="L87" i="1"/>
  <c r="M87" i="1" s="1"/>
  <c r="L86" i="1"/>
  <c r="L85" i="1"/>
  <c r="L84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7" i="1"/>
  <c r="L56" i="1"/>
  <c r="L58" i="1"/>
  <c r="L55" i="1"/>
  <c r="L54" i="1"/>
  <c r="L52" i="1"/>
  <c r="L51" i="1"/>
  <c r="L50" i="1"/>
  <c r="L49" i="1"/>
  <c r="L48" i="1"/>
  <c r="L46" i="1"/>
  <c r="L45" i="1"/>
  <c r="L44" i="1"/>
  <c r="L43" i="1"/>
  <c r="L42" i="1"/>
  <c r="L41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M26" i="1" s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K142" i="1"/>
  <c r="K66" i="1"/>
  <c r="J158" i="1"/>
  <c r="W158" i="1" s="1"/>
  <c r="AF158" i="1" s="1"/>
  <c r="G158" i="1"/>
  <c r="C158" i="1"/>
  <c r="J157" i="1"/>
  <c r="G157" i="1"/>
  <c r="C157" i="1"/>
  <c r="J156" i="1"/>
  <c r="G156" i="1"/>
  <c r="C156" i="1"/>
  <c r="J155" i="1"/>
  <c r="W155" i="1" s="1"/>
  <c r="AF155" i="1" s="1"/>
  <c r="G155" i="1"/>
  <c r="C155" i="1"/>
  <c r="J154" i="1"/>
  <c r="W154" i="1" s="1"/>
  <c r="AF154" i="1" s="1"/>
  <c r="G154" i="1"/>
  <c r="C154" i="1"/>
  <c r="M153" i="1"/>
  <c r="J153" i="1"/>
  <c r="G153" i="1"/>
  <c r="C153" i="1"/>
  <c r="J152" i="1"/>
  <c r="W152" i="1" s="1"/>
  <c r="AF152" i="1" s="1"/>
  <c r="G152" i="1"/>
  <c r="C152" i="1"/>
  <c r="J151" i="1"/>
  <c r="W151" i="1" s="1"/>
  <c r="AF151" i="1" s="1"/>
  <c r="G151" i="1"/>
  <c r="C151" i="1"/>
  <c r="J150" i="1"/>
  <c r="W150" i="1" s="1"/>
  <c r="AF150" i="1" s="1"/>
  <c r="G150" i="1"/>
  <c r="C150" i="1"/>
  <c r="J149" i="1"/>
  <c r="W149" i="1" s="1"/>
  <c r="AF149" i="1" s="1"/>
  <c r="G149" i="1"/>
  <c r="C149" i="1"/>
  <c r="J148" i="1"/>
  <c r="W148" i="1" s="1"/>
  <c r="AF148" i="1" s="1"/>
  <c r="G148" i="1"/>
  <c r="C148" i="1"/>
  <c r="J147" i="1"/>
  <c r="W147" i="1" s="1"/>
  <c r="AF147" i="1" s="1"/>
  <c r="G147" i="1"/>
  <c r="C147" i="1"/>
  <c r="J146" i="1"/>
  <c r="W146" i="1" s="1"/>
  <c r="AF146" i="1" s="1"/>
  <c r="G146" i="1"/>
  <c r="C146" i="1"/>
  <c r="J145" i="1"/>
  <c r="G145" i="1"/>
  <c r="C145" i="1"/>
  <c r="J144" i="1"/>
  <c r="W144" i="1" s="1"/>
  <c r="AF144" i="1" s="1"/>
  <c r="G144" i="1"/>
  <c r="C144" i="1"/>
  <c r="J143" i="1"/>
  <c r="G143" i="1"/>
  <c r="C143" i="1"/>
  <c r="J142" i="1"/>
  <c r="W142" i="1" s="1"/>
  <c r="AF142" i="1" s="1"/>
  <c r="G142" i="1"/>
  <c r="C142" i="1"/>
  <c r="J141" i="1"/>
  <c r="W141" i="1" s="1"/>
  <c r="AF141" i="1" s="1"/>
  <c r="G141" i="1"/>
  <c r="C141" i="1"/>
  <c r="J140" i="1"/>
  <c r="W140" i="1" s="1"/>
  <c r="AF140" i="1" s="1"/>
  <c r="G140" i="1"/>
  <c r="C140" i="1"/>
  <c r="J139" i="1"/>
  <c r="G139" i="1"/>
  <c r="C139" i="1"/>
  <c r="J138" i="1"/>
  <c r="W138" i="1" s="1"/>
  <c r="AF138" i="1" s="1"/>
  <c r="G138" i="1"/>
  <c r="C138" i="1"/>
  <c r="J137" i="1"/>
  <c r="W137" i="1" s="1"/>
  <c r="AF137" i="1" s="1"/>
  <c r="G137" i="1"/>
  <c r="C137" i="1"/>
  <c r="J136" i="1"/>
  <c r="W136" i="1" s="1"/>
  <c r="AF136" i="1" s="1"/>
  <c r="G136" i="1"/>
  <c r="C136" i="1"/>
  <c r="J135" i="1"/>
  <c r="W135" i="1" s="1"/>
  <c r="AF135" i="1" s="1"/>
  <c r="G135" i="1"/>
  <c r="C135" i="1"/>
  <c r="J134" i="1"/>
  <c r="W134" i="1" s="1"/>
  <c r="AF134" i="1" s="1"/>
  <c r="G134" i="1"/>
  <c r="C134" i="1"/>
  <c r="J133" i="1"/>
  <c r="W133" i="1" s="1"/>
  <c r="AF133" i="1" s="1"/>
  <c r="G133" i="1"/>
  <c r="C133" i="1"/>
  <c r="J132" i="1"/>
  <c r="W132" i="1" s="1"/>
  <c r="AF132" i="1" s="1"/>
  <c r="G132" i="1"/>
  <c r="C132" i="1"/>
  <c r="J131" i="1"/>
  <c r="W131" i="1" s="1"/>
  <c r="AF131" i="1" s="1"/>
  <c r="G131" i="1"/>
  <c r="C131" i="1"/>
  <c r="J129" i="1"/>
  <c r="G129" i="1"/>
  <c r="C129" i="1"/>
  <c r="J128" i="1"/>
  <c r="G128" i="1"/>
  <c r="C128" i="1"/>
  <c r="J127" i="1"/>
  <c r="W127" i="1" s="1"/>
  <c r="AF127" i="1" s="1"/>
  <c r="G127" i="1"/>
  <c r="C127" i="1"/>
  <c r="J126" i="1"/>
  <c r="W126" i="1" s="1"/>
  <c r="AF126" i="1" s="1"/>
  <c r="G126" i="1"/>
  <c r="C126" i="1"/>
  <c r="J125" i="1"/>
  <c r="G125" i="1"/>
  <c r="C125" i="1"/>
  <c r="J124" i="1"/>
  <c r="W124" i="1" s="1"/>
  <c r="AF124" i="1" s="1"/>
  <c r="G124" i="1"/>
  <c r="C124" i="1"/>
  <c r="J123" i="1"/>
  <c r="W123" i="1" s="1"/>
  <c r="AF123" i="1" s="1"/>
  <c r="G123" i="1"/>
  <c r="C123" i="1"/>
  <c r="J122" i="1"/>
  <c r="W122" i="1" s="1"/>
  <c r="AF122" i="1" s="1"/>
  <c r="G122" i="1"/>
  <c r="C122" i="1"/>
  <c r="J121" i="1"/>
  <c r="W121" i="1" s="1"/>
  <c r="AF121" i="1" s="1"/>
  <c r="G121" i="1"/>
  <c r="C121" i="1"/>
  <c r="J120" i="1"/>
  <c r="W120" i="1" s="1"/>
  <c r="AF120" i="1" s="1"/>
  <c r="G120" i="1"/>
  <c r="C120" i="1"/>
  <c r="J119" i="1"/>
  <c r="W119" i="1" s="1"/>
  <c r="AF119" i="1" s="1"/>
  <c r="G119" i="1"/>
  <c r="C119" i="1"/>
  <c r="J117" i="1"/>
  <c r="W117" i="1" s="1"/>
  <c r="AF117" i="1" s="1"/>
  <c r="G117" i="1"/>
  <c r="C117" i="1"/>
  <c r="J116" i="1"/>
  <c r="W116" i="1" s="1"/>
  <c r="AF116" i="1" s="1"/>
  <c r="G116" i="1"/>
  <c r="C116" i="1"/>
  <c r="J115" i="1"/>
  <c r="W115" i="1" s="1"/>
  <c r="AF115" i="1" s="1"/>
  <c r="G115" i="1"/>
  <c r="C115" i="1"/>
  <c r="J114" i="1"/>
  <c r="W114" i="1" s="1"/>
  <c r="AF114" i="1" s="1"/>
  <c r="G114" i="1"/>
  <c r="C114" i="1"/>
  <c r="J113" i="1"/>
  <c r="W113" i="1" s="1"/>
  <c r="AF113" i="1" s="1"/>
  <c r="G113" i="1"/>
  <c r="C113" i="1"/>
  <c r="J112" i="1"/>
  <c r="G112" i="1"/>
  <c r="C112" i="1"/>
  <c r="J111" i="1"/>
  <c r="W111" i="1" s="1"/>
  <c r="AF111" i="1" s="1"/>
  <c r="G111" i="1"/>
  <c r="C111" i="1"/>
  <c r="J110" i="1"/>
  <c r="G110" i="1"/>
  <c r="C110" i="1"/>
  <c r="J109" i="1"/>
  <c r="G109" i="1"/>
  <c r="C109" i="1"/>
  <c r="J108" i="1"/>
  <c r="W108" i="1" s="1"/>
  <c r="AF108" i="1" s="1"/>
  <c r="G108" i="1"/>
  <c r="C108" i="1"/>
  <c r="J107" i="1"/>
  <c r="W107" i="1" s="1"/>
  <c r="AF107" i="1" s="1"/>
  <c r="G107" i="1"/>
  <c r="C107" i="1"/>
  <c r="J106" i="1"/>
  <c r="W106" i="1" s="1"/>
  <c r="AF106" i="1" s="1"/>
  <c r="G106" i="1"/>
  <c r="C106" i="1"/>
  <c r="J104" i="1"/>
  <c r="W104" i="1" s="1"/>
  <c r="AF104" i="1" s="1"/>
  <c r="G104" i="1"/>
  <c r="C104" i="1"/>
  <c r="J103" i="1"/>
  <c r="W103" i="1" s="1"/>
  <c r="AF103" i="1" s="1"/>
  <c r="G103" i="1"/>
  <c r="C103" i="1"/>
  <c r="J102" i="1"/>
  <c r="G102" i="1"/>
  <c r="C102" i="1"/>
  <c r="J101" i="1"/>
  <c r="G101" i="1"/>
  <c r="C101" i="1"/>
  <c r="J100" i="1"/>
  <c r="G100" i="1"/>
  <c r="C100" i="1"/>
  <c r="J99" i="1"/>
  <c r="G99" i="1"/>
  <c r="C99" i="1"/>
  <c r="J98" i="1"/>
  <c r="G98" i="1"/>
  <c r="C98" i="1"/>
  <c r="J97" i="1"/>
  <c r="G97" i="1"/>
  <c r="C97" i="1"/>
  <c r="J96" i="1"/>
  <c r="W96" i="1" s="1"/>
  <c r="AF96" i="1" s="1"/>
  <c r="G96" i="1"/>
  <c r="C96" i="1"/>
  <c r="J95" i="1"/>
  <c r="G95" i="1"/>
  <c r="C95" i="1"/>
  <c r="J94" i="1"/>
  <c r="W94" i="1" s="1"/>
  <c r="AF94" i="1" s="1"/>
  <c r="G94" i="1"/>
  <c r="C94" i="1"/>
  <c r="J93" i="1"/>
  <c r="W93" i="1" s="1"/>
  <c r="AF93" i="1" s="1"/>
  <c r="G93" i="1"/>
  <c r="C93" i="1"/>
  <c r="J92" i="1"/>
  <c r="W92" i="1" s="1"/>
  <c r="AF92" i="1" s="1"/>
  <c r="G92" i="1"/>
  <c r="C92" i="1"/>
  <c r="J91" i="1"/>
  <c r="W91" i="1" s="1"/>
  <c r="AF91" i="1" s="1"/>
  <c r="G91" i="1"/>
  <c r="C91" i="1"/>
  <c r="J90" i="1"/>
  <c r="W90" i="1" s="1"/>
  <c r="AF90" i="1" s="1"/>
  <c r="G90" i="1"/>
  <c r="C90" i="1"/>
  <c r="J89" i="1"/>
  <c r="G89" i="1"/>
  <c r="C89" i="1"/>
  <c r="J88" i="1"/>
  <c r="G88" i="1"/>
  <c r="C88" i="1"/>
  <c r="J87" i="1"/>
  <c r="W87" i="1" s="1"/>
  <c r="AF87" i="1" s="1"/>
  <c r="G87" i="1"/>
  <c r="C87" i="1"/>
  <c r="J86" i="1"/>
  <c r="W86" i="1" s="1"/>
  <c r="AF86" i="1" s="1"/>
  <c r="G86" i="1"/>
  <c r="C86" i="1"/>
  <c r="J85" i="1"/>
  <c r="W85" i="1" s="1"/>
  <c r="AF85" i="1" s="1"/>
  <c r="G85" i="1"/>
  <c r="C85" i="1"/>
  <c r="J84" i="1"/>
  <c r="W84" i="1" s="1"/>
  <c r="AF84" i="1" s="1"/>
  <c r="G84" i="1"/>
  <c r="C84" i="1"/>
  <c r="J66" i="1"/>
  <c r="W66" i="1" s="1"/>
  <c r="AF66" i="1" s="1"/>
  <c r="G66" i="1"/>
  <c r="C66" i="1"/>
  <c r="J58" i="1"/>
  <c r="W58" i="1" s="1"/>
  <c r="AF58" i="1" s="1"/>
  <c r="G58" i="1"/>
  <c r="C58" i="1"/>
  <c r="P272" i="28"/>
  <c r="P273" i="28"/>
  <c r="P274" i="28"/>
  <c r="P275" i="28"/>
  <c r="P276" i="28"/>
  <c r="P277" i="28"/>
  <c r="K65" i="1" s="1"/>
  <c r="P279" i="28"/>
  <c r="P280" i="28"/>
  <c r="P281" i="28"/>
  <c r="P282" i="28"/>
  <c r="K70" i="1" s="1"/>
  <c r="P283" i="28"/>
  <c r="P284" i="28"/>
  <c r="P285" i="28"/>
  <c r="P286" i="28"/>
  <c r="P287" i="28"/>
  <c r="P288" i="28"/>
  <c r="P289" i="28"/>
  <c r="P290" i="28"/>
  <c r="P291" i="28"/>
  <c r="P292" i="28"/>
  <c r="P293" i="28"/>
  <c r="P294" i="28"/>
  <c r="P295" i="28"/>
  <c r="K47" i="1" s="1"/>
  <c r="P296" i="28"/>
  <c r="P297" i="28"/>
  <c r="P298" i="28"/>
  <c r="K162" i="1" s="1"/>
  <c r="P299" i="28"/>
  <c r="X299" i="28" s="1"/>
  <c r="P300" i="28"/>
  <c r="P301" i="28"/>
  <c r="P302" i="28"/>
  <c r="P303" i="28"/>
  <c r="P304" i="28"/>
  <c r="C26" i="1"/>
  <c r="G26" i="1"/>
  <c r="J26" i="1"/>
  <c r="W26" i="1" s="1"/>
  <c r="AF26" i="1" s="1"/>
  <c r="L11" i="1"/>
  <c r="M11" i="1" s="1"/>
  <c r="J11" i="1"/>
  <c r="W11" i="1" s="1"/>
  <c r="AF11" i="1" s="1"/>
  <c r="G11" i="1"/>
  <c r="C11" i="1"/>
  <c r="L10" i="1"/>
  <c r="M10" i="1" s="1"/>
  <c r="J10" i="1"/>
  <c r="G10" i="1"/>
  <c r="C10" i="1"/>
  <c r="X287" i="28"/>
  <c r="P254" i="28"/>
  <c r="O254" i="28"/>
  <c r="P238" i="28"/>
  <c r="P239" i="28"/>
  <c r="P240" i="28"/>
  <c r="P241" i="28"/>
  <c r="P242" i="28"/>
  <c r="P243" i="28"/>
  <c r="P244" i="28"/>
  <c r="K95" i="1" s="1"/>
  <c r="P245" i="28"/>
  <c r="P246" i="28"/>
  <c r="P247" i="28"/>
  <c r="P248" i="28"/>
  <c r="P249" i="28"/>
  <c r="P250" i="28"/>
  <c r="P251" i="28"/>
  <c r="P252" i="28"/>
  <c r="P253" i="28"/>
  <c r="P255" i="28"/>
  <c r="P256" i="28"/>
  <c r="P257" i="28"/>
  <c r="P258" i="28"/>
  <c r="X258" i="28" s="1"/>
  <c r="W457" i="28"/>
  <c r="V457" i="28"/>
  <c r="S457" i="28"/>
  <c r="T457" i="28" s="1"/>
  <c r="Y457" i="28" s="1"/>
  <c r="P457" i="28"/>
  <c r="W456" i="28"/>
  <c r="V456" i="28"/>
  <c r="S456" i="28"/>
  <c r="T456" i="28" s="1"/>
  <c r="P456" i="28"/>
  <c r="W455" i="28"/>
  <c r="V455" i="28"/>
  <c r="S455" i="28"/>
  <c r="T455" i="28" s="1"/>
  <c r="Y455" i="28" s="1"/>
  <c r="P455" i="28"/>
  <c r="X455" i="28" s="1"/>
  <c r="W454" i="28"/>
  <c r="V454" i="28"/>
  <c r="T454" i="28"/>
  <c r="S454" i="28"/>
  <c r="P454" i="28"/>
  <c r="W453" i="28"/>
  <c r="V453" i="28"/>
  <c r="T453" i="28"/>
  <c r="S453" i="28"/>
  <c r="P453" i="28"/>
  <c r="W452" i="28"/>
  <c r="V452" i="28"/>
  <c r="T452" i="28"/>
  <c r="Y452" i="28" s="1"/>
  <c r="S452" i="28"/>
  <c r="P452" i="28"/>
  <c r="W451" i="28"/>
  <c r="V451" i="28"/>
  <c r="S451" i="28"/>
  <c r="T451" i="28" s="1"/>
  <c r="Y451" i="28" s="1"/>
  <c r="P451" i="28"/>
  <c r="X451" i="28" s="1"/>
  <c r="W450" i="28"/>
  <c r="V450" i="28"/>
  <c r="S450" i="28"/>
  <c r="T450" i="28" s="1"/>
  <c r="Y450" i="28" s="1"/>
  <c r="P450" i="28"/>
  <c r="W449" i="28"/>
  <c r="V449" i="28"/>
  <c r="T449" i="28"/>
  <c r="Y449" i="28" s="1"/>
  <c r="S449" i="28"/>
  <c r="P449" i="28"/>
  <c r="X449" i="28" s="1"/>
  <c r="Z449" i="28" s="1"/>
  <c r="AA449" i="28" s="1"/>
  <c r="W448" i="28"/>
  <c r="V448" i="28"/>
  <c r="T448" i="28"/>
  <c r="S448" i="28"/>
  <c r="P448" i="28"/>
  <c r="U448" i="28" s="1"/>
  <c r="W447" i="28"/>
  <c r="V447" i="28"/>
  <c r="T447" i="28"/>
  <c r="Y447" i="28" s="1"/>
  <c r="S447" i="28"/>
  <c r="P447" i="28"/>
  <c r="X447" i="28" s="1"/>
  <c r="W446" i="28"/>
  <c r="V446" i="28"/>
  <c r="T446" i="28"/>
  <c r="S446" i="28"/>
  <c r="P446" i="28"/>
  <c r="X446" i="28" s="1"/>
  <c r="W445" i="28"/>
  <c r="V445" i="28"/>
  <c r="S445" i="28"/>
  <c r="T445" i="28" s="1"/>
  <c r="P445" i="28"/>
  <c r="W444" i="28"/>
  <c r="V444" i="28"/>
  <c r="T444" i="28"/>
  <c r="Y444" i="28" s="1"/>
  <c r="S444" i="28"/>
  <c r="P444" i="28"/>
  <c r="W443" i="28"/>
  <c r="V443" i="28"/>
  <c r="S443" i="28"/>
  <c r="T443" i="28" s="1"/>
  <c r="Y443" i="28" s="1"/>
  <c r="P443" i="28"/>
  <c r="W442" i="28"/>
  <c r="V442" i="28"/>
  <c r="T442" i="28"/>
  <c r="Y442" i="28" s="1"/>
  <c r="S442" i="28"/>
  <c r="P442" i="28"/>
  <c r="W441" i="28"/>
  <c r="V441" i="28"/>
  <c r="T441" i="28"/>
  <c r="Y441" i="28" s="1"/>
  <c r="S441" i="28"/>
  <c r="P441" i="28"/>
  <c r="W440" i="28"/>
  <c r="V440" i="28"/>
  <c r="T440" i="28"/>
  <c r="Y440" i="28" s="1"/>
  <c r="S440" i="28"/>
  <c r="P440" i="28"/>
  <c r="W439" i="28"/>
  <c r="V439" i="28"/>
  <c r="T439" i="28"/>
  <c r="S439" i="28"/>
  <c r="P439" i="28"/>
  <c r="W438" i="28"/>
  <c r="V438" i="28"/>
  <c r="S438" i="28"/>
  <c r="T438" i="28" s="1"/>
  <c r="P438" i="28"/>
  <c r="W437" i="28"/>
  <c r="V437" i="28"/>
  <c r="S437" i="28"/>
  <c r="T437" i="28" s="1"/>
  <c r="Y437" i="28" s="1"/>
  <c r="P437" i="28"/>
  <c r="X437" i="28" s="1"/>
  <c r="Z437" i="28" s="1"/>
  <c r="AA437" i="28" s="1"/>
  <c r="W436" i="28"/>
  <c r="V436" i="28"/>
  <c r="T436" i="28"/>
  <c r="S436" i="28"/>
  <c r="P436" i="28"/>
  <c r="W435" i="28"/>
  <c r="V435" i="28"/>
  <c r="T435" i="28"/>
  <c r="S435" i="28"/>
  <c r="P435" i="28"/>
  <c r="X435" i="28" s="1"/>
  <c r="W434" i="28"/>
  <c r="V434" i="28"/>
  <c r="T434" i="28"/>
  <c r="S434" i="28"/>
  <c r="P434" i="28"/>
  <c r="X434" i="28" s="1"/>
  <c r="W433" i="28"/>
  <c r="V433" i="28"/>
  <c r="S433" i="28"/>
  <c r="T433" i="28" s="1"/>
  <c r="Y433" i="28" s="1"/>
  <c r="P433" i="28"/>
  <c r="X433" i="28" s="1"/>
  <c r="W432" i="28"/>
  <c r="V432" i="28"/>
  <c r="T432" i="28"/>
  <c r="Y432" i="28" s="1"/>
  <c r="S432" i="28"/>
  <c r="P432" i="28"/>
  <c r="W431" i="28"/>
  <c r="V431" i="28"/>
  <c r="T431" i="28"/>
  <c r="Y431" i="28" s="1"/>
  <c r="S431" i="28"/>
  <c r="P431" i="28"/>
  <c r="X431" i="28" s="1"/>
  <c r="W430" i="28"/>
  <c r="V430" i="28"/>
  <c r="T430" i="28"/>
  <c r="S430" i="28"/>
  <c r="P430" i="28"/>
  <c r="U430" i="28" s="1"/>
  <c r="W429" i="28"/>
  <c r="V429" i="28"/>
  <c r="T429" i="28"/>
  <c r="S429" i="28"/>
  <c r="P429" i="28"/>
  <c r="X429" i="28" s="1"/>
  <c r="W428" i="28"/>
  <c r="V428" i="28"/>
  <c r="S428" i="28"/>
  <c r="T428" i="28" s="1"/>
  <c r="Y428" i="28" s="1"/>
  <c r="P428" i="28"/>
  <c r="W427" i="28"/>
  <c r="V427" i="28"/>
  <c r="S427" i="28"/>
  <c r="T427" i="28" s="1"/>
  <c r="P427" i="28"/>
  <c r="X427" i="28" s="1"/>
  <c r="W426" i="28"/>
  <c r="V426" i="28"/>
  <c r="S426" i="28"/>
  <c r="T426" i="28" s="1"/>
  <c r="Y426" i="28" s="1"/>
  <c r="P426" i="28"/>
  <c r="W425" i="28"/>
  <c r="V425" i="28"/>
  <c r="S425" i="28"/>
  <c r="T425" i="28" s="1"/>
  <c r="Y425" i="28" s="1"/>
  <c r="P425" i="28"/>
  <c r="W424" i="28"/>
  <c r="V424" i="28"/>
  <c r="T424" i="28"/>
  <c r="Y424" i="28" s="1"/>
  <c r="S424" i="28"/>
  <c r="P424" i="28"/>
  <c r="W423" i="28"/>
  <c r="V423" i="28"/>
  <c r="T423" i="28"/>
  <c r="S423" i="28"/>
  <c r="P423" i="28"/>
  <c r="U423" i="28" s="1"/>
  <c r="W422" i="28"/>
  <c r="V422" i="28"/>
  <c r="S422" i="28"/>
  <c r="T422" i="28" s="1"/>
  <c r="P422" i="28"/>
  <c r="W421" i="28"/>
  <c r="V421" i="28"/>
  <c r="T421" i="28"/>
  <c r="Y421" i="28" s="1"/>
  <c r="S421" i="28"/>
  <c r="P421" i="28"/>
  <c r="W420" i="28"/>
  <c r="V420" i="28"/>
  <c r="S420" i="28"/>
  <c r="T420" i="28" s="1"/>
  <c r="Y420" i="28" s="1"/>
  <c r="P420" i="28"/>
  <c r="X420" i="28" s="1"/>
  <c r="Z420" i="28" s="1"/>
  <c r="AA420" i="28" s="1"/>
  <c r="W419" i="28"/>
  <c r="V419" i="28"/>
  <c r="T419" i="28"/>
  <c r="Y419" i="28" s="1"/>
  <c r="S419" i="28"/>
  <c r="P419" i="28"/>
  <c r="W418" i="28"/>
  <c r="V418" i="28"/>
  <c r="T418" i="28"/>
  <c r="S418" i="28"/>
  <c r="P418" i="28"/>
  <c r="W417" i="28"/>
  <c r="V417" i="28"/>
  <c r="T417" i="28"/>
  <c r="Y417" i="28" s="1"/>
  <c r="S417" i="28"/>
  <c r="P417" i="28"/>
  <c r="X417" i="28" s="1"/>
  <c r="Z417" i="28" s="1"/>
  <c r="AA417" i="28" s="1"/>
  <c r="W416" i="28"/>
  <c r="V416" i="28"/>
  <c r="S416" i="28"/>
  <c r="T416" i="28" s="1"/>
  <c r="Y416" i="28" s="1"/>
  <c r="P416" i="28"/>
  <c r="W415" i="28"/>
  <c r="V415" i="28"/>
  <c r="T415" i="28"/>
  <c r="S415" i="28"/>
  <c r="P415" i="28"/>
  <c r="X415" i="28" s="1"/>
  <c r="W414" i="28"/>
  <c r="V414" i="28"/>
  <c r="S414" i="28"/>
  <c r="T414" i="28" s="1"/>
  <c r="Y414" i="28" s="1"/>
  <c r="P414" i="28"/>
  <c r="W413" i="28"/>
  <c r="V413" i="28"/>
  <c r="T413" i="28"/>
  <c r="Y413" i="28" s="1"/>
  <c r="S413" i="28"/>
  <c r="P413" i="28"/>
  <c r="W412" i="28"/>
  <c r="V412" i="28"/>
  <c r="T412" i="28"/>
  <c r="Y412" i="28" s="1"/>
  <c r="S412" i="28"/>
  <c r="P412" i="28"/>
  <c r="W411" i="28"/>
  <c r="V411" i="28"/>
  <c r="T411" i="28"/>
  <c r="Y411" i="28" s="1"/>
  <c r="S411" i="28"/>
  <c r="P411" i="28"/>
  <c r="W410" i="28"/>
  <c r="V410" i="28"/>
  <c r="T410" i="28"/>
  <c r="S410" i="28"/>
  <c r="P410" i="28"/>
  <c r="U410" i="28" s="1"/>
  <c r="W409" i="28"/>
  <c r="V409" i="28"/>
  <c r="S409" i="28"/>
  <c r="T409" i="28" s="1"/>
  <c r="Y409" i="28" s="1"/>
  <c r="P409" i="28"/>
  <c r="X409" i="28" s="1"/>
  <c r="W408" i="28"/>
  <c r="V408" i="28"/>
  <c r="S408" i="28"/>
  <c r="T408" i="28" s="1"/>
  <c r="Y408" i="28" s="1"/>
  <c r="P408" i="28"/>
  <c r="U408" i="28" s="1"/>
  <c r="W407" i="28"/>
  <c r="V407" i="28"/>
  <c r="T407" i="28"/>
  <c r="Y407" i="28" s="1"/>
  <c r="S407" i="28"/>
  <c r="P407" i="28"/>
  <c r="U407" i="28" s="1"/>
  <c r="W406" i="28"/>
  <c r="V406" i="28"/>
  <c r="T406" i="28"/>
  <c r="Y406" i="28" s="1"/>
  <c r="S406" i="28"/>
  <c r="P406" i="28"/>
  <c r="W405" i="28"/>
  <c r="V405" i="28"/>
  <c r="T405" i="28"/>
  <c r="Y405" i="28" s="1"/>
  <c r="S405" i="28"/>
  <c r="P405" i="28"/>
  <c r="X405" i="28" s="1"/>
  <c r="W404" i="28"/>
  <c r="V404" i="28"/>
  <c r="S404" i="28"/>
  <c r="T404" i="28" s="1"/>
  <c r="Y404" i="28" s="1"/>
  <c r="P404" i="28"/>
  <c r="W403" i="28"/>
  <c r="V403" i="28"/>
  <c r="T403" i="28"/>
  <c r="S403" i="28"/>
  <c r="P403" i="28"/>
  <c r="W402" i="28"/>
  <c r="V402" i="28"/>
  <c r="T402" i="28"/>
  <c r="Y402" i="28" s="1"/>
  <c r="S402" i="28"/>
  <c r="P402" i="28"/>
  <c r="X402" i="28" s="1"/>
  <c r="Z402" i="28" s="1"/>
  <c r="AA402" i="28" s="1"/>
  <c r="W401" i="28"/>
  <c r="V401" i="28"/>
  <c r="S401" i="28"/>
  <c r="T401" i="28" s="1"/>
  <c r="Y401" i="28" s="1"/>
  <c r="P401" i="28"/>
  <c r="W400" i="28"/>
  <c r="V400" i="28"/>
  <c r="T400" i="28"/>
  <c r="Y400" i="28" s="1"/>
  <c r="S400" i="28"/>
  <c r="P400" i="28"/>
  <c r="W399" i="28"/>
  <c r="V399" i="28"/>
  <c r="T399" i="28"/>
  <c r="S399" i="28"/>
  <c r="P399" i="28"/>
  <c r="U399" i="28" s="1"/>
  <c r="W398" i="28"/>
  <c r="V398" i="28"/>
  <c r="S398" i="28"/>
  <c r="T398" i="28" s="1"/>
  <c r="P398" i="28"/>
  <c r="W397" i="28"/>
  <c r="V397" i="28"/>
  <c r="S397" i="28"/>
  <c r="T397" i="28" s="1"/>
  <c r="Y397" i="28" s="1"/>
  <c r="P397" i="28"/>
  <c r="W396" i="28"/>
  <c r="V396" i="28"/>
  <c r="S396" i="28"/>
  <c r="T396" i="28" s="1"/>
  <c r="Y396" i="28" s="1"/>
  <c r="P396" i="28"/>
  <c r="X396" i="28" s="1"/>
  <c r="W395" i="28"/>
  <c r="V395" i="28"/>
  <c r="T395" i="28"/>
  <c r="Y395" i="28" s="1"/>
  <c r="S395" i="28"/>
  <c r="P395" i="28"/>
  <c r="W394" i="28"/>
  <c r="V394" i="28"/>
  <c r="T394" i="28"/>
  <c r="Y394" i="28" s="1"/>
  <c r="S394" i="28"/>
  <c r="P394" i="28"/>
  <c r="W393" i="28"/>
  <c r="V393" i="28"/>
  <c r="T393" i="28"/>
  <c r="Y393" i="28" s="1"/>
  <c r="S393" i="28"/>
  <c r="P393" i="28"/>
  <c r="W392" i="28"/>
  <c r="V392" i="28"/>
  <c r="S392" i="28"/>
  <c r="T392" i="28" s="1"/>
  <c r="Y392" i="28" s="1"/>
  <c r="P392" i="28"/>
  <c r="W391" i="28"/>
  <c r="V391" i="28"/>
  <c r="T391" i="28"/>
  <c r="S391" i="28"/>
  <c r="P391" i="28"/>
  <c r="U391" i="28" s="1"/>
  <c r="W390" i="28"/>
  <c r="V390" i="28"/>
  <c r="S390" i="28"/>
  <c r="T390" i="28" s="1"/>
  <c r="Y390" i="28" s="1"/>
  <c r="P390" i="28"/>
  <c r="W389" i="28"/>
  <c r="V389" i="28"/>
  <c r="T389" i="28"/>
  <c r="Y389" i="28" s="1"/>
  <c r="S389" i="28"/>
  <c r="P389" i="28"/>
  <c r="W388" i="28"/>
  <c r="V388" i="28"/>
  <c r="T388" i="28"/>
  <c r="Y388" i="28" s="1"/>
  <c r="S388" i="28"/>
  <c r="P388" i="28"/>
  <c r="W387" i="28"/>
  <c r="V387" i="28"/>
  <c r="T387" i="28"/>
  <c r="S387" i="28"/>
  <c r="P387" i="28"/>
  <c r="U387" i="28" s="1"/>
  <c r="W386" i="28"/>
  <c r="V386" i="28"/>
  <c r="S386" i="28"/>
  <c r="T386" i="28" s="1"/>
  <c r="P386" i="28"/>
  <c r="X386" i="28" s="1"/>
  <c r="W385" i="28"/>
  <c r="V385" i="28"/>
  <c r="T385" i="28"/>
  <c r="Y385" i="28" s="1"/>
  <c r="S385" i="28"/>
  <c r="P385" i="28"/>
  <c r="X385" i="28" s="1"/>
  <c r="W384" i="28"/>
  <c r="V384" i="28"/>
  <c r="S384" i="28"/>
  <c r="T384" i="28" s="1"/>
  <c r="Y384" i="28" s="1"/>
  <c r="P384" i="28"/>
  <c r="W383" i="28"/>
  <c r="V383" i="28"/>
  <c r="T383" i="28"/>
  <c r="Y383" i="28" s="1"/>
  <c r="S383" i="28"/>
  <c r="P383" i="28"/>
  <c r="W382" i="28"/>
  <c r="V382" i="28"/>
  <c r="T382" i="28"/>
  <c r="Y382" i="28" s="1"/>
  <c r="S382" i="28"/>
  <c r="P382" i="28"/>
  <c r="W381" i="28"/>
  <c r="V381" i="28"/>
  <c r="T381" i="28"/>
  <c r="Y381" i="28" s="1"/>
  <c r="S381" i="28"/>
  <c r="P381" i="28"/>
  <c r="W380" i="28"/>
  <c r="V380" i="28"/>
  <c r="S380" i="28"/>
  <c r="T380" i="28" s="1"/>
  <c r="Y380" i="28" s="1"/>
  <c r="P380" i="28"/>
  <c r="W379" i="28"/>
  <c r="V379" i="28"/>
  <c r="T379" i="28"/>
  <c r="S379" i="28"/>
  <c r="P379" i="28"/>
  <c r="W378" i="28"/>
  <c r="V378" i="28"/>
  <c r="S378" i="28"/>
  <c r="T378" i="28" s="1"/>
  <c r="Y378" i="28" s="1"/>
  <c r="P378" i="28"/>
  <c r="U378" i="28" s="1"/>
  <c r="W377" i="28"/>
  <c r="V377" i="28"/>
  <c r="S377" i="28"/>
  <c r="T377" i="28" s="1"/>
  <c r="Y377" i="28" s="1"/>
  <c r="P377" i="28"/>
  <c r="W376" i="28"/>
  <c r="V376" i="28"/>
  <c r="T376" i="28"/>
  <c r="Y376" i="28" s="1"/>
  <c r="S376" i="28"/>
  <c r="P376" i="28"/>
  <c r="W375" i="28"/>
  <c r="V375" i="28"/>
  <c r="T375" i="28"/>
  <c r="Y375" i="28" s="1"/>
  <c r="S375" i="28"/>
  <c r="P375" i="28"/>
  <c r="W374" i="28"/>
  <c r="V374" i="28"/>
  <c r="T374" i="28"/>
  <c r="Y374" i="28" s="1"/>
  <c r="S374" i="28"/>
  <c r="P374" i="28"/>
  <c r="W373" i="28"/>
  <c r="V373" i="28"/>
  <c r="S373" i="28"/>
  <c r="T373" i="28" s="1"/>
  <c r="Y373" i="28" s="1"/>
  <c r="P373" i="28"/>
  <c r="W372" i="28"/>
  <c r="V372" i="28"/>
  <c r="S372" i="28"/>
  <c r="T372" i="28" s="1"/>
  <c r="Y372" i="28" s="1"/>
  <c r="P372" i="28"/>
  <c r="W371" i="28"/>
  <c r="V371" i="28"/>
  <c r="T371" i="28"/>
  <c r="Y371" i="28" s="1"/>
  <c r="S371" i="28"/>
  <c r="P371" i="28"/>
  <c r="U371" i="28" s="1"/>
  <c r="W370" i="28"/>
  <c r="V370" i="28"/>
  <c r="T370" i="28"/>
  <c r="Y370" i="28" s="1"/>
  <c r="S370" i="28"/>
  <c r="P370" i="28"/>
  <c r="W369" i="28"/>
  <c r="V369" i="28"/>
  <c r="T369" i="28"/>
  <c r="Y369" i="28" s="1"/>
  <c r="S369" i="28"/>
  <c r="P369" i="28"/>
  <c r="W368" i="28"/>
  <c r="V368" i="28"/>
  <c r="S368" i="28"/>
  <c r="T368" i="28" s="1"/>
  <c r="Y368" i="28" s="1"/>
  <c r="P368" i="28"/>
  <c r="W367" i="28"/>
  <c r="V367" i="28"/>
  <c r="T367" i="28"/>
  <c r="S367" i="28"/>
  <c r="P367" i="28"/>
  <c r="U367" i="28" s="1"/>
  <c r="W366" i="28"/>
  <c r="V366" i="28"/>
  <c r="T366" i="28"/>
  <c r="Y366" i="28" s="1"/>
  <c r="S366" i="28"/>
  <c r="P366" i="28"/>
  <c r="W365" i="28"/>
  <c r="V365" i="28"/>
  <c r="S365" i="28"/>
  <c r="T365" i="28" s="1"/>
  <c r="Y365" i="28" s="1"/>
  <c r="P365" i="28"/>
  <c r="W364" i="28"/>
  <c r="V364" i="28"/>
  <c r="T364" i="28"/>
  <c r="Y364" i="28" s="1"/>
  <c r="S364" i="28"/>
  <c r="P364" i="28"/>
  <c r="W363" i="28"/>
  <c r="V363" i="28"/>
  <c r="T363" i="28"/>
  <c r="S363" i="28"/>
  <c r="P363" i="28"/>
  <c r="U363" i="28" s="1"/>
  <c r="W362" i="28"/>
  <c r="V362" i="28"/>
  <c r="S362" i="28"/>
  <c r="T362" i="28" s="1"/>
  <c r="P362" i="28"/>
  <c r="X362" i="28" s="1"/>
  <c r="W361" i="28"/>
  <c r="V361" i="28"/>
  <c r="T361" i="28"/>
  <c r="Y361" i="28" s="1"/>
  <c r="S361" i="28"/>
  <c r="P361" i="28"/>
  <c r="X361" i="28" s="1"/>
  <c r="W360" i="28"/>
  <c r="V360" i="28"/>
  <c r="S360" i="28"/>
  <c r="T360" i="28" s="1"/>
  <c r="Y360" i="28" s="1"/>
  <c r="P360" i="28"/>
  <c r="W359" i="28"/>
  <c r="V359" i="28"/>
  <c r="T359" i="28"/>
  <c r="Y359" i="28" s="1"/>
  <c r="S359" i="28"/>
  <c r="P359" i="28"/>
  <c r="W358" i="28"/>
  <c r="V358" i="28"/>
  <c r="T358" i="28"/>
  <c r="Y358" i="28" s="1"/>
  <c r="S358" i="28"/>
  <c r="P358" i="28"/>
  <c r="X358" i="28" s="1"/>
  <c r="W357" i="28"/>
  <c r="V357" i="28"/>
  <c r="T357" i="28"/>
  <c r="Y357" i="28" s="1"/>
  <c r="S357" i="28"/>
  <c r="P357" i="28"/>
  <c r="W356" i="28"/>
  <c r="V356" i="28"/>
  <c r="S356" i="28"/>
  <c r="T356" i="28" s="1"/>
  <c r="Y356" i="28" s="1"/>
  <c r="P356" i="28"/>
  <c r="W355" i="28"/>
  <c r="V355" i="28"/>
  <c r="T355" i="28"/>
  <c r="S355" i="28"/>
  <c r="P355" i="28"/>
  <c r="W354" i="28"/>
  <c r="V354" i="28"/>
  <c r="S354" i="28"/>
  <c r="T354" i="28" s="1"/>
  <c r="Y354" i="28" s="1"/>
  <c r="P354" i="28"/>
  <c r="U354" i="28" s="1"/>
  <c r="W353" i="28"/>
  <c r="V353" i="28"/>
  <c r="S353" i="28"/>
  <c r="T353" i="28" s="1"/>
  <c r="Y353" i="28" s="1"/>
  <c r="P353" i="28"/>
  <c r="W352" i="28"/>
  <c r="V352" i="28"/>
  <c r="T352" i="28"/>
  <c r="Y352" i="28" s="1"/>
  <c r="S352" i="28"/>
  <c r="P352" i="28"/>
  <c r="W351" i="28"/>
  <c r="V351" i="28"/>
  <c r="T351" i="28"/>
  <c r="Y351" i="28" s="1"/>
  <c r="S351" i="28"/>
  <c r="P351" i="28"/>
  <c r="W350" i="28"/>
  <c r="V350" i="28"/>
  <c r="T350" i="28"/>
  <c r="S350" i="28"/>
  <c r="P350" i="28"/>
  <c r="W349" i="28"/>
  <c r="V349" i="28"/>
  <c r="S349" i="28"/>
  <c r="T349" i="28" s="1"/>
  <c r="Y349" i="28" s="1"/>
  <c r="P349" i="28"/>
  <c r="X349" i="28" s="1"/>
  <c r="W348" i="28"/>
  <c r="V348" i="28"/>
  <c r="S348" i="28"/>
  <c r="T348" i="28" s="1"/>
  <c r="Y348" i="28" s="1"/>
  <c r="P348" i="28"/>
  <c r="W347" i="28"/>
  <c r="V347" i="28"/>
  <c r="T347" i="28"/>
  <c r="Y347" i="28" s="1"/>
  <c r="S347" i="28"/>
  <c r="P347" i="28"/>
  <c r="U347" i="28" s="1"/>
  <c r="W346" i="28"/>
  <c r="V346" i="28"/>
  <c r="T346" i="28"/>
  <c r="Y346" i="28" s="1"/>
  <c r="S346" i="28"/>
  <c r="P346" i="28"/>
  <c r="W345" i="28"/>
  <c r="V345" i="28"/>
  <c r="T345" i="28"/>
  <c r="Y345" i="28" s="1"/>
  <c r="S345" i="28"/>
  <c r="P345" i="28"/>
  <c r="U345" i="28" s="1"/>
  <c r="W344" i="28"/>
  <c r="V344" i="28"/>
  <c r="S344" i="28"/>
  <c r="T344" i="28" s="1"/>
  <c r="Y344" i="28" s="1"/>
  <c r="P344" i="28"/>
  <c r="W343" i="28"/>
  <c r="V343" i="28"/>
  <c r="T343" i="28"/>
  <c r="S343" i="28"/>
  <c r="P343" i="28"/>
  <c r="U343" i="28" s="1"/>
  <c r="W342" i="28"/>
  <c r="V342" i="28"/>
  <c r="T342" i="28"/>
  <c r="Y342" i="28" s="1"/>
  <c r="S342" i="28"/>
  <c r="P342" i="28"/>
  <c r="U342" i="28" s="1"/>
  <c r="W341" i="28"/>
  <c r="V341" i="28"/>
  <c r="S341" i="28"/>
  <c r="T341" i="28" s="1"/>
  <c r="Y341" i="28" s="1"/>
  <c r="P341" i="28"/>
  <c r="W340" i="28"/>
  <c r="V340" i="28"/>
  <c r="T340" i="28"/>
  <c r="Y340" i="28" s="1"/>
  <c r="S340" i="28"/>
  <c r="P340" i="28"/>
  <c r="W339" i="28"/>
  <c r="V339" i="28"/>
  <c r="T339" i="28"/>
  <c r="S339" i="28"/>
  <c r="P339" i="28"/>
  <c r="U339" i="28" s="1"/>
  <c r="W338" i="28"/>
  <c r="V338" i="28"/>
  <c r="S338" i="28"/>
  <c r="T338" i="28" s="1"/>
  <c r="P338" i="28"/>
  <c r="W337" i="28"/>
  <c r="V337" i="28"/>
  <c r="S337" i="28"/>
  <c r="T337" i="28" s="1"/>
  <c r="Y337" i="28" s="1"/>
  <c r="P337" i="28"/>
  <c r="W336" i="28"/>
  <c r="V336" i="28"/>
  <c r="S336" i="28"/>
  <c r="T336" i="28" s="1"/>
  <c r="Y336" i="28" s="1"/>
  <c r="P336" i="28"/>
  <c r="X336" i="28" s="1"/>
  <c r="Z336" i="28" s="1"/>
  <c r="AA336" i="28" s="1"/>
  <c r="W335" i="28"/>
  <c r="V335" i="28"/>
  <c r="T335" i="28"/>
  <c r="Y335" i="28" s="1"/>
  <c r="S335" i="28"/>
  <c r="P335" i="28"/>
  <c r="W334" i="28"/>
  <c r="V334" i="28"/>
  <c r="T334" i="28"/>
  <c r="Y334" i="28" s="1"/>
  <c r="S334" i="28"/>
  <c r="P334" i="28"/>
  <c r="W333" i="28"/>
  <c r="V333" i="28"/>
  <c r="T333" i="28"/>
  <c r="Y333" i="28" s="1"/>
  <c r="S333" i="28"/>
  <c r="P333" i="28"/>
  <c r="W332" i="28"/>
  <c r="V332" i="28"/>
  <c r="S332" i="28"/>
  <c r="T332" i="28" s="1"/>
  <c r="Y332" i="28" s="1"/>
  <c r="P332" i="28"/>
  <c r="W331" i="28"/>
  <c r="V331" i="28"/>
  <c r="T331" i="28"/>
  <c r="S331" i="28"/>
  <c r="P331" i="28"/>
  <c r="U331" i="28" s="1"/>
  <c r="W330" i="28"/>
  <c r="V330" i="28"/>
  <c r="S330" i="28"/>
  <c r="T330" i="28" s="1"/>
  <c r="Y330" i="28" s="1"/>
  <c r="P330" i="28"/>
  <c r="W329" i="28"/>
  <c r="V329" i="28"/>
  <c r="S329" i="28"/>
  <c r="T329" i="28" s="1"/>
  <c r="Y329" i="28" s="1"/>
  <c r="P329" i="28"/>
  <c r="W328" i="28"/>
  <c r="V328" i="28"/>
  <c r="T328" i="28"/>
  <c r="Y328" i="28" s="1"/>
  <c r="S328" i="28"/>
  <c r="P328" i="28"/>
  <c r="W327" i="28"/>
  <c r="V327" i="28"/>
  <c r="T327" i="28"/>
  <c r="S327" i="28"/>
  <c r="P327" i="28"/>
  <c r="W326" i="28"/>
  <c r="V326" i="28"/>
  <c r="S326" i="28"/>
  <c r="T326" i="28" s="1"/>
  <c r="P326" i="28"/>
  <c r="W325" i="28"/>
  <c r="V325" i="28"/>
  <c r="S325" i="28"/>
  <c r="T325" i="28" s="1"/>
  <c r="Y325" i="28" s="1"/>
  <c r="P325" i="28"/>
  <c r="W324" i="28"/>
  <c r="V324" i="28"/>
  <c r="S324" i="28"/>
  <c r="T324" i="28" s="1"/>
  <c r="Y324" i="28" s="1"/>
  <c r="P324" i="28"/>
  <c r="W323" i="28"/>
  <c r="V323" i="28"/>
  <c r="T323" i="28"/>
  <c r="Y323" i="28" s="1"/>
  <c r="S323" i="28"/>
  <c r="P323" i="28"/>
  <c r="W322" i="28"/>
  <c r="V322" i="28"/>
  <c r="T322" i="28"/>
  <c r="Y322" i="28" s="1"/>
  <c r="S322" i="28"/>
  <c r="P322" i="28"/>
  <c r="W321" i="28"/>
  <c r="V321" i="28"/>
  <c r="T321" i="28"/>
  <c r="Y321" i="28" s="1"/>
  <c r="S321" i="28"/>
  <c r="P321" i="28"/>
  <c r="X321" i="28" s="1"/>
  <c r="W320" i="28"/>
  <c r="V320" i="28"/>
  <c r="S320" i="28"/>
  <c r="T320" i="28" s="1"/>
  <c r="Y320" i="28" s="1"/>
  <c r="P320" i="28"/>
  <c r="W319" i="28"/>
  <c r="V319" i="28"/>
  <c r="T319" i="28"/>
  <c r="S319" i="28"/>
  <c r="P319" i="28"/>
  <c r="U319" i="28" s="1"/>
  <c r="W318" i="28"/>
  <c r="V318" i="28"/>
  <c r="S318" i="28"/>
  <c r="T318" i="28" s="1"/>
  <c r="P318" i="28"/>
  <c r="W317" i="28"/>
  <c r="V317" i="28"/>
  <c r="S317" i="28"/>
  <c r="T317" i="28" s="1"/>
  <c r="Y317" i="28" s="1"/>
  <c r="P317" i="28"/>
  <c r="W316" i="28"/>
  <c r="V316" i="28"/>
  <c r="T316" i="28"/>
  <c r="Y316" i="28" s="1"/>
  <c r="S316" i="28"/>
  <c r="P316" i="28"/>
  <c r="W315" i="28"/>
  <c r="V315" i="28"/>
  <c r="T315" i="28"/>
  <c r="S315" i="28"/>
  <c r="P315" i="28"/>
  <c r="U315" i="28" s="1"/>
  <c r="W314" i="28"/>
  <c r="V314" i="28"/>
  <c r="T314" i="28"/>
  <c r="S314" i="28"/>
  <c r="P314" i="28"/>
  <c r="W313" i="28"/>
  <c r="V313" i="28"/>
  <c r="T313" i="28"/>
  <c r="Y313" i="28" s="1"/>
  <c r="S313" i="28"/>
  <c r="P313" i="28"/>
  <c r="U313" i="28" s="1"/>
  <c r="W312" i="28"/>
  <c r="V312" i="28"/>
  <c r="S312" i="28"/>
  <c r="T312" i="28" s="1"/>
  <c r="Y312" i="28" s="1"/>
  <c r="P312" i="28"/>
  <c r="W311" i="28"/>
  <c r="V311" i="28"/>
  <c r="T311" i="28"/>
  <c r="Y311" i="28" s="1"/>
  <c r="S311" i="28"/>
  <c r="P311" i="28"/>
  <c r="W310" i="28"/>
  <c r="V310" i="28"/>
  <c r="T310" i="28"/>
  <c r="Y310" i="28" s="1"/>
  <c r="S310" i="28"/>
  <c r="P310" i="28"/>
  <c r="W309" i="28"/>
  <c r="V309" i="28"/>
  <c r="T309" i="28"/>
  <c r="Y309" i="28" s="1"/>
  <c r="S309" i="28"/>
  <c r="P309" i="28"/>
  <c r="X309" i="28" s="1"/>
  <c r="Z309" i="28" s="1"/>
  <c r="AA309" i="28" s="1"/>
  <c r="W308" i="28"/>
  <c r="V308" i="28"/>
  <c r="S308" i="28"/>
  <c r="T308" i="28" s="1"/>
  <c r="Y308" i="28" s="1"/>
  <c r="P308" i="28"/>
  <c r="W307" i="28"/>
  <c r="V307" i="28"/>
  <c r="S307" i="28"/>
  <c r="T307" i="28" s="1"/>
  <c r="P307" i="28"/>
  <c r="U307" i="28" s="1"/>
  <c r="W306" i="28"/>
  <c r="V306" i="28"/>
  <c r="S306" i="28"/>
  <c r="T306" i="28" s="1"/>
  <c r="Y306" i="28" s="1"/>
  <c r="P306" i="28"/>
  <c r="X306" i="28" s="1"/>
  <c r="W305" i="28"/>
  <c r="V305" i="28"/>
  <c r="S305" i="28"/>
  <c r="T305" i="28" s="1"/>
  <c r="Y305" i="28" s="1"/>
  <c r="P305" i="28"/>
  <c r="X304" i="28"/>
  <c r="W304" i="28"/>
  <c r="V304" i="28"/>
  <c r="S304" i="28"/>
  <c r="T304" i="28" s="1"/>
  <c r="Y304" i="28" s="1"/>
  <c r="X303" i="28"/>
  <c r="W303" i="28"/>
  <c r="V303" i="28"/>
  <c r="T303" i="28"/>
  <c r="S303" i="28"/>
  <c r="W302" i="28"/>
  <c r="V302" i="28"/>
  <c r="X302" i="28" s="1"/>
  <c r="S302" i="28"/>
  <c r="T302" i="28" s="1"/>
  <c r="Y302" i="28" s="1"/>
  <c r="W301" i="28"/>
  <c r="V301" i="28"/>
  <c r="S301" i="28"/>
  <c r="T301" i="28" s="1"/>
  <c r="Y301" i="28" s="1"/>
  <c r="W300" i="28"/>
  <c r="V300" i="28"/>
  <c r="T300" i="28"/>
  <c r="U300" i="28" s="1"/>
  <c r="S300" i="28"/>
  <c r="W299" i="28"/>
  <c r="V299" i="28"/>
  <c r="S299" i="28"/>
  <c r="T299" i="28" s="1"/>
  <c r="Y299" i="28" s="1"/>
  <c r="W298" i="28"/>
  <c r="V298" i="28"/>
  <c r="T298" i="28"/>
  <c r="Y298" i="28" s="1"/>
  <c r="S298" i="28"/>
  <c r="W297" i="28"/>
  <c r="V297" i="28"/>
  <c r="T297" i="28"/>
  <c r="Y297" i="28" s="1"/>
  <c r="S297" i="28"/>
  <c r="W296" i="28"/>
  <c r="V296" i="28"/>
  <c r="S296" i="28"/>
  <c r="T296" i="28" s="1"/>
  <c r="W295" i="28"/>
  <c r="V295" i="28"/>
  <c r="S295" i="28"/>
  <c r="T295" i="28" s="1"/>
  <c r="Y295" i="28" s="1"/>
  <c r="W294" i="28"/>
  <c r="V294" i="28"/>
  <c r="S294" i="28"/>
  <c r="T294" i="28" s="1"/>
  <c r="Y294" i="28" s="1"/>
  <c r="X293" i="28"/>
  <c r="W293" i="28"/>
  <c r="V293" i="28"/>
  <c r="T293" i="28"/>
  <c r="Y293" i="28" s="1"/>
  <c r="S293" i="28"/>
  <c r="W292" i="28"/>
  <c r="V292" i="28"/>
  <c r="S292" i="28"/>
  <c r="T292" i="28" s="1"/>
  <c r="Y292" i="28" s="1"/>
  <c r="W291" i="28"/>
  <c r="V291" i="28"/>
  <c r="T291" i="28"/>
  <c r="Y291" i="28" s="1"/>
  <c r="S291" i="28"/>
  <c r="W290" i="28"/>
  <c r="V290" i="28"/>
  <c r="S290" i="28"/>
  <c r="T290" i="28" s="1"/>
  <c r="Y290" i="28" s="1"/>
  <c r="W289" i="28"/>
  <c r="V289" i="28"/>
  <c r="T289" i="28"/>
  <c r="Y289" i="28" s="1"/>
  <c r="S289" i="28"/>
  <c r="X289" i="28"/>
  <c r="W288" i="28"/>
  <c r="V288" i="28"/>
  <c r="T288" i="28"/>
  <c r="Y288" i="28" s="1"/>
  <c r="S288" i="28"/>
  <c r="W287" i="28"/>
  <c r="V287" i="28"/>
  <c r="T287" i="28"/>
  <c r="Y287" i="28" s="1"/>
  <c r="S287" i="28"/>
  <c r="W286" i="28"/>
  <c r="V286" i="28"/>
  <c r="S286" i="28"/>
  <c r="T286" i="28" s="1"/>
  <c r="Y286" i="28" s="1"/>
  <c r="W285" i="28"/>
  <c r="V285" i="28"/>
  <c r="X285" i="28" s="1"/>
  <c r="T285" i="28"/>
  <c r="Y285" i="28" s="1"/>
  <c r="S285" i="28"/>
  <c r="W284" i="28"/>
  <c r="V284" i="28"/>
  <c r="T284" i="28"/>
  <c r="Y284" i="28" s="1"/>
  <c r="S284" i="28"/>
  <c r="W283" i="28"/>
  <c r="V283" i="28"/>
  <c r="S283" i="28"/>
  <c r="T283" i="28" s="1"/>
  <c r="Y283" i="28" s="1"/>
  <c r="W282" i="28"/>
  <c r="V282" i="28"/>
  <c r="T282" i="28"/>
  <c r="U282" i="28" s="1"/>
  <c r="S282" i="28"/>
  <c r="W281" i="28"/>
  <c r="V281" i="28"/>
  <c r="X281" i="28" s="1"/>
  <c r="T281" i="28"/>
  <c r="U281" i="28" s="1"/>
  <c r="S281" i="28"/>
  <c r="W280" i="28"/>
  <c r="V280" i="28"/>
  <c r="T280" i="28"/>
  <c r="Y280" i="28" s="1"/>
  <c r="S280" i="28"/>
  <c r="W279" i="28"/>
  <c r="V279" i="28"/>
  <c r="S279" i="28"/>
  <c r="T279" i="28" s="1"/>
  <c r="Y279" i="28" s="1"/>
  <c r="X279" i="28"/>
  <c r="W278" i="28"/>
  <c r="V278" i="28"/>
  <c r="S278" i="28"/>
  <c r="T278" i="28" s="1"/>
  <c r="Y278" i="28" s="1"/>
  <c r="W277" i="28"/>
  <c r="V277" i="28"/>
  <c r="T277" i="28"/>
  <c r="Y277" i="28" s="1"/>
  <c r="S277" i="28"/>
  <c r="W276" i="28"/>
  <c r="V276" i="28"/>
  <c r="T276" i="28"/>
  <c r="U276" i="28" s="1"/>
  <c r="S276" i="28"/>
  <c r="W275" i="28"/>
  <c r="V275" i="28"/>
  <c r="S275" i="28"/>
  <c r="T275" i="28" s="1"/>
  <c r="Y275" i="28" s="1"/>
  <c r="W274" i="28"/>
  <c r="V274" i="28"/>
  <c r="S274" i="28"/>
  <c r="T274" i="28" s="1"/>
  <c r="Y274" i="28" s="1"/>
  <c r="W273" i="28"/>
  <c r="V273" i="28"/>
  <c r="T273" i="28"/>
  <c r="S273" i="28"/>
  <c r="W272" i="28"/>
  <c r="V272" i="28"/>
  <c r="S272" i="28"/>
  <c r="T272" i="28" s="1"/>
  <c r="W271" i="28"/>
  <c r="V271" i="28"/>
  <c r="S271" i="28"/>
  <c r="T271" i="28" s="1"/>
  <c r="Y271" i="28" s="1"/>
  <c r="P271" i="28"/>
  <c r="W270" i="28"/>
  <c r="V270" i="28"/>
  <c r="T270" i="28"/>
  <c r="Y270" i="28" s="1"/>
  <c r="S270" i="28"/>
  <c r="P270" i="28"/>
  <c r="W269" i="28"/>
  <c r="V269" i="28"/>
  <c r="S269" i="28"/>
  <c r="T269" i="28" s="1"/>
  <c r="Y269" i="28" s="1"/>
  <c r="P269" i="28"/>
  <c r="K54" i="1" s="1"/>
  <c r="W268" i="28"/>
  <c r="V268" i="28"/>
  <c r="T268" i="28"/>
  <c r="Y268" i="28" s="1"/>
  <c r="S268" i="28"/>
  <c r="P268" i="28"/>
  <c r="W267" i="28"/>
  <c r="V267" i="28"/>
  <c r="T267" i="28"/>
  <c r="S267" i="28"/>
  <c r="P267" i="28"/>
  <c r="W266" i="28"/>
  <c r="V266" i="28"/>
  <c r="S266" i="28"/>
  <c r="T266" i="28" s="1"/>
  <c r="Y266" i="28" s="1"/>
  <c r="P266" i="28"/>
  <c r="W265" i="28"/>
  <c r="V265" i="28"/>
  <c r="S265" i="28"/>
  <c r="T265" i="28" s="1"/>
  <c r="Y265" i="28" s="1"/>
  <c r="P265" i="28"/>
  <c r="X265" i="28" s="1"/>
  <c r="W264" i="28"/>
  <c r="V264" i="28"/>
  <c r="S264" i="28"/>
  <c r="T264" i="28" s="1"/>
  <c r="Y264" i="28" s="1"/>
  <c r="P264" i="28"/>
  <c r="W263" i="28"/>
  <c r="V263" i="28"/>
  <c r="S263" i="28"/>
  <c r="T263" i="28" s="1"/>
  <c r="Y263" i="28" s="1"/>
  <c r="P263" i="28"/>
  <c r="W262" i="28"/>
  <c r="V262" i="28"/>
  <c r="T262" i="28"/>
  <c r="Y262" i="28" s="1"/>
  <c r="S262" i="28"/>
  <c r="P262" i="28"/>
  <c r="W261" i="28"/>
  <c r="V261" i="28"/>
  <c r="T261" i="28"/>
  <c r="S261" i="28"/>
  <c r="P261" i="28"/>
  <c r="W260" i="28"/>
  <c r="V260" i="28"/>
  <c r="S260" i="28"/>
  <c r="T260" i="28" s="1"/>
  <c r="Y260" i="28" s="1"/>
  <c r="P260" i="28"/>
  <c r="W259" i="28"/>
  <c r="V259" i="28"/>
  <c r="S259" i="28"/>
  <c r="T259" i="28" s="1"/>
  <c r="Y259" i="28" s="1"/>
  <c r="P259" i="28"/>
  <c r="W258" i="28"/>
  <c r="V258" i="28"/>
  <c r="S258" i="28"/>
  <c r="T258" i="28" s="1"/>
  <c r="Y258" i="28" s="1"/>
  <c r="W257" i="28"/>
  <c r="V257" i="28"/>
  <c r="S257" i="28"/>
  <c r="T257" i="28" s="1"/>
  <c r="Y257" i="28" s="1"/>
  <c r="U257" i="28"/>
  <c r="W256" i="28"/>
  <c r="V256" i="28"/>
  <c r="X256" i="28" s="1"/>
  <c r="T256" i="28"/>
  <c r="U256" i="28" s="1"/>
  <c r="S256" i="28"/>
  <c r="W255" i="28"/>
  <c r="V255" i="28"/>
  <c r="X255" i="28" s="1"/>
  <c r="T255" i="28"/>
  <c r="U255" i="28" s="1"/>
  <c r="S255" i="28"/>
  <c r="W254" i="28"/>
  <c r="V254" i="28"/>
  <c r="S254" i="28"/>
  <c r="T254" i="28" s="1"/>
  <c r="Y254" i="28" s="1"/>
  <c r="R162" i="1" l="1"/>
  <c r="T162" i="1" s="1"/>
  <c r="O162" i="1"/>
  <c r="AB162" i="1" s="1"/>
  <c r="AK162" i="1" s="1"/>
  <c r="N162" i="1"/>
  <c r="X162" i="1"/>
  <c r="AG162" i="1" s="1"/>
  <c r="X259" i="28"/>
  <c r="K112" i="1"/>
  <c r="K32" i="1"/>
  <c r="K119" i="1"/>
  <c r="K41" i="1"/>
  <c r="K120" i="1"/>
  <c r="N120" i="1" s="1"/>
  <c r="K42" i="1"/>
  <c r="U261" i="28"/>
  <c r="X261" i="28"/>
  <c r="K121" i="1"/>
  <c r="X121" i="1" s="1"/>
  <c r="AG121" i="1" s="1"/>
  <c r="K43" i="1"/>
  <c r="K122" i="1"/>
  <c r="X122" i="1" s="1"/>
  <c r="AG122" i="1" s="1"/>
  <c r="K44" i="1"/>
  <c r="X264" i="28"/>
  <c r="K123" i="1"/>
  <c r="X123" i="1" s="1"/>
  <c r="AG123" i="1" s="1"/>
  <c r="K45" i="1"/>
  <c r="K126" i="1"/>
  <c r="X126" i="1" s="1"/>
  <c r="AG126" i="1" s="1"/>
  <c r="K49" i="1"/>
  <c r="K127" i="1"/>
  <c r="X127" i="1" s="1"/>
  <c r="AG127" i="1" s="1"/>
  <c r="K50" i="1"/>
  <c r="K128" i="1"/>
  <c r="X128" i="1" s="1"/>
  <c r="AG128" i="1" s="1"/>
  <c r="K51" i="1"/>
  <c r="X268" i="28"/>
  <c r="X270" i="28"/>
  <c r="K132" i="1"/>
  <c r="N132" i="1" s="1"/>
  <c r="K58" i="1"/>
  <c r="X58" i="1" s="1"/>
  <c r="AG58" i="1" s="1"/>
  <c r="X271" i="28"/>
  <c r="K133" i="1"/>
  <c r="X133" i="1" s="1"/>
  <c r="AG133" i="1" s="1"/>
  <c r="K56" i="1"/>
  <c r="Y296" i="28"/>
  <c r="Y303" i="28"/>
  <c r="Z303" i="28" s="1"/>
  <c r="AA303" i="28" s="1"/>
  <c r="U303" i="28"/>
  <c r="Z304" i="28"/>
  <c r="AA304" i="28" s="1"/>
  <c r="X307" i="28"/>
  <c r="Y307" i="28"/>
  <c r="U310" i="28"/>
  <c r="X310" i="28"/>
  <c r="Z310" i="28"/>
  <c r="AA310" i="28" s="1"/>
  <c r="U312" i="28"/>
  <c r="X312" i="28"/>
  <c r="Z312" i="28" s="1"/>
  <c r="AA312" i="28" s="1"/>
  <c r="X313" i="28"/>
  <c r="Z313" i="28" s="1"/>
  <c r="AA313" i="28" s="1"/>
  <c r="X314" i="28"/>
  <c r="X315" i="28"/>
  <c r="Y315" i="28"/>
  <c r="X319" i="28"/>
  <c r="U322" i="28"/>
  <c r="X322" i="28"/>
  <c r="Z322" i="28" s="1"/>
  <c r="AA322" i="28" s="1"/>
  <c r="U325" i="28"/>
  <c r="X325" i="28"/>
  <c r="Z325" i="28" s="1"/>
  <c r="AA325" i="28" s="1"/>
  <c r="X326" i="28"/>
  <c r="X327" i="28"/>
  <c r="U327" i="28"/>
  <c r="Y327" i="28"/>
  <c r="X331" i="28"/>
  <c r="U337" i="28"/>
  <c r="X337" i="28"/>
  <c r="X338" i="28"/>
  <c r="X339" i="28"/>
  <c r="Y339" i="28"/>
  <c r="X342" i="28"/>
  <c r="Z342" i="28" s="1"/>
  <c r="AA342" i="28" s="1"/>
  <c r="X347" i="28"/>
  <c r="Z347" i="28" s="1"/>
  <c r="AA347" i="28" s="1"/>
  <c r="U348" i="28"/>
  <c r="X348" i="28"/>
  <c r="Z348" i="28" s="1"/>
  <c r="AA348" i="28" s="1"/>
  <c r="U350" i="28"/>
  <c r="X350" i="28"/>
  <c r="X351" i="28"/>
  <c r="Z351" i="28" s="1"/>
  <c r="AA351" i="28" s="1"/>
  <c r="U351" i="28"/>
  <c r="X360" i="28"/>
  <c r="Z360" i="28" s="1"/>
  <c r="AA360" i="28" s="1"/>
  <c r="U360" i="28"/>
  <c r="U362" i="28"/>
  <c r="Y362" i="28"/>
  <c r="X363" i="28"/>
  <c r="Y363" i="28"/>
  <c r="X367" i="28"/>
  <c r="X372" i="28"/>
  <c r="Z372" i="28" s="1"/>
  <c r="AA372" i="28" s="1"/>
  <c r="U372" i="28"/>
  <c r="X374" i="28"/>
  <c r="Z374" i="28" s="1"/>
  <c r="AA374" i="28" s="1"/>
  <c r="X375" i="28"/>
  <c r="U375" i="28"/>
  <c r="Z375" i="28"/>
  <c r="AA375" i="28" s="1"/>
  <c r="X378" i="28"/>
  <c r="Z378" i="28" s="1"/>
  <c r="AA378" i="28" s="1"/>
  <c r="X379" i="28"/>
  <c r="U379" i="28"/>
  <c r="U383" i="28"/>
  <c r="X383" i="28"/>
  <c r="Z383" i="28" s="1"/>
  <c r="AA383" i="28" s="1"/>
  <c r="U386" i="28"/>
  <c r="X387" i="28"/>
  <c r="Y387" i="28"/>
  <c r="X391" i="28"/>
  <c r="U394" i="28"/>
  <c r="X394" i="28"/>
  <c r="Z394" i="28" s="1"/>
  <c r="AA394" i="28" s="1"/>
  <c r="Z396" i="28"/>
  <c r="AA396" i="28" s="1"/>
  <c r="U397" i="28"/>
  <c r="X397" i="28"/>
  <c r="X398" i="28"/>
  <c r="X399" i="28"/>
  <c r="Y399" i="28"/>
  <c r="X407" i="28"/>
  <c r="Z407" i="28" s="1"/>
  <c r="AA407" i="28" s="1"/>
  <c r="X410" i="28"/>
  <c r="Y410" i="28"/>
  <c r="X411" i="28"/>
  <c r="U411" i="28"/>
  <c r="Z411" i="28"/>
  <c r="AA411" i="28" s="1"/>
  <c r="X418" i="28"/>
  <c r="Y418" i="28"/>
  <c r="X421" i="28"/>
  <c r="Z421" i="28" s="1"/>
  <c r="AA421" i="28" s="1"/>
  <c r="U421" i="28"/>
  <c r="X422" i="28"/>
  <c r="X423" i="28"/>
  <c r="Y423" i="28"/>
  <c r="X430" i="28"/>
  <c r="Y430" i="28"/>
  <c r="Y434" i="28"/>
  <c r="Y436" i="28"/>
  <c r="X440" i="28"/>
  <c r="X441" i="28"/>
  <c r="U441" i="28"/>
  <c r="X445" i="28"/>
  <c r="X448" i="28"/>
  <c r="Y448" i="28"/>
  <c r="U452" i="28"/>
  <c r="X452" i="28"/>
  <c r="Z452" i="28" s="1"/>
  <c r="AA452" i="28" s="1"/>
  <c r="X453" i="28"/>
  <c r="Y454" i="28"/>
  <c r="Z455" i="28"/>
  <c r="AA455" i="28" s="1"/>
  <c r="K111" i="1"/>
  <c r="X111" i="1" s="1"/>
  <c r="AG111" i="1" s="1"/>
  <c r="K31" i="1"/>
  <c r="K110" i="1"/>
  <c r="X110" i="1" s="1"/>
  <c r="AG110" i="1" s="1"/>
  <c r="K30" i="1"/>
  <c r="K109" i="1"/>
  <c r="X109" i="1" s="1"/>
  <c r="AG109" i="1" s="1"/>
  <c r="K29" i="1"/>
  <c r="K104" i="1"/>
  <c r="X104" i="1" s="1"/>
  <c r="AG104" i="1" s="1"/>
  <c r="K24" i="1"/>
  <c r="K103" i="1"/>
  <c r="X103" i="1" s="1"/>
  <c r="AG103" i="1" s="1"/>
  <c r="K23" i="1"/>
  <c r="K102" i="1"/>
  <c r="X102" i="1" s="1"/>
  <c r="AG102" i="1" s="1"/>
  <c r="K22" i="1"/>
  <c r="K101" i="1"/>
  <c r="X101" i="1" s="1"/>
  <c r="AG101" i="1" s="1"/>
  <c r="K21" i="1"/>
  <c r="K100" i="1"/>
  <c r="X100" i="1" s="1"/>
  <c r="AG100" i="1" s="1"/>
  <c r="K20" i="1"/>
  <c r="K99" i="1"/>
  <c r="N99" i="1" s="1"/>
  <c r="K19" i="1"/>
  <c r="K98" i="1"/>
  <c r="X98" i="1" s="1"/>
  <c r="AG98" i="1" s="1"/>
  <c r="K18" i="1"/>
  <c r="K97" i="1"/>
  <c r="N97" i="1" s="1"/>
  <c r="K17" i="1"/>
  <c r="K96" i="1"/>
  <c r="X96" i="1" s="1"/>
  <c r="AG96" i="1" s="1"/>
  <c r="K16" i="1"/>
  <c r="K94" i="1"/>
  <c r="X94" i="1" s="1"/>
  <c r="AG94" i="1" s="1"/>
  <c r="K14" i="1"/>
  <c r="K93" i="1"/>
  <c r="X93" i="1" s="1"/>
  <c r="AG93" i="1" s="1"/>
  <c r="K13" i="1"/>
  <c r="K92" i="1"/>
  <c r="X92" i="1" s="1"/>
  <c r="AG92" i="1" s="1"/>
  <c r="K12" i="1"/>
  <c r="K91" i="1"/>
  <c r="N91" i="1" s="1"/>
  <c r="K11" i="1"/>
  <c r="N11" i="1" s="1"/>
  <c r="K90" i="1"/>
  <c r="X90" i="1" s="1"/>
  <c r="AG90" i="1" s="1"/>
  <c r="K10" i="1"/>
  <c r="N10" i="1" s="1"/>
  <c r="K89" i="1"/>
  <c r="X89" i="1" s="1"/>
  <c r="AG89" i="1" s="1"/>
  <c r="K9" i="1"/>
  <c r="K106" i="1"/>
  <c r="X106" i="1" s="1"/>
  <c r="AG106" i="1" s="1"/>
  <c r="K26" i="1"/>
  <c r="N26" i="1" s="1"/>
  <c r="Z287" i="28"/>
  <c r="AA287" i="28" s="1"/>
  <c r="X296" i="28"/>
  <c r="K40" i="1"/>
  <c r="X47" i="1"/>
  <c r="AG47" i="1" s="1"/>
  <c r="N47" i="1"/>
  <c r="AA47" i="1" s="1"/>
  <c r="AJ47" i="1" s="1"/>
  <c r="K158" i="1"/>
  <c r="X158" i="1" s="1"/>
  <c r="AG158" i="1" s="1"/>
  <c r="K82" i="1"/>
  <c r="K157" i="1"/>
  <c r="N157" i="1" s="1"/>
  <c r="AA157" i="1" s="1"/>
  <c r="AJ157" i="1" s="1"/>
  <c r="K81" i="1"/>
  <c r="K156" i="1"/>
  <c r="X156" i="1" s="1"/>
  <c r="AG156" i="1" s="1"/>
  <c r="K80" i="1"/>
  <c r="K155" i="1"/>
  <c r="X155" i="1" s="1"/>
  <c r="AG155" i="1" s="1"/>
  <c r="K79" i="1"/>
  <c r="K154" i="1"/>
  <c r="X154" i="1" s="1"/>
  <c r="AG154" i="1" s="1"/>
  <c r="K78" i="1"/>
  <c r="K153" i="1"/>
  <c r="N153" i="1" s="1"/>
  <c r="K77" i="1"/>
  <c r="K152" i="1"/>
  <c r="X152" i="1" s="1"/>
  <c r="AG152" i="1" s="1"/>
  <c r="K76" i="1"/>
  <c r="K151" i="1"/>
  <c r="X151" i="1" s="1"/>
  <c r="AG151" i="1" s="1"/>
  <c r="K75" i="1"/>
  <c r="K150" i="1"/>
  <c r="X150" i="1" s="1"/>
  <c r="AG150" i="1" s="1"/>
  <c r="K74" i="1"/>
  <c r="K149" i="1"/>
  <c r="X149" i="1" s="1"/>
  <c r="AG149" i="1" s="1"/>
  <c r="K73" i="1"/>
  <c r="K148" i="1"/>
  <c r="N148" i="1" s="1"/>
  <c r="K72" i="1"/>
  <c r="K147" i="1"/>
  <c r="X147" i="1" s="1"/>
  <c r="AG147" i="1" s="1"/>
  <c r="K71" i="1"/>
  <c r="K145" i="1"/>
  <c r="X145" i="1" s="1"/>
  <c r="AG145" i="1" s="1"/>
  <c r="K69" i="1"/>
  <c r="K144" i="1"/>
  <c r="N144" i="1" s="1"/>
  <c r="K68" i="1"/>
  <c r="K143" i="1"/>
  <c r="X143" i="1" s="1"/>
  <c r="AG143" i="1" s="1"/>
  <c r="K67" i="1"/>
  <c r="K140" i="1"/>
  <c r="X140" i="1" s="1"/>
  <c r="AG140" i="1" s="1"/>
  <c r="K64" i="1"/>
  <c r="K138" i="1"/>
  <c r="X138" i="1" s="1"/>
  <c r="AG138" i="1" s="1"/>
  <c r="K62" i="1"/>
  <c r="K137" i="1"/>
  <c r="X137" i="1" s="1"/>
  <c r="AG137" i="1" s="1"/>
  <c r="K61" i="1"/>
  <c r="X273" i="28"/>
  <c r="K60" i="1"/>
  <c r="K135" i="1"/>
  <c r="X135" i="1" s="1"/>
  <c r="AG135" i="1" s="1"/>
  <c r="K59" i="1"/>
  <c r="U293" i="28"/>
  <c r="Z293" i="28"/>
  <c r="AA293" i="28" s="1"/>
  <c r="K146" i="1"/>
  <c r="X146" i="1" s="1"/>
  <c r="AG146" i="1" s="1"/>
  <c r="K136" i="1"/>
  <c r="X136" i="1" s="1"/>
  <c r="AG136" i="1" s="1"/>
  <c r="K141" i="1"/>
  <c r="X141" i="1" s="1"/>
  <c r="AG141" i="1" s="1"/>
  <c r="U274" i="28"/>
  <c r="Z265" i="28"/>
  <c r="AA265" i="28" s="1"/>
  <c r="K46" i="1"/>
  <c r="K124" i="1"/>
  <c r="X124" i="1" s="1"/>
  <c r="AG124" i="1" s="1"/>
  <c r="K15" i="1"/>
  <c r="Y108" i="1"/>
  <c r="AH108" i="1" s="1"/>
  <c r="Y255" i="28"/>
  <c r="Z255" i="28" s="1"/>
  <c r="AA255" i="28" s="1"/>
  <c r="Y146" i="1"/>
  <c r="AH146" i="1" s="1"/>
  <c r="Y158" i="1"/>
  <c r="AH158" i="1" s="1"/>
  <c r="Y134" i="1"/>
  <c r="AH134" i="1" s="1"/>
  <c r="Z143" i="1"/>
  <c r="AI143" i="1" s="1"/>
  <c r="W89" i="1"/>
  <c r="AF89" i="1" s="1"/>
  <c r="Z103" i="1"/>
  <c r="AI103" i="1" s="1"/>
  <c r="Y122" i="1"/>
  <c r="AH122" i="1" s="1"/>
  <c r="Z146" i="1"/>
  <c r="AI146" i="1" s="1"/>
  <c r="Y139" i="1"/>
  <c r="AH139" i="1" s="1"/>
  <c r="M139" i="1"/>
  <c r="Z139" i="1" s="1"/>
  <c r="AI139" i="1" s="1"/>
  <c r="Z128" i="1"/>
  <c r="AI128" i="1" s="1"/>
  <c r="Y106" i="1"/>
  <c r="AH106" i="1" s="1"/>
  <c r="Y117" i="1"/>
  <c r="AH117" i="1" s="1"/>
  <c r="X95" i="1"/>
  <c r="AG95" i="1" s="1"/>
  <c r="Z154" i="1"/>
  <c r="AI154" i="1" s="1"/>
  <c r="Y95" i="1"/>
  <c r="AH95" i="1" s="1"/>
  <c r="Z132" i="1"/>
  <c r="AI132" i="1" s="1"/>
  <c r="W95" i="1"/>
  <c r="AF95" i="1" s="1"/>
  <c r="Z108" i="1"/>
  <c r="AI108" i="1" s="1"/>
  <c r="Y98" i="1"/>
  <c r="AH98" i="1" s="1"/>
  <c r="Z96" i="1"/>
  <c r="AI96" i="1" s="1"/>
  <c r="Y99" i="1"/>
  <c r="AH99" i="1" s="1"/>
  <c r="M98" i="1"/>
  <c r="Z144" i="1"/>
  <c r="AI144" i="1" s="1"/>
  <c r="W100" i="1"/>
  <c r="AF100" i="1" s="1"/>
  <c r="Z135" i="1"/>
  <c r="AI135" i="1" s="1"/>
  <c r="Y101" i="1"/>
  <c r="AH101" i="1" s="1"/>
  <c r="W101" i="1"/>
  <c r="AF101" i="1" s="1"/>
  <c r="Y112" i="1"/>
  <c r="AH112" i="1" s="1"/>
  <c r="W112" i="1"/>
  <c r="AF112" i="1" s="1"/>
  <c r="Y110" i="1"/>
  <c r="AH110" i="1" s="1"/>
  <c r="W110" i="1"/>
  <c r="AF110" i="1" s="1"/>
  <c r="Z156" i="1"/>
  <c r="AI156" i="1" s="1"/>
  <c r="Z112" i="1"/>
  <c r="AI112" i="1" s="1"/>
  <c r="Z97" i="1"/>
  <c r="AI97" i="1" s="1"/>
  <c r="Z110" i="1"/>
  <c r="AI110" i="1" s="1"/>
  <c r="Y140" i="1"/>
  <c r="AH140" i="1" s="1"/>
  <c r="M158" i="1"/>
  <c r="Y66" i="1"/>
  <c r="AH66" i="1" s="1"/>
  <c r="Z157" i="1"/>
  <c r="AI157" i="1" s="1"/>
  <c r="Y89" i="1"/>
  <c r="AH89" i="1" s="1"/>
  <c r="M106" i="1"/>
  <c r="Y132" i="1"/>
  <c r="AH132" i="1" s="1"/>
  <c r="W143" i="1"/>
  <c r="AF143" i="1" s="1"/>
  <c r="Y144" i="1"/>
  <c r="AH144" i="1" s="1"/>
  <c r="Y94" i="1"/>
  <c r="AH94" i="1" s="1"/>
  <c r="Y148" i="1"/>
  <c r="AH148" i="1" s="1"/>
  <c r="Y85" i="1"/>
  <c r="AH85" i="1" s="1"/>
  <c r="M89" i="1"/>
  <c r="Y90" i="1"/>
  <c r="AH90" i="1" s="1"/>
  <c r="W99" i="1"/>
  <c r="AF99" i="1" s="1"/>
  <c r="Y103" i="1"/>
  <c r="AH103" i="1" s="1"/>
  <c r="Y143" i="1"/>
  <c r="AH143" i="1" s="1"/>
  <c r="X66" i="1"/>
  <c r="AG66" i="1" s="1"/>
  <c r="Y91" i="1"/>
  <c r="AH91" i="1" s="1"/>
  <c r="Y113" i="1"/>
  <c r="AH113" i="1" s="1"/>
  <c r="M113" i="1"/>
  <c r="Z113" i="1" s="1"/>
  <c r="AI113" i="1" s="1"/>
  <c r="Y114" i="1"/>
  <c r="AH114" i="1" s="1"/>
  <c r="Y58" i="1"/>
  <c r="AH58" i="1" s="1"/>
  <c r="M95" i="1"/>
  <c r="N95" i="1" s="1"/>
  <c r="Y96" i="1"/>
  <c r="AH96" i="1" s="1"/>
  <c r="Y104" i="1"/>
  <c r="AH104" i="1" s="1"/>
  <c r="Y119" i="1"/>
  <c r="AH119" i="1" s="1"/>
  <c r="Z125" i="1"/>
  <c r="AI125" i="1" s="1"/>
  <c r="Y131" i="1"/>
  <c r="AH131" i="1" s="1"/>
  <c r="Y152" i="1"/>
  <c r="AH152" i="1" s="1"/>
  <c r="W157" i="1"/>
  <c r="AF157" i="1" s="1"/>
  <c r="Y107" i="1"/>
  <c r="AH107" i="1" s="1"/>
  <c r="Y150" i="1"/>
  <c r="AH150" i="1" s="1"/>
  <c r="W98" i="1"/>
  <c r="AF98" i="1" s="1"/>
  <c r="M119" i="1"/>
  <c r="Z119" i="1" s="1"/>
  <c r="AI119" i="1" s="1"/>
  <c r="Y123" i="1"/>
  <c r="AH123" i="1" s="1"/>
  <c r="Y138" i="1"/>
  <c r="AH138" i="1" s="1"/>
  <c r="Y154" i="1"/>
  <c r="AH154" i="1" s="1"/>
  <c r="M86" i="1"/>
  <c r="Y86" i="1"/>
  <c r="AH86" i="1" s="1"/>
  <c r="Y97" i="1"/>
  <c r="AH97" i="1" s="1"/>
  <c r="W97" i="1"/>
  <c r="AF97" i="1" s="1"/>
  <c r="M124" i="1"/>
  <c r="Y124" i="1"/>
  <c r="AH124" i="1" s="1"/>
  <c r="W109" i="1"/>
  <c r="AF109" i="1" s="1"/>
  <c r="Y115" i="1"/>
  <c r="AH115" i="1" s="1"/>
  <c r="M115" i="1"/>
  <c r="Y111" i="1"/>
  <c r="AH111" i="1" s="1"/>
  <c r="M111" i="1"/>
  <c r="M85" i="1"/>
  <c r="Z114" i="1"/>
  <c r="AI114" i="1" s="1"/>
  <c r="Z126" i="1"/>
  <c r="AI126" i="1" s="1"/>
  <c r="M107" i="1"/>
  <c r="Z117" i="1"/>
  <c r="AI117" i="1" s="1"/>
  <c r="W102" i="1"/>
  <c r="AF102" i="1" s="1"/>
  <c r="M133" i="1"/>
  <c r="Y133" i="1"/>
  <c r="AH133" i="1" s="1"/>
  <c r="W145" i="1"/>
  <c r="AF145" i="1" s="1"/>
  <c r="Y87" i="1"/>
  <c r="AH87" i="1" s="1"/>
  <c r="W88" i="1"/>
  <c r="AF88" i="1" s="1"/>
  <c r="Z94" i="1"/>
  <c r="AI94" i="1" s="1"/>
  <c r="Y102" i="1"/>
  <c r="AH102" i="1" s="1"/>
  <c r="M116" i="1"/>
  <c r="Y116" i="1"/>
  <c r="AH116" i="1" s="1"/>
  <c r="Z87" i="1"/>
  <c r="AI87" i="1" s="1"/>
  <c r="Y92" i="1"/>
  <c r="AH92" i="1" s="1"/>
  <c r="M92" i="1"/>
  <c r="Y93" i="1"/>
  <c r="AH93" i="1" s="1"/>
  <c r="M93" i="1"/>
  <c r="Z99" i="1"/>
  <c r="AI99" i="1" s="1"/>
  <c r="M104" i="1"/>
  <c r="M121" i="1"/>
  <c r="Y121" i="1"/>
  <c r="AH121" i="1" s="1"/>
  <c r="Z91" i="1"/>
  <c r="AI91" i="1" s="1"/>
  <c r="Z129" i="1"/>
  <c r="AI129" i="1" s="1"/>
  <c r="W129" i="1"/>
  <c r="AF129" i="1" s="1"/>
  <c r="Y129" i="1"/>
  <c r="AH129" i="1" s="1"/>
  <c r="M90" i="1"/>
  <c r="Y126" i="1"/>
  <c r="AH126" i="1" s="1"/>
  <c r="M137" i="1"/>
  <c r="Y137" i="1"/>
  <c r="AH137" i="1" s="1"/>
  <c r="N112" i="1"/>
  <c r="X112" i="1"/>
  <c r="AG112" i="1" s="1"/>
  <c r="Y84" i="1"/>
  <c r="AH84" i="1" s="1"/>
  <c r="Z101" i="1"/>
  <c r="AI101" i="1" s="1"/>
  <c r="M145" i="1"/>
  <c r="Y145" i="1"/>
  <c r="AH145" i="1" s="1"/>
  <c r="Y147" i="1"/>
  <c r="AH147" i="1" s="1"/>
  <c r="M84" i="1"/>
  <c r="M102" i="1"/>
  <c r="Z123" i="1"/>
  <c r="AI123" i="1" s="1"/>
  <c r="M138" i="1"/>
  <c r="X142" i="1"/>
  <c r="AG142" i="1" s="1"/>
  <c r="M147" i="1"/>
  <c r="M142" i="1"/>
  <c r="N142" i="1" s="1"/>
  <c r="Y142" i="1"/>
  <c r="AH142" i="1" s="1"/>
  <c r="Z134" i="1"/>
  <c r="AI134" i="1" s="1"/>
  <c r="Y88" i="1"/>
  <c r="AH88" i="1" s="1"/>
  <c r="W125" i="1"/>
  <c r="AF125" i="1" s="1"/>
  <c r="Z131" i="1"/>
  <c r="AI131" i="1" s="1"/>
  <c r="M88" i="1"/>
  <c r="Y120" i="1"/>
  <c r="AH120" i="1" s="1"/>
  <c r="W128" i="1"/>
  <c r="AF128" i="1" s="1"/>
  <c r="Z100" i="1"/>
  <c r="AI100" i="1" s="1"/>
  <c r="X119" i="1"/>
  <c r="AG119" i="1" s="1"/>
  <c r="Z120" i="1"/>
  <c r="AI120" i="1" s="1"/>
  <c r="Z122" i="1"/>
  <c r="AI122" i="1" s="1"/>
  <c r="Y125" i="1"/>
  <c r="AH125" i="1" s="1"/>
  <c r="Y128" i="1"/>
  <c r="AH128" i="1" s="1"/>
  <c r="W139" i="1"/>
  <c r="AF139" i="1" s="1"/>
  <c r="M127" i="1"/>
  <c r="Y127" i="1"/>
  <c r="AH127" i="1" s="1"/>
  <c r="Y136" i="1"/>
  <c r="AH136" i="1" s="1"/>
  <c r="M136" i="1"/>
  <c r="Z148" i="1"/>
  <c r="AI148" i="1" s="1"/>
  <c r="W153" i="1"/>
  <c r="AF153" i="1" s="1"/>
  <c r="M150" i="1"/>
  <c r="Y109" i="1"/>
  <c r="AH109" i="1" s="1"/>
  <c r="Y135" i="1"/>
  <c r="AH135" i="1" s="1"/>
  <c r="M141" i="1"/>
  <c r="Y141" i="1"/>
  <c r="AH141" i="1" s="1"/>
  <c r="Y151" i="1"/>
  <c r="AH151" i="1" s="1"/>
  <c r="M151" i="1"/>
  <c r="Z153" i="1"/>
  <c r="AI153" i="1" s="1"/>
  <c r="M109" i="1"/>
  <c r="Z152" i="1"/>
  <c r="AI152" i="1" s="1"/>
  <c r="Y100" i="1"/>
  <c r="AH100" i="1" s="1"/>
  <c r="W156" i="1"/>
  <c r="AF156" i="1" s="1"/>
  <c r="Y156" i="1"/>
  <c r="AH156" i="1" s="1"/>
  <c r="M149" i="1"/>
  <c r="Y149" i="1"/>
  <c r="AH149" i="1" s="1"/>
  <c r="Z155" i="1"/>
  <c r="AI155" i="1" s="1"/>
  <c r="M140" i="1"/>
  <c r="Y155" i="1"/>
  <c r="AH155" i="1" s="1"/>
  <c r="Y153" i="1"/>
  <c r="AH153" i="1" s="1"/>
  <c r="Y157" i="1"/>
  <c r="AH157" i="1" s="1"/>
  <c r="M66" i="1"/>
  <c r="N66" i="1" s="1"/>
  <c r="M58" i="1"/>
  <c r="U296" i="28"/>
  <c r="Y281" i="28"/>
  <c r="Z281" i="28" s="1"/>
  <c r="AA281" i="28" s="1"/>
  <c r="Y26" i="1"/>
  <c r="AH26" i="1" s="1"/>
  <c r="Z26" i="1"/>
  <c r="AI26" i="1" s="1"/>
  <c r="Y10" i="1"/>
  <c r="AH10" i="1" s="1"/>
  <c r="Z10" i="1"/>
  <c r="AI10" i="1" s="1"/>
  <c r="Z11" i="1"/>
  <c r="AI11" i="1" s="1"/>
  <c r="W10" i="1"/>
  <c r="AF10" i="1" s="1"/>
  <c r="Y11" i="1"/>
  <c r="AH11" i="1" s="1"/>
  <c r="U284" i="28"/>
  <c r="U268" i="28"/>
  <c r="Z268" i="28"/>
  <c r="AA268" i="28" s="1"/>
  <c r="U267" i="28"/>
  <c r="U263" i="28"/>
  <c r="Y261" i="28"/>
  <c r="Z261" i="28" s="1"/>
  <c r="AA261" i="28" s="1"/>
  <c r="Z285" i="28"/>
  <c r="AA285" i="28" s="1"/>
  <c r="Y282" i="28"/>
  <c r="X292" i="28"/>
  <c r="U273" i="28"/>
  <c r="X272" i="28"/>
  <c r="Z270" i="28"/>
  <c r="AA270" i="28" s="1"/>
  <c r="X267" i="28"/>
  <c r="X263" i="28"/>
  <c r="U262" i="28"/>
  <c r="X262" i="28"/>
  <c r="Z262" i="28" s="1"/>
  <c r="AA262" i="28" s="1"/>
  <c r="Z259" i="28"/>
  <c r="AA259" i="28" s="1"/>
  <c r="Y276" i="28"/>
  <c r="Z289" i="28"/>
  <c r="AA289" i="28" s="1"/>
  <c r="X282" i="28"/>
  <c r="Z282" i="28" s="1"/>
  <c r="AA282" i="28" s="1"/>
  <c r="X276" i="28"/>
  <c r="X277" i="28"/>
  <c r="Z277" i="28" s="1"/>
  <c r="AA277" i="28" s="1"/>
  <c r="Y256" i="28"/>
  <c r="Z256" i="28" s="1"/>
  <c r="AA256" i="28" s="1"/>
  <c r="X257" i="28"/>
  <c r="Z257" i="28" s="1"/>
  <c r="AA257" i="28" s="1"/>
  <c r="Y272" i="28"/>
  <c r="Z272" i="28" s="1"/>
  <c r="AA272" i="28" s="1"/>
  <c r="U272" i="28"/>
  <c r="Z296" i="28"/>
  <c r="AA296" i="28" s="1"/>
  <c r="Y318" i="28"/>
  <c r="U318" i="28"/>
  <c r="U278" i="28"/>
  <c r="X278" i="28"/>
  <c r="Z278" i="28" s="1"/>
  <c r="AA278" i="28" s="1"/>
  <c r="U335" i="28"/>
  <c r="X335" i="28"/>
  <c r="Z335" i="28" s="1"/>
  <c r="AA335" i="28" s="1"/>
  <c r="U302" i="28"/>
  <c r="U436" i="28"/>
  <c r="X436" i="28"/>
  <c r="Z436" i="28" s="1"/>
  <c r="AA436" i="28" s="1"/>
  <c r="Z263" i="28"/>
  <c r="AA263" i="28" s="1"/>
  <c r="U333" i="28"/>
  <c r="U353" i="28"/>
  <c r="X353" i="28"/>
  <c r="Z353" i="28" s="1"/>
  <c r="AA353" i="28" s="1"/>
  <c r="X266" i="28"/>
  <c r="Z266" i="28" s="1"/>
  <c r="AA266" i="28" s="1"/>
  <c r="U266" i="28"/>
  <c r="U382" i="28"/>
  <c r="X382" i="28"/>
  <c r="Z382" i="28" s="1"/>
  <c r="AA382" i="28" s="1"/>
  <c r="X428" i="28"/>
  <c r="Z428" i="28" s="1"/>
  <c r="AA428" i="28" s="1"/>
  <c r="U428" i="28"/>
  <c r="Y456" i="28"/>
  <c r="U456" i="28"/>
  <c r="Z434" i="28"/>
  <c r="AA434" i="28" s="1"/>
  <c r="U270" i="28"/>
  <c r="U288" i="28"/>
  <c r="X288" i="28"/>
  <c r="Z288" i="28" s="1"/>
  <c r="AA288" i="28" s="1"/>
  <c r="U320" i="28"/>
  <c r="X320" i="28"/>
  <c r="Z320" i="28" s="1"/>
  <c r="AA320" i="28" s="1"/>
  <c r="U393" i="28"/>
  <c r="X275" i="28"/>
  <c r="Z275" i="28" s="1"/>
  <c r="AA275" i="28" s="1"/>
  <c r="U275" i="28"/>
  <c r="Z292" i="28"/>
  <c r="AA292" i="28" s="1"/>
  <c r="X295" i="28"/>
  <c r="Z295" i="28" s="1"/>
  <c r="AA295" i="28" s="1"/>
  <c r="U295" i="28"/>
  <c r="X330" i="28"/>
  <c r="Z330" i="28" s="1"/>
  <c r="AA330" i="28" s="1"/>
  <c r="U330" i="28"/>
  <c r="Z258" i="28"/>
  <c r="AA258" i="28" s="1"/>
  <c r="U269" i="28"/>
  <c r="X269" i="28"/>
  <c r="Z269" i="28" s="1"/>
  <c r="AA269" i="28" s="1"/>
  <c r="Z306" i="28"/>
  <c r="AA306" i="28" s="1"/>
  <c r="Z327" i="28"/>
  <c r="AA327" i="28" s="1"/>
  <c r="X355" i="28"/>
  <c r="U355" i="28"/>
  <c r="U385" i="28"/>
  <c r="U309" i="28"/>
  <c r="U298" i="28"/>
  <c r="X298" i="28"/>
  <c r="Z298" i="28" s="1"/>
  <c r="AA298" i="28" s="1"/>
  <c r="U440" i="28"/>
  <c r="U311" i="28"/>
  <c r="X311" i="28"/>
  <c r="Z311" i="28" s="1"/>
  <c r="AA311" i="28" s="1"/>
  <c r="X324" i="28"/>
  <c r="Z324" i="28" s="1"/>
  <c r="AA324" i="28" s="1"/>
  <c r="U324" i="28"/>
  <c r="X260" i="28"/>
  <c r="Z260" i="28" s="1"/>
  <c r="AA260" i="28" s="1"/>
  <c r="U260" i="28"/>
  <c r="Z302" i="28"/>
  <c r="AA302" i="28" s="1"/>
  <c r="U366" i="28"/>
  <c r="Y338" i="28"/>
  <c r="Z338" i="28" s="1"/>
  <c r="AA338" i="28" s="1"/>
  <c r="U338" i="28"/>
  <c r="X426" i="28"/>
  <c r="Z426" i="28" s="1"/>
  <c r="AA426" i="28" s="1"/>
  <c r="U426" i="28"/>
  <c r="X254" i="28"/>
  <c r="Z254" i="28" s="1"/>
  <c r="AA254" i="28" s="1"/>
  <c r="U254" i="28"/>
  <c r="U280" i="28"/>
  <c r="X280" i="28"/>
  <c r="Z280" i="28" s="1"/>
  <c r="AA280" i="28" s="1"/>
  <c r="U286" i="28"/>
  <c r="X286" i="28"/>
  <c r="Z286" i="28" s="1"/>
  <c r="AA286" i="28" s="1"/>
  <c r="Z264" i="28"/>
  <c r="AA264" i="28" s="1"/>
  <c r="Z271" i="28"/>
  <c r="AA271" i="28" s="1"/>
  <c r="Y314" i="28"/>
  <c r="Z314" i="28" s="1"/>
  <c r="AA314" i="28" s="1"/>
  <c r="U314" i="28"/>
  <c r="X357" i="28"/>
  <c r="Z357" i="28" s="1"/>
  <c r="AA357" i="28" s="1"/>
  <c r="U357" i="28"/>
  <c r="U359" i="28"/>
  <c r="X359" i="28"/>
  <c r="Z359" i="28" s="1"/>
  <c r="AA359" i="28" s="1"/>
  <c r="U374" i="28"/>
  <c r="Y398" i="28"/>
  <c r="U398" i="28"/>
  <c r="Y446" i="28"/>
  <c r="U446" i="28"/>
  <c r="U403" i="28"/>
  <c r="X403" i="28"/>
  <c r="U291" i="28"/>
  <c r="Y326" i="28"/>
  <c r="Z326" i="28" s="1"/>
  <c r="AA326" i="28" s="1"/>
  <c r="U326" i="28"/>
  <c r="U376" i="28"/>
  <c r="X376" i="28"/>
  <c r="Z376" i="28" s="1"/>
  <c r="AA376" i="28" s="1"/>
  <c r="U401" i="28"/>
  <c r="X401" i="28"/>
  <c r="Z401" i="28" s="1"/>
  <c r="AA401" i="28" s="1"/>
  <c r="Z440" i="28"/>
  <c r="AA440" i="28" s="1"/>
  <c r="U422" i="28"/>
  <c r="Y422" i="28"/>
  <c r="U406" i="28"/>
  <c r="X406" i="28"/>
  <c r="Z406" i="28" s="1"/>
  <c r="AA406" i="28" s="1"/>
  <c r="U299" i="28"/>
  <c r="U321" i="28"/>
  <c r="U323" i="28"/>
  <c r="X323" i="28"/>
  <c r="Z323" i="28" s="1"/>
  <c r="AA323" i="28" s="1"/>
  <c r="U336" i="28"/>
  <c r="Y350" i="28"/>
  <c r="Z350" i="28" s="1"/>
  <c r="AA350" i="28" s="1"/>
  <c r="X371" i="28"/>
  <c r="Z371" i="28" s="1"/>
  <c r="AA371" i="28" s="1"/>
  <c r="U258" i="28"/>
  <c r="U264" i="28"/>
  <c r="Y267" i="28"/>
  <c r="Z267" i="28" s="1"/>
  <c r="AA267" i="28" s="1"/>
  <c r="X305" i="28"/>
  <c r="Z305" i="28" s="1"/>
  <c r="AA305" i="28" s="1"/>
  <c r="U305" i="28"/>
  <c r="X318" i="28"/>
  <c r="U329" i="28"/>
  <c r="X329" i="28"/>
  <c r="Z329" i="28" s="1"/>
  <c r="AA329" i="28" s="1"/>
  <c r="U344" i="28"/>
  <c r="X344" i="28"/>
  <c r="Z344" i="28" s="1"/>
  <c r="AA344" i="28" s="1"/>
  <c r="X354" i="28"/>
  <c r="Z354" i="28" s="1"/>
  <c r="AA354" i="28" s="1"/>
  <c r="Z358" i="28"/>
  <c r="AA358" i="28" s="1"/>
  <c r="U368" i="28"/>
  <c r="X368" i="28"/>
  <c r="Z368" i="28" s="1"/>
  <c r="AA368" i="28" s="1"/>
  <c r="U377" i="28"/>
  <c r="X377" i="28"/>
  <c r="Z377" i="28" s="1"/>
  <c r="AA377" i="28" s="1"/>
  <c r="U395" i="28"/>
  <c r="X395" i="28"/>
  <c r="Z395" i="28" s="1"/>
  <c r="AA395" i="28" s="1"/>
  <c r="Z423" i="28"/>
  <c r="AA423" i="28" s="1"/>
  <c r="Z431" i="28"/>
  <c r="AA431" i="28" s="1"/>
  <c r="Z441" i="28"/>
  <c r="AA441" i="28" s="1"/>
  <c r="U453" i="28"/>
  <c r="Y453" i="28"/>
  <c r="Z453" i="28" s="1"/>
  <c r="AA453" i="28" s="1"/>
  <c r="U444" i="28"/>
  <c r="U332" i="28"/>
  <c r="X332" i="28"/>
  <c r="Z332" i="28" s="1"/>
  <c r="AA332" i="28" s="1"/>
  <c r="U334" i="28"/>
  <c r="X334" i="28"/>
  <c r="Z334" i="28" s="1"/>
  <c r="AA334" i="28" s="1"/>
  <c r="U341" i="28"/>
  <c r="X341" i="28"/>
  <c r="Z341" i="28" s="1"/>
  <c r="AA341" i="28" s="1"/>
  <c r="U361" i="28"/>
  <c r="U388" i="28"/>
  <c r="X388" i="28"/>
  <c r="Z388" i="28" s="1"/>
  <c r="AA388" i="28" s="1"/>
  <c r="X390" i="28"/>
  <c r="Z390" i="28" s="1"/>
  <c r="AA390" i="28" s="1"/>
  <c r="U390" i="28"/>
  <c r="U420" i="28"/>
  <c r="Z422" i="28"/>
  <c r="AA422" i="28" s="1"/>
  <c r="Z433" i="28"/>
  <c r="AA433" i="28" s="1"/>
  <c r="U412" i="28"/>
  <c r="X412" i="28"/>
  <c r="Z412" i="28" s="1"/>
  <c r="AA412" i="28" s="1"/>
  <c r="Z397" i="28"/>
  <c r="AA397" i="28" s="1"/>
  <c r="U271" i="28"/>
  <c r="Z337" i="28"/>
  <c r="AA337" i="28" s="1"/>
  <c r="U369" i="28"/>
  <c r="U373" i="28"/>
  <c r="X373" i="28"/>
  <c r="Z373" i="28" s="1"/>
  <c r="AA373" i="28" s="1"/>
  <c r="U409" i="28"/>
  <c r="Z446" i="28"/>
  <c r="AA446" i="28" s="1"/>
  <c r="U283" i="28"/>
  <c r="X283" i="28"/>
  <c r="Z283" i="28" s="1"/>
  <c r="AA283" i="28" s="1"/>
  <c r="Z349" i="28"/>
  <c r="AA349" i="28" s="1"/>
  <c r="X290" i="28"/>
  <c r="Z290" i="28" s="1"/>
  <c r="AA290" i="28" s="1"/>
  <c r="U290" i="28"/>
  <c r="U285" i="28"/>
  <c r="U306" i="28"/>
  <c r="U396" i="28"/>
  <c r="Z451" i="28"/>
  <c r="AA451" i="28" s="1"/>
  <c r="Z361" i="28"/>
  <c r="AA361" i="28" s="1"/>
  <c r="U404" i="28"/>
  <c r="X404" i="28"/>
  <c r="Z404" i="28" s="1"/>
  <c r="AA404" i="28" s="1"/>
  <c r="U419" i="28"/>
  <c r="X419" i="28"/>
  <c r="Z419" i="28" s="1"/>
  <c r="AA419" i="28" s="1"/>
  <c r="U433" i="28"/>
  <c r="X343" i="28"/>
  <c r="X381" i="28"/>
  <c r="Z381" i="28" s="1"/>
  <c r="AA381" i="28" s="1"/>
  <c r="U381" i="28"/>
  <c r="Y386" i="28"/>
  <c r="Z386" i="28" s="1"/>
  <c r="AA386" i="28" s="1"/>
  <c r="Z398" i="28"/>
  <c r="AA398" i="28" s="1"/>
  <c r="U443" i="28"/>
  <c r="X443" i="28"/>
  <c r="Z443" i="28" s="1"/>
  <c r="AA443" i="28" s="1"/>
  <c r="Z409" i="28"/>
  <c r="AA409" i="28" s="1"/>
  <c r="U414" i="28"/>
  <c r="X414" i="28"/>
  <c r="Z414" i="28" s="1"/>
  <c r="AA414" i="28" s="1"/>
  <c r="Y438" i="28"/>
  <c r="U438" i="28"/>
  <c r="U297" i="28"/>
  <c r="X297" i="28"/>
  <c r="Z297" i="28" s="1"/>
  <c r="AA297" i="28" s="1"/>
  <c r="Z299" i="28"/>
  <c r="AA299" i="28" s="1"/>
  <c r="Z321" i="28"/>
  <c r="AA321" i="28" s="1"/>
  <c r="X384" i="28"/>
  <c r="Z384" i="28" s="1"/>
  <c r="AA384" i="28" s="1"/>
  <c r="U384" i="28"/>
  <c r="Z279" i="28"/>
  <c r="AA279" i="28" s="1"/>
  <c r="X301" i="28"/>
  <c r="Z301" i="28" s="1"/>
  <c r="AA301" i="28" s="1"/>
  <c r="U301" i="28"/>
  <c r="U308" i="28"/>
  <c r="X308" i="28"/>
  <c r="Z308" i="28" s="1"/>
  <c r="AA308" i="28" s="1"/>
  <c r="U352" i="28"/>
  <c r="X352" i="28"/>
  <c r="Z352" i="28" s="1"/>
  <c r="AA352" i="28" s="1"/>
  <c r="U259" i="28"/>
  <c r="U265" i="28"/>
  <c r="X274" i="28"/>
  <c r="Z274" i="28" s="1"/>
  <c r="AA274" i="28" s="1"/>
  <c r="U279" i="28"/>
  <c r="X284" i="28"/>
  <c r="Z284" i="28" s="1"/>
  <c r="AA284" i="28" s="1"/>
  <c r="U287" i="28"/>
  <c r="X291" i="28"/>
  <c r="Z291" i="28" s="1"/>
  <c r="AA291" i="28" s="1"/>
  <c r="U294" i="28"/>
  <c r="X294" i="28"/>
  <c r="Z294" i="28" s="1"/>
  <c r="AA294" i="28" s="1"/>
  <c r="U346" i="28"/>
  <c r="X346" i="28"/>
  <c r="Z346" i="28" s="1"/>
  <c r="AA346" i="28" s="1"/>
  <c r="U349" i="28"/>
  <c r="X366" i="28"/>
  <c r="Z366" i="28" s="1"/>
  <c r="AA366" i="28" s="1"/>
  <c r="U370" i="28"/>
  <c r="X370" i="28"/>
  <c r="Z370" i="28" s="1"/>
  <c r="AA370" i="28" s="1"/>
  <c r="Z385" i="28"/>
  <c r="AA385" i="28" s="1"/>
  <c r="X393" i="28"/>
  <c r="Z393" i="28" s="1"/>
  <c r="AA393" i="28" s="1"/>
  <c r="U402" i="28"/>
  <c r="U415" i="28"/>
  <c r="U417" i="28"/>
  <c r="U451" i="28"/>
  <c r="U317" i="28"/>
  <c r="X317" i="28"/>
  <c r="Z317" i="28" s="1"/>
  <c r="AA317" i="28" s="1"/>
  <c r="Y273" i="28"/>
  <c r="Z273" i="28" s="1"/>
  <c r="AA273" i="28" s="1"/>
  <c r="Y300" i="28"/>
  <c r="U316" i="28"/>
  <c r="X316" i="28"/>
  <c r="Z316" i="28" s="1"/>
  <c r="AA316" i="28" s="1"/>
  <c r="X333" i="28"/>
  <c r="Z333" i="28" s="1"/>
  <c r="AA333" i="28" s="1"/>
  <c r="Z362" i="28"/>
  <c r="AA362" i="28" s="1"/>
  <c r="U364" i="28"/>
  <c r="X364" i="28"/>
  <c r="Z364" i="28" s="1"/>
  <c r="AA364" i="28" s="1"/>
  <c r="U380" i="28"/>
  <c r="X380" i="28"/>
  <c r="Z380" i="28" s="1"/>
  <c r="AA380" i="28" s="1"/>
  <c r="X408" i="28"/>
  <c r="Z408" i="28" s="1"/>
  <c r="AA408" i="28" s="1"/>
  <c r="U413" i="28"/>
  <c r="X413" i="28"/>
  <c r="Z413" i="28" s="1"/>
  <c r="AA413" i="28" s="1"/>
  <c r="Y439" i="28"/>
  <c r="Z447" i="28"/>
  <c r="AA447" i="28" s="1"/>
  <c r="U392" i="28"/>
  <c r="X392" i="28"/>
  <c r="Z392" i="28" s="1"/>
  <c r="AA392" i="28" s="1"/>
  <c r="U425" i="28"/>
  <c r="X425" i="28"/>
  <c r="Z425" i="28" s="1"/>
  <c r="AA425" i="28" s="1"/>
  <c r="Y445" i="28"/>
  <c r="Z445" i="28" s="1"/>
  <c r="AA445" i="28" s="1"/>
  <c r="U445" i="28"/>
  <c r="X457" i="28"/>
  <c r="Z457" i="28" s="1"/>
  <c r="AA457" i="28" s="1"/>
  <c r="U457" i="28"/>
  <c r="U365" i="28"/>
  <c r="X365" i="28"/>
  <c r="Z365" i="28" s="1"/>
  <c r="AA365" i="28" s="1"/>
  <c r="Z405" i="28"/>
  <c r="AA405" i="28" s="1"/>
  <c r="U435" i="28"/>
  <c r="Y435" i="28"/>
  <c r="Z435" i="28" s="1"/>
  <c r="AA435" i="28" s="1"/>
  <c r="X450" i="28"/>
  <c r="Z450" i="28" s="1"/>
  <c r="AA450" i="28" s="1"/>
  <c r="U450" i="28"/>
  <c r="U304" i="28"/>
  <c r="U447" i="28"/>
  <c r="U416" i="28"/>
  <c r="X416" i="28"/>
  <c r="Z416" i="28" s="1"/>
  <c r="AA416" i="28" s="1"/>
  <c r="X300" i="28"/>
  <c r="U340" i="28"/>
  <c r="X340" i="28"/>
  <c r="Z340" i="28" s="1"/>
  <c r="AA340" i="28" s="1"/>
  <c r="U356" i="28"/>
  <c r="X356" i="28"/>
  <c r="Z356" i="28" s="1"/>
  <c r="AA356" i="28" s="1"/>
  <c r="U389" i="28"/>
  <c r="X389" i="28"/>
  <c r="Z389" i="28" s="1"/>
  <c r="AA389" i="28" s="1"/>
  <c r="U418" i="28"/>
  <c r="Y429" i="28"/>
  <c r="Z429" i="28" s="1"/>
  <c r="AA429" i="28" s="1"/>
  <c r="X432" i="28"/>
  <c r="Z432" i="28" s="1"/>
  <c r="AA432" i="28" s="1"/>
  <c r="U432" i="28"/>
  <c r="U434" i="28"/>
  <c r="X439" i="28"/>
  <c r="U439" i="28"/>
  <c r="X345" i="28"/>
  <c r="Z345" i="28" s="1"/>
  <c r="AA345" i="28" s="1"/>
  <c r="U400" i="28"/>
  <c r="X400" i="28"/>
  <c r="Z400" i="28" s="1"/>
  <c r="AA400" i="28" s="1"/>
  <c r="Y427" i="28"/>
  <c r="Z427" i="28" s="1"/>
  <c r="AA427" i="28" s="1"/>
  <c r="U427" i="28"/>
  <c r="U442" i="28"/>
  <c r="X442" i="28"/>
  <c r="Z442" i="28" s="1"/>
  <c r="AA442" i="28" s="1"/>
  <c r="U277" i="28"/>
  <c r="U289" i="28"/>
  <c r="U328" i="28"/>
  <c r="X328" i="28"/>
  <c r="Z328" i="28" s="1"/>
  <c r="AA328" i="28" s="1"/>
  <c r="U358" i="28"/>
  <c r="X369" i="28"/>
  <c r="Z369" i="28" s="1"/>
  <c r="AA369" i="28" s="1"/>
  <c r="U405" i="28"/>
  <c r="U424" i="28"/>
  <c r="X424" i="28"/>
  <c r="Z424" i="28" s="1"/>
  <c r="AA424" i="28" s="1"/>
  <c r="U429" i="28"/>
  <c r="X444" i="28"/>
  <c r="Z444" i="28" s="1"/>
  <c r="AA444" i="28" s="1"/>
  <c r="U454" i="28"/>
  <c r="X454" i="28"/>
  <c r="Z454" i="28" s="1"/>
  <c r="AA454" i="28" s="1"/>
  <c r="Y319" i="28"/>
  <c r="Z319" i="28" s="1"/>
  <c r="AA319" i="28" s="1"/>
  <c r="Y331" i="28"/>
  <c r="Z331" i="28" s="1"/>
  <c r="AA331" i="28" s="1"/>
  <c r="Y343" i="28"/>
  <c r="Y355" i="28"/>
  <c r="Y367" i="28"/>
  <c r="Z367" i="28" s="1"/>
  <c r="AA367" i="28" s="1"/>
  <c r="Y379" i="28"/>
  <c r="Z379" i="28" s="1"/>
  <c r="AA379" i="28" s="1"/>
  <c r="Y391" i="28"/>
  <c r="Z391" i="28" s="1"/>
  <c r="AA391" i="28" s="1"/>
  <c r="Y403" i="28"/>
  <c r="Y415" i="28"/>
  <c r="Z415" i="28" s="1"/>
  <c r="AA415" i="28" s="1"/>
  <c r="U437" i="28"/>
  <c r="U455" i="28"/>
  <c r="U431" i="28"/>
  <c r="U449" i="28"/>
  <c r="X438" i="28"/>
  <c r="X456" i="28"/>
  <c r="Z456" i="28" s="1"/>
  <c r="AA456" i="28" s="1"/>
  <c r="U292" i="28"/>
  <c r="X157" i="1" l="1"/>
  <c r="AG157" i="1" s="1"/>
  <c r="N126" i="1"/>
  <c r="AA126" i="1" s="1"/>
  <c r="AJ126" i="1" s="1"/>
  <c r="X10" i="1"/>
  <c r="AG10" i="1" s="1"/>
  <c r="N103" i="1"/>
  <c r="AA103" i="1" s="1"/>
  <c r="AJ103" i="1" s="1"/>
  <c r="N123" i="1"/>
  <c r="AA123" i="1" s="1"/>
  <c r="AJ123" i="1" s="1"/>
  <c r="X97" i="1"/>
  <c r="AG97" i="1" s="1"/>
  <c r="X120" i="1"/>
  <c r="AG120" i="1" s="1"/>
  <c r="N152" i="1"/>
  <c r="AA152" i="1" s="1"/>
  <c r="AJ152" i="1" s="1"/>
  <c r="N151" i="1"/>
  <c r="AA151" i="1" s="1"/>
  <c r="AJ151" i="1" s="1"/>
  <c r="N101" i="1"/>
  <c r="AA101" i="1" s="1"/>
  <c r="AJ101" i="1" s="1"/>
  <c r="X11" i="1"/>
  <c r="AG11" i="1" s="1"/>
  <c r="N135" i="1"/>
  <c r="AA135" i="1" s="1"/>
  <c r="AJ135" i="1" s="1"/>
  <c r="N89" i="1"/>
  <c r="AA89" i="1" s="1"/>
  <c r="AJ89" i="1" s="1"/>
  <c r="X144" i="1"/>
  <c r="AG144" i="1" s="1"/>
  <c r="N96" i="1"/>
  <c r="X132" i="1"/>
  <c r="AG132" i="1" s="1"/>
  <c r="N110" i="1"/>
  <c r="AA110" i="1" s="1"/>
  <c r="AJ110" i="1" s="1"/>
  <c r="N128" i="1"/>
  <c r="AA128" i="1" s="1"/>
  <c r="AJ128" i="1" s="1"/>
  <c r="N143" i="1"/>
  <c r="AA143" i="1" s="1"/>
  <c r="AJ143" i="1" s="1"/>
  <c r="N156" i="1"/>
  <c r="AA156" i="1" s="1"/>
  <c r="AJ156" i="1" s="1"/>
  <c r="Q162" i="1"/>
  <c r="AD162" i="1" s="1"/>
  <c r="AA162" i="1"/>
  <c r="AJ162" i="1" s="1"/>
  <c r="N121" i="1"/>
  <c r="AA121" i="1" s="1"/>
  <c r="AJ121" i="1" s="1"/>
  <c r="N154" i="1"/>
  <c r="AA154" i="1" s="1"/>
  <c r="AJ154" i="1" s="1"/>
  <c r="N127" i="1"/>
  <c r="AA127" i="1" s="1"/>
  <c r="AJ127" i="1" s="1"/>
  <c r="N94" i="1"/>
  <c r="AA94" i="1" s="1"/>
  <c r="AJ94" i="1" s="1"/>
  <c r="N147" i="1"/>
  <c r="AA147" i="1" s="1"/>
  <c r="AJ147" i="1" s="1"/>
  <c r="X153" i="1"/>
  <c r="AG153" i="1" s="1"/>
  <c r="X26" i="1"/>
  <c r="AG26" i="1" s="1"/>
  <c r="X99" i="1"/>
  <c r="AG99" i="1" s="1"/>
  <c r="N155" i="1"/>
  <c r="AA155" i="1" s="1"/>
  <c r="AJ155" i="1" s="1"/>
  <c r="N98" i="1"/>
  <c r="AA98" i="1" s="1"/>
  <c r="AJ98" i="1" s="1"/>
  <c r="N100" i="1"/>
  <c r="AA100" i="1" s="1"/>
  <c r="AJ100" i="1" s="1"/>
  <c r="X148" i="1"/>
  <c r="AG148" i="1" s="1"/>
  <c r="N106" i="1"/>
  <c r="AA106" i="1" s="1"/>
  <c r="AJ106" i="1" s="1"/>
  <c r="N136" i="1"/>
  <c r="AA136" i="1" s="1"/>
  <c r="AJ136" i="1" s="1"/>
  <c r="N122" i="1"/>
  <c r="AA122" i="1" s="1"/>
  <c r="AJ122" i="1" s="1"/>
  <c r="N93" i="1"/>
  <c r="AA93" i="1" s="1"/>
  <c r="AJ93" i="1" s="1"/>
  <c r="N140" i="1"/>
  <c r="AA140" i="1" s="1"/>
  <c r="AJ140" i="1" s="1"/>
  <c r="X91" i="1"/>
  <c r="AG91" i="1" s="1"/>
  <c r="Z403" i="28"/>
  <c r="AA403" i="28" s="1"/>
  <c r="X40" i="1"/>
  <c r="AG40" i="1" s="1"/>
  <c r="N40" i="1"/>
  <c r="AA40" i="1" s="1"/>
  <c r="AJ40" i="1" s="1"/>
  <c r="Z448" i="28"/>
  <c r="AA448" i="28" s="1"/>
  <c r="Z430" i="28"/>
  <c r="AA430" i="28" s="1"/>
  <c r="Z418" i="28"/>
  <c r="AA418" i="28" s="1"/>
  <c r="Z410" i="28"/>
  <c r="AA410" i="28" s="1"/>
  <c r="Z399" i="28"/>
  <c r="AA399" i="28" s="1"/>
  <c r="Z387" i="28"/>
  <c r="AA387" i="28" s="1"/>
  <c r="Z363" i="28"/>
  <c r="AA363" i="28" s="1"/>
  <c r="Z339" i="28"/>
  <c r="AA339" i="28" s="1"/>
  <c r="Z315" i="28"/>
  <c r="AA315" i="28" s="1"/>
  <c r="Z307" i="28"/>
  <c r="AA307" i="28" s="1"/>
  <c r="N146" i="1"/>
  <c r="AA146" i="1" s="1"/>
  <c r="AJ146" i="1" s="1"/>
  <c r="Z98" i="1"/>
  <c r="AI98" i="1" s="1"/>
  <c r="Z106" i="1"/>
  <c r="AI106" i="1" s="1"/>
  <c r="AA26" i="1"/>
  <c r="AJ26" i="1" s="1"/>
  <c r="AA96" i="1"/>
  <c r="AJ96" i="1" s="1"/>
  <c r="AA120" i="1"/>
  <c r="AJ120" i="1" s="1"/>
  <c r="Z158" i="1"/>
  <c r="AI158" i="1" s="1"/>
  <c r="N119" i="1"/>
  <c r="Z95" i="1"/>
  <c r="AI95" i="1" s="1"/>
  <c r="N158" i="1"/>
  <c r="Z89" i="1"/>
  <c r="AI89" i="1" s="1"/>
  <c r="AA142" i="1"/>
  <c r="AJ142" i="1" s="1"/>
  <c r="Z88" i="1"/>
  <c r="AI88" i="1" s="1"/>
  <c r="Z127" i="1"/>
  <c r="AI127" i="1" s="1"/>
  <c r="Z107" i="1"/>
  <c r="AI107" i="1" s="1"/>
  <c r="N141" i="1"/>
  <c r="Z141" i="1"/>
  <c r="AI141" i="1" s="1"/>
  <c r="Z138" i="1"/>
  <c r="AI138" i="1" s="1"/>
  <c r="N138" i="1"/>
  <c r="Z93" i="1"/>
  <c r="AI93" i="1" s="1"/>
  <c r="Z140" i="1"/>
  <c r="AI140" i="1" s="1"/>
  <c r="AA148" i="1"/>
  <c r="AJ148" i="1" s="1"/>
  <c r="AA91" i="1"/>
  <c r="AJ91" i="1" s="1"/>
  <c r="Z115" i="1"/>
  <c r="AI115" i="1" s="1"/>
  <c r="Z142" i="1"/>
  <c r="AI142" i="1" s="1"/>
  <c r="N109" i="1"/>
  <c r="Z109" i="1"/>
  <c r="AI109" i="1" s="1"/>
  <c r="Z150" i="1"/>
  <c r="AI150" i="1" s="1"/>
  <c r="N150" i="1"/>
  <c r="Z133" i="1"/>
  <c r="AI133" i="1" s="1"/>
  <c r="N133" i="1"/>
  <c r="Z84" i="1"/>
  <c r="AI84" i="1" s="1"/>
  <c r="AA112" i="1"/>
  <c r="AJ112" i="1" s="1"/>
  <c r="AA153" i="1"/>
  <c r="AJ153" i="1" s="1"/>
  <c r="AA97" i="1"/>
  <c r="AJ97" i="1" s="1"/>
  <c r="Z85" i="1"/>
  <c r="AI85" i="1" s="1"/>
  <c r="Z136" i="1"/>
  <c r="AI136" i="1" s="1"/>
  <c r="AA95" i="1"/>
  <c r="AJ95" i="1" s="1"/>
  <c r="Z147" i="1"/>
  <c r="AI147" i="1" s="1"/>
  <c r="Z137" i="1"/>
  <c r="AI137" i="1" s="1"/>
  <c r="N137" i="1"/>
  <c r="AA144" i="1"/>
  <c r="AJ144" i="1" s="1"/>
  <c r="Z92" i="1"/>
  <c r="AI92" i="1" s="1"/>
  <c r="N92" i="1"/>
  <c r="Z124" i="1"/>
  <c r="AI124" i="1" s="1"/>
  <c r="N124" i="1"/>
  <c r="Z149" i="1"/>
  <c r="AI149" i="1" s="1"/>
  <c r="N149" i="1"/>
  <c r="AA99" i="1"/>
  <c r="AJ99" i="1" s="1"/>
  <c r="Z111" i="1"/>
  <c r="AI111" i="1" s="1"/>
  <c r="N111" i="1"/>
  <c r="AA132" i="1"/>
  <c r="AJ132" i="1" s="1"/>
  <c r="Z121" i="1"/>
  <c r="AI121" i="1" s="1"/>
  <c r="Z151" i="1"/>
  <c r="AI151" i="1" s="1"/>
  <c r="Z102" i="1"/>
  <c r="AI102" i="1" s="1"/>
  <c r="N102" i="1"/>
  <c r="N145" i="1"/>
  <c r="Z145" i="1"/>
  <c r="AI145" i="1" s="1"/>
  <c r="Z90" i="1"/>
  <c r="AI90" i="1" s="1"/>
  <c r="N90" i="1"/>
  <c r="N104" i="1"/>
  <c r="Z104" i="1"/>
  <c r="AI104" i="1" s="1"/>
  <c r="Z116" i="1"/>
  <c r="AI116" i="1" s="1"/>
  <c r="Z86" i="1"/>
  <c r="AI86" i="1" s="1"/>
  <c r="AA66" i="1"/>
  <c r="AJ66" i="1" s="1"/>
  <c r="Z66" i="1"/>
  <c r="AI66" i="1" s="1"/>
  <c r="Z58" i="1"/>
  <c r="AI58" i="1" s="1"/>
  <c r="N58" i="1"/>
  <c r="AA11" i="1"/>
  <c r="AJ11" i="1" s="1"/>
  <c r="AA10" i="1"/>
  <c r="AJ10" i="1" s="1"/>
  <c r="Z276" i="28"/>
  <c r="AA276" i="28" s="1"/>
  <c r="Z355" i="28"/>
  <c r="AA355" i="28" s="1"/>
  <c r="Z300" i="28"/>
  <c r="AA300" i="28" s="1"/>
  <c r="Z439" i="28"/>
  <c r="AA439" i="28" s="1"/>
  <c r="Z438" i="28"/>
  <c r="AA438" i="28" s="1"/>
  <c r="Z343" i="28"/>
  <c r="AA343" i="28" s="1"/>
  <c r="Z318" i="28"/>
  <c r="AA318" i="28" s="1"/>
  <c r="AA119" i="1" l="1"/>
  <c r="AJ119" i="1" s="1"/>
  <c r="AA158" i="1"/>
  <c r="AJ158" i="1" s="1"/>
  <c r="AA102" i="1"/>
  <c r="AJ102" i="1" s="1"/>
  <c r="AA138" i="1"/>
  <c r="AJ138" i="1" s="1"/>
  <c r="AA150" i="1"/>
  <c r="AJ150" i="1" s="1"/>
  <c r="AA145" i="1"/>
  <c r="AJ145" i="1" s="1"/>
  <c r="AA104" i="1"/>
  <c r="AJ104" i="1" s="1"/>
  <c r="AA92" i="1"/>
  <c r="AJ92" i="1" s="1"/>
  <c r="AA137" i="1"/>
  <c r="AJ137" i="1" s="1"/>
  <c r="AA109" i="1"/>
  <c r="AJ109" i="1" s="1"/>
  <c r="AA133" i="1"/>
  <c r="AJ133" i="1" s="1"/>
  <c r="AA111" i="1"/>
  <c r="AJ111" i="1" s="1"/>
  <c r="AA149" i="1"/>
  <c r="AJ149" i="1" s="1"/>
  <c r="AA90" i="1"/>
  <c r="AJ90" i="1" s="1"/>
  <c r="AA124" i="1"/>
  <c r="AJ124" i="1" s="1"/>
  <c r="AA141" i="1"/>
  <c r="AJ141" i="1" s="1"/>
  <c r="AA58" i="1"/>
  <c r="AJ58" i="1" s="1"/>
  <c r="P233" i="28"/>
  <c r="P232" i="28"/>
  <c r="P231" i="28"/>
  <c r="P230" i="28"/>
  <c r="P229" i="28"/>
  <c r="P228" i="28"/>
  <c r="P227" i="28"/>
  <c r="P226" i="28"/>
  <c r="S226" i="28"/>
  <c r="T226" i="28"/>
  <c r="S227" i="28"/>
  <c r="T227" i="28"/>
  <c r="S228" i="28"/>
  <c r="T228" i="28"/>
  <c r="S229" i="28"/>
  <c r="T229" i="28"/>
  <c r="S230" i="28"/>
  <c r="T230" i="28" s="1"/>
  <c r="S231" i="28"/>
  <c r="T231" i="28"/>
  <c r="S232" i="28"/>
  <c r="T232" i="28" s="1"/>
  <c r="S233" i="28"/>
  <c r="T233" i="28"/>
  <c r="S234" i="28"/>
  <c r="T234" i="28"/>
  <c r="S235" i="28"/>
  <c r="T235" i="28"/>
  <c r="K161" i="1"/>
  <c r="J161" i="1"/>
  <c r="W161" i="1" s="1"/>
  <c r="AF161" i="1" s="1"/>
  <c r="M161" i="1"/>
  <c r="P225" i="28"/>
  <c r="O224" i="28"/>
  <c r="O222" i="28"/>
  <c r="O221" i="28"/>
  <c r="O178" i="28"/>
  <c r="U229" i="28" l="1"/>
  <c r="N161" i="1"/>
  <c r="AA161" i="1" s="1"/>
  <c r="AJ161" i="1" s="1"/>
  <c r="U232" i="28"/>
  <c r="U226" i="28"/>
  <c r="U228" i="28"/>
  <c r="U227" i="28"/>
  <c r="U230" i="28"/>
  <c r="U233" i="28"/>
  <c r="U231" i="28"/>
  <c r="Z161" i="1"/>
  <c r="AI161" i="1" s="1"/>
  <c r="Y161" i="1"/>
  <c r="AH161" i="1" s="1"/>
  <c r="X161" i="1"/>
  <c r="AG161" i="1" s="1"/>
  <c r="M74" i="1"/>
  <c r="M73" i="1"/>
  <c r="M72" i="1"/>
  <c r="M71" i="1"/>
  <c r="M70" i="1"/>
  <c r="O177" i="28"/>
  <c r="G82" i="1" l="1"/>
  <c r="G81" i="1"/>
  <c r="G80" i="1"/>
  <c r="G79" i="1"/>
  <c r="G78" i="1"/>
  <c r="G77" i="1"/>
  <c r="G76" i="1"/>
  <c r="G75" i="1"/>
  <c r="G74" i="1"/>
  <c r="G73" i="1"/>
  <c r="G72" i="1"/>
  <c r="G71" i="1"/>
  <c r="G69" i="1"/>
  <c r="G68" i="1"/>
  <c r="G65" i="1"/>
  <c r="G64" i="1"/>
  <c r="G63" i="1"/>
  <c r="G62" i="1"/>
  <c r="G61" i="1"/>
  <c r="G60" i="1"/>
  <c r="G59" i="1"/>
  <c r="G57" i="1"/>
  <c r="G56" i="1"/>
  <c r="G55" i="1"/>
  <c r="G54" i="1"/>
  <c r="G52" i="1"/>
  <c r="G51" i="1"/>
  <c r="G50" i="1"/>
  <c r="G49" i="1"/>
  <c r="G48" i="1"/>
  <c r="G46" i="1"/>
  <c r="G45" i="1"/>
  <c r="G44" i="1"/>
  <c r="G43" i="1"/>
  <c r="G41" i="1"/>
  <c r="G38" i="1"/>
  <c r="G37" i="1"/>
  <c r="G36" i="1"/>
  <c r="G35" i="1"/>
  <c r="G34" i="1"/>
  <c r="G33" i="1"/>
  <c r="G32" i="1"/>
  <c r="G31" i="1"/>
  <c r="G29" i="1"/>
  <c r="G28" i="1"/>
  <c r="G27" i="1"/>
  <c r="G24" i="1"/>
  <c r="G23" i="1"/>
  <c r="G21" i="1"/>
  <c r="G20" i="1"/>
  <c r="G19" i="1"/>
  <c r="G18" i="1"/>
  <c r="G17" i="1"/>
  <c r="G16" i="1"/>
  <c r="G15" i="1"/>
  <c r="G14" i="1"/>
  <c r="G13" i="1"/>
  <c r="G12" i="1"/>
  <c r="G9" i="1"/>
  <c r="G8" i="1"/>
  <c r="G7" i="1"/>
  <c r="G6" i="1"/>
  <c r="G4" i="1"/>
  <c r="G30" i="1"/>
  <c r="P224" i="28"/>
  <c r="P223" i="28"/>
  <c r="P222" i="28"/>
  <c r="P221" i="28"/>
  <c r="P220" i="28"/>
  <c r="E28" i="21" l="1"/>
  <c r="M56" i="1"/>
  <c r="J56" i="1"/>
  <c r="W56" i="1" s="1"/>
  <c r="AF56" i="1" s="1"/>
  <c r="C56" i="1"/>
  <c r="P216" i="28"/>
  <c r="S216" i="28"/>
  <c r="T216" i="28"/>
  <c r="C28" i="1"/>
  <c r="J28" i="1"/>
  <c r="W28" i="1" s="1"/>
  <c r="AF28" i="1" s="1"/>
  <c r="L4" i="1"/>
  <c r="M4" i="1" s="1"/>
  <c r="J4" i="1"/>
  <c r="W4" i="1" s="1"/>
  <c r="AF4" i="1" s="1"/>
  <c r="C4" i="1"/>
  <c r="U216" i="28" l="1"/>
  <c r="Y28" i="1"/>
  <c r="AH28" i="1" s="1"/>
  <c r="Y56" i="1"/>
  <c r="AH56" i="1" s="1"/>
  <c r="Z56" i="1"/>
  <c r="AI56" i="1" s="1"/>
  <c r="M28" i="1"/>
  <c r="Z28" i="1" s="1"/>
  <c r="AI28" i="1" s="1"/>
  <c r="Y4" i="1"/>
  <c r="AH4" i="1" s="1"/>
  <c r="Z4" i="1"/>
  <c r="AI4" i="1" s="1"/>
  <c r="M35" i="1" l="1"/>
  <c r="J35" i="1"/>
  <c r="W35" i="1" s="1"/>
  <c r="AF35" i="1" s="1"/>
  <c r="C35" i="1"/>
  <c r="O213" i="28"/>
  <c r="O175" i="28"/>
  <c r="O174" i="28"/>
  <c r="O173" i="28"/>
  <c r="O190" i="28"/>
  <c r="O189" i="28"/>
  <c r="Z35" i="1" l="1"/>
  <c r="AI35" i="1" s="1"/>
  <c r="Y35" i="1"/>
  <c r="AH35" i="1" s="1"/>
  <c r="O203" i="28" l="1"/>
  <c r="O202" i="28"/>
  <c r="O199" i="28"/>
  <c r="P212" i="28"/>
  <c r="S212" i="28"/>
  <c r="T212" i="28" s="1"/>
  <c r="J82" i="1"/>
  <c r="W82" i="1" s="1"/>
  <c r="AF82" i="1" s="1"/>
  <c r="J81" i="1"/>
  <c r="J80" i="1"/>
  <c r="J79" i="1"/>
  <c r="W79" i="1" s="1"/>
  <c r="AF79" i="1" s="1"/>
  <c r="J78" i="1"/>
  <c r="W78" i="1" s="1"/>
  <c r="AF78" i="1" s="1"/>
  <c r="J77" i="1"/>
  <c r="W77" i="1" s="1"/>
  <c r="AF77" i="1" s="1"/>
  <c r="J76" i="1"/>
  <c r="W76" i="1" s="1"/>
  <c r="AF76" i="1" s="1"/>
  <c r="J75" i="1"/>
  <c r="M82" i="1"/>
  <c r="C82" i="1"/>
  <c r="M27" i="1"/>
  <c r="J27" i="1"/>
  <c r="W27" i="1" s="1"/>
  <c r="AF27" i="1" s="1"/>
  <c r="C27" i="1"/>
  <c r="M81" i="1"/>
  <c r="C81" i="1"/>
  <c r="M80" i="1"/>
  <c r="C80" i="1"/>
  <c r="C79" i="1"/>
  <c r="M78" i="1"/>
  <c r="C78" i="1"/>
  <c r="M77" i="1"/>
  <c r="S77" i="1" s="1"/>
  <c r="C77" i="1"/>
  <c r="C76" i="1"/>
  <c r="M75" i="1"/>
  <c r="C75" i="1"/>
  <c r="J74" i="1"/>
  <c r="W74" i="1" s="1"/>
  <c r="AF74" i="1" s="1"/>
  <c r="C74" i="1"/>
  <c r="J73" i="1"/>
  <c r="W73" i="1" s="1"/>
  <c r="AF73" i="1" s="1"/>
  <c r="C73" i="1"/>
  <c r="J72" i="1"/>
  <c r="W72" i="1" s="1"/>
  <c r="AF72" i="1" s="1"/>
  <c r="C72" i="1"/>
  <c r="J71" i="1"/>
  <c r="C71" i="1"/>
  <c r="J70" i="1"/>
  <c r="W70" i="1" s="1"/>
  <c r="AF70" i="1" s="1"/>
  <c r="C70" i="1"/>
  <c r="M69" i="1"/>
  <c r="J69" i="1"/>
  <c r="C69" i="1"/>
  <c r="J68" i="1"/>
  <c r="C68" i="1"/>
  <c r="M67" i="1"/>
  <c r="J67" i="1"/>
  <c r="C67" i="1"/>
  <c r="M65" i="1"/>
  <c r="J65" i="1"/>
  <c r="W65" i="1" s="1"/>
  <c r="AF65" i="1" s="1"/>
  <c r="C65" i="1"/>
  <c r="M64" i="1"/>
  <c r="J64" i="1"/>
  <c r="C64" i="1"/>
  <c r="M63" i="1"/>
  <c r="J63" i="1"/>
  <c r="W63" i="1" s="1"/>
  <c r="AF63" i="1" s="1"/>
  <c r="C63" i="1"/>
  <c r="J62" i="1"/>
  <c r="W62" i="1" s="1"/>
  <c r="AF62" i="1" s="1"/>
  <c r="C62" i="1"/>
  <c r="M61" i="1"/>
  <c r="J61" i="1"/>
  <c r="W61" i="1" s="1"/>
  <c r="AF61" i="1" s="1"/>
  <c r="C61" i="1"/>
  <c r="M60" i="1"/>
  <c r="J60" i="1"/>
  <c r="W60" i="1" s="1"/>
  <c r="AF60" i="1" s="1"/>
  <c r="C60" i="1"/>
  <c r="J59" i="1"/>
  <c r="W59" i="1" s="1"/>
  <c r="AF59" i="1" s="1"/>
  <c r="C59" i="1"/>
  <c r="J57" i="1"/>
  <c r="W57" i="1" s="1"/>
  <c r="AF57" i="1" s="1"/>
  <c r="C57" i="1"/>
  <c r="M55" i="1"/>
  <c r="J55" i="1"/>
  <c r="W55" i="1" s="1"/>
  <c r="AF55" i="1" s="1"/>
  <c r="C55" i="1"/>
  <c r="J54" i="1"/>
  <c r="W54" i="1" s="1"/>
  <c r="AF54" i="1" s="1"/>
  <c r="C54" i="1"/>
  <c r="J52" i="1"/>
  <c r="W52" i="1" s="1"/>
  <c r="AF52" i="1" s="1"/>
  <c r="C52" i="1"/>
  <c r="M51" i="1"/>
  <c r="J51" i="1"/>
  <c r="C51" i="1"/>
  <c r="M50" i="1"/>
  <c r="J50" i="1"/>
  <c r="W50" i="1" s="1"/>
  <c r="AF50" i="1" s="1"/>
  <c r="C50" i="1"/>
  <c r="J49" i="1"/>
  <c r="C49" i="1"/>
  <c r="M48" i="1"/>
  <c r="J48" i="1"/>
  <c r="W48" i="1" s="1"/>
  <c r="AF48" i="1" s="1"/>
  <c r="C48" i="1"/>
  <c r="J46" i="1"/>
  <c r="W46" i="1" s="1"/>
  <c r="AF46" i="1" s="1"/>
  <c r="C46" i="1"/>
  <c r="M45" i="1"/>
  <c r="J45" i="1"/>
  <c r="W45" i="1" s="1"/>
  <c r="AF45" i="1" s="1"/>
  <c r="C45" i="1"/>
  <c r="M44" i="1"/>
  <c r="J44" i="1"/>
  <c r="C44" i="1"/>
  <c r="J43" i="1"/>
  <c r="W43" i="1" s="1"/>
  <c r="AF43" i="1" s="1"/>
  <c r="C43" i="1"/>
  <c r="M42" i="1"/>
  <c r="J42" i="1"/>
  <c r="W42" i="1" s="1"/>
  <c r="AF42" i="1" s="1"/>
  <c r="C42" i="1"/>
  <c r="J41" i="1"/>
  <c r="W41" i="1" s="1"/>
  <c r="AF41" i="1" s="1"/>
  <c r="C41" i="1"/>
  <c r="M38" i="1"/>
  <c r="J38" i="1"/>
  <c r="W38" i="1" s="1"/>
  <c r="AF38" i="1" s="1"/>
  <c r="C38" i="1"/>
  <c r="M37" i="1"/>
  <c r="J37" i="1"/>
  <c r="W37" i="1" s="1"/>
  <c r="AF37" i="1" s="1"/>
  <c r="C37" i="1"/>
  <c r="M36" i="1"/>
  <c r="J36" i="1"/>
  <c r="W36" i="1" s="1"/>
  <c r="AF36" i="1" s="1"/>
  <c r="C36" i="1"/>
  <c r="M34" i="1"/>
  <c r="J34" i="1"/>
  <c r="W34" i="1" s="1"/>
  <c r="AF34" i="1" s="1"/>
  <c r="C34" i="1"/>
  <c r="J33" i="1"/>
  <c r="W33" i="1" s="1"/>
  <c r="AF33" i="1" s="1"/>
  <c r="C33" i="1"/>
  <c r="M32" i="1"/>
  <c r="J32" i="1"/>
  <c r="C32" i="1"/>
  <c r="M31" i="1"/>
  <c r="J31" i="1"/>
  <c r="W31" i="1" s="1"/>
  <c r="AF31" i="1" s="1"/>
  <c r="C31" i="1"/>
  <c r="M30" i="1"/>
  <c r="J30" i="1"/>
  <c r="W30" i="1" s="1"/>
  <c r="AF30" i="1" s="1"/>
  <c r="C30" i="1"/>
  <c r="J29" i="1"/>
  <c r="C29" i="1"/>
  <c r="M24" i="1"/>
  <c r="J24" i="1"/>
  <c r="C24" i="1"/>
  <c r="M23" i="1"/>
  <c r="J23" i="1"/>
  <c r="C23" i="1"/>
  <c r="M22" i="1"/>
  <c r="J22" i="1"/>
  <c r="C22" i="1"/>
  <c r="M21" i="1"/>
  <c r="J21" i="1"/>
  <c r="C21" i="1"/>
  <c r="M20" i="1"/>
  <c r="J20" i="1"/>
  <c r="W20" i="1" s="1"/>
  <c r="AF20" i="1" s="1"/>
  <c r="C20" i="1"/>
  <c r="J19" i="1"/>
  <c r="W19" i="1" s="1"/>
  <c r="AF19" i="1" s="1"/>
  <c r="C19" i="1"/>
  <c r="J18" i="1"/>
  <c r="W18" i="1" s="1"/>
  <c r="AF18" i="1" s="1"/>
  <c r="C18" i="1"/>
  <c r="J17" i="1"/>
  <c r="W17" i="1" s="1"/>
  <c r="AF17" i="1" s="1"/>
  <c r="C17" i="1"/>
  <c r="M16" i="1"/>
  <c r="J16" i="1"/>
  <c r="W16" i="1" s="1"/>
  <c r="AF16" i="1" s="1"/>
  <c r="C16" i="1"/>
  <c r="J15" i="1"/>
  <c r="W15" i="1" s="1"/>
  <c r="AF15" i="1" s="1"/>
  <c r="C15" i="1"/>
  <c r="J14" i="1"/>
  <c r="W14" i="1" s="1"/>
  <c r="AF14" i="1" s="1"/>
  <c r="C14" i="1"/>
  <c r="M13" i="1"/>
  <c r="J13" i="1"/>
  <c r="W13" i="1" s="1"/>
  <c r="AF13" i="1" s="1"/>
  <c r="C13" i="1"/>
  <c r="M12" i="1"/>
  <c r="J12" i="1"/>
  <c r="W12" i="1" s="1"/>
  <c r="AF12" i="1" s="1"/>
  <c r="C12" i="1"/>
  <c r="L9" i="1"/>
  <c r="M9" i="1" s="1"/>
  <c r="J9" i="1"/>
  <c r="W9" i="1" s="1"/>
  <c r="AF9" i="1" s="1"/>
  <c r="C9" i="1"/>
  <c r="L8" i="1"/>
  <c r="J8" i="1"/>
  <c r="C8" i="1"/>
  <c r="L7" i="1"/>
  <c r="M7" i="1" s="1"/>
  <c r="J7" i="1"/>
  <c r="C7" i="1"/>
  <c r="L6" i="1"/>
  <c r="M6" i="1" s="1"/>
  <c r="J6" i="1"/>
  <c r="W6" i="1" s="1"/>
  <c r="AF6" i="1" s="1"/>
  <c r="C6" i="1"/>
  <c r="L5" i="1"/>
  <c r="M5" i="1" s="1"/>
  <c r="J5" i="1"/>
  <c r="W5" i="1" s="1"/>
  <c r="AF5" i="1" s="1"/>
  <c r="C5" i="1"/>
  <c r="O167" i="28"/>
  <c r="O166" i="28"/>
  <c r="P164" i="28"/>
  <c r="C42" i="58"/>
  <c r="C41" i="58"/>
  <c r="D41" i="58"/>
  <c r="E41" i="58" s="1"/>
  <c r="E40" i="58"/>
  <c r="D40" i="58"/>
  <c r="B42" i="58"/>
  <c r="B41" i="58"/>
  <c r="C40" i="58"/>
  <c r="B40" i="58"/>
  <c r="K31" i="21"/>
  <c r="I31" i="21"/>
  <c r="AA40" i="2"/>
  <c r="P52" i="2"/>
  <c r="C88" i="2"/>
  <c r="C87" i="2"/>
  <c r="E24" i="21"/>
  <c r="U212" i="28" l="1"/>
  <c r="Z82" i="1"/>
  <c r="AI82" i="1" s="1"/>
  <c r="Y82" i="1"/>
  <c r="AH82" i="1" s="1"/>
  <c r="Z63" i="1"/>
  <c r="AI63" i="1" s="1"/>
  <c r="Y27" i="1"/>
  <c r="AH27" i="1" s="1"/>
  <c r="Z27" i="1"/>
  <c r="AI27" i="1" s="1"/>
  <c r="Y59" i="1"/>
  <c r="AH59" i="1" s="1"/>
  <c r="Y41" i="1"/>
  <c r="AH41" i="1" s="1"/>
  <c r="Y79" i="1"/>
  <c r="AH79" i="1" s="1"/>
  <c r="Y57" i="1"/>
  <c r="AH57" i="1" s="1"/>
  <c r="Y62" i="1"/>
  <c r="AH62" i="1" s="1"/>
  <c r="Y49" i="1"/>
  <c r="AH49" i="1" s="1"/>
  <c r="M62" i="1"/>
  <c r="Z62" i="1" s="1"/>
  <c r="AI62" i="1" s="1"/>
  <c r="Y33" i="1"/>
  <c r="AH33" i="1" s="1"/>
  <c r="Z36" i="1"/>
  <c r="AI36" i="1" s="1"/>
  <c r="W8" i="1"/>
  <c r="AF8" i="1" s="1"/>
  <c r="Z21" i="1"/>
  <c r="AI21" i="1" s="1"/>
  <c r="Y43" i="1"/>
  <c r="AH43" i="1" s="1"/>
  <c r="Y77" i="1"/>
  <c r="AH77" i="1" s="1"/>
  <c r="Y22" i="1"/>
  <c r="AH22" i="1" s="1"/>
  <c r="Y34" i="1"/>
  <c r="AH34" i="1" s="1"/>
  <c r="Y61" i="1"/>
  <c r="AH61" i="1" s="1"/>
  <c r="M49" i="1"/>
  <c r="M41" i="1"/>
  <c r="Y38" i="1"/>
  <c r="AH38" i="1" s="1"/>
  <c r="Y78" i="1"/>
  <c r="AH78" i="1" s="1"/>
  <c r="Y13" i="1"/>
  <c r="AH13" i="1" s="1"/>
  <c r="Y36" i="1"/>
  <c r="AH36" i="1" s="1"/>
  <c r="Y48" i="1"/>
  <c r="AH48" i="1" s="1"/>
  <c r="Y70" i="1"/>
  <c r="AH70" i="1" s="1"/>
  <c r="Y74" i="1"/>
  <c r="AH74" i="1" s="1"/>
  <c r="Y37" i="1"/>
  <c r="AH37" i="1" s="1"/>
  <c r="Y30" i="1"/>
  <c r="AH30" i="1" s="1"/>
  <c r="Y5" i="1"/>
  <c r="AH5" i="1" s="1"/>
  <c r="Z65" i="1"/>
  <c r="AI65" i="1" s="1"/>
  <c r="Y24" i="1"/>
  <c r="AH24" i="1" s="1"/>
  <c r="W24" i="1"/>
  <c r="AF24" i="1" s="1"/>
  <c r="Z24" i="1"/>
  <c r="AI24" i="1" s="1"/>
  <c r="Z78" i="1"/>
  <c r="AI78" i="1" s="1"/>
  <c r="M57" i="1"/>
  <c r="Z48" i="1"/>
  <c r="AI48" i="1" s="1"/>
  <c r="Y7" i="1"/>
  <c r="AH7" i="1" s="1"/>
  <c r="W7" i="1"/>
  <c r="AF7" i="1" s="1"/>
  <c r="W23" i="1"/>
  <c r="AF23" i="1" s="1"/>
  <c r="Y54" i="1"/>
  <c r="AH54" i="1" s="1"/>
  <c r="M33" i="1"/>
  <c r="Y18" i="1"/>
  <c r="AH18" i="1" s="1"/>
  <c r="Y55" i="1"/>
  <c r="AH55" i="1" s="1"/>
  <c r="Y20" i="1"/>
  <c r="AH20" i="1" s="1"/>
  <c r="Z34" i="1"/>
  <c r="AI34" i="1" s="1"/>
  <c r="M79" i="1"/>
  <c r="M54" i="1"/>
  <c r="Y15" i="1"/>
  <c r="AH15" i="1" s="1"/>
  <c r="Y31" i="1"/>
  <c r="AH31" i="1" s="1"/>
  <c r="Y46" i="1"/>
  <c r="AH46" i="1" s="1"/>
  <c r="W22" i="1"/>
  <c r="AF22" i="1" s="1"/>
  <c r="M18" i="1"/>
  <c r="Z13" i="1"/>
  <c r="AI13" i="1" s="1"/>
  <c r="Y12" i="1"/>
  <c r="AH12" i="1" s="1"/>
  <c r="Y9" i="1"/>
  <c r="AH9" i="1" s="1"/>
  <c r="Y29" i="1"/>
  <c r="AH29" i="1" s="1"/>
  <c r="M29" i="1"/>
  <c r="Z7" i="1"/>
  <c r="AI7" i="1" s="1"/>
  <c r="Z37" i="1"/>
  <c r="AI37" i="1" s="1"/>
  <c r="Z9" i="1"/>
  <c r="AI9" i="1" s="1"/>
  <c r="Z22" i="1"/>
  <c r="AI22" i="1" s="1"/>
  <c r="W51" i="1"/>
  <c r="AF51" i="1" s="1"/>
  <c r="Y51" i="1"/>
  <c r="AH51" i="1" s="1"/>
  <c r="Z20" i="1"/>
  <c r="AI20" i="1" s="1"/>
  <c r="Y32" i="1"/>
  <c r="AH32" i="1" s="1"/>
  <c r="W32" i="1"/>
  <c r="AF32" i="1" s="1"/>
  <c r="W29" i="1"/>
  <c r="AF29" i="1" s="1"/>
  <c r="Y72" i="1"/>
  <c r="AH72" i="1" s="1"/>
  <c r="Y19" i="1"/>
  <c r="AH19" i="1" s="1"/>
  <c r="M19" i="1"/>
  <c r="Z30" i="1"/>
  <c r="AI30" i="1" s="1"/>
  <c r="W80" i="1"/>
  <c r="AF80" i="1" s="1"/>
  <c r="Y80" i="1"/>
  <c r="AH80" i="1" s="1"/>
  <c r="Z6" i="1"/>
  <c r="AI6" i="1" s="1"/>
  <c r="Z31" i="1"/>
  <c r="AI31" i="1" s="1"/>
  <c r="M15" i="1"/>
  <c r="W21" i="1"/>
  <c r="AF21" i="1" s="1"/>
  <c r="Z12" i="1"/>
  <c r="AI12" i="1" s="1"/>
  <c r="W49" i="1"/>
  <c r="AF49" i="1" s="1"/>
  <c r="Y69" i="1"/>
  <c r="AH69" i="1" s="1"/>
  <c r="W69" i="1"/>
  <c r="AF69" i="1" s="1"/>
  <c r="W75" i="1"/>
  <c r="AF75" i="1" s="1"/>
  <c r="Y75" i="1"/>
  <c r="AH75" i="1" s="1"/>
  <c r="Z80" i="1"/>
  <c r="AI80" i="1" s="1"/>
  <c r="W68" i="1"/>
  <c r="AF68" i="1" s="1"/>
  <c r="Z5" i="1"/>
  <c r="AI5" i="1" s="1"/>
  <c r="Y6" i="1"/>
  <c r="AH6" i="1" s="1"/>
  <c r="M14" i="1"/>
  <c r="Y14" i="1"/>
  <c r="AH14" i="1" s="1"/>
  <c r="Y23" i="1"/>
  <c r="AH23" i="1" s="1"/>
  <c r="M43" i="1"/>
  <c r="Y50" i="1"/>
  <c r="AH50" i="1" s="1"/>
  <c r="W64" i="1"/>
  <c r="AF64" i="1" s="1"/>
  <c r="Y64" i="1"/>
  <c r="AH64" i="1" s="1"/>
  <c r="Z71" i="1"/>
  <c r="AI71" i="1" s="1"/>
  <c r="Y44" i="1"/>
  <c r="AH44" i="1" s="1"/>
  <c r="W44" i="1"/>
  <c r="AF44" i="1" s="1"/>
  <c r="M46" i="1"/>
  <c r="Y16" i="1"/>
  <c r="AH16" i="1" s="1"/>
  <c r="Z61" i="1"/>
  <c r="AI61" i="1" s="1"/>
  <c r="M68" i="1"/>
  <c r="Y68" i="1"/>
  <c r="AH68" i="1" s="1"/>
  <c r="Z32" i="1"/>
  <c r="AI32" i="1" s="1"/>
  <c r="Z44" i="1"/>
  <c r="AI44" i="1" s="1"/>
  <c r="Z64" i="1"/>
  <c r="AI64" i="1" s="1"/>
  <c r="Z23" i="1"/>
  <c r="AI23" i="1" s="1"/>
  <c r="M52" i="1"/>
  <c r="Y52" i="1"/>
  <c r="AH52" i="1" s="1"/>
  <c r="M17" i="1"/>
  <c r="Y17" i="1"/>
  <c r="AH17" i="1" s="1"/>
  <c r="Y42" i="1"/>
  <c r="AH42" i="1" s="1"/>
  <c r="Z51" i="1"/>
  <c r="AI51" i="1" s="1"/>
  <c r="Y60" i="1"/>
  <c r="AH60" i="1" s="1"/>
  <c r="Z42" i="1"/>
  <c r="AI42" i="1" s="1"/>
  <c r="M59" i="1"/>
  <c r="Z16" i="1"/>
  <c r="AI16" i="1" s="1"/>
  <c r="Y21" i="1"/>
  <c r="AH21" i="1" s="1"/>
  <c r="M8" i="1"/>
  <c r="Y8" i="1"/>
  <c r="AH8" i="1" s="1"/>
  <c r="Z45" i="1"/>
  <c r="AI45" i="1" s="1"/>
  <c r="Y73" i="1"/>
  <c r="AH73" i="1" s="1"/>
  <c r="Z69" i="1"/>
  <c r="AI69" i="1" s="1"/>
  <c r="Z50" i="1"/>
  <c r="AI50" i="1" s="1"/>
  <c r="Z60" i="1"/>
  <c r="AI60" i="1" s="1"/>
  <c r="Y63" i="1"/>
  <c r="AH63" i="1" s="1"/>
  <c r="Y76" i="1"/>
  <c r="AH76" i="1" s="1"/>
  <c r="W81" i="1"/>
  <c r="AF81" i="1" s="1"/>
  <c r="W67" i="1"/>
  <c r="AF67" i="1" s="1"/>
  <c r="Y67" i="1"/>
  <c r="AH67" i="1" s="1"/>
  <c r="M76" i="1"/>
  <c r="Y45" i="1"/>
  <c r="AH45" i="1" s="1"/>
  <c r="W71" i="1"/>
  <c r="AF71" i="1" s="1"/>
  <c r="Y71" i="1"/>
  <c r="AH71" i="1" s="1"/>
  <c r="Z38" i="1"/>
  <c r="AI38" i="1" s="1"/>
  <c r="Z77" i="1"/>
  <c r="AI77" i="1" s="1"/>
  <c r="Z67" i="1"/>
  <c r="AI67" i="1" s="1"/>
  <c r="Z70" i="1"/>
  <c r="AI70" i="1" s="1"/>
  <c r="Z81" i="1"/>
  <c r="AI81" i="1" s="1"/>
  <c r="Z55" i="1"/>
  <c r="AI55" i="1" s="1"/>
  <c r="Z75" i="1"/>
  <c r="AI75" i="1" s="1"/>
  <c r="Z74" i="1"/>
  <c r="AI74" i="1" s="1"/>
  <c r="Y65" i="1"/>
  <c r="AH65" i="1" s="1"/>
  <c r="Z73" i="1"/>
  <c r="AI73" i="1" s="1"/>
  <c r="Y81" i="1"/>
  <c r="AH81" i="1" s="1"/>
  <c r="D42" i="58"/>
  <c r="E42" i="58" s="1"/>
  <c r="Z49" i="1" l="1"/>
  <c r="AI49" i="1" s="1"/>
  <c r="Z41" i="1"/>
  <c r="AI41" i="1" s="1"/>
  <c r="Z79" i="1"/>
  <c r="AI79" i="1" s="1"/>
  <c r="Z57" i="1"/>
  <c r="AI57" i="1" s="1"/>
  <c r="Z33" i="1"/>
  <c r="AI33" i="1" s="1"/>
  <c r="Z54" i="1"/>
  <c r="AI54" i="1" s="1"/>
  <c r="Z18" i="1"/>
  <c r="AI18" i="1" s="1"/>
  <c r="Z76" i="1"/>
  <c r="AI76" i="1" s="1"/>
  <c r="Z19" i="1"/>
  <c r="AI19" i="1" s="1"/>
  <c r="Z15" i="1"/>
  <c r="AI15" i="1" s="1"/>
  <c r="Z72" i="1"/>
  <c r="AI72" i="1" s="1"/>
  <c r="Z14" i="1"/>
  <c r="AI14" i="1" s="1"/>
  <c r="Z68" i="1"/>
  <c r="AI68" i="1" s="1"/>
  <c r="Z17" i="1"/>
  <c r="AI17" i="1" s="1"/>
  <c r="Z29" i="1"/>
  <c r="AI29" i="1" s="1"/>
  <c r="Z8" i="1"/>
  <c r="AI8" i="1" s="1"/>
  <c r="Z46" i="1"/>
  <c r="AI46" i="1" s="1"/>
  <c r="Z52" i="1"/>
  <c r="AI52" i="1" s="1"/>
  <c r="Z59" i="1"/>
  <c r="AI59" i="1" s="1"/>
  <c r="Z43" i="1"/>
  <c r="AI43" i="1" s="1"/>
  <c r="E27" i="21" l="1"/>
  <c r="Q23" i="21" l="1"/>
  <c r="M44" i="2" l="1"/>
  <c r="H2" i="29" l="1"/>
  <c r="C66" i="2" l="1"/>
  <c r="K23" i="3"/>
  <c r="Z81" i="2"/>
  <c r="Y81" i="2"/>
  <c r="X81" i="2"/>
  <c r="W81" i="2"/>
  <c r="V81" i="2"/>
  <c r="Z78" i="2"/>
  <c r="Y78" i="2"/>
  <c r="X78" i="2"/>
  <c r="W78" i="2"/>
  <c r="W82" i="2" s="1"/>
  <c r="V78" i="2"/>
  <c r="Z75" i="2"/>
  <c r="Y75" i="2"/>
  <c r="X75" i="2"/>
  <c r="W75" i="2"/>
  <c r="V75" i="2"/>
  <c r="Z72" i="2"/>
  <c r="Y72" i="2"/>
  <c r="X72" i="2"/>
  <c r="W72" i="2"/>
  <c r="V72" i="2"/>
  <c r="Z66" i="2"/>
  <c r="Y66" i="2"/>
  <c r="X66" i="2"/>
  <c r="W66" i="2"/>
  <c r="V66" i="2"/>
  <c r="Z63" i="2"/>
  <c r="Y63" i="2"/>
  <c r="X63" i="2"/>
  <c r="W63" i="2"/>
  <c r="V63" i="2"/>
  <c r="Z60" i="2"/>
  <c r="Z67" i="2" s="1"/>
  <c r="Y60" i="2"/>
  <c r="X60" i="2"/>
  <c r="W60" i="2"/>
  <c r="V60" i="2"/>
  <c r="Z57" i="2"/>
  <c r="Y57" i="2"/>
  <c r="X57" i="2"/>
  <c r="W57" i="2"/>
  <c r="V57" i="2"/>
  <c r="V67" i="2" s="1"/>
  <c r="X82" i="2"/>
  <c r="Y67" i="2"/>
  <c r="Z52" i="2"/>
  <c r="Y52" i="2"/>
  <c r="X52" i="2"/>
  <c r="W52" i="2"/>
  <c r="V52" i="2"/>
  <c r="Z48" i="2"/>
  <c r="Y48" i="2"/>
  <c r="X48" i="2"/>
  <c r="W48" i="2"/>
  <c r="V48" i="2"/>
  <c r="Z42" i="2"/>
  <c r="Y42" i="2"/>
  <c r="X42" i="2"/>
  <c r="W42" i="2"/>
  <c r="V42" i="2"/>
  <c r="L46" i="2"/>
  <c r="L45" i="2"/>
  <c r="L44" i="2"/>
  <c r="L43" i="2"/>
  <c r="L42" i="2"/>
  <c r="L47" i="2" s="1"/>
  <c r="J46" i="2"/>
  <c r="J45" i="2"/>
  <c r="J44" i="2"/>
  <c r="J43" i="2"/>
  <c r="J42" i="2"/>
  <c r="J47" i="2" s="1"/>
  <c r="I46" i="2"/>
  <c r="I45" i="2"/>
  <c r="I44" i="2"/>
  <c r="I43" i="2"/>
  <c r="I42" i="2"/>
  <c r="K42" i="2"/>
  <c r="M42" i="2"/>
  <c r="K43" i="2"/>
  <c r="M43" i="2"/>
  <c r="K44" i="2"/>
  <c r="K45" i="2"/>
  <c r="M45" i="2"/>
  <c r="K46" i="2"/>
  <c r="M46" i="2"/>
  <c r="M77" i="2"/>
  <c r="L77" i="2"/>
  <c r="K77" i="2"/>
  <c r="J77" i="2"/>
  <c r="M76" i="2"/>
  <c r="L76" i="2"/>
  <c r="K76" i="2"/>
  <c r="J76" i="2"/>
  <c r="M75" i="2"/>
  <c r="L75" i="2"/>
  <c r="K75" i="2"/>
  <c r="J75" i="2"/>
  <c r="M74" i="2"/>
  <c r="L74" i="2"/>
  <c r="K74" i="2"/>
  <c r="J74" i="2"/>
  <c r="M73" i="2"/>
  <c r="L73" i="2"/>
  <c r="K73" i="2"/>
  <c r="J73" i="2"/>
  <c r="M72" i="2"/>
  <c r="L72" i="2"/>
  <c r="L78" i="2" s="1"/>
  <c r="F79" i="2" s="1"/>
  <c r="F81" i="2" s="1"/>
  <c r="K72" i="2"/>
  <c r="J72" i="2"/>
  <c r="M71" i="2"/>
  <c r="L71" i="2"/>
  <c r="K71" i="2"/>
  <c r="J71" i="2"/>
  <c r="M70" i="2"/>
  <c r="L70" i="2"/>
  <c r="K70" i="2"/>
  <c r="J70" i="2"/>
  <c r="I77" i="2"/>
  <c r="I76" i="2"/>
  <c r="I75" i="2"/>
  <c r="I74" i="2"/>
  <c r="I73" i="2"/>
  <c r="I72" i="2"/>
  <c r="I71" i="2"/>
  <c r="I70" i="2"/>
  <c r="M65" i="2"/>
  <c r="L65" i="2"/>
  <c r="K65" i="2"/>
  <c r="J65" i="2"/>
  <c r="M64" i="2"/>
  <c r="L64" i="2"/>
  <c r="K64" i="2"/>
  <c r="J64" i="2"/>
  <c r="M63" i="2"/>
  <c r="L63" i="2"/>
  <c r="K63" i="2"/>
  <c r="J63" i="2"/>
  <c r="M62" i="2"/>
  <c r="M66" i="2" s="1"/>
  <c r="G66" i="2" s="1"/>
  <c r="G68" i="2" s="1"/>
  <c r="L62" i="2"/>
  <c r="K62" i="2"/>
  <c r="J62" i="2"/>
  <c r="I65" i="2"/>
  <c r="I64" i="2"/>
  <c r="I63" i="2"/>
  <c r="I62" i="2"/>
  <c r="K56" i="2"/>
  <c r="L56" i="2" s="1"/>
  <c r="M56" i="2" s="1"/>
  <c r="J56" i="2"/>
  <c r="M55" i="2"/>
  <c r="L55" i="2"/>
  <c r="K55" i="2"/>
  <c r="J55" i="2"/>
  <c r="M54" i="2"/>
  <c r="L54" i="2"/>
  <c r="K54" i="2"/>
  <c r="J54" i="2"/>
  <c r="M53" i="2"/>
  <c r="L53" i="2"/>
  <c r="K53" i="2"/>
  <c r="J53" i="2"/>
  <c r="M52" i="2"/>
  <c r="L52" i="2"/>
  <c r="K52" i="2"/>
  <c r="J52" i="2"/>
  <c r="I55" i="2"/>
  <c r="I54" i="2"/>
  <c r="I53" i="2"/>
  <c r="I52" i="2"/>
  <c r="I56" i="2"/>
  <c r="V82" i="2" l="1"/>
  <c r="Y82" i="2"/>
  <c r="Z82" i="2"/>
  <c r="W67" i="2"/>
  <c r="X67" i="2"/>
  <c r="M78" i="2"/>
  <c r="G79" i="2" s="1"/>
  <c r="G81" i="2" s="1"/>
  <c r="J78" i="2"/>
  <c r="D79" i="2" s="1"/>
  <c r="D81" i="2" s="1"/>
  <c r="K78" i="2"/>
  <c r="E79" i="2" s="1"/>
  <c r="E81" i="2" s="1"/>
  <c r="L66" i="2"/>
  <c r="F66" i="2" s="1"/>
  <c r="F68" i="2" s="1"/>
  <c r="J66" i="2"/>
  <c r="D66" i="2" s="1"/>
  <c r="D68" i="2" s="1"/>
  <c r="K66" i="2"/>
  <c r="E66" i="2" s="1"/>
  <c r="E68" i="2" s="1"/>
  <c r="J57" i="2"/>
  <c r="D58" i="2" s="1"/>
  <c r="D60" i="2" s="1"/>
  <c r="K57" i="2"/>
  <c r="E58" i="2" s="1"/>
  <c r="E60" i="2" s="1"/>
  <c r="I57" i="2"/>
  <c r="C58" i="2" s="1"/>
  <c r="C60" i="2" s="1"/>
  <c r="K47" i="2"/>
  <c r="M47" i="2"/>
  <c r="G48" i="2" s="1"/>
  <c r="I47" i="2"/>
  <c r="C48" i="2" s="1"/>
  <c r="C50" i="2" s="1"/>
  <c r="I78" i="2"/>
  <c r="C79" i="2" s="1"/>
  <c r="C81" i="2" s="1"/>
  <c r="I66" i="2"/>
  <c r="C68" i="2" s="1"/>
  <c r="M57" i="2"/>
  <c r="G58" i="2" s="1"/>
  <c r="G60" i="2" s="1"/>
  <c r="L57" i="2"/>
  <c r="F58" i="2" s="1"/>
  <c r="F60" i="2" s="1"/>
  <c r="D48" i="2"/>
  <c r="D50" i="2" s="1"/>
  <c r="D83" i="2" l="1"/>
  <c r="C83" i="2"/>
  <c r="E48" i="2"/>
  <c r="E50" i="2" s="1"/>
  <c r="E83" i="2" s="1"/>
  <c r="F48" i="2" l="1"/>
  <c r="F50" i="2" s="1"/>
  <c r="F83" i="2" s="1"/>
  <c r="G50" i="2"/>
  <c r="G83" i="2" s="1"/>
  <c r="AD38" i="2" l="1"/>
  <c r="S44" i="2"/>
  <c r="S38" i="2"/>
  <c r="B84" i="2"/>
  <c r="U83" i="2"/>
  <c r="U68" i="2"/>
  <c r="U53" i="2"/>
  <c r="D84" i="2" s="1"/>
  <c r="B20" i="50"/>
  <c r="H7" i="29"/>
  <c r="G7" i="29"/>
  <c r="F7" i="29"/>
  <c r="E7" i="29"/>
  <c r="D7" i="29"/>
  <c r="C7" i="29"/>
  <c r="F16" i="29"/>
  <c r="F15" i="29"/>
  <c r="D16" i="29"/>
  <c r="D15" i="29"/>
  <c r="C16" i="29"/>
  <c r="C15" i="29"/>
  <c r="B16" i="29"/>
  <c r="B15" i="29"/>
  <c r="H7" i="50"/>
  <c r="G7" i="50"/>
  <c r="F7" i="50"/>
  <c r="E7" i="50"/>
  <c r="D7" i="50"/>
  <c r="C7" i="50"/>
  <c r="G24" i="3"/>
  <c r="F24" i="3"/>
  <c r="E24" i="3"/>
  <c r="D24" i="3"/>
  <c r="C24" i="3"/>
  <c r="B24" i="3"/>
  <c r="G23" i="3"/>
  <c r="F23" i="3"/>
  <c r="E23" i="3"/>
  <c r="D23" i="3"/>
  <c r="C23" i="3"/>
  <c r="B23" i="3"/>
  <c r="H23" i="3" s="1"/>
  <c r="G18" i="3"/>
  <c r="F18" i="3"/>
  <c r="E18" i="3"/>
  <c r="D18" i="3"/>
  <c r="C18" i="3"/>
  <c r="B18" i="3"/>
  <c r="B19" i="3" s="1"/>
  <c r="G17" i="3"/>
  <c r="F17" i="3"/>
  <c r="F3" i="3" s="1"/>
  <c r="E17" i="3"/>
  <c r="D17" i="3"/>
  <c r="D3" i="3" s="1"/>
  <c r="C17" i="3"/>
  <c r="B17" i="3"/>
  <c r="E3" i="3"/>
  <c r="B3" i="3"/>
  <c r="P85" i="28"/>
  <c r="P83" i="28"/>
  <c r="P14" i="28"/>
  <c r="P11" i="28"/>
  <c r="P237" i="28"/>
  <c r="P236" i="28"/>
  <c r="P235" i="28"/>
  <c r="K86" i="1" s="1"/>
  <c r="P234" i="28"/>
  <c r="P219" i="28"/>
  <c r="P218" i="28"/>
  <c r="P217" i="28"/>
  <c r="P215" i="28"/>
  <c r="P214" i="28"/>
  <c r="K84" i="1" s="1"/>
  <c r="P213" i="28"/>
  <c r="P211" i="28"/>
  <c r="P210" i="28"/>
  <c r="P209" i="28"/>
  <c r="P208" i="28"/>
  <c r="P207" i="28"/>
  <c r="P206" i="28"/>
  <c r="P205" i="28"/>
  <c r="P204" i="28"/>
  <c r="P203" i="28"/>
  <c r="P202" i="28"/>
  <c r="P201" i="28"/>
  <c r="P200" i="28"/>
  <c r="P199" i="28"/>
  <c r="P198" i="28"/>
  <c r="P197" i="28"/>
  <c r="P196" i="28"/>
  <c r="P195" i="28"/>
  <c r="P194" i="28"/>
  <c r="P193" i="28"/>
  <c r="P192" i="28"/>
  <c r="P191" i="28"/>
  <c r="P190" i="28"/>
  <c r="P189" i="28"/>
  <c r="P188" i="28"/>
  <c r="P187" i="28"/>
  <c r="P186" i="28"/>
  <c r="P185" i="28"/>
  <c r="P184" i="28"/>
  <c r="P183" i="28"/>
  <c r="P182" i="28"/>
  <c r="P181" i="28"/>
  <c r="P180" i="28"/>
  <c r="P179" i="28"/>
  <c r="P178" i="28"/>
  <c r="P177" i="28"/>
  <c r="P176" i="28"/>
  <c r="P175" i="28"/>
  <c r="P174" i="28"/>
  <c r="P173" i="28"/>
  <c r="P172" i="28"/>
  <c r="P171" i="28"/>
  <c r="P170" i="28"/>
  <c r="P169" i="28"/>
  <c r="P168" i="28"/>
  <c r="P167" i="28"/>
  <c r="P166" i="28"/>
  <c r="P165" i="28"/>
  <c r="K85" i="1" s="1"/>
  <c r="P163" i="28"/>
  <c r="P162" i="28"/>
  <c r="P161" i="28"/>
  <c r="P160" i="28"/>
  <c r="P159" i="28"/>
  <c r="P158" i="28"/>
  <c r="P157" i="28"/>
  <c r="P156" i="28"/>
  <c r="P155" i="28"/>
  <c r="P154" i="28"/>
  <c r="P153" i="28"/>
  <c r="P152" i="28"/>
  <c r="P151" i="28"/>
  <c r="P150" i="28"/>
  <c r="P149" i="28"/>
  <c r="P148" i="28"/>
  <c r="P147" i="28"/>
  <c r="P146" i="28"/>
  <c r="P145" i="28"/>
  <c r="P144" i="28"/>
  <c r="P143" i="28"/>
  <c r="P142" i="28"/>
  <c r="P141" i="28"/>
  <c r="P140" i="28"/>
  <c r="P139" i="28"/>
  <c r="P138" i="28"/>
  <c r="P137" i="28"/>
  <c r="P136" i="28"/>
  <c r="P135" i="28"/>
  <c r="P134" i="28"/>
  <c r="P133" i="28"/>
  <c r="P132" i="28"/>
  <c r="P131" i="28"/>
  <c r="P130" i="28"/>
  <c r="P129" i="28"/>
  <c r="P128" i="28"/>
  <c r="P127" i="28"/>
  <c r="P126" i="28"/>
  <c r="P125" i="28"/>
  <c r="P124" i="28"/>
  <c r="P123" i="28"/>
  <c r="P122" i="28"/>
  <c r="P121" i="28"/>
  <c r="P120" i="28"/>
  <c r="P119" i="28"/>
  <c r="P118" i="28"/>
  <c r="P117" i="28"/>
  <c r="P116" i="28"/>
  <c r="P115" i="28"/>
  <c r="P114" i="28"/>
  <c r="P113" i="28"/>
  <c r="P112" i="28"/>
  <c r="P111" i="28"/>
  <c r="P110" i="28"/>
  <c r="P109" i="28"/>
  <c r="P108" i="28"/>
  <c r="P107" i="28"/>
  <c r="P106" i="28"/>
  <c r="P105" i="28"/>
  <c r="P104" i="28"/>
  <c r="P103" i="28"/>
  <c r="P102" i="28"/>
  <c r="P101" i="28"/>
  <c r="P100" i="28"/>
  <c r="P99" i="28"/>
  <c r="P98" i="28"/>
  <c r="P97" i="28"/>
  <c r="P96" i="28"/>
  <c r="P95" i="28"/>
  <c r="P94" i="28"/>
  <c r="P93" i="28"/>
  <c r="P92" i="28"/>
  <c r="P91" i="28"/>
  <c r="P90" i="28"/>
  <c r="P89" i="28"/>
  <c r="P88" i="28"/>
  <c r="P87" i="28"/>
  <c r="P86" i="28"/>
  <c r="P84" i="28"/>
  <c r="P82" i="28"/>
  <c r="P81" i="28"/>
  <c r="P80" i="28"/>
  <c r="P79" i="28"/>
  <c r="P78" i="28"/>
  <c r="P77" i="28"/>
  <c r="P76" i="28"/>
  <c r="P75" i="28"/>
  <c r="P74" i="28"/>
  <c r="P73" i="28"/>
  <c r="P72" i="28"/>
  <c r="P71" i="28"/>
  <c r="P70" i="28"/>
  <c r="P69" i="28"/>
  <c r="P68" i="28"/>
  <c r="P67" i="28"/>
  <c r="P66" i="28"/>
  <c r="P65" i="28"/>
  <c r="P64" i="28"/>
  <c r="P63" i="28"/>
  <c r="P62" i="28"/>
  <c r="P61" i="28"/>
  <c r="P60" i="28"/>
  <c r="P59" i="28"/>
  <c r="P58" i="28"/>
  <c r="P57" i="28"/>
  <c r="P56" i="28"/>
  <c r="P55" i="28"/>
  <c r="P54" i="28"/>
  <c r="P53" i="28"/>
  <c r="P52" i="28"/>
  <c r="P51" i="28"/>
  <c r="P50" i="28"/>
  <c r="P49" i="28"/>
  <c r="P48" i="28"/>
  <c r="P47" i="28"/>
  <c r="P46" i="28"/>
  <c r="P45" i="28"/>
  <c r="P44" i="28"/>
  <c r="P43" i="28"/>
  <c r="P42" i="28"/>
  <c r="P41" i="28"/>
  <c r="P40" i="28"/>
  <c r="P39" i="28"/>
  <c r="P38" i="28"/>
  <c r="P37" i="28"/>
  <c r="P36" i="28"/>
  <c r="P35" i="28"/>
  <c r="P34" i="28"/>
  <c r="P33" i="28"/>
  <c r="P32" i="28"/>
  <c r="P31" i="28"/>
  <c r="P30" i="28"/>
  <c r="P29" i="28"/>
  <c r="P28" i="28"/>
  <c r="P27" i="28"/>
  <c r="P26" i="28"/>
  <c r="P25" i="28"/>
  <c r="P24" i="28"/>
  <c r="P23" i="28"/>
  <c r="P22" i="28"/>
  <c r="P21" i="28"/>
  <c r="P20" i="28"/>
  <c r="P19" i="28"/>
  <c r="P18" i="28"/>
  <c r="P17" i="28"/>
  <c r="P16" i="28"/>
  <c r="P15" i="28"/>
  <c r="P13" i="28"/>
  <c r="P12" i="28"/>
  <c r="P10" i="28"/>
  <c r="K116" i="1" l="1"/>
  <c r="K36" i="1"/>
  <c r="K117" i="1"/>
  <c r="K38" i="1"/>
  <c r="K125" i="1"/>
  <c r="K48" i="1"/>
  <c r="K129" i="1"/>
  <c r="K52" i="1"/>
  <c r="K131" i="1"/>
  <c r="K55" i="1"/>
  <c r="K139" i="1"/>
  <c r="K63" i="1"/>
  <c r="K134" i="1"/>
  <c r="K57" i="1"/>
  <c r="X85" i="1"/>
  <c r="AG85" i="1" s="1"/>
  <c r="N85" i="1"/>
  <c r="AA85" i="1" s="1"/>
  <c r="AJ85" i="1" s="1"/>
  <c r="K114" i="1"/>
  <c r="K34" i="1"/>
  <c r="K113" i="1"/>
  <c r="K33" i="1"/>
  <c r="K115" i="1"/>
  <c r="K35" i="1"/>
  <c r="X84" i="1"/>
  <c r="AG84" i="1" s="1"/>
  <c r="N84" i="1"/>
  <c r="AA84" i="1" s="1"/>
  <c r="AJ84" i="1" s="1"/>
  <c r="K108" i="1"/>
  <c r="K107" i="1"/>
  <c r="K28" i="1"/>
  <c r="X28" i="1" s="1"/>
  <c r="AG28" i="1" s="1"/>
  <c r="K27" i="1"/>
  <c r="K105" i="1"/>
  <c r="K25" i="1"/>
  <c r="K118" i="1"/>
  <c r="K130" i="1"/>
  <c r="K53" i="1"/>
  <c r="K39" i="1"/>
  <c r="X86" i="1"/>
  <c r="AG86" i="1" s="1"/>
  <c r="N86" i="1"/>
  <c r="AA86" i="1" s="1"/>
  <c r="AJ86" i="1" s="1"/>
  <c r="K87" i="1"/>
  <c r="K37" i="1"/>
  <c r="K88" i="1"/>
  <c r="K8" i="1"/>
  <c r="U235" i="28"/>
  <c r="U234" i="28"/>
  <c r="K4" i="1"/>
  <c r="X4" i="1" s="1"/>
  <c r="AG4" i="1" s="1"/>
  <c r="X56" i="1"/>
  <c r="AG56" i="1" s="1"/>
  <c r="AD43" i="2"/>
  <c r="R27" i="21" s="1"/>
  <c r="S39" i="2"/>
  <c r="K5" i="1"/>
  <c r="K6" i="1"/>
  <c r="R6" i="1" s="1"/>
  <c r="K7" i="1"/>
  <c r="E19" i="3"/>
  <c r="E25" i="3"/>
  <c r="C25" i="3"/>
  <c r="Y83" i="2"/>
  <c r="E84" i="2"/>
  <c r="R31" i="21" s="1"/>
  <c r="F84" i="2"/>
  <c r="S45" i="2"/>
  <c r="V53" i="2"/>
  <c r="R20" i="21" s="1"/>
  <c r="S47" i="2"/>
  <c r="S46" i="2"/>
  <c r="S48" i="2"/>
  <c r="S49" i="2"/>
  <c r="G84" i="2"/>
  <c r="R32" i="21" s="1"/>
  <c r="X68" i="2"/>
  <c r="S50" i="2"/>
  <c r="Z68" i="2"/>
  <c r="AD39" i="2"/>
  <c r="R25" i="21" s="1"/>
  <c r="S40" i="2"/>
  <c r="AD40" i="2"/>
  <c r="V83" i="2"/>
  <c r="S41" i="2"/>
  <c r="R36" i="21" s="1"/>
  <c r="AD41" i="2"/>
  <c r="R26" i="21" s="1"/>
  <c r="W83" i="2"/>
  <c r="S42" i="2"/>
  <c r="AD42" i="2"/>
  <c r="Y68" i="2"/>
  <c r="X83" i="2"/>
  <c r="S43" i="2"/>
  <c r="R37" i="21" s="1"/>
  <c r="Z83" i="2"/>
  <c r="V68" i="2"/>
  <c r="C84" i="2"/>
  <c r="W68" i="2"/>
  <c r="W53" i="2"/>
  <c r="X53" i="2"/>
  <c r="R21" i="21" s="1"/>
  <c r="Y53" i="2"/>
  <c r="Z53" i="2"/>
  <c r="R22" i="21" s="1"/>
  <c r="G19" i="3"/>
  <c r="G25" i="3"/>
  <c r="C19" i="3"/>
  <c r="C3" i="3"/>
  <c r="D25" i="3"/>
  <c r="D19" i="3"/>
  <c r="F25" i="3"/>
  <c r="H17" i="3"/>
  <c r="H3" i="3" s="1"/>
  <c r="G3" i="3"/>
  <c r="B25" i="3"/>
  <c r="F19" i="3"/>
  <c r="X88" i="1" l="1"/>
  <c r="AG88" i="1" s="1"/>
  <c r="N88" i="1"/>
  <c r="AA88" i="1" s="1"/>
  <c r="AJ88" i="1" s="1"/>
  <c r="N87" i="1"/>
  <c r="AA87" i="1" s="1"/>
  <c r="AJ87" i="1" s="1"/>
  <c r="X87" i="1"/>
  <c r="AG87" i="1" s="1"/>
  <c r="X39" i="1"/>
  <c r="AG39" i="1" s="1"/>
  <c r="N39" i="1"/>
  <c r="AA39" i="1" s="1"/>
  <c r="AJ39" i="1" s="1"/>
  <c r="X53" i="1"/>
  <c r="AG53" i="1" s="1"/>
  <c r="N53" i="1"/>
  <c r="AA53" i="1" s="1"/>
  <c r="AJ53" i="1" s="1"/>
  <c r="X130" i="1"/>
  <c r="AG130" i="1" s="1"/>
  <c r="N130" i="1"/>
  <c r="AA130" i="1" s="1"/>
  <c r="AJ130" i="1" s="1"/>
  <c r="X118" i="1"/>
  <c r="AG118" i="1" s="1"/>
  <c r="N118" i="1"/>
  <c r="AA118" i="1" s="1"/>
  <c r="AJ118" i="1" s="1"/>
  <c r="X25" i="1"/>
  <c r="AG25" i="1" s="1"/>
  <c r="N25" i="1"/>
  <c r="AA25" i="1" s="1"/>
  <c r="AJ25" i="1" s="1"/>
  <c r="X105" i="1"/>
  <c r="AG105" i="1" s="1"/>
  <c r="N105" i="1"/>
  <c r="AA105" i="1" s="1"/>
  <c r="AJ105" i="1" s="1"/>
  <c r="X107" i="1"/>
  <c r="AG107" i="1" s="1"/>
  <c r="N107" i="1"/>
  <c r="AA107" i="1" s="1"/>
  <c r="AJ107" i="1" s="1"/>
  <c r="X108" i="1"/>
  <c r="AG108" i="1" s="1"/>
  <c r="N108" i="1"/>
  <c r="AA108" i="1" s="1"/>
  <c r="AJ108" i="1" s="1"/>
  <c r="X115" i="1"/>
  <c r="AG115" i="1" s="1"/>
  <c r="N115" i="1"/>
  <c r="AA115" i="1" s="1"/>
  <c r="AJ115" i="1" s="1"/>
  <c r="X113" i="1"/>
  <c r="AG113" i="1" s="1"/>
  <c r="N113" i="1"/>
  <c r="AA113" i="1" s="1"/>
  <c r="AJ113" i="1" s="1"/>
  <c r="X114" i="1"/>
  <c r="AG114" i="1" s="1"/>
  <c r="N114" i="1"/>
  <c r="AA114" i="1" s="1"/>
  <c r="AJ114" i="1" s="1"/>
  <c r="X134" i="1"/>
  <c r="AG134" i="1" s="1"/>
  <c r="N134" i="1"/>
  <c r="AA134" i="1" s="1"/>
  <c r="AJ134" i="1" s="1"/>
  <c r="X139" i="1"/>
  <c r="AG139" i="1" s="1"/>
  <c r="N139" i="1"/>
  <c r="AA139" i="1" s="1"/>
  <c r="AJ139" i="1" s="1"/>
  <c r="X131" i="1"/>
  <c r="AG131" i="1" s="1"/>
  <c r="N131" i="1"/>
  <c r="AA131" i="1" s="1"/>
  <c r="AJ131" i="1" s="1"/>
  <c r="N129" i="1"/>
  <c r="AA129" i="1" s="1"/>
  <c r="AJ129" i="1" s="1"/>
  <c r="X129" i="1"/>
  <c r="AG129" i="1" s="1"/>
  <c r="N125" i="1"/>
  <c r="AA125" i="1" s="1"/>
  <c r="AJ125" i="1" s="1"/>
  <c r="X125" i="1"/>
  <c r="AG125" i="1" s="1"/>
  <c r="X117" i="1"/>
  <c r="AG117" i="1" s="1"/>
  <c r="N117" i="1"/>
  <c r="AA117" i="1" s="1"/>
  <c r="AJ117" i="1" s="1"/>
  <c r="X116" i="1"/>
  <c r="AG116" i="1" s="1"/>
  <c r="N116" i="1"/>
  <c r="AA116" i="1" s="1"/>
  <c r="AJ116" i="1" s="1"/>
  <c r="N28" i="1"/>
  <c r="N4" i="1"/>
  <c r="AA4" i="1" s="1"/>
  <c r="AJ4" i="1" s="1"/>
  <c r="N56" i="1"/>
  <c r="N72" i="1"/>
  <c r="X82" i="1"/>
  <c r="AG82" i="1" s="1"/>
  <c r="N82" i="1"/>
  <c r="N73" i="1"/>
  <c r="N74" i="1"/>
  <c r="N70" i="1"/>
  <c r="N71" i="1"/>
  <c r="X35" i="1"/>
  <c r="AG35" i="1" s="1"/>
  <c r="N35" i="1"/>
  <c r="D20" i="29"/>
  <c r="R30" i="21"/>
  <c r="B20" i="49"/>
  <c r="R35" i="21"/>
  <c r="X30" i="1"/>
  <c r="AG30" i="1" s="1"/>
  <c r="N30" i="1"/>
  <c r="X37" i="1"/>
  <c r="AG37" i="1" s="1"/>
  <c r="N37" i="1"/>
  <c r="N64" i="1"/>
  <c r="X64" i="1"/>
  <c r="AG64" i="1" s="1"/>
  <c r="X41" i="1"/>
  <c r="AG41" i="1" s="1"/>
  <c r="N41" i="1"/>
  <c r="N69" i="1"/>
  <c r="X69" i="1"/>
  <c r="AG69" i="1" s="1"/>
  <c r="N65" i="1"/>
  <c r="X65" i="1"/>
  <c r="AG65" i="1" s="1"/>
  <c r="X79" i="1"/>
  <c r="AG79" i="1" s="1"/>
  <c r="N79" i="1"/>
  <c r="X57" i="1"/>
  <c r="AG57" i="1" s="1"/>
  <c r="N57" i="1"/>
  <c r="N63" i="1"/>
  <c r="X63" i="1"/>
  <c r="AG63" i="1" s="1"/>
  <c r="X38" i="1"/>
  <c r="AG38" i="1" s="1"/>
  <c r="N38" i="1"/>
  <c r="N21" i="1"/>
  <c r="X21" i="1"/>
  <c r="AG21" i="1" s="1"/>
  <c r="X8" i="1"/>
  <c r="AG8" i="1" s="1"/>
  <c r="N8" i="1"/>
  <c r="AA8" i="1" s="1"/>
  <c r="AJ8" i="1" s="1"/>
  <c r="N60" i="1"/>
  <c r="X60" i="1"/>
  <c r="AG60" i="1" s="1"/>
  <c r="X54" i="1"/>
  <c r="AG54" i="1" s="1"/>
  <c r="N54" i="1"/>
  <c r="N77" i="1"/>
  <c r="X77" i="1"/>
  <c r="AG77" i="1" s="1"/>
  <c r="N44" i="1"/>
  <c r="X44" i="1"/>
  <c r="AG44" i="1" s="1"/>
  <c r="N61" i="1"/>
  <c r="X61" i="1"/>
  <c r="AG61" i="1" s="1"/>
  <c r="X33" i="1"/>
  <c r="AG33" i="1" s="1"/>
  <c r="N33" i="1"/>
  <c r="X22" i="1"/>
  <c r="AG22" i="1" s="1"/>
  <c r="N22" i="1"/>
  <c r="N80" i="1"/>
  <c r="X80" i="1"/>
  <c r="AG80" i="1" s="1"/>
  <c r="N45" i="1"/>
  <c r="X45" i="1"/>
  <c r="AG45" i="1" s="1"/>
  <c r="X24" i="1"/>
  <c r="AG24" i="1" s="1"/>
  <c r="N24" i="1"/>
  <c r="N50" i="1"/>
  <c r="X50" i="1"/>
  <c r="AG50" i="1" s="1"/>
  <c r="N81" i="1"/>
  <c r="X81" i="1"/>
  <c r="AG81" i="1" s="1"/>
  <c r="X59" i="1"/>
  <c r="AG59" i="1" s="1"/>
  <c r="N59" i="1"/>
  <c r="X19" i="1"/>
  <c r="AG19" i="1" s="1"/>
  <c r="N19" i="1"/>
  <c r="X43" i="1"/>
  <c r="AG43" i="1" s="1"/>
  <c r="N43" i="1"/>
  <c r="X78" i="1"/>
  <c r="AG78" i="1" s="1"/>
  <c r="N78" i="1"/>
  <c r="X46" i="1"/>
  <c r="AG46" i="1" s="1"/>
  <c r="N46" i="1"/>
  <c r="X74" i="1"/>
  <c r="AG74" i="1" s="1"/>
  <c r="X27" i="1"/>
  <c r="AG27" i="1" s="1"/>
  <c r="N27" i="1"/>
  <c r="N67" i="1"/>
  <c r="X67" i="1"/>
  <c r="AG67" i="1" s="1"/>
  <c r="N5" i="1"/>
  <c r="AA5" i="1" s="1"/>
  <c r="AJ5" i="1" s="1"/>
  <c r="X5" i="1"/>
  <c r="AG5" i="1" s="1"/>
  <c r="X52" i="1"/>
  <c r="AG52" i="1" s="1"/>
  <c r="N52" i="1"/>
  <c r="X76" i="1"/>
  <c r="AG76" i="1" s="1"/>
  <c r="N76" i="1"/>
  <c r="N32" i="1"/>
  <c r="X32" i="1"/>
  <c r="AG32" i="1" s="1"/>
  <c r="N51" i="1"/>
  <c r="X51" i="1"/>
  <c r="AG51" i="1" s="1"/>
  <c r="X17" i="1"/>
  <c r="AG17" i="1" s="1"/>
  <c r="N17" i="1"/>
  <c r="N48" i="1"/>
  <c r="X48" i="1"/>
  <c r="AG48" i="1" s="1"/>
  <c r="X20" i="1"/>
  <c r="AG20" i="1" s="1"/>
  <c r="N20" i="1"/>
  <c r="X49" i="1"/>
  <c r="AG49" i="1" s="1"/>
  <c r="N49" i="1"/>
  <c r="X68" i="1"/>
  <c r="AG68" i="1" s="1"/>
  <c r="N68" i="1"/>
  <c r="X75" i="1"/>
  <c r="AG75" i="1" s="1"/>
  <c r="N75" i="1"/>
  <c r="X6" i="1"/>
  <c r="AG6" i="1" s="1"/>
  <c r="N6" i="1"/>
  <c r="AA6" i="1" s="1"/>
  <c r="AJ6" i="1" s="1"/>
  <c r="X14" i="1"/>
  <c r="AG14" i="1" s="1"/>
  <c r="N14" i="1"/>
  <c r="X62" i="1"/>
  <c r="AG62" i="1" s="1"/>
  <c r="N62" i="1"/>
  <c r="N55" i="1"/>
  <c r="X55" i="1"/>
  <c r="AG55" i="1" s="1"/>
  <c r="N36" i="1"/>
  <c r="X36" i="1"/>
  <c r="AG36" i="1" s="1"/>
  <c r="X42" i="1"/>
  <c r="AG42" i="1" s="1"/>
  <c r="N42" i="1"/>
  <c r="X7" i="1"/>
  <c r="AG7" i="1" s="1"/>
  <c r="N7" i="1"/>
  <c r="AA7" i="1" s="1"/>
  <c r="AJ7" i="1" s="1"/>
  <c r="X72" i="1"/>
  <c r="AG72" i="1" s="1"/>
  <c r="N31" i="1"/>
  <c r="X31" i="1"/>
  <c r="AG31" i="1" s="1"/>
  <c r="X29" i="1"/>
  <c r="AG29" i="1" s="1"/>
  <c r="N29" i="1"/>
  <c r="N34" i="1"/>
  <c r="X34" i="1"/>
  <c r="AG34" i="1" s="1"/>
  <c r="X73" i="1"/>
  <c r="AG73" i="1" s="1"/>
  <c r="X18" i="1"/>
  <c r="AG18" i="1" s="1"/>
  <c r="N18" i="1"/>
  <c r="X71" i="1"/>
  <c r="AG71" i="1" s="1"/>
  <c r="N16" i="1"/>
  <c r="X16" i="1"/>
  <c r="AG16" i="1" s="1"/>
  <c r="X70" i="1"/>
  <c r="AG70" i="1" s="1"/>
  <c r="X15" i="1"/>
  <c r="AG15" i="1" s="1"/>
  <c r="N15" i="1"/>
  <c r="N23" i="1"/>
  <c r="X23" i="1"/>
  <c r="AG23" i="1" s="1"/>
  <c r="X13" i="1"/>
  <c r="AG13" i="1" s="1"/>
  <c r="N13" i="1"/>
  <c r="AA13" i="1" s="1"/>
  <c r="AJ13" i="1" s="1"/>
  <c r="N12" i="1"/>
  <c r="AA12" i="1" s="1"/>
  <c r="AJ12" i="1" s="1"/>
  <c r="X12" i="1"/>
  <c r="AG12" i="1" s="1"/>
  <c r="N9" i="1"/>
  <c r="AA9" i="1" s="1"/>
  <c r="AJ9" i="1" s="1"/>
  <c r="X9" i="1"/>
  <c r="AG9" i="1" s="1"/>
  <c r="R15" i="21"/>
  <c r="R16" i="21"/>
  <c r="H25" i="3"/>
  <c r="H19" i="3"/>
  <c r="C74" i="21"/>
  <c r="AA29" i="1" l="1"/>
  <c r="AJ29" i="1" s="1"/>
  <c r="AA78" i="1"/>
  <c r="AJ78" i="1" s="1"/>
  <c r="AA41" i="1"/>
  <c r="AJ41" i="1" s="1"/>
  <c r="AA52" i="1"/>
  <c r="AJ52" i="1" s="1"/>
  <c r="AA43" i="1"/>
  <c r="AJ43" i="1" s="1"/>
  <c r="AA45" i="1"/>
  <c r="AJ45" i="1" s="1"/>
  <c r="AA70" i="1"/>
  <c r="AJ70" i="1" s="1"/>
  <c r="AA19" i="1"/>
  <c r="AJ19" i="1" s="1"/>
  <c r="AA37" i="1"/>
  <c r="AJ37" i="1" s="1"/>
  <c r="AA73" i="1"/>
  <c r="AJ73" i="1" s="1"/>
  <c r="AA60" i="1"/>
  <c r="AJ60" i="1" s="1"/>
  <c r="AA38" i="1"/>
  <c r="AJ38" i="1" s="1"/>
  <c r="AA44" i="1"/>
  <c r="AJ44" i="1" s="1"/>
  <c r="AA14" i="1"/>
  <c r="AJ14" i="1" s="1"/>
  <c r="AA77" i="1"/>
  <c r="AJ77" i="1" s="1"/>
  <c r="AA57" i="1"/>
  <c r="AJ57" i="1" s="1"/>
  <c r="AA22" i="1"/>
  <c r="AJ22" i="1" s="1"/>
  <c r="AA30" i="1"/>
  <c r="AJ30" i="1" s="1"/>
  <c r="AA75" i="1"/>
  <c r="AJ75" i="1" s="1"/>
  <c r="AA81" i="1"/>
  <c r="AJ81" i="1" s="1"/>
  <c r="AA65" i="1"/>
  <c r="AJ65" i="1" s="1"/>
  <c r="AA56" i="1"/>
  <c r="AJ56" i="1" s="1"/>
  <c r="AA55" i="1"/>
  <c r="AJ55" i="1" s="1"/>
  <c r="AA24" i="1"/>
  <c r="AJ24" i="1" s="1"/>
  <c r="AA62" i="1"/>
  <c r="AJ62" i="1" s="1"/>
  <c r="AA63" i="1"/>
  <c r="AJ63" i="1" s="1"/>
  <c r="AA54" i="1"/>
  <c r="AJ54" i="1" s="1"/>
  <c r="AA16" i="1"/>
  <c r="AJ16" i="1" s="1"/>
  <c r="AA79" i="1"/>
  <c r="AJ79" i="1" s="1"/>
  <c r="AA18" i="1"/>
  <c r="AJ18" i="1" s="1"/>
  <c r="AA23" i="1"/>
  <c r="AJ23" i="1" s="1"/>
  <c r="AA35" i="1"/>
  <c r="AJ35" i="1" s="1"/>
  <c r="AA15" i="1"/>
  <c r="AJ15" i="1" s="1"/>
  <c r="AA20" i="1"/>
  <c r="AJ20" i="1" s="1"/>
  <c r="AA71" i="1"/>
  <c r="AJ71" i="1" s="1"/>
  <c r="AA31" i="1"/>
  <c r="AJ31" i="1" s="1"/>
  <c r="AA48" i="1"/>
  <c r="AJ48" i="1" s="1"/>
  <c r="AA17" i="1"/>
  <c r="AJ17" i="1" s="1"/>
  <c r="AA80" i="1"/>
  <c r="AJ80" i="1" s="1"/>
  <c r="AA67" i="1"/>
  <c r="AJ67" i="1" s="1"/>
  <c r="AA59" i="1"/>
  <c r="AJ59" i="1" s="1"/>
  <c r="AA82" i="1"/>
  <c r="AJ82" i="1" s="1"/>
  <c r="AA42" i="1"/>
  <c r="AJ42" i="1" s="1"/>
  <c r="AA27" i="1"/>
  <c r="AJ27" i="1" s="1"/>
  <c r="AA51" i="1"/>
  <c r="AJ51" i="1" s="1"/>
  <c r="AA33" i="1"/>
  <c r="AJ33" i="1" s="1"/>
  <c r="AA68" i="1"/>
  <c r="AJ68" i="1" s="1"/>
  <c r="AA36" i="1"/>
  <c r="AJ36" i="1" s="1"/>
  <c r="AA32" i="1"/>
  <c r="AJ32" i="1" s="1"/>
  <c r="AA46" i="1"/>
  <c r="AJ46" i="1" s="1"/>
  <c r="AA34" i="1"/>
  <c r="AJ34" i="1" s="1"/>
  <c r="AA49" i="1"/>
  <c r="AJ49" i="1" s="1"/>
  <c r="AA76" i="1"/>
  <c r="AJ76" i="1" s="1"/>
  <c r="AA50" i="1"/>
  <c r="AJ50" i="1" s="1"/>
  <c r="AA21" i="1"/>
  <c r="AJ21" i="1" s="1"/>
  <c r="AA69" i="1"/>
  <c r="AJ69" i="1" s="1"/>
  <c r="AA28" i="1"/>
  <c r="AJ28" i="1" s="1"/>
  <c r="AA72" i="1"/>
  <c r="AJ72" i="1" s="1"/>
  <c r="AA74" i="1"/>
  <c r="AJ74" i="1" s="1"/>
  <c r="AA64" i="1"/>
  <c r="AJ64" i="1" s="1"/>
  <c r="AA61" i="1"/>
  <c r="AJ61" i="1" s="1"/>
  <c r="R14" i="21"/>
  <c r="C28" i="21"/>
  <c r="N19" i="2"/>
  <c r="P19" i="2" s="1"/>
  <c r="E19" i="2"/>
  <c r="G19" i="2" s="1"/>
  <c r="D19" i="2"/>
  <c r="E26" i="21"/>
  <c r="W2" i="28" l="1"/>
  <c r="V2" i="28"/>
  <c r="S10" i="28"/>
  <c r="T10" i="28" s="1"/>
  <c r="U10" i="28" s="1"/>
  <c r="S11" i="28"/>
  <c r="T11" i="28" s="1"/>
  <c r="S12" i="28"/>
  <c r="T12" i="28" s="1"/>
  <c r="S13" i="28"/>
  <c r="T13" i="28" s="1"/>
  <c r="S14" i="28"/>
  <c r="T14" i="28" s="1"/>
  <c r="S15" i="28"/>
  <c r="T15" i="28" s="1"/>
  <c r="U15" i="28" s="1"/>
  <c r="S16" i="28"/>
  <c r="T16" i="28" s="1"/>
  <c r="U16" i="28" s="1"/>
  <c r="S17" i="28"/>
  <c r="S18" i="28"/>
  <c r="T18" i="28" s="1"/>
  <c r="S19" i="28"/>
  <c r="T19" i="28" s="1"/>
  <c r="S20" i="28"/>
  <c r="T20" i="28" s="1"/>
  <c r="S21" i="28"/>
  <c r="T21" i="28" s="1"/>
  <c r="U21" i="28" s="1"/>
  <c r="S22" i="28"/>
  <c r="S23" i="28"/>
  <c r="T23" i="28" s="1"/>
  <c r="S24" i="28"/>
  <c r="T24" i="28" s="1"/>
  <c r="U24" i="28" s="1"/>
  <c r="S25" i="28"/>
  <c r="T25" i="28" s="1"/>
  <c r="U25" i="28" s="1"/>
  <c r="S26" i="28"/>
  <c r="T26" i="28" s="1"/>
  <c r="U26" i="28" s="1"/>
  <c r="S27" i="28"/>
  <c r="T27" i="28" s="1"/>
  <c r="S28" i="28"/>
  <c r="T28" i="28" s="1"/>
  <c r="S29" i="28"/>
  <c r="S30" i="28"/>
  <c r="T30" i="28" s="1"/>
  <c r="S31" i="28"/>
  <c r="S32" i="28"/>
  <c r="T32" i="28" s="1"/>
  <c r="S33" i="28"/>
  <c r="T33" i="28" s="1"/>
  <c r="S34" i="28"/>
  <c r="T34" i="28" s="1"/>
  <c r="U34" i="28" s="1"/>
  <c r="S35" i="28"/>
  <c r="T35" i="28" s="1"/>
  <c r="S36" i="28"/>
  <c r="T36" i="28" s="1"/>
  <c r="S37" i="28"/>
  <c r="T37" i="28" s="1"/>
  <c r="U37" i="28" s="1"/>
  <c r="S38" i="28"/>
  <c r="T38" i="28" s="1"/>
  <c r="U38" i="28" s="1"/>
  <c r="S39" i="28"/>
  <c r="T39" i="28" s="1"/>
  <c r="S40" i="28"/>
  <c r="T40" i="28" s="1"/>
  <c r="U40" i="28" s="1"/>
  <c r="S41" i="28"/>
  <c r="S42" i="28"/>
  <c r="T42" i="28" s="1"/>
  <c r="U42" i="28" s="1"/>
  <c r="S43" i="28"/>
  <c r="T43" i="28" s="1"/>
  <c r="S44" i="28"/>
  <c r="T44" i="28" s="1"/>
  <c r="S45" i="28"/>
  <c r="T45" i="28" s="1"/>
  <c r="S46" i="28"/>
  <c r="T46" i="28" s="1"/>
  <c r="U46" i="28" s="1"/>
  <c r="S47" i="28"/>
  <c r="T47" i="28" s="1"/>
  <c r="S48" i="28"/>
  <c r="T48" i="28" s="1"/>
  <c r="S49" i="28"/>
  <c r="T49" i="28" s="1"/>
  <c r="S50" i="28"/>
  <c r="T50" i="28" s="1"/>
  <c r="U50" i="28" s="1"/>
  <c r="S51" i="28"/>
  <c r="T51" i="28" s="1"/>
  <c r="S52" i="28"/>
  <c r="T52" i="28" s="1"/>
  <c r="S53" i="28"/>
  <c r="S54" i="28"/>
  <c r="T54" i="28" s="1"/>
  <c r="S55" i="28"/>
  <c r="T55" i="28" s="1"/>
  <c r="S56" i="28"/>
  <c r="T56" i="28" s="1"/>
  <c r="S57" i="28"/>
  <c r="T57" i="28" s="1"/>
  <c r="S58" i="28"/>
  <c r="T58" i="28" s="1"/>
  <c r="U58" i="28" s="1"/>
  <c r="S59" i="28"/>
  <c r="T59" i="28" s="1"/>
  <c r="S60" i="28"/>
  <c r="T60" i="28" s="1"/>
  <c r="S61" i="28"/>
  <c r="T61" i="28" s="1"/>
  <c r="S62" i="28"/>
  <c r="T62" i="28" s="1"/>
  <c r="U62" i="28" s="1"/>
  <c r="S63" i="28"/>
  <c r="T63" i="28" s="1"/>
  <c r="S64" i="28"/>
  <c r="T64" i="28" s="1"/>
  <c r="U64" i="28" s="1"/>
  <c r="S65" i="28"/>
  <c r="S66" i="28"/>
  <c r="T66" i="28" s="1"/>
  <c r="U66" i="28" s="1"/>
  <c r="S67" i="28"/>
  <c r="T67" i="28" s="1"/>
  <c r="U67" i="28" s="1"/>
  <c r="S68" i="28"/>
  <c r="T68" i="28" s="1"/>
  <c r="S69" i="28"/>
  <c r="T69" i="28" s="1"/>
  <c r="U69" i="28" s="1"/>
  <c r="S70" i="28"/>
  <c r="T70" i="28" s="1"/>
  <c r="U70" i="28" s="1"/>
  <c r="S71" i="28"/>
  <c r="T71" i="28" s="1"/>
  <c r="U71" i="28" s="1"/>
  <c r="S72" i="28"/>
  <c r="T72" i="28" s="1"/>
  <c r="S73" i="28"/>
  <c r="T73" i="28" s="1"/>
  <c r="S74" i="28"/>
  <c r="T74" i="28" s="1"/>
  <c r="U74" i="28" s="1"/>
  <c r="S75" i="28"/>
  <c r="T75" i="28" s="1"/>
  <c r="S76" i="28"/>
  <c r="T76" i="28" s="1"/>
  <c r="S77" i="28"/>
  <c r="S78" i="28"/>
  <c r="S79" i="28"/>
  <c r="T79" i="28" s="1"/>
  <c r="S80" i="28"/>
  <c r="T80" i="28" s="1"/>
  <c r="S81" i="28"/>
  <c r="T81" i="28" s="1"/>
  <c r="U81" i="28" s="1"/>
  <c r="S82" i="28"/>
  <c r="T82" i="28" s="1"/>
  <c r="U82" i="28" s="1"/>
  <c r="S83" i="28"/>
  <c r="T83" i="28" s="1"/>
  <c r="S84" i="28"/>
  <c r="T84" i="28" s="1"/>
  <c r="S85" i="28"/>
  <c r="T85" i="28" s="1"/>
  <c r="S86" i="28"/>
  <c r="T86" i="28" s="1"/>
  <c r="U86" i="28" s="1"/>
  <c r="S87" i="28"/>
  <c r="T87" i="28" s="1"/>
  <c r="S88" i="28"/>
  <c r="T88" i="28" s="1"/>
  <c r="S89" i="28"/>
  <c r="S90" i="28"/>
  <c r="T90" i="28" s="1"/>
  <c r="S91" i="28"/>
  <c r="T91" i="28" s="1"/>
  <c r="U91" i="28" s="1"/>
  <c r="S92" i="28"/>
  <c r="T92" i="28" s="1"/>
  <c r="S93" i="28"/>
  <c r="T93" i="28" s="1"/>
  <c r="S94" i="28"/>
  <c r="T94" i="28" s="1"/>
  <c r="U94" i="28" s="1"/>
  <c r="S95" i="28"/>
  <c r="T95" i="28" s="1"/>
  <c r="S96" i="28"/>
  <c r="T96" i="28" s="1"/>
  <c r="S97" i="28"/>
  <c r="T97" i="28" s="1"/>
  <c r="S98" i="28"/>
  <c r="T98" i="28" s="1"/>
  <c r="U98" i="28" s="1"/>
  <c r="S99" i="28"/>
  <c r="T99" i="28" s="1"/>
  <c r="S100" i="28"/>
  <c r="T100" i="28" s="1"/>
  <c r="S101" i="28"/>
  <c r="S102" i="28"/>
  <c r="T102" i="28" s="1"/>
  <c r="S103" i="28"/>
  <c r="T103" i="28" s="1"/>
  <c r="S104" i="28"/>
  <c r="T104" i="28" s="1"/>
  <c r="S105" i="28"/>
  <c r="T105" i="28" s="1"/>
  <c r="U105" i="28" s="1"/>
  <c r="S106" i="28"/>
  <c r="T106" i="28" s="1"/>
  <c r="U106" i="28" s="1"/>
  <c r="S107" i="28"/>
  <c r="T107" i="28" s="1"/>
  <c r="S108" i="28"/>
  <c r="T108" i="28" s="1"/>
  <c r="S109" i="28"/>
  <c r="T109" i="28" s="1"/>
  <c r="U109" i="28" s="1"/>
  <c r="S110" i="28"/>
  <c r="T110" i="28" s="1"/>
  <c r="U110" i="28" s="1"/>
  <c r="S111" i="28"/>
  <c r="T111" i="28" s="1"/>
  <c r="S112" i="28"/>
  <c r="T112" i="28" s="1"/>
  <c r="S113" i="28"/>
  <c r="S114" i="28"/>
  <c r="T114" i="28" s="1"/>
  <c r="S115" i="28"/>
  <c r="T115" i="28" s="1"/>
  <c r="S116" i="28"/>
  <c r="T116" i="28" s="1"/>
  <c r="S117" i="28"/>
  <c r="T117" i="28" s="1"/>
  <c r="S118" i="28"/>
  <c r="T118" i="28" s="1"/>
  <c r="S119" i="28"/>
  <c r="T119" i="28" s="1"/>
  <c r="S120" i="28"/>
  <c r="T120" i="28" s="1"/>
  <c r="S121" i="28"/>
  <c r="T121" i="28" s="1"/>
  <c r="S122" i="28"/>
  <c r="T122" i="28" s="1"/>
  <c r="S123" i="28"/>
  <c r="T123" i="28" s="1"/>
  <c r="S124" i="28"/>
  <c r="T124" i="28" s="1"/>
  <c r="S125" i="28"/>
  <c r="S126" i="28"/>
  <c r="T126" i="28" s="1"/>
  <c r="S127" i="28"/>
  <c r="T127" i="28" s="1"/>
  <c r="S128" i="28"/>
  <c r="T128" i="28" s="1"/>
  <c r="S129" i="28"/>
  <c r="T129" i="28" s="1"/>
  <c r="S130" i="28"/>
  <c r="T130" i="28" s="1"/>
  <c r="S131" i="28"/>
  <c r="T131" i="28" s="1"/>
  <c r="S132" i="28"/>
  <c r="T132" i="28" s="1"/>
  <c r="S133" i="28"/>
  <c r="T133" i="28" s="1"/>
  <c r="S134" i="28"/>
  <c r="T134" i="28" s="1"/>
  <c r="S135" i="28"/>
  <c r="T135" i="28" s="1"/>
  <c r="S136" i="28"/>
  <c r="T136" i="28" s="1"/>
  <c r="S137" i="28"/>
  <c r="S138" i="28"/>
  <c r="T138" i="28" s="1"/>
  <c r="U138" i="28" s="1"/>
  <c r="S139" i="28"/>
  <c r="T139" i="28" s="1"/>
  <c r="S140" i="28"/>
  <c r="T140" i="28" s="1"/>
  <c r="S141" i="28"/>
  <c r="S142" i="28"/>
  <c r="T142" i="28" s="1"/>
  <c r="U142" i="28" s="1"/>
  <c r="S143" i="28"/>
  <c r="T143" i="28" s="1"/>
  <c r="S144" i="28"/>
  <c r="T144" i="28" s="1"/>
  <c r="S145" i="28"/>
  <c r="T145" i="28" s="1"/>
  <c r="S146" i="28"/>
  <c r="T146" i="28" s="1"/>
  <c r="U146" i="28" s="1"/>
  <c r="S147" i="28"/>
  <c r="T147" i="28" s="1"/>
  <c r="S148" i="28"/>
  <c r="T148" i="28" s="1"/>
  <c r="S149" i="28"/>
  <c r="S150" i="28"/>
  <c r="T150" i="28" s="1"/>
  <c r="U150" i="28" s="1"/>
  <c r="S151" i="28"/>
  <c r="T151" i="28" s="1"/>
  <c r="S152" i="28"/>
  <c r="T152" i="28" s="1"/>
  <c r="S153" i="28"/>
  <c r="T153" i="28" s="1"/>
  <c r="S154" i="28"/>
  <c r="T154" i="28" s="1"/>
  <c r="S155" i="28"/>
  <c r="T155" i="28" s="1"/>
  <c r="S156" i="28"/>
  <c r="T156" i="28" s="1"/>
  <c r="S157" i="28"/>
  <c r="T157" i="28" s="1"/>
  <c r="S158" i="28"/>
  <c r="T158" i="28" s="1"/>
  <c r="S159" i="28"/>
  <c r="T159" i="28" s="1"/>
  <c r="S160" i="28"/>
  <c r="T160" i="28" s="1"/>
  <c r="S161" i="28"/>
  <c r="S162" i="28"/>
  <c r="T162" i="28" s="1"/>
  <c r="S163" i="28"/>
  <c r="T163" i="28" s="1"/>
  <c r="S164" i="28"/>
  <c r="T164" i="28" s="1"/>
  <c r="S165" i="28"/>
  <c r="T165" i="28" s="1"/>
  <c r="S166" i="28"/>
  <c r="T166" i="28" s="1"/>
  <c r="U166" i="28" s="1"/>
  <c r="S167" i="28"/>
  <c r="T167" i="28" s="1"/>
  <c r="S168" i="28"/>
  <c r="T168" i="28" s="1"/>
  <c r="S169" i="28"/>
  <c r="T169" i="28" s="1"/>
  <c r="U169" i="28" s="1"/>
  <c r="S170" i="28"/>
  <c r="T170" i="28" s="1"/>
  <c r="S171" i="28"/>
  <c r="T171" i="28" s="1"/>
  <c r="S172" i="28"/>
  <c r="T172" i="28" s="1"/>
  <c r="S173" i="28"/>
  <c r="S174" i="28"/>
  <c r="T174" i="28" s="1"/>
  <c r="S175" i="28"/>
  <c r="T175" i="28" s="1"/>
  <c r="S176" i="28"/>
  <c r="T176" i="28" s="1"/>
  <c r="S177" i="28"/>
  <c r="T177" i="28" s="1"/>
  <c r="S178" i="28"/>
  <c r="T178" i="28" s="1"/>
  <c r="S179" i="28"/>
  <c r="T179" i="28" s="1"/>
  <c r="S180" i="28"/>
  <c r="T180" i="28" s="1"/>
  <c r="S181" i="28"/>
  <c r="T181" i="28" s="1"/>
  <c r="S182" i="28"/>
  <c r="T182" i="28" s="1"/>
  <c r="S183" i="28"/>
  <c r="T183" i="28" s="1"/>
  <c r="S184" i="28"/>
  <c r="T184" i="28" s="1"/>
  <c r="S185" i="28"/>
  <c r="S186" i="28"/>
  <c r="T186" i="28" s="1"/>
  <c r="S187" i="28"/>
  <c r="T187" i="28" s="1"/>
  <c r="S188" i="28"/>
  <c r="T188" i="28" s="1"/>
  <c r="S189" i="28"/>
  <c r="T189" i="28" s="1"/>
  <c r="S190" i="28"/>
  <c r="T190" i="28" s="1"/>
  <c r="U190" i="28" s="1"/>
  <c r="S191" i="28"/>
  <c r="T191" i="28" s="1"/>
  <c r="S192" i="28"/>
  <c r="T192" i="28" s="1"/>
  <c r="S193" i="28"/>
  <c r="T193" i="28" s="1"/>
  <c r="S194" i="28"/>
  <c r="T194" i="28" s="1"/>
  <c r="S195" i="28"/>
  <c r="T195" i="28" s="1"/>
  <c r="S196" i="28"/>
  <c r="T196" i="28" s="1"/>
  <c r="S197" i="28"/>
  <c r="S198" i="28"/>
  <c r="T198" i="28" s="1"/>
  <c r="S199" i="28"/>
  <c r="T199" i="28" s="1"/>
  <c r="S200" i="28"/>
  <c r="T200" i="28" s="1"/>
  <c r="S201" i="28"/>
  <c r="T201" i="28" s="1"/>
  <c r="S202" i="28"/>
  <c r="T202" i="28" s="1"/>
  <c r="S203" i="28"/>
  <c r="T203" i="28" s="1"/>
  <c r="S204" i="28"/>
  <c r="T204" i="28" s="1"/>
  <c r="S205" i="28"/>
  <c r="T205" i="28" s="1"/>
  <c r="S206" i="28"/>
  <c r="T206" i="28" s="1"/>
  <c r="S207" i="28"/>
  <c r="T207" i="28" s="1"/>
  <c r="S208" i="28"/>
  <c r="T208" i="28" s="1"/>
  <c r="S209" i="28"/>
  <c r="S210" i="28"/>
  <c r="T210" i="28" s="1"/>
  <c r="S211" i="28"/>
  <c r="T211" i="28" s="1"/>
  <c r="S213" i="28"/>
  <c r="T213" i="28" s="1"/>
  <c r="S214" i="28"/>
  <c r="T214" i="28" s="1"/>
  <c r="S215" i="28"/>
  <c r="T215" i="28" s="1"/>
  <c r="S217" i="28"/>
  <c r="T217" i="28" s="1"/>
  <c r="S218" i="28"/>
  <c r="T218" i="28" s="1"/>
  <c r="S219" i="28"/>
  <c r="T219" i="28" s="1"/>
  <c r="S220" i="28"/>
  <c r="T220" i="28" s="1"/>
  <c r="S221" i="28"/>
  <c r="T221" i="28" s="1"/>
  <c r="S222" i="28"/>
  <c r="T222" i="28" s="1"/>
  <c r="S223" i="28"/>
  <c r="T223" i="28" s="1"/>
  <c r="S224" i="28"/>
  <c r="T224" i="28" s="1"/>
  <c r="S225" i="28"/>
  <c r="T225" i="28" s="1"/>
  <c r="S236" i="28"/>
  <c r="T236" i="28" s="1"/>
  <c r="S237" i="28"/>
  <c r="T237" i="28" s="1"/>
  <c r="S238" i="28"/>
  <c r="T238" i="28" s="1"/>
  <c r="S239" i="28"/>
  <c r="T239" i="28" s="1"/>
  <c r="S240" i="28"/>
  <c r="T240" i="28" s="1"/>
  <c r="S241" i="28"/>
  <c r="S242" i="28"/>
  <c r="T242" i="28" s="1"/>
  <c r="S243" i="28"/>
  <c r="T243" i="28" s="1"/>
  <c r="S244" i="28"/>
  <c r="T244" i="28" s="1"/>
  <c r="S245" i="28"/>
  <c r="T245" i="28" s="1"/>
  <c r="S246" i="28"/>
  <c r="T246" i="28" s="1"/>
  <c r="S247" i="28"/>
  <c r="T247" i="28" s="1"/>
  <c r="S248" i="28"/>
  <c r="T248" i="28" s="1"/>
  <c r="S249" i="28"/>
  <c r="T249" i="28" s="1"/>
  <c r="S250" i="28"/>
  <c r="T250" i="28" s="1"/>
  <c r="S251" i="28"/>
  <c r="T251" i="28" s="1"/>
  <c r="S252" i="28"/>
  <c r="T252" i="28" s="1"/>
  <c r="S253" i="28"/>
  <c r="T253" i="28" s="1"/>
  <c r="F16" i="57"/>
  <c r="F15" i="57"/>
  <c r="D16" i="57"/>
  <c r="D15" i="57"/>
  <c r="C16" i="57"/>
  <c r="C15" i="57"/>
  <c r="B16" i="57"/>
  <c r="B15" i="57"/>
  <c r="T241" i="28"/>
  <c r="T209" i="28"/>
  <c r="T197" i="28"/>
  <c r="U197" i="28" s="1"/>
  <c r="T185" i="28"/>
  <c r="T173" i="28"/>
  <c r="U173" i="28" s="1"/>
  <c r="T161" i="28"/>
  <c r="T149" i="28"/>
  <c r="T141" i="28"/>
  <c r="T137" i="28"/>
  <c r="T125" i="28"/>
  <c r="T113" i="28"/>
  <c r="T101" i="28"/>
  <c r="U101" i="28" s="1"/>
  <c r="T89" i="28"/>
  <c r="T78" i="28"/>
  <c r="U78" i="28" s="1"/>
  <c r="T77" i="28"/>
  <c r="U77" i="28" s="1"/>
  <c r="T65" i="28"/>
  <c r="T53" i="28"/>
  <c r="U53" i="28" s="1"/>
  <c r="T41" i="28"/>
  <c r="T31" i="28"/>
  <c r="U31" i="28" s="1"/>
  <c r="T29" i="28"/>
  <c r="T22" i="28"/>
  <c r="U22" i="28" s="1"/>
  <c r="T17" i="28"/>
  <c r="H8" i="8"/>
  <c r="C8" i="8"/>
  <c r="E8" i="8" s="1"/>
  <c r="H7" i="8"/>
  <c r="C7" i="8"/>
  <c r="P2" i="1"/>
  <c r="O2" i="1"/>
  <c r="G7" i="56"/>
  <c r="G13" i="3"/>
  <c r="F13" i="3"/>
  <c r="E13" i="3"/>
  <c r="D13" i="3"/>
  <c r="C13" i="3"/>
  <c r="B13" i="3"/>
  <c r="H13" i="3" s="1"/>
  <c r="K11" i="3"/>
  <c r="K13" i="3" s="1"/>
  <c r="H11" i="3"/>
  <c r="G4" i="3"/>
  <c r="F4" i="3"/>
  <c r="E4" i="3"/>
  <c r="D4" i="3"/>
  <c r="C4" i="3"/>
  <c r="B4" i="3"/>
  <c r="F5" i="2"/>
  <c r="B13" i="9"/>
  <c r="B23" i="2"/>
  <c r="Q19" i="2"/>
  <c r="N18" i="2"/>
  <c r="F18" i="2"/>
  <c r="E18" i="2"/>
  <c r="D18" i="2"/>
  <c r="G13" i="2"/>
  <c r="Q12" i="2" s="1"/>
  <c r="G12" i="2"/>
  <c r="O12" i="2" s="1"/>
  <c r="G11" i="2"/>
  <c r="O11" i="2" s="1"/>
  <c r="G10" i="2"/>
  <c r="O10" i="2" s="1"/>
  <c r="G9" i="2"/>
  <c r="O9" i="2" s="1"/>
  <c r="E3" i="2"/>
  <c r="B4" i="2" s="1"/>
  <c r="G37" i="55"/>
  <c r="F37" i="55"/>
  <c r="E37" i="55"/>
  <c r="D37" i="55"/>
  <c r="C37" i="55"/>
  <c r="B37" i="55"/>
  <c r="B29" i="55"/>
  <c r="D22" i="55"/>
  <c r="C22" i="55"/>
  <c r="B22" i="55"/>
  <c r="D21" i="55"/>
  <c r="C21" i="55"/>
  <c r="B21" i="55"/>
  <c r="F7" i="55"/>
  <c r="C7" i="55"/>
  <c r="B7" i="55"/>
  <c r="H4" i="55"/>
  <c r="F4" i="55"/>
  <c r="F8" i="55" s="1"/>
  <c r="H3" i="55"/>
  <c r="G37" i="54"/>
  <c r="F37" i="54"/>
  <c r="E37" i="54"/>
  <c r="D37" i="54"/>
  <c r="C37" i="54"/>
  <c r="B37" i="54"/>
  <c r="B29" i="54"/>
  <c r="D22" i="54"/>
  <c r="C22" i="54"/>
  <c r="B22" i="54"/>
  <c r="D21" i="54"/>
  <c r="C21" i="54"/>
  <c r="B21" i="54"/>
  <c r="G7" i="54"/>
  <c r="F7" i="54"/>
  <c r="E7" i="54"/>
  <c r="D7" i="54"/>
  <c r="C7" i="54"/>
  <c r="B7" i="54"/>
  <c r="H4" i="54"/>
  <c r="F4" i="54"/>
  <c r="H3" i="54"/>
  <c r="G37" i="50"/>
  <c r="F37" i="50"/>
  <c r="E37" i="50"/>
  <c r="D37" i="50"/>
  <c r="C37" i="50"/>
  <c r="B37" i="50"/>
  <c r="B29" i="50"/>
  <c r="D22" i="50"/>
  <c r="C22" i="50"/>
  <c r="B22" i="50"/>
  <c r="D21" i="50"/>
  <c r="C21" i="50"/>
  <c r="B21" i="50"/>
  <c r="B7" i="50"/>
  <c r="H4" i="50"/>
  <c r="F4" i="50"/>
  <c r="H3" i="50"/>
  <c r="G37" i="49"/>
  <c r="F37" i="49"/>
  <c r="E37" i="49"/>
  <c r="D37" i="49"/>
  <c r="C37" i="49"/>
  <c r="B37" i="49"/>
  <c r="B29" i="49"/>
  <c r="D22" i="49"/>
  <c r="C22" i="49"/>
  <c r="B22" i="49"/>
  <c r="D21" i="49"/>
  <c r="C21" i="49"/>
  <c r="B21" i="49"/>
  <c r="G7" i="49"/>
  <c r="F7" i="49"/>
  <c r="E7" i="49"/>
  <c r="D7" i="49"/>
  <c r="C7" i="49"/>
  <c r="B7" i="49"/>
  <c r="H4" i="49"/>
  <c r="F4" i="49"/>
  <c r="F8" i="49" s="1"/>
  <c r="H3" i="49"/>
  <c r="G37" i="47"/>
  <c r="F37" i="47"/>
  <c r="E37" i="47"/>
  <c r="D37" i="47"/>
  <c r="C37" i="47"/>
  <c r="B37" i="47"/>
  <c r="B29" i="47"/>
  <c r="D22" i="47"/>
  <c r="C22" i="47"/>
  <c r="B22" i="47"/>
  <c r="D21" i="47"/>
  <c r="C21" i="47"/>
  <c r="B21" i="47"/>
  <c r="B20" i="47"/>
  <c r="E15" i="47" s="1"/>
  <c r="H15" i="47" s="1"/>
  <c r="J15" i="47" s="1"/>
  <c r="F7" i="47"/>
  <c r="E7" i="47"/>
  <c r="D7" i="47"/>
  <c r="C7" i="47"/>
  <c r="B7" i="47"/>
  <c r="H4" i="47"/>
  <c r="F4" i="47"/>
  <c r="H3" i="47"/>
  <c r="G37" i="46"/>
  <c r="F37" i="46"/>
  <c r="E37" i="46"/>
  <c r="D37" i="46"/>
  <c r="C37" i="46"/>
  <c r="B37" i="46"/>
  <c r="B29" i="46"/>
  <c r="D22" i="46"/>
  <c r="C22" i="46"/>
  <c r="B22" i="46"/>
  <c r="D21" i="46"/>
  <c r="C21" i="46"/>
  <c r="B21" i="46"/>
  <c r="B20" i="46"/>
  <c r="C20" i="46" s="1"/>
  <c r="D20" i="46" s="1"/>
  <c r="F7" i="46"/>
  <c r="C7" i="46"/>
  <c r="B7" i="46"/>
  <c r="H4" i="46"/>
  <c r="F4" i="46"/>
  <c r="H3" i="46"/>
  <c r="G37" i="45"/>
  <c r="F37" i="45"/>
  <c r="E37" i="45"/>
  <c r="D37" i="45"/>
  <c r="C37" i="45"/>
  <c r="B37" i="45"/>
  <c r="B29" i="45"/>
  <c r="D22" i="45"/>
  <c r="C22" i="45"/>
  <c r="B22" i="45"/>
  <c r="D21" i="45"/>
  <c r="C21" i="45"/>
  <c r="B21" i="45"/>
  <c r="B20" i="45"/>
  <c r="C20" i="45" s="1"/>
  <c r="E16" i="45" s="1"/>
  <c r="F7" i="45"/>
  <c r="D7" i="45"/>
  <c r="C7" i="45"/>
  <c r="B7" i="45"/>
  <c r="H4" i="45"/>
  <c r="F4" i="45"/>
  <c r="H3" i="45"/>
  <c r="G37" i="44"/>
  <c r="F37" i="44"/>
  <c r="E37" i="44"/>
  <c r="D37" i="44"/>
  <c r="C37" i="44"/>
  <c r="B37" i="44"/>
  <c r="B29" i="44"/>
  <c r="D22" i="44"/>
  <c r="C22" i="44"/>
  <c r="B22" i="44"/>
  <c r="D21" i="44"/>
  <c r="C21" i="44"/>
  <c r="B21" i="44"/>
  <c r="B20" i="44"/>
  <c r="C20" i="44" s="1"/>
  <c r="E16" i="44" s="1"/>
  <c r="H16" i="44" s="1"/>
  <c r="J16" i="44" s="1"/>
  <c r="G7" i="44"/>
  <c r="F7" i="44"/>
  <c r="C7" i="44"/>
  <c r="B7" i="44"/>
  <c r="H4" i="44"/>
  <c r="F4" i="44"/>
  <c r="H3" i="44"/>
  <c r="G37" i="43"/>
  <c r="F37" i="43"/>
  <c r="E37" i="43"/>
  <c r="D37" i="43"/>
  <c r="C37" i="43"/>
  <c r="B37" i="43"/>
  <c r="B29" i="43"/>
  <c r="D22" i="43"/>
  <c r="C22" i="43"/>
  <c r="B22" i="43"/>
  <c r="D21" i="43"/>
  <c r="C21" i="43"/>
  <c r="B21" i="43"/>
  <c r="B20" i="43"/>
  <c r="C20" i="43" s="1"/>
  <c r="D20" i="43" s="1"/>
  <c r="G7" i="43"/>
  <c r="F7" i="43"/>
  <c r="C7" i="43"/>
  <c r="B7" i="43"/>
  <c r="H4" i="43"/>
  <c r="F4" i="43"/>
  <c r="B8" i="43" s="1"/>
  <c r="H3" i="43"/>
  <c r="G37" i="57"/>
  <c r="F37" i="57"/>
  <c r="E37" i="57"/>
  <c r="D37" i="57"/>
  <c r="C37" i="57"/>
  <c r="B37" i="57"/>
  <c r="B29" i="57"/>
  <c r="D22" i="57"/>
  <c r="C22" i="57"/>
  <c r="B22" i="57"/>
  <c r="D21" i="57"/>
  <c r="C21" i="57"/>
  <c r="B21" i="57"/>
  <c r="F7" i="57"/>
  <c r="E7" i="57"/>
  <c r="C7" i="57"/>
  <c r="B7" i="57"/>
  <c r="F4" i="57"/>
  <c r="H2" i="57"/>
  <c r="H4" i="57" s="1"/>
  <c r="H3" i="57" s="1"/>
  <c r="G37" i="56"/>
  <c r="F37" i="56"/>
  <c r="E37" i="56"/>
  <c r="D37" i="56"/>
  <c r="C37" i="56"/>
  <c r="B37" i="56"/>
  <c r="B29" i="56"/>
  <c r="D22" i="56"/>
  <c r="C22" i="56"/>
  <c r="B22" i="56"/>
  <c r="D21" i="56"/>
  <c r="C21" i="56"/>
  <c r="B21" i="56"/>
  <c r="G16" i="56"/>
  <c r="F16" i="56"/>
  <c r="D16" i="56"/>
  <c r="C16" i="56"/>
  <c r="B16" i="56"/>
  <c r="G15" i="56"/>
  <c r="F15" i="56"/>
  <c r="D15" i="56"/>
  <c r="C15" i="56"/>
  <c r="B15" i="56"/>
  <c r="G14" i="56"/>
  <c r="G13" i="56"/>
  <c r="F7" i="56"/>
  <c r="E7" i="56"/>
  <c r="C7" i="56"/>
  <c r="B7" i="56"/>
  <c r="H4" i="56"/>
  <c r="F4" i="56"/>
  <c r="H3" i="56"/>
  <c r="H2" i="56"/>
  <c r="G37" i="29"/>
  <c r="F37" i="29"/>
  <c r="E37" i="29"/>
  <c r="D37" i="29"/>
  <c r="C37" i="29"/>
  <c r="B37" i="29"/>
  <c r="B29" i="29"/>
  <c r="D22" i="29"/>
  <c r="C22" i="29"/>
  <c r="B22" i="29"/>
  <c r="D21" i="29"/>
  <c r="C21" i="29"/>
  <c r="B21" i="29"/>
  <c r="B7" i="29"/>
  <c r="F4" i="29"/>
  <c r="D40" i="9"/>
  <c r="D39" i="9"/>
  <c r="D38" i="9"/>
  <c r="D37" i="9"/>
  <c r="D36" i="9"/>
  <c r="D34" i="9"/>
  <c r="G29" i="21"/>
  <c r="G26" i="21"/>
  <c r="C25" i="21"/>
  <c r="C24" i="21"/>
  <c r="G21" i="21"/>
  <c r="C20" i="21"/>
  <c r="C19" i="21"/>
  <c r="C17" i="21"/>
  <c r="G15" i="21"/>
  <c r="C14" i="21"/>
  <c r="G12" i="21"/>
  <c r="H28" i="21" s="1"/>
  <c r="O40" i="1" l="1"/>
  <c r="R40" i="1"/>
  <c r="S40" i="1"/>
  <c r="P40" i="1"/>
  <c r="AC40" i="1" s="1"/>
  <c r="R47" i="1"/>
  <c r="O47" i="1"/>
  <c r="S47" i="1"/>
  <c r="P47" i="1"/>
  <c r="AC47" i="1" s="1"/>
  <c r="O130" i="1"/>
  <c r="O118" i="1"/>
  <c r="R130" i="1"/>
  <c r="R118" i="1"/>
  <c r="S130" i="1"/>
  <c r="P130" i="1"/>
  <c r="AC130" i="1" s="1"/>
  <c r="S118" i="1"/>
  <c r="P118" i="1"/>
  <c r="AC118" i="1" s="1"/>
  <c r="R53" i="1"/>
  <c r="O53" i="1"/>
  <c r="S53" i="1"/>
  <c r="P53" i="1"/>
  <c r="AC53" i="1" s="1"/>
  <c r="O39" i="1"/>
  <c r="R39" i="1"/>
  <c r="S39" i="1"/>
  <c r="P39" i="1"/>
  <c r="AC39" i="1" s="1"/>
  <c r="R105" i="1"/>
  <c r="O105" i="1"/>
  <c r="S105" i="1"/>
  <c r="P105" i="1"/>
  <c r="AC105" i="1" s="1"/>
  <c r="O25" i="1"/>
  <c r="R25" i="1"/>
  <c r="R155" i="1"/>
  <c r="R158" i="1"/>
  <c r="R46" i="1"/>
  <c r="R32" i="1"/>
  <c r="R19" i="1"/>
  <c r="R143" i="1"/>
  <c r="R131" i="1"/>
  <c r="R119" i="1"/>
  <c r="R107" i="1"/>
  <c r="R94" i="1"/>
  <c r="R81" i="1"/>
  <c r="R56" i="1"/>
  <c r="R43" i="1"/>
  <c r="R29" i="1"/>
  <c r="R16" i="1"/>
  <c r="O155" i="1"/>
  <c r="O143" i="1"/>
  <c r="O131" i="1"/>
  <c r="O119" i="1"/>
  <c r="O107" i="1"/>
  <c r="O94" i="1"/>
  <c r="O81" i="1"/>
  <c r="O69" i="1"/>
  <c r="O56" i="1"/>
  <c r="O43" i="1"/>
  <c r="O29" i="1"/>
  <c r="O16" i="1"/>
  <c r="R146" i="1"/>
  <c r="R110" i="1"/>
  <c r="O97" i="1"/>
  <c r="R97" i="1"/>
  <c r="O85" i="1"/>
  <c r="R85" i="1"/>
  <c r="O72" i="1"/>
  <c r="R72" i="1"/>
  <c r="O60" i="1"/>
  <c r="O146" i="1"/>
  <c r="O122" i="1"/>
  <c r="R60" i="1"/>
  <c r="O46" i="1"/>
  <c r="O32" i="1"/>
  <c r="O19" i="1"/>
  <c r="O158" i="1"/>
  <c r="O134" i="1"/>
  <c r="R122" i="1"/>
  <c r="O110" i="1"/>
  <c r="R134" i="1"/>
  <c r="R24" i="1"/>
  <c r="R48" i="1"/>
  <c r="R76" i="1"/>
  <c r="R92" i="1"/>
  <c r="R41" i="1"/>
  <c r="R30" i="1"/>
  <c r="R31" i="1"/>
  <c r="R20" i="1"/>
  <c r="R98" i="1"/>
  <c r="R148" i="1"/>
  <c r="O96" i="1"/>
  <c r="O99" i="1"/>
  <c r="O100" i="1"/>
  <c r="O101" i="1"/>
  <c r="O37" i="1"/>
  <c r="O152" i="1"/>
  <c r="R141" i="1"/>
  <c r="O106" i="1"/>
  <c r="O82" i="1"/>
  <c r="R65" i="1"/>
  <c r="R101" i="1"/>
  <c r="R129" i="1"/>
  <c r="R104" i="1"/>
  <c r="R57" i="1"/>
  <c r="R73" i="1"/>
  <c r="R21" i="1"/>
  <c r="O126" i="1"/>
  <c r="O41" i="1"/>
  <c r="O108" i="1"/>
  <c r="O136" i="1"/>
  <c r="O55" i="1"/>
  <c r="O142" i="1"/>
  <c r="R154" i="1"/>
  <c r="R52" i="1"/>
  <c r="O86" i="1"/>
  <c r="R89" i="1"/>
  <c r="R37" i="1"/>
  <c r="R67" i="1"/>
  <c r="R44" i="1"/>
  <c r="R45" i="1"/>
  <c r="O73" i="1"/>
  <c r="O98" i="1"/>
  <c r="R22" i="1"/>
  <c r="O109" i="1"/>
  <c r="O112" i="1"/>
  <c r="O113" i="1"/>
  <c r="O114" i="1"/>
  <c r="O52" i="1"/>
  <c r="O27" i="1"/>
  <c r="O117" i="1"/>
  <c r="O95" i="1"/>
  <c r="R86" i="1"/>
  <c r="R59" i="1"/>
  <c r="R35" i="1"/>
  <c r="O121" i="1"/>
  <c r="O124" i="1"/>
  <c r="O125" i="1"/>
  <c r="O65" i="1"/>
  <c r="O26" i="1"/>
  <c r="R114" i="1"/>
  <c r="R153" i="1"/>
  <c r="R38" i="1"/>
  <c r="R15" i="1"/>
  <c r="R70" i="1"/>
  <c r="R71" i="1"/>
  <c r="R34" i="1"/>
  <c r="R50" i="1"/>
  <c r="O133" i="1"/>
  <c r="O137" i="1"/>
  <c r="O138" i="1"/>
  <c r="O77" i="1"/>
  <c r="O38" i="1"/>
  <c r="O120" i="1"/>
  <c r="O156" i="1"/>
  <c r="R27" i="1"/>
  <c r="O63" i="1"/>
  <c r="O116" i="1"/>
  <c r="O44" i="1"/>
  <c r="O33" i="1"/>
  <c r="R124" i="1"/>
  <c r="O71" i="1"/>
  <c r="O75" i="1"/>
  <c r="O141" i="1"/>
  <c r="O57" i="1"/>
  <c r="R90" i="1"/>
  <c r="R111" i="1"/>
  <c r="R126" i="1"/>
  <c r="R28" i="1"/>
  <c r="R66" i="1"/>
  <c r="R42" i="1"/>
  <c r="R84" i="1"/>
  <c r="R123" i="1"/>
  <c r="R49" i="1"/>
  <c r="R63" i="1"/>
  <c r="O145" i="1"/>
  <c r="O148" i="1"/>
  <c r="O149" i="1"/>
  <c r="O150" i="1"/>
  <c r="O90" i="1"/>
  <c r="O54" i="1"/>
  <c r="O67" i="1"/>
  <c r="O154" i="1"/>
  <c r="O132" i="1"/>
  <c r="R102" i="1"/>
  <c r="O111" i="1"/>
  <c r="R138" i="1"/>
  <c r="R58" i="1"/>
  <c r="R78" i="1"/>
  <c r="R68" i="1"/>
  <c r="R95" i="1"/>
  <c r="R96" i="1"/>
  <c r="O123" i="1"/>
  <c r="R62" i="1"/>
  <c r="R75" i="1"/>
  <c r="O157" i="1"/>
  <c r="O102" i="1"/>
  <c r="O66" i="1"/>
  <c r="O79" i="1"/>
  <c r="O15" i="1"/>
  <c r="O144" i="1"/>
  <c r="R115" i="1"/>
  <c r="R135" i="1"/>
  <c r="R150" i="1"/>
  <c r="R80" i="1"/>
  <c r="R91" i="1"/>
  <c r="R93" i="1"/>
  <c r="R108" i="1"/>
  <c r="R109" i="1"/>
  <c r="O147" i="1"/>
  <c r="R74" i="1"/>
  <c r="R88" i="1"/>
  <c r="O18" i="1"/>
  <c r="O21" i="1"/>
  <c r="O22" i="1"/>
  <c r="O23" i="1"/>
  <c r="O115" i="1"/>
  <c r="O78" i="1"/>
  <c r="O92" i="1"/>
  <c r="O28" i="1"/>
  <c r="R144" i="1"/>
  <c r="R55" i="1"/>
  <c r="R156" i="1"/>
  <c r="R139" i="1"/>
  <c r="O135" i="1"/>
  <c r="R54" i="1"/>
  <c r="R106" i="1"/>
  <c r="R103" i="1"/>
  <c r="R117" i="1"/>
  <c r="R120" i="1"/>
  <c r="R121" i="1"/>
  <c r="R147" i="1"/>
  <c r="R87" i="1"/>
  <c r="R100" i="1"/>
  <c r="O31" i="1"/>
  <c r="O34" i="1"/>
  <c r="O35" i="1"/>
  <c r="O36" i="1"/>
  <c r="O127" i="1"/>
  <c r="O91" i="1"/>
  <c r="O104" i="1"/>
  <c r="O42" i="1"/>
  <c r="O17" i="1"/>
  <c r="R151" i="1"/>
  <c r="R23" i="1"/>
  <c r="R14" i="1"/>
  <c r="R116" i="1"/>
  <c r="R142" i="1"/>
  <c r="R132" i="1"/>
  <c r="R133" i="1"/>
  <c r="R99" i="1"/>
  <c r="R113" i="1"/>
  <c r="O45" i="1"/>
  <c r="O49" i="1"/>
  <c r="O50" i="1"/>
  <c r="O51" i="1"/>
  <c r="O139" i="1"/>
  <c r="O103" i="1"/>
  <c r="O58" i="1"/>
  <c r="O30" i="1"/>
  <c r="R33" i="1"/>
  <c r="R128" i="1"/>
  <c r="R145" i="1"/>
  <c r="R112" i="1"/>
  <c r="R125" i="1"/>
  <c r="O59" i="1"/>
  <c r="O62" i="1"/>
  <c r="O64" i="1"/>
  <c r="O151" i="1"/>
  <c r="O129" i="1"/>
  <c r="R140" i="1"/>
  <c r="O68" i="1"/>
  <c r="R157" i="1"/>
  <c r="O48" i="1"/>
  <c r="R64" i="1"/>
  <c r="R79" i="1"/>
  <c r="R152" i="1"/>
  <c r="R17" i="1"/>
  <c r="R18" i="1"/>
  <c r="O20" i="1"/>
  <c r="O61" i="1"/>
  <c r="R136" i="1"/>
  <c r="R149" i="1"/>
  <c r="O84" i="1"/>
  <c r="O87" i="1"/>
  <c r="O88" i="1"/>
  <c r="O89" i="1"/>
  <c r="O24" i="1"/>
  <c r="O140" i="1"/>
  <c r="O153" i="1"/>
  <c r="O93" i="1"/>
  <c r="O70" i="1"/>
  <c r="R36" i="1"/>
  <c r="R51" i="1"/>
  <c r="R61" i="1"/>
  <c r="R137" i="1"/>
  <c r="O74" i="1"/>
  <c r="O76" i="1"/>
  <c r="R127" i="1"/>
  <c r="O128" i="1"/>
  <c r="O80" i="1"/>
  <c r="S25" i="1"/>
  <c r="P25" i="1"/>
  <c r="AC25" i="1" s="1"/>
  <c r="S96" i="1"/>
  <c r="P122" i="1"/>
  <c r="AC122" i="1" s="1"/>
  <c r="P96" i="1"/>
  <c r="AC96" i="1" s="1"/>
  <c r="P146" i="1"/>
  <c r="AC146" i="1" s="1"/>
  <c r="P132" i="1"/>
  <c r="AC132" i="1" s="1"/>
  <c r="P114" i="1"/>
  <c r="AC114" i="1" s="1"/>
  <c r="P94" i="1"/>
  <c r="AC94" i="1" s="1"/>
  <c r="P128" i="1"/>
  <c r="AC128" i="1" s="1"/>
  <c r="S103" i="1"/>
  <c r="P117" i="1"/>
  <c r="AC117" i="1" s="1"/>
  <c r="P153" i="1"/>
  <c r="AC153" i="1" s="1"/>
  <c r="S146" i="1"/>
  <c r="S87" i="1"/>
  <c r="P134" i="1"/>
  <c r="AC134" i="1" s="1"/>
  <c r="S155" i="1"/>
  <c r="S154" i="1"/>
  <c r="S129" i="1"/>
  <c r="P156" i="1"/>
  <c r="AC156" i="1" s="1"/>
  <c r="P97" i="1"/>
  <c r="AC97" i="1" s="1"/>
  <c r="P120" i="1"/>
  <c r="AC120" i="1" s="1"/>
  <c r="P123" i="1"/>
  <c r="AC123" i="1" s="1"/>
  <c r="S153" i="1"/>
  <c r="S152" i="1"/>
  <c r="P112" i="1"/>
  <c r="AC112" i="1" s="1"/>
  <c r="S131" i="1"/>
  <c r="P129" i="1"/>
  <c r="AC129" i="1" s="1"/>
  <c r="S139" i="1"/>
  <c r="P125" i="1"/>
  <c r="AC125" i="1" s="1"/>
  <c r="S97" i="1"/>
  <c r="S101" i="1"/>
  <c r="S120" i="1"/>
  <c r="S125" i="1"/>
  <c r="P87" i="1"/>
  <c r="AC87" i="1" s="1"/>
  <c r="S98" i="1"/>
  <c r="P91" i="1"/>
  <c r="AC91" i="1" s="1"/>
  <c r="S143" i="1"/>
  <c r="P131" i="1"/>
  <c r="AC131" i="1" s="1"/>
  <c r="P148" i="1"/>
  <c r="AC148" i="1" s="1"/>
  <c r="S100" i="1"/>
  <c r="S135" i="1"/>
  <c r="P103" i="1"/>
  <c r="AC103" i="1" s="1"/>
  <c r="P98" i="1"/>
  <c r="P143" i="1"/>
  <c r="AC143" i="1" s="1"/>
  <c r="P144" i="1"/>
  <c r="AC144" i="1" s="1"/>
  <c r="P113" i="1"/>
  <c r="AC113" i="1" s="1"/>
  <c r="P126" i="1"/>
  <c r="AC126" i="1" s="1"/>
  <c r="S110" i="1"/>
  <c r="P100" i="1"/>
  <c r="AC100" i="1" s="1"/>
  <c r="P155" i="1"/>
  <c r="AC155" i="1" s="1"/>
  <c r="S132" i="1"/>
  <c r="S113" i="1"/>
  <c r="S94" i="1"/>
  <c r="S148" i="1"/>
  <c r="P152" i="1"/>
  <c r="AC152" i="1" s="1"/>
  <c r="S156" i="1"/>
  <c r="P110" i="1"/>
  <c r="AC110" i="1" s="1"/>
  <c r="P135" i="1"/>
  <c r="AC135" i="1" s="1"/>
  <c r="P157" i="1"/>
  <c r="AC157" i="1" s="1"/>
  <c r="P101" i="1"/>
  <c r="AC101" i="1" s="1"/>
  <c r="S112" i="1"/>
  <c r="S99" i="1"/>
  <c r="S126" i="1"/>
  <c r="S106" i="1"/>
  <c r="P99" i="1"/>
  <c r="AC99" i="1" s="1"/>
  <c r="S91" i="1"/>
  <c r="S144" i="1"/>
  <c r="S128" i="1"/>
  <c r="S108" i="1"/>
  <c r="S114" i="1"/>
  <c r="S117" i="1"/>
  <c r="P139" i="1"/>
  <c r="AC139" i="1" s="1"/>
  <c r="P154" i="1"/>
  <c r="AC154" i="1" s="1"/>
  <c r="S134" i="1"/>
  <c r="S122" i="1"/>
  <c r="S157" i="1"/>
  <c r="P108" i="1"/>
  <c r="AC108" i="1" s="1"/>
  <c r="S123" i="1"/>
  <c r="S158" i="1"/>
  <c r="P89" i="1"/>
  <c r="AC89" i="1" s="1"/>
  <c r="P127" i="1"/>
  <c r="AC127" i="1" s="1"/>
  <c r="S141" i="1"/>
  <c r="S84" i="1"/>
  <c r="S137" i="1"/>
  <c r="P92" i="1"/>
  <c r="AC92" i="1" s="1"/>
  <c r="P149" i="1"/>
  <c r="S102" i="1"/>
  <c r="P104" i="1"/>
  <c r="AC104" i="1" s="1"/>
  <c r="S119" i="1"/>
  <c r="P142" i="1"/>
  <c r="P84" i="1"/>
  <c r="AC84" i="1" s="1"/>
  <c r="P136" i="1"/>
  <c r="AC136" i="1" s="1"/>
  <c r="P124" i="1"/>
  <c r="AC124" i="1" s="1"/>
  <c r="P102" i="1"/>
  <c r="AC102" i="1" s="1"/>
  <c r="S145" i="1"/>
  <c r="S109" i="1"/>
  <c r="S147" i="1"/>
  <c r="P95" i="1"/>
  <c r="AC95" i="1" s="1"/>
  <c r="S150" i="1"/>
  <c r="P86" i="1"/>
  <c r="AC86" i="1" s="1"/>
  <c r="S95" i="1"/>
  <c r="P145" i="1"/>
  <c r="AC145" i="1" s="1"/>
  <c r="P140" i="1"/>
  <c r="P147" i="1"/>
  <c r="AC147" i="1" s="1"/>
  <c r="P90" i="1"/>
  <c r="AC90" i="1" s="1"/>
  <c r="S140" i="1"/>
  <c r="P85" i="1"/>
  <c r="AC85" i="1" s="1"/>
  <c r="S86" i="1"/>
  <c r="P158" i="1"/>
  <c r="AC158" i="1" s="1"/>
  <c r="S142" i="1"/>
  <c r="P109" i="1"/>
  <c r="AC109" i="1" s="1"/>
  <c r="S116" i="1"/>
  <c r="S138" i="1"/>
  <c r="P138" i="1"/>
  <c r="AC138" i="1" s="1"/>
  <c r="P150" i="1"/>
  <c r="S151" i="1"/>
  <c r="P119" i="1"/>
  <c r="AC119" i="1" s="1"/>
  <c r="P107" i="1"/>
  <c r="AC107" i="1" s="1"/>
  <c r="S136" i="1"/>
  <c r="S124" i="1"/>
  <c r="S121" i="1"/>
  <c r="P116" i="1"/>
  <c r="AC116" i="1" s="1"/>
  <c r="S107" i="1"/>
  <c r="S133" i="1"/>
  <c r="P121" i="1"/>
  <c r="P133" i="1"/>
  <c r="AC133" i="1" s="1"/>
  <c r="S115" i="1"/>
  <c r="P115" i="1"/>
  <c r="AC115" i="1" s="1"/>
  <c r="P88" i="1"/>
  <c r="AC88" i="1" s="1"/>
  <c r="S127" i="1"/>
  <c r="S93" i="1"/>
  <c r="P137" i="1"/>
  <c r="AC137" i="1" s="1"/>
  <c r="S92" i="1"/>
  <c r="S149" i="1"/>
  <c r="S111" i="1"/>
  <c r="P151" i="1"/>
  <c r="AC151" i="1" s="1"/>
  <c r="S90" i="1"/>
  <c r="P106" i="1"/>
  <c r="AC106" i="1" s="1"/>
  <c r="S89" i="1"/>
  <c r="P141" i="1"/>
  <c r="P93" i="1"/>
  <c r="AC93" i="1" s="1"/>
  <c r="S85" i="1"/>
  <c r="P111" i="1"/>
  <c r="AC111" i="1" s="1"/>
  <c r="S104" i="1"/>
  <c r="S88" i="1"/>
  <c r="S66" i="1"/>
  <c r="P66" i="1"/>
  <c r="S58" i="1"/>
  <c r="P58" i="1"/>
  <c r="AC58" i="1" s="1"/>
  <c r="P26" i="1"/>
  <c r="AC26" i="1" s="1"/>
  <c r="R10" i="1"/>
  <c r="O10" i="1"/>
  <c r="O11" i="1"/>
  <c r="R11" i="1"/>
  <c r="S11" i="1"/>
  <c r="P11" i="1"/>
  <c r="AC11" i="1" s="1"/>
  <c r="P10" i="1"/>
  <c r="AC10" i="1" s="1"/>
  <c r="S10" i="1"/>
  <c r="R161" i="1"/>
  <c r="O161" i="1"/>
  <c r="S161" i="1"/>
  <c r="P161" i="1"/>
  <c r="AC161" i="1" s="1"/>
  <c r="P74" i="1"/>
  <c r="P71" i="1"/>
  <c r="AC71" i="1" s="1"/>
  <c r="P72" i="1"/>
  <c r="AC72" i="1" s="1"/>
  <c r="P73" i="1"/>
  <c r="P70" i="1"/>
  <c r="AC70" i="1" s="1"/>
  <c r="S71" i="1"/>
  <c r="S72" i="1"/>
  <c r="S73" i="1"/>
  <c r="S70" i="1"/>
  <c r="S74" i="1"/>
  <c r="P65" i="1"/>
  <c r="P64" i="1"/>
  <c r="P61" i="1"/>
  <c r="AC61" i="1" s="1"/>
  <c r="V216" i="28"/>
  <c r="X216" i="28" s="1"/>
  <c r="V234" i="28"/>
  <c r="X234" i="28" s="1"/>
  <c r="V230" i="28"/>
  <c r="X230" i="28" s="1"/>
  <c r="V232" i="28"/>
  <c r="X232" i="28" s="1"/>
  <c r="V231" i="28"/>
  <c r="X231" i="28" s="1"/>
  <c r="V235" i="28"/>
  <c r="X235" i="28" s="1"/>
  <c r="V227" i="28"/>
  <c r="X227" i="28" s="1"/>
  <c r="V228" i="28"/>
  <c r="X228" i="28" s="1"/>
  <c r="V233" i="28"/>
  <c r="X233" i="28" s="1"/>
  <c r="V229" i="28"/>
  <c r="X229" i="28" s="1"/>
  <c r="V226" i="28"/>
  <c r="X226" i="28" s="1"/>
  <c r="W216" i="28"/>
  <c r="Y216" i="28" s="1"/>
  <c r="W227" i="28"/>
  <c r="Y227" i="28" s="1"/>
  <c r="W234" i="28"/>
  <c r="Y234" i="28" s="1"/>
  <c r="W233" i="28"/>
  <c r="Y233" i="28" s="1"/>
  <c r="W230" i="28"/>
  <c r="Y230" i="28" s="1"/>
  <c r="W229" i="28"/>
  <c r="Y229" i="28" s="1"/>
  <c r="W231" i="28"/>
  <c r="Y231" i="28" s="1"/>
  <c r="W235" i="28"/>
  <c r="Y235" i="28" s="1"/>
  <c r="W232" i="28"/>
  <c r="Y232" i="28" s="1"/>
  <c r="W228" i="28"/>
  <c r="Y228" i="28" s="1"/>
  <c r="W226" i="28"/>
  <c r="Y226" i="28" s="1"/>
  <c r="S56" i="1"/>
  <c r="P56" i="1"/>
  <c r="AC56" i="1" s="1"/>
  <c r="Z216" i="28"/>
  <c r="AA216" i="28" s="1"/>
  <c r="P28" i="1"/>
  <c r="AC28" i="1" s="1"/>
  <c r="S28" i="1"/>
  <c r="S4" i="1"/>
  <c r="P4" i="1"/>
  <c r="AC4" i="1" s="1"/>
  <c r="O4" i="1"/>
  <c r="R4" i="1"/>
  <c r="P35" i="1"/>
  <c r="AC35" i="1" s="1"/>
  <c r="S35" i="1"/>
  <c r="P82" i="1"/>
  <c r="AC82" i="1" s="1"/>
  <c r="V252" i="28"/>
  <c r="X252" i="28" s="1"/>
  <c r="V212" i="28"/>
  <c r="X212" i="28" s="1"/>
  <c r="W250" i="28"/>
  <c r="Y250" i="28" s="1"/>
  <c r="W212" i="28"/>
  <c r="Y212" i="28" s="1"/>
  <c r="P27" i="1"/>
  <c r="AC27" i="1" s="1"/>
  <c r="S27" i="1"/>
  <c r="R8" i="1"/>
  <c r="O5" i="1"/>
  <c r="O13" i="1"/>
  <c r="O6" i="1"/>
  <c r="R7" i="1"/>
  <c r="R13" i="1"/>
  <c r="O14" i="1"/>
  <c r="R12" i="1"/>
  <c r="O9" i="1"/>
  <c r="R9" i="1"/>
  <c r="O8" i="1"/>
  <c r="O7" i="1"/>
  <c r="O12" i="1"/>
  <c r="S49" i="1"/>
  <c r="P67" i="1"/>
  <c r="AC67" i="1" s="1"/>
  <c r="P41" i="1"/>
  <c r="AC41" i="1" s="1"/>
  <c r="S34" i="1"/>
  <c r="P49" i="1"/>
  <c r="AC49" i="1" s="1"/>
  <c r="P34" i="1"/>
  <c r="AC34" i="1" s="1"/>
  <c r="P75" i="1"/>
  <c r="AC75" i="1" s="1"/>
  <c r="S36" i="1"/>
  <c r="P7" i="1"/>
  <c r="AC7" i="1" s="1"/>
  <c r="P22" i="1"/>
  <c r="AC22" i="1" s="1"/>
  <c r="P80" i="1"/>
  <c r="AC80" i="1" s="1"/>
  <c r="P51" i="1"/>
  <c r="AC51" i="1" s="1"/>
  <c r="P62" i="1"/>
  <c r="AC62" i="1" s="1"/>
  <c r="S67" i="1"/>
  <c r="P55" i="1"/>
  <c r="AC55" i="1" s="1"/>
  <c r="P23" i="1"/>
  <c r="AC23" i="1" s="1"/>
  <c r="S22" i="1"/>
  <c r="P30" i="1"/>
  <c r="AC30" i="1" s="1"/>
  <c r="P12" i="1"/>
  <c r="AC12" i="1" s="1"/>
  <c r="P16" i="1"/>
  <c r="AC16" i="1" s="1"/>
  <c r="P81" i="1"/>
  <c r="AC81" i="1" s="1"/>
  <c r="S65" i="1"/>
  <c r="P24" i="1"/>
  <c r="AC24" i="1" s="1"/>
  <c r="S61" i="1"/>
  <c r="P36" i="1"/>
  <c r="AC36" i="1" s="1"/>
  <c r="S45" i="1"/>
  <c r="S60" i="1"/>
  <c r="P21" i="1"/>
  <c r="AC21" i="1" s="1"/>
  <c r="P44" i="1"/>
  <c r="AC44" i="1" s="1"/>
  <c r="S62" i="1"/>
  <c r="S48" i="1"/>
  <c r="S24" i="1"/>
  <c r="S50" i="1"/>
  <c r="P20" i="1"/>
  <c r="AC20" i="1" s="1"/>
  <c r="S30" i="1"/>
  <c r="S12" i="1"/>
  <c r="S32" i="1"/>
  <c r="P77" i="1"/>
  <c r="AC77" i="1" s="1"/>
  <c r="S16" i="1"/>
  <c r="P6" i="1"/>
  <c r="AC6" i="1" s="1"/>
  <c r="S80" i="1"/>
  <c r="S79" i="1"/>
  <c r="S42" i="1"/>
  <c r="P60" i="1"/>
  <c r="AC60" i="1" s="1"/>
  <c r="S55" i="1"/>
  <c r="S38" i="1"/>
  <c r="P13" i="1"/>
  <c r="AC13" i="1" s="1"/>
  <c r="S64" i="1"/>
  <c r="S13" i="1"/>
  <c r="P38" i="1"/>
  <c r="AC38" i="1" s="1"/>
  <c r="S75" i="1"/>
  <c r="S6" i="1"/>
  <c r="P32" i="1"/>
  <c r="AC32" i="1" s="1"/>
  <c r="P18" i="1"/>
  <c r="AC18" i="1" s="1"/>
  <c r="P42" i="1"/>
  <c r="AC42" i="1" s="1"/>
  <c r="P37" i="1"/>
  <c r="AC37" i="1" s="1"/>
  <c r="S51" i="1"/>
  <c r="P63" i="1"/>
  <c r="AC63" i="1" s="1"/>
  <c r="P69" i="1"/>
  <c r="AC69" i="1" s="1"/>
  <c r="S31" i="1"/>
  <c r="S21" i="1"/>
  <c r="S44" i="1"/>
  <c r="P5" i="1"/>
  <c r="AC5" i="1" s="1"/>
  <c r="S63" i="1"/>
  <c r="S41" i="1"/>
  <c r="S78" i="1"/>
  <c r="P45" i="1"/>
  <c r="AC45" i="1" s="1"/>
  <c r="S20" i="1"/>
  <c r="P31" i="1"/>
  <c r="AC31" i="1" s="1"/>
  <c r="S81" i="1"/>
  <c r="P9" i="1"/>
  <c r="AC9" i="1" s="1"/>
  <c r="S37" i="1"/>
  <c r="P50" i="1"/>
  <c r="AC50" i="1" s="1"/>
  <c r="P48" i="1"/>
  <c r="AC48" i="1" s="1"/>
  <c r="S7" i="1"/>
  <c r="P78" i="1"/>
  <c r="AC78" i="1" s="1"/>
  <c r="S23" i="1"/>
  <c r="S9" i="1"/>
  <c r="S57" i="1"/>
  <c r="S68" i="1"/>
  <c r="P46" i="1"/>
  <c r="AC46" i="1" s="1"/>
  <c r="S18" i="1"/>
  <c r="P8" i="1"/>
  <c r="AC8" i="1" s="1"/>
  <c r="S52" i="1"/>
  <c r="S33" i="1"/>
  <c r="S14" i="1"/>
  <c r="P29" i="1"/>
  <c r="AC29" i="1" s="1"/>
  <c r="P15" i="1"/>
  <c r="AC15" i="1" s="1"/>
  <c r="P43" i="1"/>
  <c r="AC43" i="1" s="1"/>
  <c r="P57" i="1"/>
  <c r="AC57" i="1" s="1"/>
  <c r="P54" i="1"/>
  <c r="AC54" i="1" s="1"/>
  <c r="S19" i="1"/>
  <c r="P68" i="1"/>
  <c r="AC68" i="1" s="1"/>
  <c r="S46" i="1"/>
  <c r="P19" i="1"/>
  <c r="AC19" i="1" s="1"/>
  <c r="P17" i="1"/>
  <c r="AC17" i="1" s="1"/>
  <c r="S17" i="1"/>
  <c r="P79" i="1"/>
  <c r="AC79" i="1" s="1"/>
  <c r="P52" i="1"/>
  <c r="AC52" i="1" s="1"/>
  <c r="P33" i="1"/>
  <c r="AC33" i="1" s="1"/>
  <c r="S29" i="1"/>
  <c r="S43" i="1"/>
  <c r="S54" i="1"/>
  <c r="S59" i="1"/>
  <c r="S15" i="1"/>
  <c r="S8" i="1"/>
  <c r="P59" i="1"/>
  <c r="AC59" i="1" s="1"/>
  <c r="S76" i="1"/>
  <c r="P14" i="1"/>
  <c r="AC14" i="1" s="1"/>
  <c r="P76" i="1"/>
  <c r="AC76" i="1" s="1"/>
  <c r="E15" i="45"/>
  <c r="H15" i="45" s="1"/>
  <c r="J15" i="45" s="1"/>
  <c r="G18" i="2"/>
  <c r="P18" i="2" s="1"/>
  <c r="Q18" i="2" s="1"/>
  <c r="F8" i="45"/>
  <c r="F30" i="45" s="1"/>
  <c r="G8" i="56"/>
  <c r="G25" i="56" s="1"/>
  <c r="N5" i="2"/>
  <c r="G7" i="47"/>
  <c r="G7" i="55"/>
  <c r="G8" i="55" s="1"/>
  <c r="G25" i="55" s="1"/>
  <c r="G8" i="29"/>
  <c r="G7" i="46"/>
  <c r="G8" i="46" s="1"/>
  <c r="G7" i="57"/>
  <c r="G8" i="57" s="1"/>
  <c r="G7" i="45"/>
  <c r="G8" i="45" s="1"/>
  <c r="G25" i="45" s="1"/>
  <c r="E7" i="45"/>
  <c r="E8" i="45" s="1"/>
  <c r="E7" i="46"/>
  <c r="E8" i="46" s="1"/>
  <c r="E10" i="46" s="1"/>
  <c r="E26" i="46" s="1"/>
  <c r="E7" i="44"/>
  <c r="E7" i="55"/>
  <c r="E7" i="43"/>
  <c r="H7" i="54"/>
  <c r="D7" i="55"/>
  <c r="D8" i="55" s="1"/>
  <c r="B15" i="9"/>
  <c r="D7" i="44"/>
  <c r="D8" i="44" s="1"/>
  <c r="D7" i="46"/>
  <c r="D7" i="57"/>
  <c r="H7" i="56"/>
  <c r="D7" i="56"/>
  <c r="H7" i="49"/>
  <c r="D7" i="43"/>
  <c r="H7" i="43" s="1"/>
  <c r="V244" i="28"/>
  <c r="X244" i="28" s="1"/>
  <c r="U121" i="28"/>
  <c r="U145" i="28"/>
  <c r="U157" i="28"/>
  <c r="U161" i="28"/>
  <c r="U185" i="28"/>
  <c r="U189" i="28"/>
  <c r="U201" i="28"/>
  <c r="U213" i="28"/>
  <c r="U217" i="28"/>
  <c r="U221" i="28"/>
  <c r="U238" i="28"/>
  <c r="U252" i="28"/>
  <c r="U250" i="28"/>
  <c r="U248" i="28"/>
  <c r="U247" i="28"/>
  <c r="U246" i="28"/>
  <c r="U244" i="28"/>
  <c r="U222" i="28"/>
  <c r="U214" i="28"/>
  <c r="U206" i="28"/>
  <c r="U204" i="28"/>
  <c r="U200" i="28"/>
  <c r="U198" i="28"/>
  <c r="U194" i="28"/>
  <c r="U192" i="28"/>
  <c r="U191" i="28"/>
  <c r="U184" i="28"/>
  <c r="U180" i="28"/>
  <c r="U175" i="28"/>
  <c r="U174" i="28"/>
  <c r="U170" i="28"/>
  <c r="U164" i="28"/>
  <c r="U162" i="28"/>
  <c r="U158" i="28"/>
  <c r="U156" i="28"/>
  <c r="U134" i="28"/>
  <c r="U130" i="28"/>
  <c r="U126" i="28"/>
  <c r="U123" i="28"/>
  <c r="U115" i="28"/>
  <c r="U114" i="28"/>
  <c r="V59" i="28"/>
  <c r="X59" i="28" s="1"/>
  <c r="V61" i="28"/>
  <c r="X61" i="28" s="1"/>
  <c r="V37" i="28"/>
  <c r="X37" i="28" s="1"/>
  <c r="V203" i="28"/>
  <c r="X203" i="28" s="1"/>
  <c r="V38" i="28"/>
  <c r="X38" i="28" s="1"/>
  <c r="V15" i="28"/>
  <c r="X15" i="28" s="1"/>
  <c r="V126" i="28"/>
  <c r="X126" i="28" s="1"/>
  <c r="V162" i="28"/>
  <c r="X162" i="28" s="1"/>
  <c r="V79" i="28"/>
  <c r="X79" i="28" s="1"/>
  <c r="V124" i="28"/>
  <c r="X124" i="28" s="1"/>
  <c r="V186" i="28"/>
  <c r="X186" i="28" s="1"/>
  <c r="V242" i="28"/>
  <c r="X242" i="28" s="1"/>
  <c r="V23" i="28"/>
  <c r="X23" i="28" s="1"/>
  <c r="V110" i="28"/>
  <c r="X110" i="28" s="1"/>
  <c r="V24" i="28"/>
  <c r="X24" i="28" s="1"/>
  <c r="V146" i="28"/>
  <c r="X146" i="28" s="1"/>
  <c r="V164" i="28"/>
  <c r="X164" i="28" s="1"/>
  <c r="V90" i="28"/>
  <c r="X90" i="28" s="1"/>
  <c r="V26" i="28"/>
  <c r="X26" i="28" s="1"/>
  <c r="V27" i="28"/>
  <c r="X27" i="28" s="1"/>
  <c r="V51" i="28"/>
  <c r="X51" i="28" s="1"/>
  <c r="V76" i="28"/>
  <c r="X76" i="28" s="1"/>
  <c r="V97" i="28"/>
  <c r="X97" i="28" s="1"/>
  <c r="V45" i="28"/>
  <c r="X45" i="28" s="1"/>
  <c r="V142" i="28"/>
  <c r="X142" i="28" s="1"/>
  <c r="V201" i="28"/>
  <c r="X201" i="28" s="1"/>
  <c r="V10" i="28"/>
  <c r="X10" i="28" s="1"/>
  <c r="V48" i="28"/>
  <c r="X48" i="28" s="1"/>
  <c r="V64" i="28"/>
  <c r="X64" i="28" s="1"/>
  <c r="V134" i="28"/>
  <c r="X134" i="28" s="1"/>
  <c r="V211" i="28"/>
  <c r="X211" i="28" s="1"/>
  <c r="V220" i="28"/>
  <c r="X220" i="28" s="1"/>
  <c r="V34" i="28"/>
  <c r="X34" i="28" s="1"/>
  <c r="V52" i="28"/>
  <c r="X52" i="28" s="1"/>
  <c r="V120" i="28"/>
  <c r="X120" i="28" s="1"/>
  <c r="V170" i="28"/>
  <c r="X170" i="28" s="1"/>
  <c r="V35" i="28"/>
  <c r="X35" i="28" s="1"/>
  <c r="V94" i="28"/>
  <c r="X94" i="28" s="1"/>
  <c r="V180" i="28"/>
  <c r="X180" i="28" s="1"/>
  <c r="V188" i="28"/>
  <c r="X188" i="28" s="1"/>
  <c r="V16" i="28"/>
  <c r="X16" i="28" s="1"/>
  <c r="V54" i="28"/>
  <c r="X54" i="28" s="1"/>
  <c r="V158" i="28"/>
  <c r="X158" i="28" s="1"/>
  <c r="V40" i="28"/>
  <c r="X40" i="28" s="1"/>
  <c r="V69" i="28"/>
  <c r="X69" i="28" s="1"/>
  <c r="V100" i="28"/>
  <c r="X100" i="28" s="1"/>
  <c r="V114" i="28"/>
  <c r="X114" i="28" s="1"/>
  <c r="V128" i="28"/>
  <c r="X128" i="28" s="1"/>
  <c r="V189" i="28"/>
  <c r="X189" i="28" s="1"/>
  <c r="V205" i="28"/>
  <c r="X205" i="28" s="1"/>
  <c r="V18" i="28"/>
  <c r="X18" i="28" s="1"/>
  <c r="V29" i="28"/>
  <c r="X29" i="28" s="1"/>
  <c r="V56" i="28"/>
  <c r="X56" i="28" s="1"/>
  <c r="V136" i="28"/>
  <c r="X136" i="28" s="1"/>
  <c r="V144" i="28"/>
  <c r="X144" i="28" s="1"/>
  <c r="V19" i="28"/>
  <c r="X19" i="28" s="1"/>
  <c r="V42" i="28"/>
  <c r="X42" i="28" s="1"/>
  <c r="V73" i="28"/>
  <c r="X73" i="28" s="1"/>
  <c r="V85" i="28"/>
  <c r="X85" i="28" s="1"/>
  <c r="V104" i="28"/>
  <c r="X104" i="28" s="1"/>
  <c r="V122" i="28"/>
  <c r="X122" i="28" s="1"/>
  <c r="V152" i="28"/>
  <c r="X152" i="28" s="1"/>
  <c r="V184" i="28"/>
  <c r="X184" i="28" s="1"/>
  <c r="V199" i="28"/>
  <c r="X199" i="28" s="1"/>
  <c r="V240" i="28"/>
  <c r="X240" i="28" s="1"/>
  <c r="V82" i="28"/>
  <c r="X82" i="28" s="1"/>
  <c r="V182" i="28"/>
  <c r="X182" i="28" s="1"/>
  <c r="V31" i="28"/>
  <c r="X31" i="28" s="1"/>
  <c r="V43" i="28"/>
  <c r="X43" i="28" s="1"/>
  <c r="V87" i="28"/>
  <c r="X87" i="28" s="1"/>
  <c r="V116" i="28"/>
  <c r="X116" i="28" s="1"/>
  <c r="V129" i="28"/>
  <c r="X129" i="28" s="1"/>
  <c r="V207" i="28"/>
  <c r="X207" i="28" s="1"/>
  <c r="V215" i="28"/>
  <c r="X215" i="28" s="1"/>
  <c r="V150" i="28"/>
  <c r="X150" i="28" s="1"/>
  <c r="V21" i="28"/>
  <c r="X21" i="28" s="1"/>
  <c r="V32" i="28"/>
  <c r="X32" i="28" s="1"/>
  <c r="V58" i="28"/>
  <c r="X58" i="28" s="1"/>
  <c r="V75" i="28"/>
  <c r="X75" i="28" s="1"/>
  <c r="V224" i="28"/>
  <c r="X224" i="28" s="1"/>
  <c r="C8" i="55"/>
  <c r="C30" i="55" s="1"/>
  <c r="V222" i="28"/>
  <c r="X222" i="28" s="1"/>
  <c r="V246" i="28"/>
  <c r="X246" i="28" s="1"/>
  <c r="W207" i="28"/>
  <c r="Y207" i="28" s="1"/>
  <c r="F30" i="55"/>
  <c r="W79" i="28"/>
  <c r="Y79" i="28" s="1"/>
  <c r="W107" i="28"/>
  <c r="Y107" i="28" s="1"/>
  <c r="W15" i="28"/>
  <c r="Y15" i="28" s="1"/>
  <c r="W143" i="28"/>
  <c r="Y143" i="28" s="1"/>
  <c r="W43" i="28"/>
  <c r="Y43" i="28" s="1"/>
  <c r="W171" i="28"/>
  <c r="Y171" i="28" s="1"/>
  <c r="V11" i="28"/>
  <c r="X11" i="28" s="1"/>
  <c r="V13" i="28"/>
  <c r="X13" i="28" s="1"/>
  <c r="V20" i="28"/>
  <c r="X20" i="28" s="1"/>
  <c r="V30" i="28"/>
  <c r="X30" i="28" s="1"/>
  <c r="V36" i="28"/>
  <c r="X36" i="28" s="1"/>
  <c r="V44" i="28"/>
  <c r="X44" i="28" s="1"/>
  <c r="V46" i="28"/>
  <c r="X46" i="28" s="1"/>
  <c r="V49" i="28"/>
  <c r="X49" i="28" s="1"/>
  <c r="V55" i="28"/>
  <c r="X55" i="28" s="1"/>
  <c r="V57" i="28"/>
  <c r="X57" i="28" s="1"/>
  <c r="V60" i="28"/>
  <c r="X60" i="28" s="1"/>
  <c r="V66" i="28"/>
  <c r="X66" i="28" s="1"/>
  <c r="V70" i="28"/>
  <c r="X70" i="28" s="1"/>
  <c r="V81" i="28"/>
  <c r="X81" i="28" s="1"/>
  <c r="V84" i="28"/>
  <c r="X84" i="28" s="1"/>
  <c r="V91" i="28"/>
  <c r="X91" i="28" s="1"/>
  <c r="V96" i="28"/>
  <c r="X96" i="28" s="1"/>
  <c r="V101" i="28"/>
  <c r="X101" i="28" s="1"/>
  <c r="V106" i="28"/>
  <c r="X106" i="28" s="1"/>
  <c r="V109" i="28"/>
  <c r="X109" i="28" s="1"/>
  <c r="V113" i="28"/>
  <c r="X113" i="28" s="1"/>
  <c r="V115" i="28"/>
  <c r="X115" i="28" s="1"/>
  <c r="V139" i="28"/>
  <c r="X139" i="28" s="1"/>
  <c r="V141" i="28"/>
  <c r="X141" i="28" s="1"/>
  <c r="V143" i="28"/>
  <c r="X143" i="28" s="1"/>
  <c r="V149" i="28"/>
  <c r="X149" i="28" s="1"/>
  <c r="V151" i="28"/>
  <c r="X151" i="28" s="1"/>
  <c r="V155" i="28"/>
  <c r="X155" i="28" s="1"/>
  <c r="V157" i="28"/>
  <c r="X157" i="28" s="1"/>
  <c r="V161" i="28"/>
  <c r="X161" i="28" s="1"/>
  <c r="V163" i="28"/>
  <c r="X163" i="28" s="1"/>
  <c r="V167" i="28"/>
  <c r="X167" i="28" s="1"/>
  <c r="V176" i="28"/>
  <c r="X176" i="28" s="1"/>
  <c r="V178" i="28"/>
  <c r="X178" i="28" s="1"/>
  <c r="V197" i="28"/>
  <c r="X197" i="28" s="1"/>
  <c r="V218" i="28"/>
  <c r="X218" i="28" s="1"/>
  <c r="V238" i="28"/>
  <c r="X238" i="28" s="1"/>
  <c r="W47" i="28"/>
  <c r="Y47" i="28" s="1"/>
  <c r="W111" i="28"/>
  <c r="Y111" i="28" s="1"/>
  <c r="W175" i="28"/>
  <c r="Y175" i="28" s="1"/>
  <c r="W239" i="28"/>
  <c r="Y239" i="28" s="1"/>
  <c r="V12" i="28"/>
  <c r="X12" i="28" s="1"/>
  <c r="V14" i="28"/>
  <c r="X14" i="28" s="1"/>
  <c r="V17" i="28"/>
  <c r="X17" i="28" s="1"/>
  <c r="V22" i="28"/>
  <c r="X22" i="28" s="1"/>
  <c r="V25" i="28"/>
  <c r="X25" i="28" s="1"/>
  <c r="V28" i="28"/>
  <c r="X28" i="28" s="1"/>
  <c r="V33" i="28"/>
  <c r="X33" i="28" s="1"/>
  <c r="V39" i="28"/>
  <c r="X39" i="28" s="1"/>
  <c r="V41" i="28"/>
  <c r="X41" i="28" s="1"/>
  <c r="V47" i="28"/>
  <c r="X47" i="28" s="1"/>
  <c r="V50" i="28"/>
  <c r="X50" i="28" s="1"/>
  <c r="V53" i="28"/>
  <c r="X53" i="28" s="1"/>
  <c r="V62" i="28"/>
  <c r="X62" i="28" s="1"/>
  <c r="V68" i="28"/>
  <c r="X68" i="28" s="1"/>
  <c r="V72" i="28"/>
  <c r="X72" i="28" s="1"/>
  <c r="V74" i="28"/>
  <c r="X74" i="28" s="1"/>
  <c r="V89" i="28"/>
  <c r="X89" i="28" s="1"/>
  <c r="V92" i="28"/>
  <c r="X92" i="28" s="1"/>
  <c r="V99" i="28"/>
  <c r="X99" i="28" s="1"/>
  <c r="V103" i="28"/>
  <c r="X103" i="28" s="1"/>
  <c r="V107" i="28"/>
  <c r="X107" i="28" s="1"/>
  <c r="V112" i="28"/>
  <c r="X112" i="28" s="1"/>
  <c r="V117" i="28"/>
  <c r="X117" i="28" s="1"/>
  <c r="V119" i="28"/>
  <c r="X119" i="28" s="1"/>
  <c r="V125" i="28"/>
  <c r="X125" i="28" s="1"/>
  <c r="V127" i="28"/>
  <c r="X127" i="28" s="1"/>
  <c r="V131" i="28"/>
  <c r="X131" i="28" s="1"/>
  <c r="V133" i="28"/>
  <c r="X133" i="28" s="1"/>
  <c r="V137" i="28"/>
  <c r="X137" i="28" s="1"/>
  <c r="V148" i="28"/>
  <c r="X148" i="28" s="1"/>
  <c r="V153" i="28"/>
  <c r="X153" i="28" s="1"/>
  <c r="V160" i="28"/>
  <c r="X160" i="28" s="1"/>
  <c r="V165" i="28"/>
  <c r="X165" i="28" s="1"/>
  <c r="V172" i="28"/>
  <c r="X172" i="28" s="1"/>
  <c r="V174" i="28"/>
  <c r="X174" i="28" s="1"/>
  <c r="V185" i="28"/>
  <c r="X185" i="28" s="1"/>
  <c r="V187" i="28"/>
  <c r="X187" i="28" s="1"/>
  <c r="V191" i="28"/>
  <c r="X191" i="28" s="1"/>
  <c r="V193" i="28"/>
  <c r="X193" i="28" s="1"/>
  <c r="V202" i="28"/>
  <c r="X202" i="28" s="1"/>
  <c r="V204" i="28"/>
  <c r="X204" i="28" s="1"/>
  <c r="V206" i="28"/>
  <c r="X206" i="28" s="1"/>
  <c r="V208" i="28"/>
  <c r="X208" i="28" s="1"/>
  <c r="V210" i="28"/>
  <c r="X210" i="28" s="1"/>
  <c r="V223" i="28"/>
  <c r="X223" i="28" s="1"/>
  <c r="V225" i="28"/>
  <c r="X225" i="28" s="1"/>
  <c r="V237" i="28"/>
  <c r="X237" i="28" s="1"/>
  <c r="V245" i="28"/>
  <c r="X245" i="28" s="1"/>
  <c r="V251" i="28"/>
  <c r="X251" i="28" s="1"/>
  <c r="V253" i="28"/>
  <c r="X253" i="28" s="1"/>
  <c r="W11" i="28"/>
  <c r="Y11" i="28" s="1"/>
  <c r="W75" i="28"/>
  <c r="Y75" i="28" s="1"/>
  <c r="W139" i="28"/>
  <c r="Y139" i="28" s="1"/>
  <c r="W203" i="28"/>
  <c r="Y203" i="28" s="1"/>
  <c r="W27" i="28"/>
  <c r="Y27" i="28" s="1"/>
  <c r="W59" i="28"/>
  <c r="Y59" i="28" s="1"/>
  <c r="W91" i="28"/>
  <c r="Y91" i="28" s="1"/>
  <c r="W123" i="28"/>
  <c r="Y123" i="28" s="1"/>
  <c r="W155" i="28"/>
  <c r="Y155" i="28" s="1"/>
  <c r="W187" i="28"/>
  <c r="Y187" i="28" s="1"/>
  <c r="W219" i="28"/>
  <c r="Y219" i="28" s="1"/>
  <c r="W251" i="28"/>
  <c r="Y251" i="28" s="1"/>
  <c r="W31" i="28"/>
  <c r="Y31" i="28" s="1"/>
  <c r="W63" i="28"/>
  <c r="Y63" i="28" s="1"/>
  <c r="W95" i="28"/>
  <c r="Y95" i="28" s="1"/>
  <c r="W127" i="28"/>
  <c r="Y127" i="28" s="1"/>
  <c r="W159" i="28"/>
  <c r="Y159" i="28" s="1"/>
  <c r="W191" i="28"/>
  <c r="Y191" i="28" s="1"/>
  <c r="W223" i="28"/>
  <c r="Y223" i="28" s="1"/>
  <c r="V63" i="28"/>
  <c r="X63" i="28" s="1"/>
  <c r="V65" i="28"/>
  <c r="X65" i="28" s="1"/>
  <c r="V67" i="28"/>
  <c r="X67" i="28" s="1"/>
  <c r="V71" i="28"/>
  <c r="X71" i="28" s="1"/>
  <c r="V77" i="28"/>
  <c r="X77" i="28" s="1"/>
  <c r="V78" i="28"/>
  <c r="X78" i="28" s="1"/>
  <c r="V80" i="28"/>
  <c r="X80" i="28" s="1"/>
  <c r="V83" i="28"/>
  <c r="X83" i="28" s="1"/>
  <c r="V86" i="28"/>
  <c r="X86" i="28" s="1"/>
  <c r="V88" i="28"/>
  <c r="X88" i="28" s="1"/>
  <c r="V93" i="28"/>
  <c r="X93" i="28" s="1"/>
  <c r="V95" i="28"/>
  <c r="X95" i="28" s="1"/>
  <c r="V98" i="28"/>
  <c r="X98" i="28" s="1"/>
  <c r="V102" i="28"/>
  <c r="X102" i="28" s="1"/>
  <c r="V105" i="28"/>
  <c r="X105" i="28" s="1"/>
  <c r="V108" i="28"/>
  <c r="X108" i="28" s="1"/>
  <c r="V111" i="28"/>
  <c r="X111" i="28" s="1"/>
  <c r="V118" i="28"/>
  <c r="X118" i="28" s="1"/>
  <c r="V121" i="28"/>
  <c r="X121" i="28" s="1"/>
  <c r="V123" i="28"/>
  <c r="X123" i="28" s="1"/>
  <c r="V130" i="28"/>
  <c r="X130" i="28" s="1"/>
  <c r="V132" i="28"/>
  <c r="X132" i="28" s="1"/>
  <c r="V135" i="28"/>
  <c r="X135" i="28" s="1"/>
  <c r="V138" i="28"/>
  <c r="X138" i="28" s="1"/>
  <c r="V140" i="28"/>
  <c r="X140" i="28" s="1"/>
  <c r="V145" i="28"/>
  <c r="X145" i="28" s="1"/>
  <c r="V147" i="28"/>
  <c r="X147" i="28" s="1"/>
  <c r="V154" i="28"/>
  <c r="X154" i="28" s="1"/>
  <c r="V156" i="28"/>
  <c r="X156" i="28" s="1"/>
  <c r="V159" i="28"/>
  <c r="X159" i="28" s="1"/>
  <c r="V166" i="28"/>
  <c r="X166" i="28" s="1"/>
  <c r="V168" i="28"/>
  <c r="X168" i="28" s="1"/>
  <c r="V169" i="28"/>
  <c r="X169" i="28" s="1"/>
  <c r="V171" i="28"/>
  <c r="X171" i="28" s="1"/>
  <c r="V175" i="28"/>
  <c r="X175" i="28" s="1"/>
  <c r="V179" i="28"/>
  <c r="X179" i="28" s="1"/>
  <c r="V183" i="28"/>
  <c r="X183" i="28" s="1"/>
  <c r="V192" i="28"/>
  <c r="X192" i="28" s="1"/>
  <c r="V198" i="28"/>
  <c r="X198" i="28" s="1"/>
  <c r="V200" i="28"/>
  <c r="X200" i="28" s="1"/>
  <c r="V213" i="28"/>
  <c r="X213" i="28" s="1"/>
  <c r="V217" i="28"/>
  <c r="X217" i="28" s="1"/>
  <c r="V219" i="28"/>
  <c r="X219" i="28" s="1"/>
  <c r="V236" i="28"/>
  <c r="X236" i="28" s="1"/>
  <c r="V239" i="28"/>
  <c r="X239" i="28" s="1"/>
  <c r="V243" i="28"/>
  <c r="X243" i="28" s="1"/>
  <c r="V250" i="28"/>
  <c r="X250" i="28" s="1"/>
  <c r="E15" i="44"/>
  <c r="H15" i="44" s="1"/>
  <c r="J15" i="44" s="1"/>
  <c r="E15" i="43"/>
  <c r="C20" i="47"/>
  <c r="D20" i="47" s="1"/>
  <c r="I18" i="45"/>
  <c r="E15" i="46"/>
  <c r="H15" i="46" s="1"/>
  <c r="J15" i="46" s="1"/>
  <c r="G8" i="44"/>
  <c r="G25" i="44" s="1"/>
  <c r="E8" i="55"/>
  <c r="E10" i="55" s="1"/>
  <c r="E26" i="55" s="1"/>
  <c r="E16" i="43"/>
  <c r="H16" i="43" s="1"/>
  <c r="J16" i="43" s="1"/>
  <c r="D20" i="44"/>
  <c r="W19" i="28"/>
  <c r="Y19" i="28" s="1"/>
  <c r="W35" i="28"/>
  <c r="Y35" i="28" s="1"/>
  <c r="W51" i="28"/>
  <c r="Y51" i="28" s="1"/>
  <c r="W67" i="28"/>
  <c r="Y67" i="28" s="1"/>
  <c r="W83" i="28"/>
  <c r="Y83" i="28" s="1"/>
  <c r="W99" i="28"/>
  <c r="Y99" i="28" s="1"/>
  <c r="W115" i="28"/>
  <c r="Y115" i="28" s="1"/>
  <c r="W131" i="28"/>
  <c r="Y131" i="28" s="1"/>
  <c r="W147" i="28"/>
  <c r="Y147" i="28" s="1"/>
  <c r="W163" i="28"/>
  <c r="Y163" i="28" s="1"/>
  <c r="W179" i="28"/>
  <c r="Y179" i="28" s="1"/>
  <c r="W195" i="28"/>
  <c r="Y195" i="28" s="1"/>
  <c r="W211" i="28"/>
  <c r="Y211" i="28" s="1"/>
  <c r="W243" i="28"/>
  <c r="Y243" i="28" s="1"/>
  <c r="W23" i="28"/>
  <c r="Y23" i="28" s="1"/>
  <c r="W39" i="28"/>
  <c r="Y39" i="28" s="1"/>
  <c r="W55" i="28"/>
  <c r="Y55" i="28" s="1"/>
  <c r="W71" i="28"/>
  <c r="Y71" i="28" s="1"/>
  <c r="W87" i="28"/>
  <c r="Y87" i="28" s="1"/>
  <c r="W103" i="28"/>
  <c r="Y103" i="28" s="1"/>
  <c r="W119" i="28"/>
  <c r="Y119" i="28" s="1"/>
  <c r="W135" i="28"/>
  <c r="Y135" i="28" s="1"/>
  <c r="W151" i="28"/>
  <c r="Y151" i="28" s="1"/>
  <c r="W167" i="28"/>
  <c r="Y167" i="28" s="1"/>
  <c r="W183" i="28"/>
  <c r="Y183" i="28" s="1"/>
  <c r="W199" i="28"/>
  <c r="Y199" i="28" s="1"/>
  <c r="W215" i="28"/>
  <c r="Y215" i="28" s="1"/>
  <c r="W247" i="28"/>
  <c r="Y247" i="28" s="1"/>
  <c r="H4" i="29"/>
  <c r="R3" i="21" s="1"/>
  <c r="E9" i="21" s="1"/>
  <c r="C31" i="50"/>
  <c r="C38" i="50" s="1"/>
  <c r="U181" i="28"/>
  <c r="U59" i="28"/>
  <c r="U87" i="28"/>
  <c r="U143" i="28"/>
  <c r="E5" i="3"/>
  <c r="D4" i="8" s="1"/>
  <c r="F5" i="3"/>
  <c r="D7" i="8" s="1"/>
  <c r="E7" i="8" s="1"/>
  <c r="G5" i="3"/>
  <c r="D5" i="8" s="1"/>
  <c r="C5" i="3"/>
  <c r="D3" i="8" s="1"/>
  <c r="B14" i="9"/>
  <c r="H7" i="47"/>
  <c r="B8" i="47"/>
  <c r="B30" i="47" s="1"/>
  <c r="E5" i="2"/>
  <c r="B5" i="3"/>
  <c r="D2" i="8" s="1"/>
  <c r="B8" i="55"/>
  <c r="B30" i="55" s="1"/>
  <c r="U178" i="28"/>
  <c r="U215" i="28"/>
  <c r="U242" i="28"/>
  <c r="U218" i="28"/>
  <c r="U210" i="28"/>
  <c r="U202" i="28"/>
  <c r="U154" i="28"/>
  <c r="U122" i="28"/>
  <c r="U102" i="28"/>
  <c r="U90" i="28"/>
  <c r="U43" i="28"/>
  <c r="U56" i="28"/>
  <c r="U57" i="28"/>
  <c r="U89" i="28"/>
  <c r="U117" i="28"/>
  <c r="U149" i="28"/>
  <c r="U153" i="28"/>
  <c r="U186" i="28"/>
  <c r="U54" i="28"/>
  <c r="U75" i="28"/>
  <c r="U182" i="28"/>
  <c r="U240" i="28"/>
  <c r="U236" i="28"/>
  <c r="U28" i="28"/>
  <c r="U29" i="28"/>
  <c r="U73" i="28"/>
  <c r="U84" i="28"/>
  <c r="U85" i="28"/>
  <c r="U93" i="28"/>
  <c r="U99" i="28"/>
  <c r="U113" i="28"/>
  <c r="U125" i="28"/>
  <c r="U133" i="28"/>
  <c r="U137" i="28"/>
  <c r="U141" i="28"/>
  <c r="U165" i="28"/>
  <c r="U237" i="28"/>
  <c r="U224" i="28"/>
  <c r="U208" i="28"/>
  <c r="U188" i="28"/>
  <c r="U168" i="28"/>
  <c r="U160" i="28"/>
  <c r="U152" i="28"/>
  <c r="U144" i="28"/>
  <c r="U65" i="28"/>
  <c r="U97" i="28"/>
  <c r="U107" i="28"/>
  <c r="U193" i="28"/>
  <c r="U209" i="28"/>
  <c r="U251" i="28"/>
  <c r="U243" i="28"/>
  <c r="U239" i="28"/>
  <c r="U223" i="28"/>
  <c r="U219" i="28"/>
  <c r="U211" i="28"/>
  <c r="U203" i="28"/>
  <c r="U199" i="28"/>
  <c r="U195" i="28"/>
  <c r="U241" i="28"/>
  <c r="U245" i="28"/>
  <c r="U253" i="28"/>
  <c r="U249" i="28"/>
  <c r="U225" i="28"/>
  <c r="U205" i="28"/>
  <c r="W12" i="28"/>
  <c r="Y12" i="28" s="1"/>
  <c r="W16" i="28"/>
  <c r="Y16" i="28" s="1"/>
  <c r="W20" i="28"/>
  <c r="Y20" i="28" s="1"/>
  <c r="W24" i="28"/>
  <c r="Y24" i="28" s="1"/>
  <c r="W28" i="28"/>
  <c r="Y28" i="28" s="1"/>
  <c r="W32" i="28"/>
  <c r="Y32" i="28" s="1"/>
  <c r="W36" i="28"/>
  <c r="Y36" i="28" s="1"/>
  <c r="W40" i="28"/>
  <c r="Y40" i="28" s="1"/>
  <c r="W44" i="28"/>
  <c r="Y44" i="28" s="1"/>
  <c r="W48" i="28"/>
  <c r="Y48" i="28" s="1"/>
  <c r="W52" i="28"/>
  <c r="Y52" i="28" s="1"/>
  <c r="W56" i="28"/>
  <c r="Y56" i="28" s="1"/>
  <c r="W60" i="28"/>
  <c r="Y60" i="28" s="1"/>
  <c r="W64" i="28"/>
  <c r="Y64" i="28" s="1"/>
  <c r="W68" i="28"/>
  <c r="Y68" i="28" s="1"/>
  <c r="W72" i="28"/>
  <c r="Y72" i="28" s="1"/>
  <c r="W76" i="28"/>
  <c r="Y76" i="28" s="1"/>
  <c r="W80" i="28"/>
  <c r="Y80" i="28" s="1"/>
  <c r="W84" i="28"/>
  <c r="Y84" i="28" s="1"/>
  <c r="W88" i="28"/>
  <c r="Y88" i="28" s="1"/>
  <c r="W92" i="28"/>
  <c r="Y92" i="28" s="1"/>
  <c r="W96" i="28"/>
  <c r="Y96" i="28" s="1"/>
  <c r="W100" i="28"/>
  <c r="Y100" i="28" s="1"/>
  <c r="W104" i="28"/>
  <c r="Y104" i="28" s="1"/>
  <c r="W108" i="28"/>
  <c r="Y108" i="28" s="1"/>
  <c r="W112" i="28"/>
  <c r="Y112" i="28" s="1"/>
  <c r="W116" i="28"/>
  <c r="Y116" i="28" s="1"/>
  <c r="W120" i="28"/>
  <c r="Y120" i="28" s="1"/>
  <c r="W124" i="28"/>
  <c r="Y124" i="28" s="1"/>
  <c r="W128" i="28"/>
  <c r="Y128" i="28" s="1"/>
  <c r="W132" i="28"/>
  <c r="Y132" i="28" s="1"/>
  <c r="W136" i="28"/>
  <c r="Y136" i="28" s="1"/>
  <c r="W140" i="28"/>
  <c r="Y140" i="28" s="1"/>
  <c r="W144" i="28"/>
  <c r="Y144" i="28" s="1"/>
  <c r="W148" i="28"/>
  <c r="Y148" i="28" s="1"/>
  <c r="W152" i="28"/>
  <c r="Y152" i="28" s="1"/>
  <c r="W156" i="28"/>
  <c r="Y156" i="28" s="1"/>
  <c r="W160" i="28"/>
  <c r="Y160" i="28" s="1"/>
  <c r="W164" i="28"/>
  <c r="Y164" i="28" s="1"/>
  <c r="W168" i="28"/>
  <c r="Y168" i="28" s="1"/>
  <c r="W172" i="28"/>
  <c r="Y172" i="28" s="1"/>
  <c r="W176" i="28"/>
  <c r="Y176" i="28" s="1"/>
  <c r="W180" i="28"/>
  <c r="Y180" i="28" s="1"/>
  <c r="W184" i="28"/>
  <c r="Y184" i="28" s="1"/>
  <c r="W188" i="28"/>
  <c r="Y188" i="28" s="1"/>
  <c r="W192" i="28"/>
  <c r="Y192" i="28" s="1"/>
  <c r="W196" i="28"/>
  <c r="Y196" i="28" s="1"/>
  <c r="W200" i="28"/>
  <c r="Y200" i="28" s="1"/>
  <c r="W204" i="28"/>
  <c r="Y204" i="28" s="1"/>
  <c r="W208" i="28"/>
  <c r="Y208" i="28" s="1"/>
  <c r="W220" i="28"/>
  <c r="Y220" i="28" s="1"/>
  <c r="W224" i="28"/>
  <c r="Y224" i="28" s="1"/>
  <c r="W236" i="28"/>
  <c r="Y236" i="28" s="1"/>
  <c r="W240" i="28"/>
  <c r="Y240" i="28" s="1"/>
  <c r="W244" i="28"/>
  <c r="Y244" i="28" s="1"/>
  <c r="W248" i="28"/>
  <c r="Y248" i="28" s="1"/>
  <c r="W252" i="28"/>
  <c r="Y252" i="28" s="1"/>
  <c r="U140" i="28"/>
  <c r="U136" i="28"/>
  <c r="U132" i="28"/>
  <c r="U128" i="28"/>
  <c r="U124" i="28"/>
  <c r="U120" i="28"/>
  <c r="U116" i="28"/>
  <c r="U112" i="28"/>
  <c r="U108" i="28"/>
  <c r="U104" i="28"/>
  <c r="U100" i="28"/>
  <c r="U96" i="28"/>
  <c r="U92" i="28"/>
  <c r="U88" i="28"/>
  <c r="U80" i="28"/>
  <c r="U76" i="28"/>
  <c r="U72" i="28"/>
  <c r="U68" i="28"/>
  <c r="U52" i="28"/>
  <c r="U44" i="28"/>
  <c r="U36" i="28"/>
  <c r="U32" i="28"/>
  <c r="U20" i="28"/>
  <c r="U12" i="28"/>
  <c r="W13" i="28"/>
  <c r="Y13" i="28" s="1"/>
  <c r="W17" i="28"/>
  <c r="Y17" i="28" s="1"/>
  <c r="W21" i="28"/>
  <c r="Y21" i="28" s="1"/>
  <c r="W25" i="28"/>
  <c r="Y25" i="28" s="1"/>
  <c r="W29" i="28"/>
  <c r="Y29" i="28" s="1"/>
  <c r="W33" i="28"/>
  <c r="Y33" i="28" s="1"/>
  <c r="W37" i="28"/>
  <c r="Y37" i="28" s="1"/>
  <c r="W41" i="28"/>
  <c r="Y41" i="28" s="1"/>
  <c r="W45" i="28"/>
  <c r="Y45" i="28" s="1"/>
  <c r="W49" i="28"/>
  <c r="Y49" i="28" s="1"/>
  <c r="W53" i="28"/>
  <c r="Y53" i="28" s="1"/>
  <c r="W57" i="28"/>
  <c r="Y57" i="28" s="1"/>
  <c r="W61" i="28"/>
  <c r="Y61" i="28" s="1"/>
  <c r="W65" i="28"/>
  <c r="Y65" i="28" s="1"/>
  <c r="W69" i="28"/>
  <c r="Y69" i="28" s="1"/>
  <c r="W73" i="28"/>
  <c r="Y73" i="28" s="1"/>
  <c r="W77" i="28"/>
  <c r="Y77" i="28" s="1"/>
  <c r="W81" i="28"/>
  <c r="Y81" i="28" s="1"/>
  <c r="W85" i="28"/>
  <c r="Y85" i="28" s="1"/>
  <c r="W89" i="28"/>
  <c r="Y89" i="28" s="1"/>
  <c r="W93" i="28"/>
  <c r="Y93" i="28" s="1"/>
  <c r="W97" i="28"/>
  <c r="Y97" i="28" s="1"/>
  <c r="W101" i="28"/>
  <c r="Y101" i="28" s="1"/>
  <c r="W105" i="28"/>
  <c r="Y105" i="28" s="1"/>
  <c r="W109" i="28"/>
  <c r="Y109" i="28" s="1"/>
  <c r="W113" i="28"/>
  <c r="Y113" i="28" s="1"/>
  <c r="W117" i="28"/>
  <c r="Y117" i="28" s="1"/>
  <c r="W121" i="28"/>
  <c r="Y121" i="28" s="1"/>
  <c r="W125" i="28"/>
  <c r="Y125" i="28" s="1"/>
  <c r="W129" i="28"/>
  <c r="Y129" i="28" s="1"/>
  <c r="W133" i="28"/>
  <c r="Y133" i="28" s="1"/>
  <c r="W137" i="28"/>
  <c r="Y137" i="28" s="1"/>
  <c r="W141" i="28"/>
  <c r="Y141" i="28" s="1"/>
  <c r="W145" i="28"/>
  <c r="Y145" i="28" s="1"/>
  <c r="W149" i="28"/>
  <c r="Y149" i="28" s="1"/>
  <c r="W153" i="28"/>
  <c r="Y153" i="28" s="1"/>
  <c r="W157" i="28"/>
  <c r="Y157" i="28" s="1"/>
  <c r="W161" i="28"/>
  <c r="Y161" i="28" s="1"/>
  <c r="W165" i="28"/>
  <c r="Y165" i="28" s="1"/>
  <c r="W169" i="28"/>
  <c r="Y169" i="28" s="1"/>
  <c r="W173" i="28"/>
  <c r="Y173" i="28" s="1"/>
  <c r="W177" i="28"/>
  <c r="Y177" i="28" s="1"/>
  <c r="W181" i="28"/>
  <c r="Y181" i="28" s="1"/>
  <c r="W185" i="28"/>
  <c r="Y185" i="28" s="1"/>
  <c r="W189" i="28"/>
  <c r="Y189" i="28" s="1"/>
  <c r="W193" i="28"/>
  <c r="Y193" i="28" s="1"/>
  <c r="W197" i="28"/>
  <c r="Y197" i="28" s="1"/>
  <c r="W201" i="28"/>
  <c r="Y201" i="28" s="1"/>
  <c r="W205" i="28"/>
  <c r="Y205" i="28" s="1"/>
  <c r="W209" i="28"/>
  <c r="Y209" i="28" s="1"/>
  <c r="W213" i="28"/>
  <c r="Y213" i="28" s="1"/>
  <c r="W217" i="28"/>
  <c r="Y217" i="28" s="1"/>
  <c r="W221" i="28"/>
  <c r="Y221" i="28" s="1"/>
  <c r="W225" i="28"/>
  <c r="Y225" i="28" s="1"/>
  <c r="W237" i="28"/>
  <c r="Y237" i="28" s="1"/>
  <c r="W241" i="28"/>
  <c r="Y241" i="28" s="1"/>
  <c r="W245" i="28"/>
  <c r="Y245" i="28" s="1"/>
  <c r="W249" i="28"/>
  <c r="Y249" i="28" s="1"/>
  <c r="W253" i="28"/>
  <c r="Y253" i="28" s="1"/>
  <c r="U187" i="28"/>
  <c r="U179" i="28"/>
  <c r="U171" i="28"/>
  <c r="U163" i="28"/>
  <c r="U159" i="28"/>
  <c r="U155" i="28"/>
  <c r="U151" i="28"/>
  <c r="U147" i="28"/>
  <c r="U139" i="28"/>
  <c r="U135" i="28"/>
  <c r="U131" i="28"/>
  <c r="U111" i="28"/>
  <c r="U103" i="28"/>
  <c r="U95" i="28"/>
  <c r="U83" i="28"/>
  <c r="U79" i="28"/>
  <c r="U39" i="28"/>
  <c r="W10" i="28"/>
  <c r="Y10" i="28" s="1"/>
  <c r="W14" i="28"/>
  <c r="Y14" i="28" s="1"/>
  <c r="W18" i="28"/>
  <c r="Y18" i="28" s="1"/>
  <c r="W22" i="28"/>
  <c r="Y22" i="28" s="1"/>
  <c r="W26" i="28"/>
  <c r="Y26" i="28" s="1"/>
  <c r="W30" i="28"/>
  <c r="Y30" i="28" s="1"/>
  <c r="W34" i="28"/>
  <c r="Y34" i="28" s="1"/>
  <c r="W38" i="28"/>
  <c r="Y38" i="28" s="1"/>
  <c r="W42" i="28"/>
  <c r="Y42" i="28" s="1"/>
  <c r="W46" i="28"/>
  <c r="Y46" i="28" s="1"/>
  <c r="W50" i="28"/>
  <c r="Y50" i="28" s="1"/>
  <c r="W54" i="28"/>
  <c r="Y54" i="28" s="1"/>
  <c r="W58" i="28"/>
  <c r="Y58" i="28" s="1"/>
  <c r="W62" i="28"/>
  <c r="Y62" i="28" s="1"/>
  <c r="W66" i="28"/>
  <c r="Y66" i="28" s="1"/>
  <c r="W70" i="28"/>
  <c r="Y70" i="28" s="1"/>
  <c r="W74" i="28"/>
  <c r="Y74" i="28" s="1"/>
  <c r="W78" i="28"/>
  <c r="Y78" i="28" s="1"/>
  <c r="W82" i="28"/>
  <c r="Y82" i="28" s="1"/>
  <c r="W86" i="28"/>
  <c r="Y86" i="28" s="1"/>
  <c r="W90" i="28"/>
  <c r="Y90" i="28" s="1"/>
  <c r="W94" i="28"/>
  <c r="Y94" i="28" s="1"/>
  <c r="W98" i="28"/>
  <c r="Y98" i="28" s="1"/>
  <c r="W102" i="28"/>
  <c r="Y102" i="28" s="1"/>
  <c r="W106" i="28"/>
  <c r="Y106" i="28" s="1"/>
  <c r="W110" i="28"/>
  <c r="Y110" i="28" s="1"/>
  <c r="W114" i="28"/>
  <c r="Y114" i="28" s="1"/>
  <c r="W118" i="28"/>
  <c r="Y118" i="28" s="1"/>
  <c r="W122" i="28"/>
  <c r="Y122" i="28" s="1"/>
  <c r="W126" i="28"/>
  <c r="Y126" i="28" s="1"/>
  <c r="W130" i="28"/>
  <c r="Y130" i="28" s="1"/>
  <c r="W134" i="28"/>
  <c r="Y134" i="28" s="1"/>
  <c r="W138" i="28"/>
  <c r="Y138" i="28" s="1"/>
  <c r="W142" i="28"/>
  <c r="Y142" i="28" s="1"/>
  <c r="W146" i="28"/>
  <c r="Y146" i="28" s="1"/>
  <c r="W150" i="28"/>
  <c r="Y150" i="28" s="1"/>
  <c r="W154" i="28"/>
  <c r="Y154" i="28" s="1"/>
  <c r="W158" i="28"/>
  <c r="Y158" i="28" s="1"/>
  <c r="W162" i="28"/>
  <c r="Y162" i="28" s="1"/>
  <c r="W166" i="28"/>
  <c r="Y166" i="28" s="1"/>
  <c r="W170" i="28"/>
  <c r="Y170" i="28" s="1"/>
  <c r="W174" i="28"/>
  <c r="Y174" i="28" s="1"/>
  <c r="W178" i="28"/>
  <c r="Y178" i="28" s="1"/>
  <c r="W182" i="28"/>
  <c r="Y182" i="28" s="1"/>
  <c r="W186" i="28"/>
  <c r="Y186" i="28" s="1"/>
  <c r="W190" i="28"/>
  <c r="Y190" i="28" s="1"/>
  <c r="W194" i="28"/>
  <c r="Y194" i="28" s="1"/>
  <c r="W198" i="28"/>
  <c r="Y198" i="28" s="1"/>
  <c r="W202" i="28"/>
  <c r="Y202" i="28" s="1"/>
  <c r="W206" i="28"/>
  <c r="Y206" i="28" s="1"/>
  <c r="W210" i="28"/>
  <c r="Y210" i="28" s="1"/>
  <c r="W214" i="28"/>
  <c r="Y214" i="28" s="1"/>
  <c r="W218" i="28"/>
  <c r="Y218" i="28" s="1"/>
  <c r="W222" i="28"/>
  <c r="Y222" i="28" s="1"/>
  <c r="W238" i="28"/>
  <c r="Y238" i="28" s="1"/>
  <c r="W242" i="28"/>
  <c r="Y242" i="28" s="1"/>
  <c r="W246" i="28"/>
  <c r="Y246" i="28" s="1"/>
  <c r="V173" i="28"/>
  <c r="X173" i="28" s="1"/>
  <c r="V177" i="28"/>
  <c r="X177" i="28" s="1"/>
  <c r="V181" i="28"/>
  <c r="X181" i="28" s="1"/>
  <c r="V190" i="28"/>
  <c r="X190" i="28" s="1"/>
  <c r="V194" i="28"/>
  <c r="X194" i="28" s="1"/>
  <c r="V195" i="28"/>
  <c r="X195" i="28" s="1"/>
  <c r="V196" i="28"/>
  <c r="X196" i="28" s="1"/>
  <c r="V209" i="28"/>
  <c r="X209" i="28" s="1"/>
  <c r="V214" i="28"/>
  <c r="X214" i="28" s="1"/>
  <c r="V221" i="28"/>
  <c r="X221" i="28" s="1"/>
  <c r="V241" i="28"/>
  <c r="X241" i="28" s="1"/>
  <c r="V247" i="28"/>
  <c r="X247" i="28" s="1"/>
  <c r="V248" i="28"/>
  <c r="X248" i="28" s="1"/>
  <c r="V249" i="28"/>
  <c r="X249" i="28" s="1"/>
  <c r="U33" i="28"/>
  <c r="U118" i="28"/>
  <c r="U177" i="28"/>
  <c r="U48" i="28"/>
  <c r="U183" i="28"/>
  <c r="U55" i="28"/>
  <c r="U11" i="28"/>
  <c r="U60" i="28"/>
  <c r="U176" i="28"/>
  <c r="U13" i="28"/>
  <c r="U14" i="28"/>
  <c r="U19" i="28"/>
  <c r="U23" i="28"/>
  <c r="U35" i="28"/>
  <c r="U51" i="28"/>
  <c r="U63" i="28"/>
  <c r="U119" i="28"/>
  <c r="U207" i="28"/>
  <c r="U167" i="28"/>
  <c r="U127" i="28"/>
  <c r="U47" i="28"/>
  <c r="U27" i="28"/>
  <c r="U220" i="28"/>
  <c r="U196" i="28"/>
  <c r="U172" i="28"/>
  <c r="U17" i="28"/>
  <c r="U18" i="28"/>
  <c r="U45" i="28"/>
  <c r="U49" i="28"/>
  <c r="U61" i="28"/>
  <c r="U148" i="28"/>
  <c r="U30" i="28"/>
  <c r="U41" i="28"/>
  <c r="U129" i="28"/>
  <c r="H7" i="21"/>
  <c r="T12" i="2"/>
  <c r="U12" i="2" s="1"/>
  <c r="O13" i="2"/>
  <c r="O14" i="2" s="1"/>
  <c r="C22" i="2" s="1"/>
  <c r="G8" i="49"/>
  <c r="H10" i="21"/>
  <c r="H20" i="21"/>
  <c r="H11" i="21"/>
  <c r="H21" i="21"/>
  <c r="F8" i="44"/>
  <c r="F10" i="55"/>
  <c r="F26" i="55" s="1"/>
  <c r="H15" i="21"/>
  <c r="H25" i="21"/>
  <c r="D8" i="47"/>
  <c r="E8" i="43"/>
  <c r="E10" i="43" s="1"/>
  <c r="E8" i="47"/>
  <c r="E30" i="47" s="1"/>
  <c r="C26" i="21"/>
  <c r="C8" i="43"/>
  <c r="C30" i="43" s="1"/>
  <c r="H26" i="21"/>
  <c r="E8" i="57"/>
  <c r="F8" i="43"/>
  <c r="F10" i="43" s="1"/>
  <c r="F26" i="43" s="1"/>
  <c r="B8" i="44"/>
  <c r="B30" i="44" s="1"/>
  <c r="F8" i="47"/>
  <c r="F10" i="47" s="1"/>
  <c r="F26" i="47" s="1"/>
  <c r="C8" i="47"/>
  <c r="C30" i="47" s="1"/>
  <c r="H29" i="21"/>
  <c r="F8" i="57"/>
  <c r="C8" i="44"/>
  <c r="C30" i="44" s="1"/>
  <c r="B10" i="43"/>
  <c r="I19" i="44"/>
  <c r="H16" i="45"/>
  <c r="J16" i="45" s="1"/>
  <c r="I19" i="45"/>
  <c r="K17" i="3"/>
  <c r="F8" i="46"/>
  <c r="F30" i="46" s="1"/>
  <c r="C8" i="46"/>
  <c r="C30" i="46" s="1"/>
  <c r="B8" i="46"/>
  <c r="G8" i="54"/>
  <c r="F8" i="54"/>
  <c r="F30" i="54" s="1"/>
  <c r="E8" i="54"/>
  <c r="E30" i="54" s="1"/>
  <c r="D8" i="54"/>
  <c r="C8" i="54"/>
  <c r="C30" i="54" s="1"/>
  <c r="B8" i="54"/>
  <c r="B30" i="43"/>
  <c r="F30" i="49"/>
  <c r="F10" i="49"/>
  <c r="G8" i="50"/>
  <c r="C8" i="50"/>
  <c r="C30" i="50" s="1"/>
  <c r="F8" i="50"/>
  <c r="F30" i="50" s="1"/>
  <c r="E8" i="50"/>
  <c r="E30" i="50" s="1"/>
  <c r="D8" i="50"/>
  <c r="D10" i="50" s="1"/>
  <c r="D26" i="50" s="1"/>
  <c r="B8" i="50"/>
  <c r="H16" i="21"/>
  <c r="E16" i="46"/>
  <c r="B8" i="49"/>
  <c r="B10" i="49" s="1"/>
  <c r="H13" i="21"/>
  <c r="H17" i="21"/>
  <c r="G22" i="21"/>
  <c r="G30" i="21" s="1"/>
  <c r="D8" i="29"/>
  <c r="D30" i="29" s="1"/>
  <c r="D8" i="56"/>
  <c r="D30" i="56" s="1"/>
  <c r="G8" i="43"/>
  <c r="G25" i="43" s="1"/>
  <c r="C8" i="45"/>
  <c r="C30" i="45" s="1"/>
  <c r="D20" i="45"/>
  <c r="G8" i="47"/>
  <c r="G25" i="47" s="1"/>
  <c r="C8" i="49"/>
  <c r="C30" i="49" s="1"/>
  <c r="B8" i="29"/>
  <c r="H12" i="21"/>
  <c r="C8" i="29"/>
  <c r="H8" i="21"/>
  <c r="H18" i="21"/>
  <c r="E8" i="29"/>
  <c r="E30" i="29" s="1"/>
  <c r="E8" i="56"/>
  <c r="E30" i="56" s="1"/>
  <c r="B8" i="57"/>
  <c r="D8" i="45"/>
  <c r="D30" i="45" s="1"/>
  <c r="D8" i="49"/>
  <c r="D30" i="49" s="1"/>
  <c r="B8" i="56"/>
  <c r="H14" i="21"/>
  <c r="H27" i="21"/>
  <c r="F8" i="29"/>
  <c r="F30" i="29" s="1"/>
  <c r="F8" i="56"/>
  <c r="F30" i="56" s="1"/>
  <c r="C8" i="57"/>
  <c r="E8" i="49"/>
  <c r="C8" i="56"/>
  <c r="C30" i="56" s="1"/>
  <c r="B8" i="45"/>
  <c r="B10" i="45" s="1"/>
  <c r="H9" i="21"/>
  <c r="H19" i="21"/>
  <c r="H24" i="21"/>
  <c r="B34" i="43"/>
  <c r="B41" i="43" s="1"/>
  <c r="B14" i="43" s="1"/>
  <c r="F31" i="54"/>
  <c r="F38" i="54" s="1"/>
  <c r="G33" i="55"/>
  <c r="C31" i="46"/>
  <c r="C38" i="46" s="1"/>
  <c r="D34" i="47"/>
  <c r="D41" i="47" s="1"/>
  <c r="B32" i="54"/>
  <c r="B39" i="54" s="1"/>
  <c r="C34" i="55"/>
  <c r="C41" i="55" s="1"/>
  <c r="G32" i="55"/>
  <c r="G39" i="55" s="1"/>
  <c r="D34" i="43"/>
  <c r="C32" i="46"/>
  <c r="C39" i="46" s="1"/>
  <c r="G31" i="50"/>
  <c r="G38" i="50" s="1"/>
  <c r="E31" i="44"/>
  <c r="G31" i="44"/>
  <c r="G38" i="44" s="1"/>
  <c r="F34" i="47"/>
  <c r="F41" i="47" s="1"/>
  <c r="E34" i="45"/>
  <c r="G34" i="45"/>
  <c r="G32" i="44"/>
  <c r="G39" i="44" s="1"/>
  <c r="E32" i="46"/>
  <c r="E39" i="46" s="1"/>
  <c r="B33" i="54"/>
  <c r="C33" i="44"/>
  <c r="C40" i="44" s="1"/>
  <c r="E33" i="46"/>
  <c r="E40" i="46" s="1"/>
  <c r="D33" i="54"/>
  <c r="D40" i="54" s="1"/>
  <c r="D31" i="43"/>
  <c r="D38" i="43" s="1"/>
  <c r="C34" i="44"/>
  <c r="C41" i="44" s="1"/>
  <c r="G31" i="45"/>
  <c r="G33" i="46"/>
  <c r="F31" i="47"/>
  <c r="F38" i="47" s="1"/>
  <c r="D34" i="54"/>
  <c r="D41" i="54" s="1"/>
  <c r="C31" i="55"/>
  <c r="C38" i="55" s="1"/>
  <c r="F31" i="43"/>
  <c r="F38" i="43" s="1"/>
  <c r="G34" i="46"/>
  <c r="G41" i="46" s="1"/>
  <c r="B32" i="47"/>
  <c r="B39" i="47" s="1"/>
  <c r="F34" i="54"/>
  <c r="F41" i="54" s="1"/>
  <c r="E31" i="55"/>
  <c r="E38" i="55" s="1"/>
  <c r="F33" i="55"/>
  <c r="F40" i="55" s="1"/>
  <c r="F13" i="55" s="1"/>
  <c r="C32" i="45"/>
  <c r="C39" i="45" s="1"/>
  <c r="C33" i="45"/>
  <c r="C40" i="45" s="1"/>
  <c r="B33" i="47"/>
  <c r="E32" i="55"/>
  <c r="E34" i="44"/>
  <c r="F32" i="43"/>
  <c r="F39" i="43" s="1"/>
  <c r="B33" i="43"/>
  <c r="B40" i="43" s="1"/>
  <c r="B13" i="43" s="1"/>
  <c r="E33" i="45"/>
  <c r="D33" i="47"/>
  <c r="D40" i="47" s="1"/>
  <c r="E31" i="43"/>
  <c r="G32" i="43"/>
  <c r="C34" i="43"/>
  <c r="F31" i="44"/>
  <c r="F38" i="44" s="1"/>
  <c r="B33" i="44"/>
  <c r="D34" i="44"/>
  <c r="B32" i="45"/>
  <c r="B39" i="45" s="1"/>
  <c r="D33" i="45"/>
  <c r="D40" i="45" s="1"/>
  <c r="F34" i="45"/>
  <c r="F41" i="45" s="1"/>
  <c r="B31" i="46"/>
  <c r="B38" i="46" s="1"/>
  <c r="D32" i="46"/>
  <c r="F33" i="46"/>
  <c r="F40" i="46" s="1"/>
  <c r="G31" i="47"/>
  <c r="G38" i="47" s="1"/>
  <c r="C33" i="47"/>
  <c r="C40" i="47" s="1"/>
  <c r="E34" i="47"/>
  <c r="E41" i="47" s="1"/>
  <c r="F34" i="49"/>
  <c r="F34" i="50"/>
  <c r="F41" i="50" s="1"/>
  <c r="G31" i="54"/>
  <c r="G38" i="54" s="1"/>
  <c r="C33" i="54"/>
  <c r="C40" i="54" s="1"/>
  <c r="E34" i="54"/>
  <c r="E41" i="54" s="1"/>
  <c r="D31" i="55"/>
  <c r="D38" i="55" s="1"/>
  <c r="F32" i="55"/>
  <c r="F39" i="55" s="1"/>
  <c r="F12" i="55" s="1"/>
  <c r="B34" i="55"/>
  <c r="B41" i="55" s="1"/>
  <c r="G31" i="43"/>
  <c r="C33" i="43"/>
  <c r="E34" i="43"/>
  <c r="B32" i="44"/>
  <c r="B39" i="44" s="1"/>
  <c r="D33" i="44"/>
  <c r="F34" i="44"/>
  <c r="F41" i="44" s="1"/>
  <c r="B31" i="45"/>
  <c r="B38" i="45" s="1"/>
  <c r="D32" i="45"/>
  <c r="D39" i="45" s="1"/>
  <c r="F33" i="45"/>
  <c r="F40" i="45" s="1"/>
  <c r="D31" i="46"/>
  <c r="F32" i="46"/>
  <c r="F39" i="46" s="1"/>
  <c r="B34" i="46"/>
  <c r="B41" i="46" s="1"/>
  <c r="C32" i="47"/>
  <c r="C39" i="47" s="1"/>
  <c r="E33" i="47"/>
  <c r="E40" i="47" s="1"/>
  <c r="G34" i="47"/>
  <c r="G41" i="47" s="1"/>
  <c r="D32" i="49"/>
  <c r="F33" i="49"/>
  <c r="D32" i="50"/>
  <c r="D39" i="50" s="1"/>
  <c r="F33" i="50"/>
  <c r="F40" i="50" s="1"/>
  <c r="C32" i="54"/>
  <c r="C39" i="54" s="1"/>
  <c r="E33" i="54"/>
  <c r="E40" i="54" s="1"/>
  <c r="G34" i="54"/>
  <c r="G41" i="54" s="1"/>
  <c r="F31" i="55"/>
  <c r="F38" i="55" s="1"/>
  <c r="F11" i="55" s="1"/>
  <c r="B33" i="55"/>
  <c r="D34" i="55"/>
  <c r="B32" i="43"/>
  <c r="D33" i="43"/>
  <c r="F34" i="43"/>
  <c r="F41" i="43" s="1"/>
  <c r="C32" i="44"/>
  <c r="C39" i="44" s="1"/>
  <c r="E33" i="44"/>
  <c r="G34" i="44"/>
  <c r="G41" i="44" s="1"/>
  <c r="C31" i="45"/>
  <c r="C38" i="45" s="1"/>
  <c r="E32" i="45"/>
  <c r="E39" i="45" s="1"/>
  <c r="G33" i="45"/>
  <c r="G40" i="45" s="1"/>
  <c r="E31" i="46"/>
  <c r="E38" i="46" s="1"/>
  <c r="G32" i="46"/>
  <c r="G39" i="46" s="1"/>
  <c r="C34" i="46"/>
  <c r="C41" i="46" s="1"/>
  <c r="B31" i="47"/>
  <c r="B38" i="47" s="1"/>
  <c r="D32" i="47"/>
  <c r="D39" i="47" s="1"/>
  <c r="F33" i="47"/>
  <c r="F40" i="47" s="1"/>
  <c r="B31" i="54"/>
  <c r="B38" i="54" s="1"/>
  <c r="D32" i="54"/>
  <c r="D39" i="54" s="1"/>
  <c r="F33" i="54"/>
  <c r="F40" i="54" s="1"/>
  <c r="G31" i="55"/>
  <c r="C33" i="55"/>
  <c r="C40" i="55" s="1"/>
  <c r="E34" i="55"/>
  <c r="C32" i="43"/>
  <c r="C39" i="43" s="1"/>
  <c r="E33" i="43"/>
  <c r="G34" i="43"/>
  <c r="G41" i="43" s="1"/>
  <c r="B31" i="44"/>
  <c r="B38" i="44" s="1"/>
  <c r="D32" i="44"/>
  <c r="F33" i="44"/>
  <c r="F40" i="44" s="1"/>
  <c r="D31" i="45"/>
  <c r="D38" i="45" s="1"/>
  <c r="F32" i="45"/>
  <c r="F39" i="45" s="1"/>
  <c r="B34" i="45"/>
  <c r="B41" i="45" s="1"/>
  <c r="F31" i="46"/>
  <c r="F38" i="46" s="1"/>
  <c r="B33" i="46"/>
  <c r="D34" i="46"/>
  <c r="D41" i="46" s="1"/>
  <c r="C31" i="47"/>
  <c r="C38" i="47" s="1"/>
  <c r="E32" i="47"/>
  <c r="E39" i="47" s="1"/>
  <c r="G33" i="47"/>
  <c r="G40" i="47" s="1"/>
  <c r="F32" i="49"/>
  <c r="D31" i="50"/>
  <c r="D38" i="50" s="1"/>
  <c r="F32" i="50"/>
  <c r="F39" i="50" s="1"/>
  <c r="C31" i="54"/>
  <c r="C38" i="54" s="1"/>
  <c r="E32" i="54"/>
  <c r="E39" i="54" s="1"/>
  <c r="G33" i="54"/>
  <c r="G40" i="54" s="1"/>
  <c r="B32" i="55"/>
  <c r="B39" i="55" s="1"/>
  <c r="D33" i="55"/>
  <c r="F34" i="55"/>
  <c r="F41" i="55" s="1"/>
  <c r="F14" i="55" s="1"/>
  <c r="B31" i="43"/>
  <c r="D32" i="43"/>
  <c r="F33" i="43"/>
  <c r="C31" i="44"/>
  <c r="C38" i="44" s="1"/>
  <c r="E32" i="44"/>
  <c r="G33" i="44"/>
  <c r="G40" i="44" s="1"/>
  <c r="E31" i="45"/>
  <c r="G32" i="45"/>
  <c r="C34" i="45"/>
  <c r="C41" i="45" s="1"/>
  <c r="G31" i="46"/>
  <c r="C33" i="46"/>
  <c r="C40" i="46" s="1"/>
  <c r="E34" i="46"/>
  <c r="E41" i="46" s="1"/>
  <c r="D31" i="47"/>
  <c r="D38" i="47" s="1"/>
  <c r="F32" i="47"/>
  <c r="F39" i="47" s="1"/>
  <c r="B34" i="47"/>
  <c r="B41" i="47" s="1"/>
  <c r="G32" i="50"/>
  <c r="G39" i="50" s="1"/>
  <c r="G12" i="50" s="1"/>
  <c r="D31" i="54"/>
  <c r="D38" i="54" s="1"/>
  <c r="F32" i="54"/>
  <c r="F39" i="54" s="1"/>
  <c r="B34" i="54"/>
  <c r="B41" i="54" s="1"/>
  <c r="C32" i="55"/>
  <c r="C39" i="55" s="1"/>
  <c r="E33" i="55"/>
  <c r="E40" i="55" s="1"/>
  <c r="G34" i="55"/>
  <c r="C31" i="43"/>
  <c r="C38" i="43" s="1"/>
  <c r="E32" i="43"/>
  <c r="G33" i="43"/>
  <c r="D31" i="44"/>
  <c r="F32" i="44"/>
  <c r="F39" i="44" s="1"/>
  <c r="B34" i="44"/>
  <c r="B41" i="44" s="1"/>
  <c r="F31" i="45"/>
  <c r="F38" i="45" s="1"/>
  <c r="B33" i="45"/>
  <c r="D34" i="45"/>
  <c r="D41" i="45" s="1"/>
  <c r="B32" i="46"/>
  <c r="B39" i="46" s="1"/>
  <c r="D33" i="46"/>
  <c r="F34" i="46"/>
  <c r="F41" i="46" s="1"/>
  <c r="E31" i="47"/>
  <c r="E38" i="47" s="1"/>
  <c r="G32" i="47"/>
  <c r="G39" i="47" s="1"/>
  <c r="C34" i="47"/>
  <c r="C41" i="47" s="1"/>
  <c r="F31" i="49"/>
  <c r="F31" i="50"/>
  <c r="F38" i="50" s="1"/>
  <c r="E31" i="54"/>
  <c r="E38" i="54" s="1"/>
  <c r="G32" i="54"/>
  <c r="G39" i="54" s="1"/>
  <c r="C34" i="54"/>
  <c r="C41" i="54" s="1"/>
  <c r="B31" i="55"/>
  <c r="B38" i="55" s="1"/>
  <c r="D32" i="55"/>
  <c r="D39" i="55" s="1"/>
  <c r="Z229" i="28" l="1"/>
  <c r="AA229" i="28" s="1"/>
  <c r="Z227" i="28"/>
  <c r="AA227" i="28" s="1"/>
  <c r="T40" i="1"/>
  <c r="AB40" i="1"/>
  <c r="AK40" i="1" s="1"/>
  <c r="Q40" i="1"/>
  <c r="AD40" i="1" s="1"/>
  <c r="AB47" i="1"/>
  <c r="AK47" i="1" s="1"/>
  <c r="Q47" i="1"/>
  <c r="AD47" i="1" s="1"/>
  <c r="T47" i="1"/>
  <c r="T118" i="1"/>
  <c r="T130" i="1"/>
  <c r="T151" i="1"/>
  <c r="AB118" i="1"/>
  <c r="AK118" i="1" s="1"/>
  <c r="Q118" i="1"/>
  <c r="AD118" i="1" s="1"/>
  <c r="AB130" i="1"/>
  <c r="AK130" i="1" s="1"/>
  <c r="Q130" i="1"/>
  <c r="AD130" i="1" s="1"/>
  <c r="AB53" i="1"/>
  <c r="AK53" i="1" s="1"/>
  <c r="Q53" i="1"/>
  <c r="AD53" i="1" s="1"/>
  <c r="T53" i="1"/>
  <c r="T85" i="1"/>
  <c r="T147" i="1"/>
  <c r="T39" i="1"/>
  <c r="T84" i="1"/>
  <c r="AB39" i="1"/>
  <c r="AK39" i="1" s="1"/>
  <c r="Q39" i="1"/>
  <c r="AD39" i="1" s="1"/>
  <c r="T124" i="1"/>
  <c r="T120" i="1"/>
  <c r="T121" i="1"/>
  <c r="T152" i="1"/>
  <c r="T125" i="1"/>
  <c r="T73" i="1"/>
  <c r="T140" i="1"/>
  <c r="T141" i="1"/>
  <c r="T108" i="1"/>
  <c r="T156" i="1"/>
  <c r="T115" i="1"/>
  <c r="T74" i="1"/>
  <c r="T155" i="1"/>
  <c r="Q68" i="1"/>
  <c r="AD68" i="1" s="1"/>
  <c r="Q30" i="1"/>
  <c r="AD30" i="1" s="1"/>
  <c r="Q21" i="1"/>
  <c r="AD21" i="1" s="1"/>
  <c r="Q32" i="1"/>
  <c r="AD32" i="1" s="1"/>
  <c r="T143" i="1"/>
  <c r="T90" i="1"/>
  <c r="T149" i="1"/>
  <c r="T142" i="1"/>
  <c r="Q104" i="1"/>
  <c r="AD104" i="1" s="1"/>
  <c r="T117" i="1"/>
  <c r="Q123" i="1"/>
  <c r="AD123" i="1" s="1"/>
  <c r="Q54" i="1"/>
  <c r="AD54" i="1" s="1"/>
  <c r="Q116" i="1"/>
  <c r="AD116" i="1" s="1"/>
  <c r="Q134" i="1"/>
  <c r="AD134" i="1" s="1"/>
  <c r="Q85" i="1"/>
  <c r="AD85" i="1" s="1"/>
  <c r="Q107" i="1"/>
  <c r="AD107" i="1" s="1"/>
  <c r="Q76" i="1"/>
  <c r="AD76" i="1" s="1"/>
  <c r="Q88" i="1"/>
  <c r="AD88" i="1" s="1"/>
  <c r="Q91" i="1"/>
  <c r="AD91" i="1" s="1"/>
  <c r="Q90" i="1"/>
  <c r="AD90" i="1" s="1"/>
  <c r="Q63" i="1"/>
  <c r="AD63" i="1" s="1"/>
  <c r="Q55" i="1"/>
  <c r="AD55" i="1" s="1"/>
  <c r="Q158" i="1"/>
  <c r="AD158" i="1" s="1"/>
  <c r="Q119" i="1"/>
  <c r="AD119" i="1" s="1"/>
  <c r="AB105" i="1"/>
  <c r="AK105" i="1" s="1"/>
  <c r="Q105" i="1"/>
  <c r="AD105" i="1" s="1"/>
  <c r="Q87" i="1"/>
  <c r="AD87" i="1" s="1"/>
  <c r="Q127" i="1"/>
  <c r="AD127" i="1" s="1"/>
  <c r="Q22" i="1"/>
  <c r="AD22" i="1" s="1"/>
  <c r="Q73" i="1"/>
  <c r="AD73" i="1" s="1"/>
  <c r="Q131" i="1"/>
  <c r="AD131" i="1" s="1"/>
  <c r="T105" i="1"/>
  <c r="Q89" i="1"/>
  <c r="AD89" i="1" s="1"/>
  <c r="Q115" i="1"/>
  <c r="AD115" i="1" s="1"/>
  <c r="AB121" i="1"/>
  <c r="AK121" i="1" s="1"/>
  <c r="Q121" i="1"/>
  <c r="AD121" i="1" s="1"/>
  <c r="Q48" i="1"/>
  <c r="AD48" i="1" s="1"/>
  <c r="Q23" i="1"/>
  <c r="AD23" i="1" s="1"/>
  <c r="AB98" i="1"/>
  <c r="AK98" i="1" s="1"/>
  <c r="Q98" i="1"/>
  <c r="AD98" i="1" s="1"/>
  <c r="AB150" i="1"/>
  <c r="AK150" i="1" s="1"/>
  <c r="Q150" i="1"/>
  <c r="AD150" i="1" s="1"/>
  <c r="Q19" i="1"/>
  <c r="AD19" i="1" s="1"/>
  <c r="Q14" i="1"/>
  <c r="AD14" i="1" s="1"/>
  <c r="Q128" i="1"/>
  <c r="AD128" i="1" s="1"/>
  <c r="Q24" i="1"/>
  <c r="AD24" i="1" s="1"/>
  <c r="Q45" i="1"/>
  <c r="AD45" i="1" s="1"/>
  <c r="Q42" i="1"/>
  <c r="AD42" i="1" s="1"/>
  <c r="Q78" i="1"/>
  <c r="AD78" i="1" s="1"/>
  <c r="Q67" i="1"/>
  <c r="AD67" i="1" s="1"/>
  <c r="Q44" i="1"/>
  <c r="AD44" i="1" s="1"/>
  <c r="Q124" i="1"/>
  <c r="AD124" i="1" s="1"/>
  <c r="Q109" i="1"/>
  <c r="AD109" i="1" s="1"/>
  <c r="Q94" i="1"/>
  <c r="AD94" i="1" s="1"/>
  <c r="Q97" i="1"/>
  <c r="AD97" i="1" s="1"/>
  <c r="Q84" i="1"/>
  <c r="AD84" i="1" s="1"/>
  <c r="Q36" i="1"/>
  <c r="AD36" i="1" s="1"/>
  <c r="AB149" i="1"/>
  <c r="AK149" i="1" s="1"/>
  <c r="Q149" i="1"/>
  <c r="AD149" i="1" s="1"/>
  <c r="Q156" i="1"/>
  <c r="AD156" i="1" s="1"/>
  <c r="Q108" i="1"/>
  <c r="AD108" i="1" s="1"/>
  <c r="Q106" i="1"/>
  <c r="AD106" i="1" s="1"/>
  <c r="Q143" i="1"/>
  <c r="AD143" i="1" s="1"/>
  <c r="T133" i="1"/>
  <c r="T113" i="1"/>
  <c r="Q58" i="1"/>
  <c r="AD58" i="1" s="1"/>
  <c r="Q35" i="1"/>
  <c r="AD35" i="1" s="1"/>
  <c r="Q135" i="1"/>
  <c r="AD135" i="1" s="1"/>
  <c r="Q18" i="1"/>
  <c r="AD18" i="1" s="1"/>
  <c r="Q144" i="1"/>
  <c r="AD144" i="1" s="1"/>
  <c r="Q148" i="1"/>
  <c r="AD148" i="1" s="1"/>
  <c r="Q120" i="1"/>
  <c r="AD120" i="1" s="1"/>
  <c r="Q95" i="1"/>
  <c r="AD95" i="1" s="1"/>
  <c r="Q41" i="1"/>
  <c r="AD41" i="1" s="1"/>
  <c r="Q46" i="1"/>
  <c r="AD46" i="1" s="1"/>
  <c r="Q155" i="1"/>
  <c r="AD155" i="1" s="1"/>
  <c r="Q74" i="1"/>
  <c r="AD74" i="1" s="1"/>
  <c r="T107" i="1"/>
  <c r="T150" i="1"/>
  <c r="T126" i="1"/>
  <c r="Q129" i="1"/>
  <c r="AD129" i="1" s="1"/>
  <c r="Q34" i="1"/>
  <c r="AD34" i="1" s="1"/>
  <c r="Q15" i="1"/>
  <c r="AD15" i="1" s="1"/>
  <c r="Q145" i="1"/>
  <c r="AD145" i="1" s="1"/>
  <c r="Q57" i="1"/>
  <c r="AD57" i="1" s="1"/>
  <c r="Q38" i="1"/>
  <c r="AD38" i="1" s="1"/>
  <c r="Q117" i="1"/>
  <c r="AD117" i="1" s="1"/>
  <c r="Q126" i="1"/>
  <c r="AD126" i="1" s="1"/>
  <c r="Q152" i="1"/>
  <c r="AD152" i="1" s="1"/>
  <c r="Q16" i="1"/>
  <c r="AD16" i="1" s="1"/>
  <c r="Q136" i="1"/>
  <c r="AD136" i="1" s="1"/>
  <c r="T66" i="1"/>
  <c r="Q61" i="1"/>
  <c r="AD61" i="1" s="1"/>
  <c r="Q151" i="1"/>
  <c r="AD151" i="1" s="1"/>
  <c r="Q103" i="1"/>
  <c r="AD103" i="1" s="1"/>
  <c r="Q31" i="1"/>
  <c r="AD31" i="1" s="1"/>
  <c r="Q79" i="1"/>
  <c r="AD79" i="1" s="1"/>
  <c r="AB141" i="1"/>
  <c r="AK141" i="1" s="1"/>
  <c r="Q141" i="1"/>
  <c r="AD141" i="1" s="1"/>
  <c r="Q77" i="1"/>
  <c r="AD77" i="1" s="1"/>
  <c r="Q27" i="1"/>
  <c r="AD27" i="1" s="1"/>
  <c r="Q37" i="1"/>
  <c r="AD37" i="1" s="1"/>
  <c r="Q122" i="1"/>
  <c r="AD122" i="1" s="1"/>
  <c r="Q29" i="1"/>
  <c r="AD29" i="1" s="1"/>
  <c r="Q82" i="1"/>
  <c r="AD82" i="1" s="1"/>
  <c r="Q70" i="1"/>
  <c r="AD70" i="1" s="1"/>
  <c r="Q20" i="1"/>
  <c r="AD20" i="1" s="1"/>
  <c r="Q64" i="1"/>
  <c r="AD64" i="1" s="1"/>
  <c r="Q139" i="1"/>
  <c r="AD139" i="1" s="1"/>
  <c r="Q147" i="1"/>
  <c r="AD147" i="1" s="1"/>
  <c r="AB66" i="1"/>
  <c r="AK66" i="1" s="1"/>
  <c r="Q66" i="1"/>
  <c r="AD66" i="1" s="1"/>
  <c r="Q111" i="1"/>
  <c r="AD111" i="1" s="1"/>
  <c r="Q75" i="1"/>
  <c r="AD75" i="1" s="1"/>
  <c r="Q138" i="1"/>
  <c r="AD138" i="1" s="1"/>
  <c r="Q52" i="1"/>
  <c r="AD52" i="1" s="1"/>
  <c r="Q101" i="1"/>
  <c r="AD101" i="1" s="1"/>
  <c r="Q146" i="1"/>
  <c r="AD146" i="1" s="1"/>
  <c r="Q43" i="1"/>
  <c r="AD43" i="1" s="1"/>
  <c r="Q93" i="1"/>
  <c r="AD93" i="1" s="1"/>
  <c r="Q62" i="1"/>
  <c r="AD62" i="1" s="1"/>
  <c r="Q51" i="1"/>
  <c r="AD51" i="1" s="1"/>
  <c r="Q102" i="1"/>
  <c r="AD102" i="1" s="1"/>
  <c r="Q71" i="1"/>
  <c r="AD71" i="1" s="1"/>
  <c r="Q137" i="1"/>
  <c r="AD137" i="1" s="1"/>
  <c r="Q26" i="1"/>
  <c r="AD26" i="1" s="1"/>
  <c r="Q114" i="1"/>
  <c r="AD114" i="1" s="1"/>
  <c r="Q100" i="1"/>
  <c r="AD100" i="1" s="1"/>
  <c r="Q60" i="1"/>
  <c r="AD60" i="1" s="1"/>
  <c r="Q56" i="1"/>
  <c r="AD56" i="1" s="1"/>
  <c r="T98" i="1"/>
  <c r="Q153" i="1"/>
  <c r="AD153" i="1" s="1"/>
  <c r="Q59" i="1"/>
  <c r="AD59" i="1" s="1"/>
  <c r="Q50" i="1"/>
  <c r="AD50" i="1" s="1"/>
  <c r="Q28" i="1"/>
  <c r="AD28" i="1" s="1"/>
  <c r="Q157" i="1"/>
  <c r="AD157" i="1" s="1"/>
  <c r="Q132" i="1"/>
  <c r="AD132" i="1" s="1"/>
  <c r="Q133" i="1"/>
  <c r="AD133" i="1" s="1"/>
  <c r="Q65" i="1"/>
  <c r="AD65" i="1" s="1"/>
  <c r="Q113" i="1"/>
  <c r="AD113" i="1" s="1"/>
  <c r="Q86" i="1"/>
  <c r="AD86" i="1" s="1"/>
  <c r="Q99" i="1"/>
  <c r="AD99" i="1" s="1"/>
  <c r="Q69" i="1"/>
  <c r="AD69" i="1" s="1"/>
  <c r="T25" i="1"/>
  <c r="AB142" i="1"/>
  <c r="AK142" i="1" s="1"/>
  <c r="Q142" i="1"/>
  <c r="AD142" i="1" s="1"/>
  <c r="Q80" i="1"/>
  <c r="AD80" i="1" s="1"/>
  <c r="AB140" i="1"/>
  <c r="AK140" i="1" s="1"/>
  <c r="Q140" i="1"/>
  <c r="AD140" i="1" s="1"/>
  <c r="Q49" i="1"/>
  <c r="AD49" i="1" s="1"/>
  <c r="Q17" i="1"/>
  <c r="AD17" i="1" s="1"/>
  <c r="Q92" i="1"/>
  <c r="AD92" i="1" s="1"/>
  <c r="Q154" i="1"/>
  <c r="AD154" i="1" s="1"/>
  <c r="Q33" i="1"/>
  <c r="AD33" i="1" s="1"/>
  <c r="Q125" i="1"/>
  <c r="AD125" i="1" s="1"/>
  <c r="Q112" i="1"/>
  <c r="AD112" i="1" s="1"/>
  <c r="Q96" i="1"/>
  <c r="AD96" i="1" s="1"/>
  <c r="Q110" i="1"/>
  <c r="AD110" i="1" s="1"/>
  <c r="Q72" i="1"/>
  <c r="AD72" i="1" s="1"/>
  <c r="Q81" i="1"/>
  <c r="AD81" i="1" s="1"/>
  <c r="AB25" i="1"/>
  <c r="AK25" i="1" s="1"/>
  <c r="Q25" i="1"/>
  <c r="AD25" i="1" s="1"/>
  <c r="T110" i="1"/>
  <c r="T91" i="1"/>
  <c r="T96" i="1"/>
  <c r="T146" i="1"/>
  <c r="T102" i="1"/>
  <c r="T88" i="1"/>
  <c r="T92" i="1"/>
  <c r="AC140" i="1"/>
  <c r="AC98" i="1"/>
  <c r="C34" i="49" s="1"/>
  <c r="AB124" i="1"/>
  <c r="AK124" i="1" s="1"/>
  <c r="AB106" i="1"/>
  <c r="AK106" i="1" s="1"/>
  <c r="AB94" i="1"/>
  <c r="AK94" i="1" s="1"/>
  <c r="AB87" i="1"/>
  <c r="AK87" i="1" s="1"/>
  <c r="AB127" i="1"/>
  <c r="AK127" i="1" s="1"/>
  <c r="T158" i="1"/>
  <c r="AB138" i="1"/>
  <c r="AK138" i="1" s="1"/>
  <c r="AC142" i="1"/>
  <c r="AB91" i="1"/>
  <c r="AK91" i="1" s="1"/>
  <c r="AB133" i="1"/>
  <c r="AK133" i="1" s="1"/>
  <c r="T123" i="1"/>
  <c r="AB144" i="1"/>
  <c r="AK144" i="1" s="1"/>
  <c r="AB155" i="1"/>
  <c r="AK155" i="1" s="1"/>
  <c r="AB103" i="1"/>
  <c r="AK103" i="1" s="1"/>
  <c r="AB128" i="1"/>
  <c r="AK128" i="1" s="1"/>
  <c r="AB88" i="1"/>
  <c r="AK88" i="1" s="1"/>
  <c r="T154" i="1"/>
  <c r="AC121" i="1"/>
  <c r="D34" i="49" s="1"/>
  <c r="T138" i="1"/>
  <c r="T95" i="1"/>
  <c r="AB139" i="1"/>
  <c r="AK139" i="1" s="1"/>
  <c r="AB120" i="1"/>
  <c r="AK120" i="1" s="1"/>
  <c r="AB132" i="1"/>
  <c r="AK132" i="1" s="1"/>
  <c r="AB99" i="1"/>
  <c r="AK99" i="1" s="1"/>
  <c r="T97" i="1"/>
  <c r="AB135" i="1"/>
  <c r="AK135" i="1" s="1"/>
  <c r="AB96" i="1"/>
  <c r="AK96" i="1" s="1"/>
  <c r="AB85" i="1"/>
  <c r="AK85" i="1" s="1"/>
  <c r="AB104" i="1"/>
  <c r="AK104" i="1" s="1"/>
  <c r="AB102" i="1"/>
  <c r="AK102" i="1" s="1"/>
  <c r="AB100" i="1"/>
  <c r="AK100" i="1" s="1"/>
  <c r="T111" i="1"/>
  <c r="AB146" i="1"/>
  <c r="AK146" i="1" s="1"/>
  <c r="AB158" i="1"/>
  <c r="AK158" i="1" s="1"/>
  <c r="AB145" i="1"/>
  <c r="AK145" i="1" s="1"/>
  <c r="AB111" i="1"/>
  <c r="AK111" i="1" s="1"/>
  <c r="AB110" i="1"/>
  <c r="AK110" i="1" s="1"/>
  <c r="AB122" i="1"/>
  <c r="AK122" i="1" s="1"/>
  <c r="AC149" i="1"/>
  <c r="AB123" i="1"/>
  <c r="AK123" i="1" s="1"/>
  <c r="AB143" i="1"/>
  <c r="AK143" i="1" s="1"/>
  <c r="T100" i="1"/>
  <c r="AB93" i="1"/>
  <c r="AK93" i="1" s="1"/>
  <c r="T139" i="1"/>
  <c r="T119" i="1"/>
  <c r="AB151" i="1"/>
  <c r="AK151" i="1" s="1"/>
  <c r="T148" i="1"/>
  <c r="T144" i="1"/>
  <c r="AB154" i="1"/>
  <c r="AK154" i="1" s="1"/>
  <c r="T112" i="1"/>
  <c r="T94" i="1"/>
  <c r="AB113" i="1"/>
  <c r="AK113" i="1" s="1"/>
  <c r="AB119" i="1"/>
  <c r="AK119" i="1" s="1"/>
  <c r="AB84" i="1"/>
  <c r="AK84" i="1" s="1"/>
  <c r="T104" i="1"/>
  <c r="T86" i="1"/>
  <c r="T109" i="1"/>
  <c r="T137" i="1"/>
  <c r="T122" i="1"/>
  <c r="AB108" i="1"/>
  <c r="AK108" i="1" s="1"/>
  <c r="T134" i="1"/>
  <c r="AB148" i="1"/>
  <c r="AK148" i="1" s="1"/>
  <c r="AB126" i="1"/>
  <c r="AK126" i="1" s="1"/>
  <c r="AB152" i="1"/>
  <c r="AK152" i="1" s="1"/>
  <c r="AB114" i="1"/>
  <c r="AK114" i="1" s="1"/>
  <c r="AB153" i="1"/>
  <c r="AK153" i="1" s="1"/>
  <c r="AB125" i="1"/>
  <c r="AK125" i="1" s="1"/>
  <c r="AB89" i="1"/>
  <c r="AK89" i="1" s="1"/>
  <c r="T93" i="1"/>
  <c r="T136" i="1"/>
  <c r="T145" i="1"/>
  <c r="T153" i="1"/>
  <c r="AB115" i="1"/>
  <c r="AK115" i="1" s="1"/>
  <c r="AB107" i="1"/>
  <c r="AK107" i="1" s="1"/>
  <c r="T135" i="1"/>
  <c r="T132" i="1"/>
  <c r="AB134" i="1"/>
  <c r="AK134" i="1" s="1"/>
  <c r="T116" i="1"/>
  <c r="T103" i="1"/>
  <c r="AB90" i="1"/>
  <c r="AK90" i="1" s="1"/>
  <c r="T127" i="1"/>
  <c r="AB86" i="1"/>
  <c r="AK86" i="1" s="1"/>
  <c r="T87" i="1"/>
  <c r="T99" i="1"/>
  <c r="AB147" i="1"/>
  <c r="AK147" i="1" s="1"/>
  <c r="AB101" i="1"/>
  <c r="AK101" i="1" s="1"/>
  <c r="T128" i="1"/>
  <c r="AB112" i="1"/>
  <c r="AK112" i="1" s="1"/>
  <c r="AB109" i="1"/>
  <c r="AK109" i="1" s="1"/>
  <c r="T131" i="1"/>
  <c r="T106" i="1"/>
  <c r="AB156" i="1"/>
  <c r="AK156" i="1" s="1"/>
  <c r="AB117" i="1"/>
  <c r="AK117" i="1" s="1"/>
  <c r="AB97" i="1"/>
  <c r="AK97" i="1" s="1"/>
  <c r="AB131" i="1"/>
  <c r="AK131" i="1" s="1"/>
  <c r="AB136" i="1"/>
  <c r="AK136" i="1" s="1"/>
  <c r="AB137" i="1"/>
  <c r="AK137" i="1" s="1"/>
  <c r="AB129" i="1"/>
  <c r="AK129" i="1" s="1"/>
  <c r="AC150" i="1"/>
  <c r="AC141" i="1"/>
  <c r="T89" i="1"/>
  <c r="T114" i="1"/>
  <c r="AB92" i="1"/>
  <c r="AK92" i="1" s="1"/>
  <c r="T157" i="1"/>
  <c r="T101" i="1"/>
  <c r="AB116" i="1"/>
  <c r="AK116" i="1" s="1"/>
  <c r="AB157" i="1"/>
  <c r="AK157" i="1" s="1"/>
  <c r="AB95" i="1"/>
  <c r="AK95" i="1" s="1"/>
  <c r="T129" i="1"/>
  <c r="AC66" i="1"/>
  <c r="T58" i="1"/>
  <c r="AB58" i="1"/>
  <c r="AK58" i="1" s="1"/>
  <c r="AB26" i="1"/>
  <c r="AK26" i="1" s="1"/>
  <c r="T26" i="1"/>
  <c r="T11" i="1"/>
  <c r="AB11" i="1"/>
  <c r="AK11" i="1" s="1"/>
  <c r="Q11" i="1"/>
  <c r="AD11" i="1" s="1"/>
  <c r="AB10" i="1"/>
  <c r="AK10" i="1" s="1"/>
  <c r="Q10" i="1"/>
  <c r="AD10" i="1" s="1"/>
  <c r="T10" i="1"/>
  <c r="T70" i="1"/>
  <c r="T72" i="1"/>
  <c r="AC73" i="1"/>
  <c r="AC64" i="1"/>
  <c r="AC74" i="1"/>
  <c r="T161" i="1"/>
  <c r="AC65" i="1"/>
  <c r="T71" i="1"/>
  <c r="AB161" i="1"/>
  <c r="AK161" i="1" s="1"/>
  <c r="Q161" i="1"/>
  <c r="AD161" i="1" s="1"/>
  <c r="Z235" i="28"/>
  <c r="AA235" i="28" s="1"/>
  <c r="Z226" i="28"/>
  <c r="AA226" i="28" s="1"/>
  <c r="Z228" i="28"/>
  <c r="AA228" i="28" s="1"/>
  <c r="Z231" i="28"/>
  <c r="AA231" i="28" s="1"/>
  <c r="Z232" i="28"/>
  <c r="AA232" i="28" s="1"/>
  <c r="Z233" i="28"/>
  <c r="AA233" i="28" s="1"/>
  <c r="Z230" i="28"/>
  <c r="AA230" i="28" s="1"/>
  <c r="Z234" i="28"/>
  <c r="AA234" i="28" s="1"/>
  <c r="T56" i="1"/>
  <c r="T4" i="1"/>
  <c r="AB56" i="1"/>
  <c r="AK56" i="1" s="1"/>
  <c r="T28" i="1"/>
  <c r="AB28" i="1"/>
  <c r="AK28" i="1" s="1"/>
  <c r="AB4" i="1"/>
  <c r="AK4" i="1" s="1"/>
  <c r="Q4" i="1"/>
  <c r="AD4" i="1" s="1"/>
  <c r="T35" i="1"/>
  <c r="T82" i="1"/>
  <c r="AB35" i="1"/>
  <c r="AK35" i="1" s="1"/>
  <c r="AB82" i="1"/>
  <c r="AK82" i="1" s="1"/>
  <c r="Z212" i="28"/>
  <c r="AA212" i="28" s="1"/>
  <c r="T14" i="1"/>
  <c r="T17" i="1"/>
  <c r="T7" i="1"/>
  <c r="T12" i="1"/>
  <c r="T54" i="1"/>
  <c r="T19" i="1"/>
  <c r="T21" i="1"/>
  <c r="T63" i="1"/>
  <c r="AB27" i="1"/>
  <c r="AK27" i="1" s="1"/>
  <c r="T27" i="1"/>
  <c r="T15" i="1"/>
  <c r="T68" i="1"/>
  <c r="T37" i="1"/>
  <c r="T61" i="1"/>
  <c r="T78" i="1"/>
  <c r="T32" i="1"/>
  <c r="T76" i="1"/>
  <c r="T22" i="1"/>
  <c r="T80" i="1"/>
  <c r="T65" i="1"/>
  <c r="T55" i="1"/>
  <c r="T79" i="1"/>
  <c r="T36" i="1"/>
  <c r="T60" i="1"/>
  <c r="T34" i="1"/>
  <c r="T75" i="1"/>
  <c r="AB5" i="1"/>
  <c r="AK5" i="1" s="1"/>
  <c r="Q5" i="1"/>
  <c r="AD5" i="1" s="1"/>
  <c r="T81" i="1"/>
  <c r="AB50" i="1"/>
  <c r="AK50" i="1" s="1"/>
  <c r="AB9" i="1"/>
  <c r="AK9" i="1" s="1"/>
  <c r="Q9" i="1"/>
  <c r="AD9" i="1" s="1"/>
  <c r="AB67" i="1"/>
  <c r="AK67" i="1" s="1"/>
  <c r="T31" i="1"/>
  <c r="AB30" i="1"/>
  <c r="AK30" i="1" s="1"/>
  <c r="AB52" i="1"/>
  <c r="AK52" i="1" s="1"/>
  <c r="AB55" i="1"/>
  <c r="AK55" i="1" s="1"/>
  <c r="AB33" i="1"/>
  <c r="AK33" i="1" s="1"/>
  <c r="AB51" i="1"/>
  <c r="AK51" i="1" s="1"/>
  <c r="AB60" i="1"/>
  <c r="AK60" i="1" s="1"/>
  <c r="T23" i="1"/>
  <c r="T67" i="1"/>
  <c r="AB14" i="1"/>
  <c r="AK14" i="1" s="1"/>
  <c r="T20" i="1"/>
  <c r="T29" i="1"/>
  <c r="T42" i="1"/>
  <c r="T45" i="1"/>
  <c r="AB64" i="1"/>
  <c r="AK64" i="1" s="1"/>
  <c r="T30" i="1"/>
  <c r="AB32" i="1"/>
  <c r="AK32" i="1" s="1"/>
  <c r="AB54" i="1"/>
  <c r="AK54" i="1" s="1"/>
  <c r="T64" i="1"/>
  <c r="AB24" i="1"/>
  <c r="AK24" i="1" s="1"/>
  <c r="AB80" i="1"/>
  <c r="AK80" i="1" s="1"/>
  <c r="T50" i="1"/>
  <c r="AB37" i="1"/>
  <c r="AK37" i="1" s="1"/>
  <c r="AB20" i="1"/>
  <c r="AK20" i="1" s="1"/>
  <c r="AB12" i="1"/>
  <c r="AK12" i="1" s="1"/>
  <c r="Q12" i="1"/>
  <c r="AD12" i="1" s="1"/>
  <c r="AB81" i="1"/>
  <c r="AK81" i="1" s="1"/>
  <c r="AB61" i="1"/>
  <c r="AK61" i="1" s="1"/>
  <c r="T8" i="1"/>
  <c r="AB57" i="1"/>
  <c r="AK57" i="1" s="1"/>
  <c r="T77" i="1"/>
  <c r="AB65" i="1"/>
  <c r="AK65" i="1" s="1"/>
  <c r="AB42" i="1"/>
  <c r="AK42" i="1" s="1"/>
  <c r="AB29" i="1"/>
  <c r="AK29" i="1" s="1"/>
  <c r="AB15" i="1"/>
  <c r="AK15" i="1" s="1"/>
  <c r="AB21" i="1"/>
  <c r="AK21" i="1" s="1"/>
  <c r="AB16" i="1"/>
  <c r="AK16" i="1" s="1"/>
  <c r="AB18" i="1"/>
  <c r="AK18" i="1" s="1"/>
  <c r="AB70" i="1"/>
  <c r="AK70" i="1" s="1"/>
  <c r="AB23" i="1"/>
  <c r="AK23" i="1" s="1"/>
  <c r="T46" i="1"/>
  <c r="AB71" i="1"/>
  <c r="AK71" i="1" s="1"/>
  <c r="AB22" i="1"/>
  <c r="AK22" i="1" s="1"/>
  <c r="T51" i="1"/>
  <c r="T6" i="1"/>
  <c r="AB78" i="1"/>
  <c r="AK78" i="1" s="1"/>
  <c r="AB31" i="1"/>
  <c r="AK31" i="1" s="1"/>
  <c r="T44" i="1"/>
  <c r="AB19" i="1"/>
  <c r="AK19" i="1" s="1"/>
  <c r="T48" i="1"/>
  <c r="T38" i="1"/>
  <c r="T33" i="1"/>
  <c r="AB62" i="1"/>
  <c r="AK62" i="1" s="1"/>
  <c r="AB6" i="1"/>
  <c r="AK6" i="1" s="1"/>
  <c r="Q6" i="1"/>
  <c r="AD6" i="1" s="1"/>
  <c r="T24" i="1"/>
  <c r="AB73" i="1"/>
  <c r="AK73" i="1" s="1"/>
  <c r="AB75" i="1"/>
  <c r="AK75" i="1" s="1"/>
  <c r="T16" i="1"/>
  <c r="AB44" i="1"/>
  <c r="AK44" i="1" s="1"/>
  <c r="AB59" i="1"/>
  <c r="AK59" i="1" s="1"/>
  <c r="AB7" i="1"/>
  <c r="AK7" i="1" s="1"/>
  <c r="Q7" i="1"/>
  <c r="AD7" i="1" s="1"/>
  <c r="AB69" i="1"/>
  <c r="AK69" i="1" s="1"/>
  <c r="AB49" i="1"/>
  <c r="AK49" i="1" s="1"/>
  <c r="AB68" i="1"/>
  <c r="AK68" i="1" s="1"/>
  <c r="T59" i="1"/>
  <c r="T52" i="1"/>
  <c r="AB77" i="1"/>
  <c r="AK77" i="1" s="1"/>
  <c r="AB63" i="1"/>
  <c r="AK63" i="1" s="1"/>
  <c r="AB43" i="1"/>
  <c r="AK43" i="1" s="1"/>
  <c r="AB72" i="1"/>
  <c r="AK72" i="1" s="1"/>
  <c r="AB13" i="1"/>
  <c r="AK13" i="1" s="1"/>
  <c r="Q13" i="1"/>
  <c r="AD13" i="1" s="1"/>
  <c r="T5" i="1"/>
  <c r="T49" i="1"/>
  <c r="AB48" i="1"/>
  <c r="AK48" i="1" s="1"/>
  <c r="T43" i="1"/>
  <c r="T18" i="1"/>
  <c r="T41" i="1"/>
  <c r="AB76" i="1"/>
  <c r="AK76" i="1" s="1"/>
  <c r="AB8" i="1"/>
  <c r="AK8" i="1" s="1"/>
  <c r="Q8" i="1"/>
  <c r="AD8" i="1" s="1"/>
  <c r="T9" i="1"/>
  <c r="AB74" i="1"/>
  <c r="AK74" i="1" s="1"/>
  <c r="AB79" i="1"/>
  <c r="AK79" i="1" s="1"/>
  <c r="T57" i="1"/>
  <c r="AB38" i="1"/>
  <c r="AK38" i="1" s="1"/>
  <c r="AB46" i="1"/>
  <c r="AK46" i="1" s="1"/>
  <c r="AB41" i="1"/>
  <c r="AK41" i="1" s="1"/>
  <c r="AB17" i="1"/>
  <c r="AK17" i="1" s="1"/>
  <c r="T69" i="1"/>
  <c r="T62" i="1"/>
  <c r="T13" i="1"/>
  <c r="AB36" i="1"/>
  <c r="AK36" i="1" s="1"/>
  <c r="AB34" i="1"/>
  <c r="AK34" i="1" s="1"/>
  <c r="AB45" i="1"/>
  <c r="AK45" i="1" s="1"/>
  <c r="H3" i="29"/>
  <c r="G16" i="49"/>
  <c r="G15" i="49"/>
  <c r="G11" i="50"/>
  <c r="G30" i="56"/>
  <c r="D34" i="50"/>
  <c r="D41" i="50" s="1"/>
  <c r="D14" i="50" s="1"/>
  <c r="F12" i="45"/>
  <c r="F26" i="49"/>
  <c r="F40" i="49"/>
  <c r="F13" i="49" s="1"/>
  <c r="F33" i="29"/>
  <c r="F40" i="29" s="1"/>
  <c r="F39" i="49"/>
  <c r="F12" i="49" s="1"/>
  <c r="F32" i="29"/>
  <c r="F39" i="29" s="1"/>
  <c r="D39" i="49"/>
  <c r="D12" i="49" s="1"/>
  <c r="D32" i="29"/>
  <c r="D39" i="29" s="1"/>
  <c r="F41" i="49"/>
  <c r="F14" i="49" s="1"/>
  <c r="F34" i="29"/>
  <c r="F41" i="29" s="1"/>
  <c r="F10" i="45"/>
  <c r="F26" i="45" s="1"/>
  <c r="F11" i="45"/>
  <c r="F38" i="49"/>
  <c r="F11" i="49" s="1"/>
  <c r="F31" i="29"/>
  <c r="F38" i="29" s="1"/>
  <c r="F13" i="45"/>
  <c r="F14" i="45"/>
  <c r="C30" i="29"/>
  <c r="I18" i="44"/>
  <c r="D40" i="55"/>
  <c r="D13" i="55" s="1"/>
  <c r="E40" i="45"/>
  <c r="E13" i="45" s="1"/>
  <c r="D40" i="46"/>
  <c r="D41" i="55"/>
  <c r="D14" i="55" s="1"/>
  <c r="G38" i="46"/>
  <c r="G11" i="46" s="1"/>
  <c r="H7" i="57"/>
  <c r="H7" i="45"/>
  <c r="D11" i="54"/>
  <c r="D41" i="44"/>
  <c r="D14" i="44" s="1"/>
  <c r="G41" i="45"/>
  <c r="G39" i="45"/>
  <c r="G12" i="45" s="1"/>
  <c r="G40" i="46"/>
  <c r="H7" i="55"/>
  <c r="D38" i="44"/>
  <c r="D11" i="44" s="1"/>
  <c r="G38" i="45"/>
  <c r="G11" i="45" s="1"/>
  <c r="H7" i="44"/>
  <c r="G30" i="29"/>
  <c r="G41" i="55"/>
  <c r="G40" i="55"/>
  <c r="G38" i="55"/>
  <c r="G11" i="55" s="1"/>
  <c r="E8" i="44"/>
  <c r="E30" i="44" s="1"/>
  <c r="E38" i="45"/>
  <c r="E11" i="45" s="1"/>
  <c r="E40" i="43"/>
  <c r="E13" i="43" s="1"/>
  <c r="E41" i="44"/>
  <c r="E41" i="45"/>
  <c r="E14" i="45" s="1"/>
  <c r="E39" i="44"/>
  <c r="E41" i="55"/>
  <c r="E14" i="55" s="1"/>
  <c r="E40" i="44"/>
  <c r="E39" i="55"/>
  <c r="E12" i="55" s="1"/>
  <c r="E38" i="44"/>
  <c r="H7" i="46"/>
  <c r="D30" i="44"/>
  <c r="D10" i="44"/>
  <c r="D26" i="44" s="1"/>
  <c r="D38" i="46"/>
  <c r="D41" i="43"/>
  <c r="D8" i="43"/>
  <c r="D30" i="43" s="1"/>
  <c r="G5" i="2"/>
  <c r="O5" i="2" s="1"/>
  <c r="D8" i="46"/>
  <c r="D10" i="46" s="1"/>
  <c r="D26" i="46" s="1"/>
  <c r="D39" i="44"/>
  <c r="D12" i="44" s="1"/>
  <c r="D40" i="44"/>
  <c r="D13" i="44" s="1"/>
  <c r="D5" i="3"/>
  <c r="D6" i="8" s="1"/>
  <c r="D8" i="57"/>
  <c r="H8" i="57" s="1"/>
  <c r="D39" i="46"/>
  <c r="Z244" i="28"/>
  <c r="AA244" i="28" s="1"/>
  <c r="Z252" i="28"/>
  <c r="AA252" i="28" s="1"/>
  <c r="Z203" i="28"/>
  <c r="AA203" i="28" s="1"/>
  <c r="Z61" i="28"/>
  <c r="AA61" i="28" s="1"/>
  <c r="Z51" i="28"/>
  <c r="AA51" i="28" s="1"/>
  <c r="D13" i="47"/>
  <c r="F12" i="44"/>
  <c r="Z15" i="28"/>
  <c r="AA15" i="28" s="1"/>
  <c r="Z162" i="28"/>
  <c r="AA162" i="28" s="1"/>
  <c r="D11" i="47"/>
  <c r="D12" i="50"/>
  <c r="Z222" i="28"/>
  <c r="AA222" i="28" s="1"/>
  <c r="Z170" i="28"/>
  <c r="AA170" i="28" s="1"/>
  <c r="F13" i="54"/>
  <c r="C10" i="55"/>
  <c r="C26" i="55" s="1"/>
  <c r="B40" i="45"/>
  <c r="B13" i="45" s="1"/>
  <c r="Z35" i="28"/>
  <c r="AA35" i="28" s="1"/>
  <c r="E14" i="54"/>
  <c r="Z188" i="28"/>
  <c r="AA188" i="28" s="1"/>
  <c r="Z10" i="28"/>
  <c r="AA10" i="28" s="1"/>
  <c r="E12" i="47"/>
  <c r="Z21" i="28"/>
  <c r="AA21" i="28" s="1"/>
  <c r="Z120" i="28"/>
  <c r="AA120" i="28" s="1"/>
  <c r="Z24" i="28"/>
  <c r="AA24" i="28" s="1"/>
  <c r="Z48" i="28"/>
  <c r="AA48" i="28" s="1"/>
  <c r="Z180" i="28"/>
  <c r="AA180" i="28" s="1"/>
  <c r="Z29" i="28"/>
  <c r="AA29" i="28" s="1"/>
  <c r="E13" i="47"/>
  <c r="Z164" i="28"/>
  <c r="AA164" i="28" s="1"/>
  <c r="Z116" i="28"/>
  <c r="AA116" i="28" s="1"/>
  <c r="D13" i="54"/>
  <c r="D14" i="47"/>
  <c r="Z224" i="28"/>
  <c r="AA224" i="28" s="1"/>
  <c r="Z142" i="28"/>
  <c r="AA142" i="28" s="1"/>
  <c r="Z220" i="28"/>
  <c r="AA220" i="28" s="1"/>
  <c r="Z186" i="28"/>
  <c r="AA186" i="28" s="1"/>
  <c r="Z182" i="28"/>
  <c r="AA182" i="28" s="1"/>
  <c r="Z134" i="28"/>
  <c r="AA134" i="28" s="1"/>
  <c r="Z82" i="28"/>
  <c r="AA82" i="28" s="1"/>
  <c r="Z64" i="28"/>
  <c r="AA64" i="28" s="1"/>
  <c r="Z16" i="28"/>
  <c r="AA16" i="28" s="1"/>
  <c r="D12" i="54"/>
  <c r="Z26" i="28"/>
  <c r="AA26" i="28" s="1"/>
  <c r="C14" i="55"/>
  <c r="Z19" i="28"/>
  <c r="AA19" i="28" s="1"/>
  <c r="Z74" i="28"/>
  <c r="AA74" i="28" s="1"/>
  <c r="Z106" i="28"/>
  <c r="AA106" i="28" s="1"/>
  <c r="Z178" i="28"/>
  <c r="AA178" i="28" s="1"/>
  <c r="Z211" i="28"/>
  <c r="AA211" i="28" s="1"/>
  <c r="Z52" i="28"/>
  <c r="AA52" i="28" s="1"/>
  <c r="Z158" i="28"/>
  <c r="AA158" i="28" s="1"/>
  <c r="C13" i="55"/>
  <c r="Z40" i="28"/>
  <c r="AA40" i="28" s="1"/>
  <c r="Z31" i="28"/>
  <c r="AA31" i="28" s="1"/>
  <c r="C12" i="55"/>
  <c r="Z43" i="28"/>
  <c r="AA43" i="28" s="1"/>
  <c r="C13" i="47"/>
  <c r="C12" i="47"/>
  <c r="Z69" i="28"/>
  <c r="AA69" i="28" s="1"/>
  <c r="Z199" i="28"/>
  <c r="AA199" i="28" s="1"/>
  <c r="Z104" i="28"/>
  <c r="AA104" i="28" s="1"/>
  <c r="E11" i="47"/>
  <c r="C11" i="47"/>
  <c r="F30" i="47"/>
  <c r="G30" i="44"/>
  <c r="Z114" i="28"/>
  <c r="AA114" i="28" s="1"/>
  <c r="Z18" i="28"/>
  <c r="AA18" i="28" s="1"/>
  <c r="Z189" i="28"/>
  <c r="AA189" i="28" s="1"/>
  <c r="Z205" i="28"/>
  <c r="AA205" i="28" s="1"/>
  <c r="C14" i="47"/>
  <c r="G30" i="49"/>
  <c r="Z184" i="28"/>
  <c r="AA184" i="28" s="1"/>
  <c r="Z163" i="28"/>
  <c r="AA163" i="28" s="1"/>
  <c r="D12" i="47"/>
  <c r="F11" i="44"/>
  <c r="C11" i="55"/>
  <c r="E30" i="43"/>
  <c r="Z246" i="28"/>
  <c r="AA246" i="28" s="1"/>
  <c r="Z225" i="28"/>
  <c r="AA225" i="28" s="1"/>
  <c r="Z87" i="28"/>
  <c r="AA87" i="28" s="1"/>
  <c r="Z59" i="28"/>
  <c r="AA59" i="28" s="1"/>
  <c r="G12" i="46"/>
  <c r="Z60" i="28"/>
  <c r="AA60" i="28" s="1"/>
  <c r="Z245" i="28"/>
  <c r="AA245" i="28" s="1"/>
  <c r="G12" i="44"/>
  <c r="G10" i="44"/>
  <c r="G26" i="44" s="1"/>
  <c r="E12" i="54"/>
  <c r="E12" i="45"/>
  <c r="E13" i="54"/>
  <c r="B10" i="44"/>
  <c r="B26" i="44" s="1"/>
  <c r="Z39" i="28"/>
  <c r="AA39" i="28" s="1"/>
  <c r="E11" i="54"/>
  <c r="E10" i="54"/>
  <c r="E26" i="54" s="1"/>
  <c r="Z133" i="28"/>
  <c r="AA133" i="28" s="1"/>
  <c r="G11" i="44"/>
  <c r="G30" i="45"/>
  <c r="Z33" i="28"/>
  <c r="AA33" i="28" s="1"/>
  <c r="Z46" i="28"/>
  <c r="AA46" i="28" s="1"/>
  <c r="Z119" i="28"/>
  <c r="AA119" i="28" s="1"/>
  <c r="D12" i="45"/>
  <c r="D11" i="45"/>
  <c r="E13" i="46"/>
  <c r="G10" i="45"/>
  <c r="G26" i="45" s="1"/>
  <c r="Z156" i="28"/>
  <c r="AA156" i="28" s="1"/>
  <c r="Z77" i="28"/>
  <c r="AA77" i="28" s="1"/>
  <c r="G12" i="47"/>
  <c r="F13" i="44"/>
  <c r="F14" i="43"/>
  <c r="F14" i="44"/>
  <c r="G11" i="47"/>
  <c r="F12" i="43"/>
  <c r="F11" i="43"/>
  <c r="F11" i="54"/>
  <c r="F30" i="43"/>
  <c r="G10" i="49"/>
  <c r="Z71" i="28"/>
  <c r="AA71" i="28" s="1"/>
  <c r="Z207" i="28"/>
  <c r="AA207" i="28" s="1"/>
  <c r="Z179" i="28"/>
  <c r="AA179" i="28" s="1"/>
  <c r="Z200" i="28"/>
  <c r="AA200" i="28" s="1"/>
  <c r="Z129" i="28"/>
  <c r="AA129" i="28" s="1"/>
  <c r="Z67" i="28"/>
  <c r="AA67" i="28" s="1"/>
  <c r="Z191" i="28"/>
  <c r="AA191" i="28" s="1"/>
  <c r="Z198" i="28"/>
  <c r="AA198" i="28" s="1"/>
  <c r="Z113" i="28"/>
  <c r="AA113" i="28" s="1"/>
  <c r="Z36" i="28"/>
  <c r="AA36" i="28" s="1"/>
  <c r="Z55" i="28"/>
  <c r="AA55" i="28" s="1"/>
  <c r="Z34" i="28"/>
  <c r="AA34" i="28" s="1"/>
  <c r="Z176" i="28"/>
  <c r="AA176" i="28" s="1"/>
  <c r="Z112" i="28"/>
  <c r="AA112" i="28" s="1"/>
  <c r="Z25" i="28"/>
  <c r="AA25" i="28" s="1"/>
  <c r="Z204" i="28"/>
  <c r="AA204" i="28" s="1"/>
  <c r="Z12" i="28"/>
  <c r="AA12" i="28" s="1"/>
  <c r="Z143" i="28"/>
  <c r="AA143" i="28" s="1"/>
  <c r="Z161" i="28"/>
  <c r="AA161" i="28" s="1"/>
  <c r="Z131" i="28"/>
  <c r="AA131" i="28" s="1"/>
  <c r="Z50" i="28"/>
  <c r="AA50" i="28" s="1"/>
  <c r="Z13" i="28"/>
  <c r="AA13" i="28" s="1"/>
  <c r="Z183" i="28"/>
  <c r="AA183" i="28" s="1"/>
  <c r="Z223" i="28"/>
  <c r="AA223" i="28" s="1"/>
  <c r="Z238" i="28"/>
  <c r="AA238" i="28" s="1"/>
  <c r="Z172" i="28"/>
  <c r="AA172" i="28" s="1"/>
  <c r="Z44" i="28"/>
  <c r="AA44" i="28" s="1"/>
  <c r="Z28" i="28"/>
  <c r="AA28" i="28" s="1"/>
  <c r="Z115" i="28"/>
  <c r="AA115" i="28" s="1"/>
  <c r="Z241" i="28"/>
  <c r="AA241" i="28" s="1"/>
  <c r="Z79" i="28"/>
  <c r="AA79" i="28" s="1"/>
  <c r="Z174" i="28"/>
  <c r="AA174" i="28" s="1"/>
  <c r="Z122" i="28"/>
  <c r="AA122" i="28" s="1"/>
  <c r="Z117" i="28"/>
  <c r="AA117" i="28" s="1"/>
  <c r="Z72" i="28"/>
  <c r="AA72" i="28" s="1"/>
  <c r="Z155" i="28"/>
  <c r="AA155" i="28" s="1"/>
  <c r="B31" i="50"/>
  <c r="B38" i="50" s="1"/>
  <c r="B11" i="50" s="1"/>
  <c r="Z96" i="28"/>
  <c r="AA96" i="28" s="1"/>
  <c r="Z92" i="28"/>
  <c r="AA92" i="28" s="1"/>
  <c r="Z85" i="28"/>
  <c r="AA85" i="28" s="1"/>
  <c r="Z98" i="28"/>
  <c r="AA98" i="28" s="1"/>
  <c r="Z22" i="28"/>
  <c r="AA22" i="28" s="1"/>
  <c r="Z17" i="28"/>
  <c r="AA17" i="28" s="1"/>
  <c r="I19" i="43"/>
  <c r="B12" i="55"/>
  <c r="B40" i="55"/>
  <c r="B13" i="55" s="1"/>
  <c r="G12" i="55"/>
  <c r="B10" i="55"/>
  <c r="B26" i="55" s="1"/>
  <c r="Z123" i="28"/>
  <c r="AA123" i="28" s="1"/>
  <c r="Z54" i="28"/>
  <c r="AA54" i="28" s="1"/>
  <c r="Z49" i="28"/>
  <c r="AA49" i="28" s="1"/>
  <c r="Z42" i="28"/>
  <c r="AA42" i="28" s="1"/>
  <c r="Z251" i="28"/>
  <c r="AA251" i="28" s="1"/>
  <c r="Z165" i="28"/>
  <c r="AA165" i="28" s="1"/>
  <c r="B11" i="55"/>
  <c r="C14" i="54"/>
  <c r="C11" i="50"/>
  <c r="E11" i="46"/>
  <c r="E12" i="46"/>
  <c r="E30" i="46"/>
  <c r="Z217" i="28"/>
  <c r="AA217" i="28" s="1"/>
  <c r="Z103" i="28"/>
  <c r="AA103" i="28" s="1"/>
  <c r="Z187" i="28"/>
  <c r="AA187" i="28" s="1"/>
  <c r="Z167" i="28"/>
  <c r="AA167" i="28" s="1"/>
  <c r="Z242" i="28"/>
  <c r="AA242" i="28" s="1"/>
  <c r="Z210" i="28"/>
  <c r="AA210" i="28" s="1"/>
  <c r="Z66" i="28"/>
  <c r="AA66" i="28" s="1"/>
  <c r="Z237" i="28"/>
  <c r="AA237" i="28" s="1"/>
  <c r="Z141" i="28"/>
  <c r="AA141" i="28" s="1"/>
  <c r="Z109" i="28"/>
  <c r="AA109" i="28" s="1"/>
  <c r="Z93" i="28"/>
  <c r="AA93" i="28" s="1"/>
  <c r="Z160" i="28"/>
  <c r="AA160" i="28" s="1"/>
  <c r="Z32" i="28"/>
  <c r="AA32" i="28" s="1"/>
  <c r="Z219" i="28"/>
  <c r="AA219" i="28" s="1"/>
  <c r="G12" i="54"/>
  <c r="E14" i="46"/>
  <c r="B14" i="55"/>
  <c r="D14" i="54"/>
  <c r="Z89" i="28"/>
  <c r="AA89" i="28" s="1"/>
  <c r="Z125" i="28"/>
  <c r="AA125" i="28" s="1"/>
  <c r="Z62" i="28"/>
  <c r="AA62" i="28" s="1"/>
  <c r="Z30" i="28"/>
  <c r="AA30" i="28" s="1"/>
  <c r="Z201" i="28"/>
  <c r="AA201" i="28" s="1"/>
  <c r="Z153" i="28"/>
  <c r="AA153" i="28" s="1"/>
  <c r="Z108" i="28"/>
  <c r="AA108" i="28" s="1"/>
  <c r="Z185" i="28"/>
  <c r="AA185" i="28" s="1"/>
  <c r="Z137" i="28"/>
  <c r="AA137" i="28" s="1"/>
  <c r="Z110" i="28"/>
  <c r="AA110" i="28" s="1"/>
  <c r="Z56" i="28"/>
  <c r="AA56" i="28" s="1"/>
  <c r="Z138" i="28"/>
  <c r="AA138" i="28" s="1"/>
  <c r="Z135" i="28"/>
  <c r="AA135" i="28" s="1"/>
  <c r="Z45" i="28"/>
  <c r="AA45" i="28" s="1"/>
  <c r="Z127" i="28"/>
  <c r="AA127" i="28" s="1"/>
  <c r="Z14" i="28"/>
  <c r="AA14" i="28" s="1"/>
  <c r="Z57" i="28"/>
  <c r="AA57" i="28" s="1"/>
  <c r="Z91" i="28"/>
  <c r="AA91" i="28" s="1"/>
  <c r="Z105" i="28"/>
  <c r="AA105" i="28" s="1"/>
  <c r="Z90" i="28"/>
  <c r="AA90" i="28" s="1"/>
  <c r="Z27" i="28"/>
  <c r="AA27" i="28" s="1"/>
  <c r="Z58" i="28"/>
  <c r="AA58" i="28" s="1"/>
  <c r="Z75" i="28"/>
  <c r="AA75" i="28" s="1"/>
  <c r="Z38" i="28"/>
  <c r="AA38" i="28" s="1"/>
  <c r="Z83" i="28"/>
  <c r="AA83" i="28" s="1"/>
  <c r="I18" i="43"/>
  <c r="Z175" i="28"/>
  <c r="AA175" i="28" s="1"/>
  <c r="Z168" i="28"/>
  <c r="AA168" i="28" s="1"/>
  <c r="Z236" i="28"/>
  <c r="AA236" i="28" s="1"/>
  <c r="Z53" i="28"/>
  <c r="AA53" i="28" s="1"/>
  <c r="Z149" i="28"/>
  <c r="AA149" i="28" s="1"/>
  <c r="Z63" i="28"/>
  <c r="AA63" i="28" s="1"/>
  <c r="Z215" i="28"/>
  <c r="AA215" i="28" s="1"/>
  <c r="Z151" i="28"/>
  <c r="AA151" i="28" s="1"/>
  <c r="Z243" i="28"/>
  <c r="AA243" i="28" s="1"/>
  <c r="Z169" i="28"/>
  <c r="AA169" i="28" s="1"/>
  <c r="Z95" i="28"/>
  <c r="AA95" i="28" s="1"/>
  <c r="Z250" i="28"/>
  <c r="AA250" i="28" s="1"/>
  <c r="Z247" i="28"/>
  <c r="AA247" i="28" s="1"/>
  <c r="Z239" i="28"/>
  <c r="AA239" i="28" s="1"/>
  <c r="Z202" i="28"/>
  <c r="AA202" i="28" s="1"/>
  <c r="Z213" i="28"/>
  <c r="AA213" i="28" s="1"/>
  <c r="Z111" i="28"/>
  <c r="AA111" i="28" s="1"/>
  <c r="Z240" i="28"/>
  <c r="AA240" i="28" s="1"/>
  <c r="Z159" i="28"/>
  <c r="AA159" i="28" s="1"/>
  <c r="Z88" i="28"/>
  <c r="AA88" i="28" s="1"/>
  <c r="Z166" i="28"/>
  <c r="AA166" i="28" s="1"/>
  <c r="Z102" i="28"/>
  <c r="AA102" i="28" s="1"/>
  <c r="Z86" i="28"/>
  <c r="AA86" i="28" s="1"/>
  <c r="Z145" i="28"/>
  <c r="AA145" i="28" s="1"/>
  <c r="Z81" i="28"/>
  <c r="AA81" i="28" s="1"/>
  <c r="Z65" i="28"/>
  <c r="AA65" i="28" s="1"/>
  <c r="Z132" i="28"/>
  <c r="AA132" i="28" s="1"/>
  <c r="Z68" i="28"/>
  <c r="AA68" i="28" s="1"/>
  <c r="Z20" i="28"/>
  <c r="AA20" i="28" s="1"/>
  <c r="Z147" i="28"/>
  <c r="AA147" i="28" s="1"/>
  <c r="Z253" i="28"/>
  <c r="AA253" i="28" s="1"/>
  <c r="Z190" i="28"/>
  <c r="AA190" i="28" s="1"/>
  <c r="Z99" i="28"/>
  <c r="AA99" i="28" s="1"/>
  <c r="Z128" i="28"/>
  <c r="AA128" i="28" s="1"/>
  <c r="Z136" i="28"/>
  <c r="AA136" i="28" s="1"/>
  <c r="Z84" i="28"/>
  <c r="AA84" i="28" s="1"/>
  <c r="Z124" i="28"/>
  <c r="AA124" i="28" s="1"/>
  <c r="Z11" i="28"/>
  <c r="AA11" i="28" s="1"/>
  <c r="Z194" i="28"/>
  <c r="AA194" i="28" s="1"/>
  <c r="Z146" i="28"/>
  <c r="AA146" i="28" s="1"/>
  <c r="Z130" i="28"/>
  <c r="AA130" i="28" s="1"/>
  <c r="Z173" i="28"/>
  <c r="AA173" i="28" s="1"/>
  <c r="Z157" i="28"/>
  <c r="AA157" i="28" s="1"/>
  <c r="Z208" i="28"/>
  <c r="AA208" i="28" s="1"/>
  <c r="Z192" i="28"/>
  <c r="AA192" i="28" s="1"/>
  <c r="Z144" i="28"/>
  <c r="AA144" i="28" s="1"/>
  <c r="Z80" i="28"/>
  <c r="AA80" i="28" s="1"/>
  <c r="E16" i="47"/>
  <c r="H15" i="43"/>
  <c r="J15" i="43" s="1"/>
  <c r="E15" i="56"/>
  <c r="H15" i="56" s="1"/>
  <c r="J15" i="56" s="1"/>
  <c r="F11" i="50"/>
  <c r="F13" i="50"/>
  <c r="F10" i="54"/>
  <c r="F26" i="54" s="1"/>
  <c r="D10" i="49"/>
  <c r="E30" i="55"/>
  <c r="F12" i="54"/>
  <c r="E13" i="55"/>
  <c r="B11" i="47"/>
  <c r="E14" i="47"/>
  <c r="B40" i="47"/>
  <c r="B13" i="47" s="1"/>
  <c r="E11" i="55"/>
  <c r="B12" i="47"/>
  <c r="F14" i="47"/>
  <c r="E10" i="47"/>
  <c r="E26" i="47" s="1"/>
  <c r="B14" i="47"/>
  <c r="C13" i="45"/>
  <c r="F14" i="54"/>
  <c r="F11" i="47"/>
  <c r="G10" i="55"/>
  <c r="G26" i="55" s="1"/>
  <c r="B10" i="47"/>
  <c r="B26" i="47" s="1"/>
  <c r="C10" i="47"/>
  <c r="C26" i="47" s="1"/>
  <c r="Z23" i="28"/>
  <c r="AA23" i="28" s="1"/>
  <c r="B14" i="44"/>
  <c r="C11" i="54"/>
  <c r="F11" i="46"/>
  <c r="F12" i="46"/>
  <c r="G11" i="54"/>
  <c r="G30" i="47"/>
  <c r="F10" i="46"/>
  <c r="F26" i="46" s="1"/>
  <c r="Z154" i="28"/>
  <c r="AA154" i="28" s="1"/>
  <c r="Z218" i="28"/>
  <c r="AA218" i="28" s="1"/>
  <c r="Z121" i="28"/>
  <c r="AA121" i="28" s="1"/>
  <c r="Z41" i="28"/>
  <c r="AA41" i="28" s="1"/>
  <c r="D14" i="45"/>
  <c r="C11" i="43"/>
  <c r="C12" i="43"/>
  <c r="D11" i="55"/>
  <c r="Z94" i="28"/>
  <c r="AA94" i="28" s="1"/>
  <c r="Z197" i="28"/>
  <c r="AA197" i="28" s="1"/>
  <c r="F14" i="46"/>
  <c r="B11" i="44"/>
  <c r="F13" i="46"/>
  <c r="D13" i="45"/>
  <c r="Z73" i="28"/>
  <c r="AA73" i="28" s="1"/>
  <c r="Z107" i="28"/>
  <c r="AA107" i="28" s="1"/>
  <c r="Z78" i="28"/>
  <c r="AA78" i="28" s="1"/>
  <c r="Z76" i="28"/>
  <c r="AA76" i="28" s="1"/>
  <c r="Z47" i="28"/>
  <c r="AA47" i="28" s="1"/>
  <c r="Z140" i="28"/>
  <c r="AA140" i="28" s="1"/>
  <c r="Z214" i="28"/>
  <c r="AA214" i="28" s="1"/>
  <c r="Z150" i="28"/>
  <c r="AA150" i="28" s="1"/>
  <c r="Z70" i="28"/>
  <c r="AA70" i="28" s="1"/>
  <c r="Z209" i="28"/>
  <c r="AA209" i="28" s="1"/>
  <c r="Z193" i="28"/>
  <c r="AA193" i="28" s="1"/>
  <c r="Z97" i="28"/>
  <c r="AA97" i="28" s="1"/>
  <c r="Z148" i="28"/>
  <c r="AA148" i="28" s="1"/>
  <c r="Z100" i="28"/>
  <c r="AA100" i="28" s="1"/>
  <c r="B33" i="50"/>
  <c r="B40" i="50" s="1"/>
  <c r="B13" i="50" s="1"/>
  <c r="B12" i="46"/>
  <c r="B11" i="46"/>
  <c r="C10" i="43"/>
  <c r="C26" i="43" s="1"/>
  <c r="C10" i="50"/>
  <c r="C26" i="50" s="1"/>
  <c r="B40" i="46"/>
  <c r="B13" i="46" s="1"/>
  <c r="B14" i="46"/>
  <c r="B12" i="44"/>
  <c r="B40" i="44"/>
  <c r="B13" i="44" s="1"/>
  <c r="Z118" i="28"/>
  <c r="AA118" i="28" s="1"/>
  <c r="Z177" i="28"/>
  <c r="AA177" i="28" s="1"/>
  <c r="Z139" i="28"/>
  <c r="AA139" i="28" s="1"/>
  <c r="Z101" i="28"/>
  <c r="AA101" i="28" s="1"/>
  <c r="Z126" i="28"/>
  <c r="AA126" i="28" s="1"/>
  <c r="Z248" i="28"/>
  <c r="AA248" i="28" s="1"/>
  <c r="Z152" i="28"/>
  <c r="AA152" i="28" s="1"/>
  <c r="Z171" i="28"/>
  <c r="AA171" i="28" s="1"/>
  <c r="Z37" i="28"/>
  <c r="AA37" i="28" s="1"/>
  <c r="Z206" i="28"/>
  <c r="AA206" i="28" s="1"/>
  <c r="Z249" i="28"/>
  <c r="AA249" i="28" s="1"/>
  <c r="Z181" i="28"/>
  <c r="AA181" i="28" s="1"/>
  <c r="Z196" i="28"/>
  <c r="AA196" i="28" s="1"/>
  <c r="Z221" i="28"/>
  <c r="AA221" i="28" s="1"/>
  <c r="Z195" i="28"/>
  <c r="AA195" i="28" s="1"/>
  <c r="B20" i="55"/>
  <c r="B20" i="54"/>
  <c r="C23" i="2"/>
  <c r="E31" i="50"/>
  <c r="E38" i="50" s="1"/>
  <c r="E11" i="50" s="1"/>
  <c r="F13" i="47"/>
  <c r="C11" i="45"/>
  <c r="C10" i="44"/>
  <c r="C26" i="44" s="1"/>
  <c r="F10" i="50"/>
  <c r="F26" i="50" s="1"/>
  <c r="E10" i="50"/>
  <c r="E26" i="50" s="1"/>
  <c r="D12" i="55"/>
  <c r="C11" i="44"/>
  <c r="F12" i="50"/>
  <c r="B11" i="45"/>
  <c r="B30" i="49"/>
  <c r="B11" i="54"/>
  <c r="C14" i="45"/>
  <c r="C12" i="54"/>
  <c r="C13" i="54"/>
  <c r="B12" i="45"/>
  <c r="C12" i="45"/>
  <c r="B12" i="54"/>
  <c r="B14" i="54"/>
  <c r="B14" i="45"/>
  <c r="F14" i="50"/>
  <c r="C13" i="44"/>
  <c r="C10" i="45"/>
  <c r="C26" i="45" s="1"/>
  <c r="D30" i="47"/>
  <c r="D10" i="47"/>
  <c r="D26" i="47" s="1"/>
  <c r="C12" i="44"/>
  <c r="C14" i="44"/>
  <c r="B40" i="54"/>
  <c r="B13" i="54" s="1"/>
  <c r="F12" i="47"/>
  <c r="F30" i="44"/>
  <c r="F10" i="44"/>
  <c r="F26" i="44" s="1"/>
  <c r="F34" i="57"/>
  <c r="F41" i="57" s="1"/>
  <c r="B26" i="45"/>
  <c r="B26" i="49"/>
  <c r="F32" i="57"/>
  <c r="F39" i="57" s="1"/>
  <c r="E30" i="49"/>
  <c r="E10" i="49"/>
  <c r="H30" i="21"/>
  <c r="H22" i="21"/>
  <c r="D11" i="50"/>
  <c r="C14" i="46"/>
  <c r="D10" i="45"/>
  <c r="D26" i="45" s="1"/>
  <c r="H8" i="54"/>
  <c r="B10" i="54"/>
  <c r="H8" i="47"/>
  <c r="C11" i="46"/>
  <c r="B10" i="56"/>
  <c r="B30" i="56"/>
  <c r="H8" i="56"/>
  <c r="C10" i="49"/>
  <c r="H8" i="45"/>
  <c r="E30" i="45"/>
  <c r="E10" i="45"/>
  <c r="E26" i="45" s="1"/>
  <c r="H8" i="29"/>
  <c r="H8" i="49"/>
  <c r="D30" i="54"/>
  <c r="D10" i="54"/>
  <c r="D26" i="54" s="1"/>
  <c r="B30" i="54"/>
  <c r="C10" i="54"/>
  <c r="C26" i="54" s="1"/>
  <c r="D30" i="55"/>
  <c r="D10" i="55"/>
  <c r="D26" i="55" s="1"/>
  <c r="G30" i="50"/>
  <c r="G10" i="50"/>
  <c r="G26" i="50" s="1"/>
  <c r="G30" i="46"/>
  <c r="G10" i="46"/>
  <c r="G26" i="46" s="1"/>
  <c r="G25" i="46"/>
  <c r="G30" i="43"/>
  <c r="F33" i="57"/>
  <c r="F40" i="57" s="1"/>
  <c r="G10" i="43"/>
  <c r="B30" i="29"/>
  <c r="B18" i="9"/>
  <c r="B5" i="2"/>
  <c r="G10" i="47"/>
  <c r="G26" i="47" s="1"/>
  <c r="B26" i="43"/>
  <c r="D32" i="57"/>
  <c r="D39" i="57" s="1"/>
  <c r="D30" i="50"/>
  <c r="I19" i="46"/>
  <c r="I18" i="46"/>
  <c r="H16" i="46"/>
  <c r="J16" i="46" s="1"/>
  <c r="G30" i="54"/>
  <c r="G10" i="54"/>
  <c r="G26" i="54" s="1"/>
  <c r="G25" i="54"/>
  <c r="C10" i="46"/>
  <c r="C26" i="46" s="1"/>
  <c r="H8" i="55"/>
  <c r="C13" i="46"/>
  <c r="F31" i="57"/>
  <c r="F38" i="57" s="1"/>
  <c r="C12" i="46"/>
  <c r="B30" i="45"/>
  <c r="H8" i="50"/>
  <c r="B30" i="50"/>
  <c r="B10" i="50"/>
  <c r="B10" i="29" s="1"/>
  <c r="B30" i="46"/>
  <c r="B10" i="46"/>
  <c r="G30" i="55"/>
  <c r="E26" i="43"/>
  <c r="B25" i="43"/>
  <c r="B39" i="43"/>
  <c r="B12" i="43" s="1"/>
  <c r="E39" i="43"/>
  <c r="E12" i="43" s="1"/>
  <c r="F25" i="55"/>
  <c r="F24" i="55"/>
  <c r="B32" i="56"/>
  <c r="B39" i="56" s="1"/>
  <c r="F17" i="55"/>
  <c r="F18" i="55" s="1"/>
  <c r="E32" i="56"/>
  <c r="E39" i="56" s="1"/>
  <c r="E33" i="56"/>
  <c r="E40" i="56" s="1"/>
  <c r="D39" i="43"/>
  <c r="D32" i="56"/>
  <c r="D39" i="56" s="1"/>
  <c r="B33" i="56"/>
  <c r="B40" i="56" s="1"/>
  <c r="B38" i="43"/>
  <c r="B11" i="43" s="1"/>
  <c r="B31" i="56"/>
  <c r="B38" i="56" s="1"/>
  <c r="B34" i="56"/>
  <c r="B41" i="56" s="1"/>
  <c r="C41" i="43"/>
  <c r="C14" i="43" s="1"/>
  <c r="F34" i="56"/>
  <c r="F41" i="56" s="1"/>
  <c r="D40" i="43"/>
  <c r="E34" i="56"/>
  <c r="E41" i="56" s="1"/>
  <c r="E41" i="43"/>
  <c r="E14" i="43" s="1"/>
  <c r="G39" i="43"/>
  <c r="G12" i="43" s="1"/>
  <c r="F31" i="56"/>
  <c r="F38" i="56" s="1"/>
  <c r="G40" i="43"/>
  <c r="C40" i="43"/>
  <c r="C13" i="43" s="1"/>
  <c r="E38" i="43"/>
  <c r="E11" i="43" s="1"/>
  <c r="E31" i="56"/>
  <c r="E38" i="56" s="1"/>
  <c r="F32" i="56"/>
  <c r="F39" i="56" s="1"/>
  <c r="F40" i="43"/>
  <c r="F13" i="43" s="1"/>
  <c r="F33" i="56"/>
  <c r="F40" i="56" s="1"/>
  <c r="G38" i="43"/>
  <c r="G11" i="43" s="1"/>
  <c r="G34" i="50" l="1"/>
  <c r="G41" i="50" s="1"/>
  <c r="G14" i="50" s="1"/>
  <c r="G33" i="50"/>
  <c r="G40" i="50" s="1"/>
  <c r="G13" i="50" s="1"/>
  <c r="G15" i="29"/>
  <c r="G15" i="57"/>
  <c r="G16" i="29"/>
  <c r="G16" i="57"/>
  <c r="G34" i="49"/>
  <c r="G41" i="49" s="1"/>
  <c r="G14" i="49" s="1"/>
  <c r="G31" i="49"/>
  <c r="D12" i="29"/>
  <c r="F17" i="45"/>
  <c r="F18" i="45" s="1"/>
  <c r="F24" i="45"/>
  <c r="F25" i="45"/>
  <c r="D34" i="57"/>
  <c r="D41" i="57" s="1"/>
  <c r="C33" i="50"/>
  <c r="C40" i="50" s="1"/>
  <c r="C13" i="50" s="1"/>
  <c r="F13" i="29"/>
  <c r="D34" i="56"/>
  <c r="D41" i="56" s="1"/>
  <c r="C41" i="49"/>
  <c r="C14" i="49" s="1"/>
  <c r="F14" i="29"/>
  <c r="D33" i="50"/>
  <c r="D40" i="50" s="1"/>
  <c r="D13" i="50" s="1"/>
  <c r="D17" i="50" s="1"/>
  <c r="D18" i="50" s="1"/>
  <c r="H8" i="43"/>
  <c r="G26" i="49"/>
  <c r="G10" i="29"/>
  <c r="G26" i="29" s="1"/>
  <c r="C26" i="49"/>
  <c r="C10" i="29"/>
  <c r="C26" i="29" s="1"/>
  <c r="F17" i="49"/>
  <c r="F18" i="49" s="1"/>
  <c r="E26" i="49"/>
  <c r="E10" i="29"/>
  <c r="E26" i="29" s="1"/>
  <c r="D26" i="49"/>
  <c r="D10" i="29"/>
  <c r="D26" i="29" s="1"/>
  <c r="F12" i="29"/>
  <c r="F10" i="29"/>
  <c r="F26" i="29" s="1"/>
  <c r="D41" i="49"/>
  <c r="D14" i="49" s="1"/>
  <c r="D14" i="29" s="1"/>
  <c r="D34" i="29"/>
  <c r="D41" i="29" s="1"/>
  <c r="F24" i="49"/>
  <c r="F25" i="49"/>
  <c r="F11" i="29"/>
  <c r="D31" i="49"/>
  <c r="D31" i="56" s="1"/>
  <c r="D38" i="56" s="1"/>
  <c r="E10" i="44"/>
  <c r="E26" i="44" s="1"/>
  <c r="C31" i="49"/>
  <c r="E13" i="44"/>
  <c r="E13" i="56" s="1"/>
  <c r="E12" i="44"/>
  <c r="E12" i="56" s="1"/>
  <c r="E14" i="44"/>
  <c r="H14" i="44" s="1"/>
  <c r="J14" i="44" s="1"/>
  <c r="H5" i="3"/>
  <c r="D14" i="43"/>
  <c r="H14" i="43" s="1"/>
  <c r="J14" i="43" s="1"/>
  <c r="H8" i="44"/>
  <c r="D10" i="43"/>
  <c r="D26" i="43" s="1"/>
  <c r="D30" i="46"/>
  <c r="C33" i="49"/>
  <c r="D33" i="49"/>
  <c r="E11" i="44"/>
  <c r="E31" i="49"/>
  <c r="D13" i="43"/>
  <c r="D12" i="43"/>
  <c r="D11" i="43"/>
  <c r="H11" i="43" s="1"/>
  <c r="G32" i="49"/>
  <c r="G32" i="29" s="1"/>
  <c r="D25" i="44"/>
  <c r="D17" i="44"/>
  <c r="D18" i="44" s="1"/>
  <c r="D11" i="46"/>
  <c r="H8" i="46"/>
  <c r="D24" i="44"/>
  <c r="D14" i="46"/>
  <c r="D12" i="46"/>
  <c r="H12" i="46" s="1"/>
  <c r="J12" i="46" s="1"/>
  <c r="L15" i="46" s="1"/>
  <c r="L16" i="46" s="1"/>
  <c r="D13" i="46"/>
  <c r="D25" i="47"/>
  <c r="C25" i="47"/>
  <c r="F25" i="44"/>
  <c r="F25" i="54"/>
  <c r="B25" i="45"/>
  <c r="C25" i="55"/>
  <c r="E25" i="54"/>
  <c r="F30" i="57"/>
  <c r="C24" i="47"/>
  <c r="D25" i="54"/>
  <c r="E25" i="47"/>
  <c r="E24" i="54"/>
  <c r="C17" i="47"/>
  <c r="C18" i="47" s="1"/>
  <c r="C24" i="55"/>
  <c r="C17" i="55"/>
  <c r="C18" i="55" s="1"/>
  <c r="H10" i="55"/>
  <c r="J10" i="55" s="1"/>
  <c r="G17" i="46"/>
  <c r="G18" i="46" s="1"/>
  <c r="D30" i="57"/>
  <c r="G24" i="44"/>
  <c r="F10" i="56"/>
  <c r="F26" i="56" s="1"/>
  <c r="F17" i="44"/>
  <c r="F18" i="44" s="1"/>
  <c r="G24" i="45"/>
  <c r="E25" i="46"/>
  <c r="B10" i="57"/>
  <c r="B26" i="57" s="1"/>
  <c r="G17" i="44"/>
  <c r="G18" i="44" s="1"/>
  <c r="G17" i="45"/>
  <c r="G18" i="45" s="1"/>
  <c r="G24" i="47"/>
  <c r="B31" i="49"/>
  <c r="C25" i="54"/>
  <c r="E24" i="45"/>
  <c r="E17" i="46"/>
  <c r="E18" i="46" s="1"/>
  <c r="B24" i="55"/>
  <c r="B25" i="55"/>
  <c r="E17" i="45"/>
  <c r="E18" i="45" s="1"/>
  <c r="E25" i="45"/>
  <c r="B17" i="55"/>
  <c r="B18" i="55" s="1"/>
  <c r="H13" i="55"/>
  <c r="J13" i="55" s="1"/>
  <c r="F11" i="56"/>
  <c r="E24" i="46"/>
  <c r="G24" i="54"/>
  <c r="G24" i="46"/>
  <c r="G17" i="55"/>
  <c r="G18" i="55" s="1"/>
  <c r="G17" i="47"/>
  <c r="G18" i="47" s="1"/>
  <c r="H11" i="54"/>
  <c r="J11" i="54" s="1"/>
  <c r="H11" i="55"/>
  <c r="J11" i="55" s="1"/>
  <c r="H11" i="47"/>
  <c r="J11" i="47" s="1"/>
  <c r="F14" i="56"/>
  <c r="G24" i="55"/>
  <c r="H14" i="54"/>
  <c r="J14" i="54" s="1"/>
  <c r="B25" i="44"/>
  <c r="H16" i="47"/>
  <c r="J16" i="47" s="1"/>
  <c r="I18" i="47"/>
  <c r="I19" i="47"/>
  <c r="E16" i="56"/>
  <c r="I18" i="56" s="1"/>
  <c r="B25" i="47"/>
  <c r="F24" i="54"/>
  <c r="F17" i="54"/>
  <c r="F18" i="54" s="1"/>
  <c r="B17" i="47"/>
  <c r="B18" i="47" s="1"/>
  <c r="F24" i="46"/>
  <c r="H14" i="47"/>
  <c r="J14" i="47" s="1"/>
  <c r="E24" i="55"/>
  <c r="H13" i="45"/>
  <c r="J13" i="45" s="1"/>
  <c r="B24" i="47"/>
  <c r="C10" i="57"/>
  <c r="C26" i="57" s="1"/>
  <c r="D17" i="45"/>
  <c r="D18" i="45" s="1"/>
  <c r="E17" i="47"/>
  <c r="E18" i="47" s="1"/>
  <c r="F17" i="46"/>
  <c r="F18" i="46" s="1"/>
  <c r="G30" i="57"/>
  <c r="C25" i="45"/>
  <c r="E25" i="43"/>
  <c r="F25" i="46"/>
  <c r="E24" i="47"/>
  <c r="H13" i="47"/>
  <c r="J13" i="47" s="1"/>
  <c r="D25" i="45"/>
  <c r="C32" i="49"/>
  <c r="C39" i="49" s="1"/>
  <c r="C12" i="49" s="1"/>
  <c r="E25" i="55"/>
  <c r="D24" i="45"/>
  <c r="D17" i="54"/>
  <c r="D18" i="54" s="1"/>
  <c r="C30" i="57"/>
  <c r="F10" i="57"/>
  <c r="F26" i="57" s="1"/>
  <c r="F12" i="56"/>
  <c r="D10" i="57"/>
  <c r="D26" i="57" s="1"/>
  <c r="D24" i="54"/>
  <c r="F24" i="44"/>
  <c r="C34" i="50"/>
  <c r="C41" i="50" s="1"/>
  <c r="C14" i="50" s="1"/>
  <c r="C32" i="50"/>
  <c r="C39" i="50" s="1"/>
  <c r="C12" i="50" s="1"/>
  <c r="E33" i="49"/>
  <c r="B33" i="49"/>
  <c r="B25" i="46"/>
  <c r="B24" i="46"/>
  <c r="B17" i="46"/>
  <c r="B18" i="46" s="1"/>
  <c r="E33" i="50"/>
  <c r="E40" i="50" s="1"/>
  <c r="E13" i="50" s="1"/>
  <c r="B24" i="44"/>
  <c r="B17" i="44"/>
  <c r="B18" i="44" s="1"/>
  <c r="B30" i="57"/>
  <c r="H12" i="47"/>
  <c r="J12" i="47" s="1"/>
  <c r="L15" i="47" s="1"/>
  <c r="L16" i="47" s="1"/>
  <c r="E15" i="55"/>
  <c r="C20" i="55"/>
  <c r="E16" i="55" s="1"/>
  <c r="B20" i="56"/>
  <c r="C20" i="56" s="1"/>
  <c r="D20" i="56" s="1"/>
  <c r="B20" i="57"/>
  <c r="C20" i="57" s="1"/>
  <c r="D20" i="57" s="1"/>
  <c r="C20" i="49"/>
  <c r="E15" i="49"/>
  <c r="C24" i="2"/>
  <c r="E15" i="50"/>
  <c r="C20" i="50"/>
  <c r="E15" i="54"/>
  <c r="C20" i="54"/>
  <c r="E16" i="54" s="1"/>
  <c r="H14" i="45"/>
  <c r="J14" i="45" s="1"/>
  <c r="H12" i="45"/>
  <c r="J12" i="45" s="1"/>
  <c r="L15" i="45" s="1"/>
  <c r="L17" i="45" s="1"/>
  <c r="H12" i="54"/>
  <c r="J12" i="54" s="1"/>
  <c r="D25" i="55"/>
  <c r="B34" i="49"/>
  <c r="C25" i="44"/>
  <c r="F17" i="50"/>
  <c r="F18" i="50" s="1"/>
  <c r="F24" i="47"/>
  <c r="B32" i="49"/>
  <c r="F24" i="50"/>
  <c r="F25" i="50"/>
  <c r="H11" i="50"/>
  <c r="E32" i="49"/>
  <c r="C17" i="44"/>
  <c r="C18" i="44" s="1"/>
  <c r="F25" i="47"/>
  <c r="F17" i="47"/>
  <c r="F18" i="47" s="1"/>
  <c r="C24" i="44"/>
  <c r="H14" i="55"/>
  <c r="J14" i="55" s="1"/>
  <c r="H11" i="45"/>
  <c r="J11" i="45" s="1"/>
  <c r="C24" i="46"/>
  <c r="E34" i="49"/>
  <c r="C24" i="45"/>
  <c r="C17" i="45"/>
  <c r="C18" i="45" s="1"/>
  <c r="C17" i="54"/>
  <c r="C18" i="54" s="1"/>
  <c r="E34" i="50"/>
  <c r="E41" i="50" s="1"/>
  <c r="E14" i="50" s="1"/>
  <c r="C24" i="54"/>
  <c r="B17" i="45"/>
  <c r="B18" i="45" s="1"/>
  <c r="D17" i="55"/>
  <c r="D18" i="55" s="1"/>
  <c r="C12" i="56"/>
  <c r="H13" i="54"/>
  <c r="J13" i="54" s="1"/>
  <c r="B24" i="54"/>
  <c r="D24" i="55"/>
  <c r="B17" i="54"/>
  <c r="B18" i="54" s="1"/>
  <c r="H12" i="55"/>
  <c r="J12" i="55" s="1"/>
  <c r="C25" i="46"/>
  <c r="C11" i="56"/>
  <c r="E30" i="57"/>
  <c r="H10" i="49"/>
  <c r="C10" i="56"/>
  <c r="C26" i="56" s="1"/>
  <c r="C17" i="46"/>
  <c r="C18" i="46" s="1"/>
  <c r="B25" i="54"/>
  <c r="D24" i="47"/>
  <c r="B26" i="29"/>
  <c r="D17" i="47"/>
  <c r="D18" i="47" s="1"/>
  <c r="B24" i="45"/>
  <c r="G17" i="54"/>
  <c r="G18" i="54" s="1"/>
  <c r="F7" i="8"/>
  <c r="G7" i="8" s="1"/>
  <c r="F3" i="8"/>
  <c r="G3" i="8" s="1"/>
  <c r="F5" i="8"/>
  <c r="G5" i="8" s="1"/>
  <c r="F8" i="8"/>
  <c r="F2" i="8"/>
  <c r="G2" i="8" s="1"/>
  <c r="F4" i="8"/>
  <c r="G4" i="8" s="1"/>
  <c r="F6" i="8"/>
  <c r="G6" i="8" s="1"/>
  <c r="B19" i="9"/>
  <c r="B34" i="50"/>
  <c r="B41" i="50" s="1"/>
  <c r="B14" i="50" s="1"/>
  <c r="E10" i="57"/>
  <c r="E26" i="57" s="1"/>
  <c r="F11" i="57"/>
  <c r="F12" i="57"/>
  <c r="F14" i="57"/>
  <c r="D12" i="57"/>
  <c r="F13" i="57"/>
  <c r="B32" i="50"/>
  <c r="B39" i="50" s="1"/>
  <c r="B12" i="50" s="1"/>
  <c r="D12" i="2"/>
  <c r="E12" i="2" s="1"/>
  <c r="N12" i="2" s="1"/>
  <c r="D13" i="2"/>
  <c r="E13" i="2" s="1"/>
  <c r="N13" i="2" s="1"/>
  <c r="D9" i="2"/>
  <c r="E9" i="2" s="1"/>
  <c r="N9" i="2" s="1"/>
  <c r="D10" i="2"/>
  <c r="E10" i="2" s="1"/>
  <c r="N10" i="2" s="1"/>
  <c r="D11" i="2"/>
  <c r="E11" i="2" s="1"/>
  <c r="N11" i="2" s="1"/>
  <c r="H10" i="47"/>
  <c r="J10" i="47" s="1"/>
  <c r="E32" i="50"/>
  <c r="E39" i="50" s="1"/>
  <c r="E12" i="50" s="1"/>
  <c r="H10" i="50"/>
  <c r="J10" i="50" s="1"/>
  <c r="B26" i="50"/>
  <c r="G10" i="57"/>
  <c r="G26" i="57" s="1"/>
  <c r="H10" i="45"/>
  <c r="J10" i="45" s="1"/>
  <c r="G10" i="56"/>
  <c r="G26" i="56" s="1"/>
  <c r="G26" i="43"/>
  <c r="B26" i="56"/>
  <c r="H10" i="46"/>
  <c r="J10" i="46" s="1"/>
  <c r="B26" i="46"/>
  <c r="H10" i="54"/>
  <c r="J10" i="54" s="1"/>
  <c r="B26" i="54"/>
  <c r="C24" i="43"/>
  <c r="C17" i="43"/>
  <c r="C18" i="43" s="1"/>
  <c r="C14" i="56"/>
  <c r="E24" i="43"/>
  <c r="E17" i="43"/>
  <c r="E18" i="43" s="1"/>
  <c r="G24" i="43"/>
  <c r="G11" i="56"/>
  <c r="G17" i="43"/>
  <c r="G18" i="43" s="1"/>
  <c r="B11" i="56"/>
  <c r="B24" i="43"/>
  <c r="B17" i="43"/>
  <c r="B18" i="43" s="1"/>
  <c r="F25" i="43"/>
  <c r="F24" i="43"/>
  <c r="F13" i="56"/>
  <c r="F17" i="43"/>
  <c r="F18" i="43" s="1"/>
  <c r="C13" i="56"/>
  <c r="C25" i="43"/>
  <c r="G12" i="56"/>
  <c r="G25" i="50" l="1"/>
  <c r="G17" i="50"/>
  <c r="G18" i="50" s="1"/>
  <c r="G24" i="50"/>
  <c r="J11" i="50"/>
  <c r="H5" i="8"/>
  <c r="G33" i="49"/>
  <c r="G40" i="49" s="1"/>
  <c r="G13" i="49" s="1"/>
  <c r="G14" i="29"/>
  <c r="G14" i="57"/>
  <c r="D25" i="50"/>
  <c r="G34" i="29"/>
  <c r="G41" i="29" s="1"/>
  <c r="G34" i="56"/>
  <c r="G41" i="56" s="1"/>
  <c r="G34" i="57"/>
  <c r="G41" i="57" s="1"/>
  <c r="E16" i="49"/>
  <c r="I18" i="49" s="1"/>
  <c r="H15" i="49"/>
  <c r="E15" i="29"/>
  <c r="D24" i="50"/>
  <c r="D33" i="29"/>
  <c r="D40" i="29" s="1"/>
  <c r="H13" i="50"/>
  <c r="D14" i="57"/>
  <c r="C14" i="29"/>
  <c r="D10" i="56"/>
  <c r="D26" i="56" s="1"/>
  <c r="C34" i="29"/>
  <c r="C41" i="29" s="1"/>
  <c r="B38" i="49"/>
  <c r="B11" i="49" s="1"/>
  <c r="B11" i="29" s="1"/>
  <c r="B31" i="29"/>
  <c r="B38" i="29" s="1"/>
  <c r="E38" i="49"/>
  <c r="E11" i="49" s="1"/>
  <c r="E11" i="29" s="1"/>
  <c r="E31" i="29"/>
  <c r="E38" i="29" s="1"/>
  <c r="E41" i="49"/>
  <c r="E14" i="49" s="1"/>
  <c r="E14" i="29" s="1"/>
  <c r="E34" i="29"/>
  <c r="E41" i="29" s="1"/>
  <c r="B40" i="49"/>
  <c r="B13" i="49" s="1"/>
  <c r="B33" i="29"/>
  <c r="B40" i="29" s="1"/>
  <c r="E40" i="49"/>
  <c r="E13" i="49" s="1"/>
  <c r="E33" i="29"/>
  <c r="E40" i="29" s="1"/>
  <c r="C40" i="49"/>
  <c r="C13" i="49" s="1"/>
  <c r="C13" i="57" s="1"/>
  <c r="C33" i="29"/>
  <c r="C40" i="29" s="1"/>
  <c r="E14" i="56"/>
  <c r="E25" i="56" s="1"/>
  <c r="B39" i="49"/>
  <c r="B12" i="49" s="1"/>
  <c r="B12" i="29" s="1"/>
  <c r="B32" i="29"/>
  <c r="B39" i="29" s="1"/>
  <c r="E25" i="44"/>
  <c r="E39" i="49"/>
  <c r="E12" i="49" s="1"/>
  <c r="E12" i="29" s="1"/>
  <c r="E32" i="29"/>
  <c r="E39" i="29" s="1"/>
  <c r="C38" i="49"/>
  <c r="C11" i="49" s="1"/>
  <c r="C11" i="29" s="1"/>
  <c r="C31" i="29"/>
  <c r="C38" i="29" s="1"/>
  <c r="D31" i="29"/>
  <c r="D38" i="29" s="1"/>
  <c r="G38" i="49"/>
  <c r="G11" i="49" s="1"/>
  <c r="G31" i="29"/>
  <c r="G38" i="29" s="1"/>
  <c r="C12" i="29"/>
  <c r="C32" i="29"/>
  <c r="C39" i="29" s="1"/>
  <c r="J10" i="49"/>
  <c r="H10" i="29"/>
  <c r="J10" i="29" s="1"/>
  <c r="B41" i="49"/>
  <c r="B14" i="49" s="1"/>
  <c r="B14" i="29" s="1"/>
  <c r="B34" i="29"/>
  <c r="B41" i="29" s="1"/>
  <c r="H13" i="44"/>
  <c r="J13" i="44" s="1"/>
  <c r="D17" i="43"/>
  <c r="D18" i="43" s="1"/>
  <c r="D11" i="56"/>
  <c r="D24" i="43"/>
  <c r="E24" i="44"/>
  <c r="H12" i="44"/>
  <c r="J12" i="44" s="1"/>
  <c r="L15" i="44" s="1"/>
  <c r="L17" i="44" s="1"/>
  <c r="H10" i="44"/>
  <c r="J10" i="44" s="1"/>
  <c r="D38" i="49"/>
  <c r="D11" i="49" s="1"/>
  <c r="D31" i="57"/>
  <c r="D38" i="57" s="1"/>
  <c r="E17" i="44"/>
  <c r="E18" i="44" s="1"/>
  <c r="H12" i="43"/>
  <c r="J12" i="43" s="1"/>
  <c r="L15" i="43" s="1"/>
  <c r="L17" i="43" s="1"/>
  <c r="E10" i="56"/>
  <c r="E26" i="56" s="1"/>
  <c r="H10" i="43"/>
  <c r="J10" i="43" s="1"/>
  <c r="E11" i="56"/>
  <c r="H11" i="44"/>
  <c r="J11" i="44" s="1"/>
  <c r="D40" i="49"/>
  <c r="D13" i="49" s="1"/>
  <c r="D13" i="29" s="1"/>
  <c r="D33" i="56"/>
  <c r="D40" i="56" s="1"/>
  <c r="D33" i="57"/>
  <c r="D40" i="57" s="1"/>
  <c r="D25" i="43"/>
  <c r="H13" i="43"/>
  <c r="J13" i="43" s="1"/>
  <c r="G31" i="57"/>
  <c r="G38" i="57" s="1"/>
  <c r="G31" i="56"/>
  <c r="G38" i="56" s="1"/>
  <c r="C5" i="8"/>
  <c r="E5" i="8" s="1"/>
  <c r="G39" i="49"/>
  <c r="G12" i="49" s="1"/>
  <c r="G12" i="29" s="1"/>
  <c r="G32" i="56"/>
  <c r="G39" i="56" s="1"/>
  <c r="G39" i="29"/>
  <c r="G32" i="57"/>
  <c r="G39" i="57" s="1"/>
  <c r="D24" i="46"/>
  <c r="D12" i="56"/>
  <c r="H11" i="46"/>
  <c r="I12" i="46" s="1"/>
  <c r="I11" i="46" s="1"/>
  <c r="H13" i="46"/>
  <c r="J13" i="46" s="1"/>
  <c r="D17" i="46"/>
  <c r="D18" i="46" s="1"/>
  <c r="D13" i="56"/>
  <c r="D14" i="56"/>
  <c r="D25" i="46"/>
  <c r="H14" i="46"/>
  <c r="J14" i="46" s="1"/>
  <c r="H6" i="8"/>
  <c r="C6" i="8"/>
  <c r="E6" i="8" s="1"/>
  <c r="C31" i="57"/>
  <c r="C38" i="57" s="1"/>
  <c r="I19" i="56"/>
  <c r="H16" i="56"/>
  <c r="J16" i="56" s="1"/>
  <c r="C31" i="56"/>
  <c r="C38" i="56" s="1"/>
  <c r="B31" i="57"/>
  <c r="B38" i="57" s="1"/>
  <c r="E31" i="57"/>
  <c r="E38" i="57" s="1"/>
  <c r="B32" i="57"/>
  <c r="B39" i="57" s="1"/>
  <c r="D20" i="49"/>
  <c r="C33" i="57"/>
  <c r="C40" i="57" s="1"/>
  <c r="C24" i="50"/>
  <c r="C17" i="50"/>
  <c r="C18" i="50" s="1"/>
  <c r="C25" i="50"/>
  <c r="C33" i="56"/>
  <c r="C40" i="56" s="1"/>
  <c r="B33" i="57"/>
  <c r="B40" i="57" s="1"/>
  <c r="E25" i="50"/>
  <c r="E33" i="57"/>
  <c r="E40" i="57" s="1"/>
  <c r="L17" i="47"/>
  <c r="I12" i="47"/>
  <c r="I11" i="47" s="1"/>
  <c r="H17" i="47"/>
  <c r="J4" i="47" s="1"/>
  <c r="I12" i="54"/>
  <c r="I11" i="54" s="1"/>
  <c r="H15" i="54"/>
  <c r="J15" i="54" s="1"/>
  <c r="L15" i="54" s="1"/>
  <c r="I18" i="54"/>
  <c r="E17" i="54"/>
  <c r="E18" i="54" s="1"/>
  <c r="D20" i="50"/>
  <c r="E16" i="50"/>
  <c r="H15" i="50"/>
  <c r="J15" i="50" s="1"/>
  <c r="I19" i="54"/>
  <c r="H16" i="54"/>
  <c r="J16" i="54" s="1"/>
  <c r="H16" i="55"/>
  <c r="J16" i="55" s="1"/>
  <c r="I19" i="55"/>
  <c r="D20" i="54"/>
  <c r="D20" i="55"/>
  <c r="E15" i="57"/>
  <c r="H15" i="55"/>
  <c r="J15" i="55" s="1"/>
  <c r="L15" i="55" s="1"/>
  <c r="I18" i="55"/>
  <c r="E17" i="55"/>
  <c r="E18" i="55" s="1"/>
  <c r="L16" i="45"/>
  <c r="L17" i="46"/>
  <c r="I12" i="55"/>
  <c r="I11" i="55" s="1"/>
  <c r="H17" i="45"/>
  <c r="J4" i="45" s="1"/>
  <c r="I12" i="45"/>
  <c r="I11" i="45" s="1"/>
  <c r="C34" i="57"/>
  <c r="C41" i="57" s="1"/>
  <c r="C34" i="56"/>
  <c r="C41" i="56" s="1"/>
  <c r="G17" i="57"/>
  <c r="G18" i="57" s="1"/>
  <c r="F25" i="57"/>
  <c r="H4" i="8"/>
  <c r="C32" i="57"/>
  <c r="C39" i="57" s="1"/>
  <c r="E32" i="57"/>
  <c r="E39" i="57" s="1"/>
  <c r="N14" i="2"/>
  <c r="C14" i="57"/>
  <c r="H10" i="57"/>
  <c r="J10" i="57" s="1"/>
  <c r="C4" i="8"/>
  <c r="E4" i="8" s="1"/>
  <c r="E34" i="57"/>
  <c r="E41" i="57" s="1"/>
  <c r="E24" i="50"/>
  <c r="C2" i="8"/>
  <c r="E2" i="8" s="1"/>
  <c r="H12" i="50"/>
  <c r="J19" i="50" s="1"/>
  <c r="B24" i="50"/>
  <c r="B17" i="50"/>
  <c r="B18" i="50" s="1"/>
  <c r="B25" i="50"/>
  <c r="H14" i="50"/>
  <c r="J14" i="50" s="1"/>
  <c r="H10" i="56"/>
  <c r="J10" i="56" s="1"/>
  <c r="B34" i="57"/>
  <c r="B41" i="57" s="1"/>
  <c r="H3" i="8"/>
  <c r="C3" i="8"/>
  <c r="E3" i="8" s="1"/>
  <c r="C24" i="56"/>
  <c r="C32" i="56"/>
  <c r="C39" i="56" s="1"/>
  <c r="H2" i="8"/>
  <c r="C25" i="56"/>
  <c r="J11" i="43"/>
  <c r="D17" i="57"/>
  <c r="D18" i="57" s="1"/>
  <c r="C17" i="56"/>
  <c r="C18" i="56" s="1"/>
  <c r="F17" i="29"/>
  <c r="F18" i="29" s="1"/>
  <c r="F25" i="56"/>
  <c r="F17" i="56"/>
  <c r="F18" i="56" s="1"/>
  <c r="F24" i="56"/>
  <c r="G24" i="56"/>
  <c r="G17" i="56"/>
  <c r="G18" i="56" s="1"/>
  <c r="F17" i="57"/>
  <c r="F18" i="57" s="1"/>
  <c r="F24" i="57"/>
  <c r="F24" i="29"/>
  <c r="O26" i="21" s="1"/>
  <c r="F25" i="29"/>
  <c r="B13" i="29" l="1"/>
  <c r="B25" i="29" s="1"/>
  <c r="H13" i="49"/>
  <c r="J13" i="50"/>
  <c r="G33" i="57"/>
  <c r="G40" i="57" s="1"/>
  <c r="G33" i="56"/>
  <c r="G40" i="56" s="1"/>
  <c r="G33" i="29"/>
  <c r="G40" i="29" s="1"/>
  <c r="E13" i="29"/>
  <c r="E25" i="29" s="1"/>
  <c r="E25" i="49"/>
  <c r="G13" i="29"/>
  <c r="G25" i="29" s="1"/>
  <c r="G13" i="57"/>
  <c r="G25" i="57" s="1"/>
  <c r="G25" i="49"/>
  <c r="B13" i="57"/>
  <c r="B13" i="56"/>
  <c r="H13" i="56" s="1"/>
  <c r="J13" i="56" s="1"/>
  <c r="C9" i="21"/>
  <c r="C10" i="21"/>
  <c r="I19" i="49"/>
  <c r="H16" i="49"/>
  <c r="J16" i="49" s="1"/>
  <c r="E16" i="57"/>
  <c r="I19" i="57" s="1"/>
  <c r="J15" i="49"/>
  <c r="H15" i="29"/>
  <c r="J15" i="29" s="1"/>
  <c r="B11" i="57"/>
  <c r="E11" i="57"/>
  <c r="B24" i="49"/>
  <c r="B17" i="49"/>
  <c r="B18" i="49" s="1"/>
  <c r="B25" i="49"/>
  <c r="H14" i="49"/>
  <c r="J14" i="49" s="1"/>
  <c r="E16" i="29"/>
  <c r="I19" i="29" s="1"/>
  <c r="C25" i="49"/>
  <c r="C13" i="29"/>
  <c r="C24" i="29" s="1"/>
  <c r="L26" i="21" s="1"/>
  <c r="E17" i="49"/>
  <c r="E18" i="49" s="1"/>
  <c r="H12" i="49"/>
  <c r="E13" i="57"/>
  <c r="G11" i="57"/>
  <c r="G11" i="29"/>
  <c r="H11" i="49"/>
  <c r="D11" i="29"/>
  <c r="D17" i="29" s="1"/>
  <c r="D18" i="29" s="1"/>
  <c r="C17" i="49"/>
  <c r="C18" i="49" s="1"/>
  <c r="E24" i="49"/>
  <c r="C24" i="49"/>
  <c r="C11" i="57"/>
  <c r="H17" i="44"/>
  <c r="J4" i="44" s="1"/>
  <c r="L16" i="44"/>
  <c r="H11" i="56"/>
  <c r="J11" i="56" s="1"/>
  <c r="I12" i="44"/>
  <c r="I11" i="44" s="1"/>
  <c r="I12" i="43"/>
  <c r="I11" i="43" s="1"/>
  <c r="H17" i="43"/>
  <c r="J17" i="43" s="1"/>
  <c r="D11" i="57"/>
  <c r="L16" i="43"/>
  <c r="E24" i="56"/>
  <c r="E17" i="56"/>
  <c r="E18" i="56" s="1"/>
  <c r="D25" i="49"/>
  <c r="D24" i="49"/>
  <c r="D13" i="57"/>
  <c r="D17" i="49"/>
  <c r="D18" i="49" s="1"/>
  <c r="G24" i="49"/>
  <c r="G17" i="49"/>
  <c r="G18" i="49" s="1"/>
  <c r="G12" i="57"/>
  <c r="D25" i="56"/>
  <c r="D24" i="56"/>
  <c r="H17" i="46"/>
  <c r="J4" i="46" s="1"/>
  <c r="D17" i="56"/>
  <c r="D18" i="56" s="1"/>
  <c r="J11" i="46"/>
  <c r="C25" i="57"/>
  <c r="H17" i="54"/>
  <c r="J4" i="54" s="1"/>
  <c r="E17" i="50"/>
  <c r="E18" i="50" s="1"/>
  <c r="H17" i="55"/>
  <c r="J4" i="55" s="1"/>
  <c r="J17" i="47"/>
  <c r="L17" i="55"/>
  <c r="L16" i="55"/>
  <c r="I19" i="50"/>
  <c r="H16" i="50"/>
  <c r="H17" i="50" s="1"/>
  <c r="H15" i="57"/>
  <c r="J15" i="57" s="1"/>
  <c r="L16" i="54"/>
  <c r="L17" i="54"/>
  <c r="I18" i="50"/>
  <c r="J17" i="45"/>
  <c r="B12" i="57"/>
  <c r="B12" i="56"/>
  <c r="B14" i="57"/>
  <c r="B14" i="56"/>
  <c r="J12" i="50"/>
  <c r="L15" i="50" s="1"/>
  <c r="E12" i="57"/>
  <c r="E14" i="57"/>
  <c r="C12" i="57"/>
  <c r="J19" i="49" l="1"/>
  <c r="J20" i="49"/>
  <c r="J20" i="50"/>
  <c r="G17" i="29"/>
  <c r="G18" i="29" s="1"/>
  <c r="B25" i="57"/>
  <c r="H11" i="57"/>
  <c r="J11" i="57" s="1"/>
  <c r="H11" i="29"/>
  <c r="H14" i="29"/>
  <c r="J14" i="29" s="1"/>
  <c r="I18" i="57"/>
  <c r="J4" i="43"/>
  <c r="C25" i="29"/>
  <c r="J12" i="49"/>
  <c r="L15" i="49" s="1"/>
  <c r="H12" i="29"/>
  <c r="J13" i="49"/>
  <c r="H13" i="29"/>
  <c r="H16" i="29"/>
  <c r="J16" i="29" s="1"/>
  <c r="E8" i="21" s="1"/>
  <c r="C8" i="21" s="1"/>
  <c r="H13" i="57"/>
  <c r="J13" i="57" s="1"/>
  <c r="I12" i="49"/>
  <c r="I11" i="49" s="1"/>
  <c r="H17" i="49"/>
  <c r="J17" i="49" s="1"/>
  <c r="E25" i="57"/>
  <c r="G24" i="57"/>
  <c r="J11" i="49"/>
  <c r="G24" i="29"/>
  <c r="P26" i="21" s="1"/>
  <c r="J17" i="44"/>
  <c r="D24" i="29"/>
  <c r="M26" i="21" s="1"/>
  <c r="D25" i="29"/>
  <c r="D25" i="57"/>
  <c r="D24" i="57"/>
  <c r="J17" i="46"/>
  <c r="J17" i="54"/>
  <c r="J17" i="55"/>
  <c r="H16" i="57"/>
  <c r="J16" i="57" s="1"/>
  <c r="J16" i="50"/>
  <c r="I18" i="29"/>
  <c r="E24" i="57"/>
  <c r="E17" i="57"/>
  <c r="E18" i="57" s="1"/>
  <c r="H12" i="56"/>
  <c r="B17" i="56"/>
  <c r="B18" i="56" s="1"/>
  <c r="B24" i="56"/>
  <c r="E24" i="29"/>
  <c r="N26" i="21" s="1"/>
  <c r="E17" i="29"/>
  <c r="E18" i="29" s="1"/>
  <c r="J4" i="50"/>
  <c r="J17" i="50"/>
  <c r="H14" i="57"/>
  <c r="J14" i="57" s="1"/>
  <c r="H12" i="57"/>
  <c r="H14" i="56"/>
  <c r="J14" i="56" s="1"/>
  <c r="B25" i="56"/>
  <c r="L17" i="50"/>
  <c r="L16" i="50"/>
  <c r="B24" i="29"/>
  <c r="K26" i="21" s="1"/>
  <c r="B17" i="29"/>
  <c r="B18" i="29" s="1"/>
  <c r="B17" i="57"/>
  <c r="B18" i="57" s="1"/>
  <c r="B24" i="57"/>
  <c r="C17" i="29"/>
  <c r="C18" i="29" s="1"/>
  <c r="C17" i="57"/>
  <c r="C18" i="57" s="1"/>
  <c r="C24" i="57"/>
  <c r="J13" i="29" l="1"/>
  <c r="J26" i="29" s="1"/>
  <c r="J20" i="29"/>
  <c r="J19" i="29"/>
  <c r="J11" i="29"/>
  <c r="J4" i="49"/>
  <c r="L17" i="49"/>
  <c r="L16" i="49"/>
  <c r="H17" i="29"/>
  <c r="O23" i="21" s="1"/>
  <c r="J12" i="56"/>
  <c r="L15" i="56" s="1"/>
  <c r="H17" i="56"/>
  <c r="I12" i="56"/>
  <c r="I11" i="56" s="1"/>
  <c r="J12" i="57"/>
  <c r="L15" i="57" s="1"/>
  <c r="I12" i="57"/>
  <c r="I11" i="57" s="1"/>
  <c r="H17" i="57"/>
  <c r="J12" i="29"/>
  <c r="L15" i="29" s="1"/>
  <c r="I12" i="29"/>
  <c r="I11" i="29" s="1"/>
  <c r="E13" i="21" l="1"/>
  <c r="J25" i="29"/>
  <c r="E7" i="21"/>
  <c r="C7" i="21" s="1"/>
  <c r="J17" i="56"/>
  <c r="J4" i="56"/>
  <c r="L17" i="56"/>
  <c r="L16" i="56"/>
  <c r="J4" i="29"/>
  <c r="J17" i="29"/>
  <c r="J4" i="57"/>
  <c r="J17" i="57"/>
  <c r="L17" i="57"/>
  <c r="L16" i="57"/>
  <c r="E15" i="21" l="1"/>
  <c r="C13" i="21"/>
  <c r="C15" i="21" s="1"/>
  <c r="E11" i="21"/>
  <c r="C11" i="21" s="1"/>
  <c r="L16" i="29"/>
  <c r="E16" i="21" s="1"/>
  <c r="L17" i="29"/>
  <c r="E18" i="21" l="1"/>
  <c r="C18" i="21" s="1"/>
  <c r="C12" i="21"/>
  <c r="E12" i="21"/>
  <c r="I12" i="21" s="1"/>
  <c r="C16" i="21"/>
  <c r="I18" i="21" l="1"/>
  <c r="E21" i="21"/>
  <c r="E22" i="21" s="1"/>
  <c r="F27" i="21"/>
  <c r="D7" i="21"/>
  <c r="F25" i="21"/>
  <c r="F24" i="21"/>
  <c r="E29" i="21"/>
  <c r="F29" i="21" s="1"/>
  <c r="F26" i="21"/>
  <c r="F28" i="21"/>
  <c r="F15" i="21"/>
  <c r="F17" i="21"/>
  <c r="F13" i="21"/>
  <c r="F16" i="21"/>
  <c r="F20" i="21"/>
  <c r="D28" i="21"/>
  <c r="F14" i="21"/>
  <c r="F8" i="21"/>
  <c r="F10" i="21"/>
  <c r="F7" i="21"/>
  <c r="F19" i="21"/>
  <c r="F12" i="21"/>
  <c r="F18" i="21"/>
  <c r="F9" i="21"/>
  <c r="C21" i="21"/>
  <c r="D21" i="21" s="1"/>
  <c r="D16" i="21"/>
  <c r="F11" i="21"/>
  <c r="D19" i="21"/>
  <c r="D25" i="21"/>
  <c r="D18" i="21"/>
  <c r="D8" i="21"/>
  <c r="D14" i="21"/>
  <c r="D10" i="21"/>
  <c r="D17" i="21"/>
  <c r="D24" i="21"/>
  <c r="D15" i="21"/>
  <c r="D26" i="21"/>
  <c r="D13" i="21"/>
  <c r="D20" i="21"/>
  <c r="D12" i="21"/>
  <c r="D9" i="21"/>
  <c r="D11" i="21"/>
  <c r="E30" i="21" l="1"/>
  <c r="E31" i="21" s="1"/>
  <c r="F21" i="21"/>
  <c r="I21" i="21"/>
  <c r="C22" i="21"/>
  <c r="D22" i="21" s="1"/>
  <c r="C27" i="21"/>
  <c r="F22" i="21" l="1"/>
  <c r="I30" i="21"/>
  <c r="D27" i="21"/>
  <c r="C29" i="21"/>
  <c r="F30" i="21" l="1"/>
  <c r="D29" i="21"/>
  <c r="C30" i="21"/>
  <c r="D30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tc={54B4AB6A-A7F9-4E79-8BD1-4A7778F89C1F}</author>
  </authors>
  <commentList>
    <comment ref="B15" authorId="0" shapeId="0" xr:uid="{54B4AB6A-A7F9-4E79-8BD1-4A7778F89C1F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Premium Economy</t>
      </text>
    </comment>
  </commentList>
</comments>
</file>

<file path=xl/sharedStrings.xml><?xml version="1.0" encoding="utf-8"?>
<sst xmlns="http://schemas.openxmlformats.org/spreadsheetml/2006/main" count="1786" uniqueCount="682">
  <si>
    <t>Flights Per Week</t>
  </si>
  <si>
    <t>Flights Per Year</t>
  </si>
  <si>
    <t xml:space="preserve">Load </t>
  </si>
  <si>
    <t>Description</t>
  </si>
  <si>
    <t xml:space="preserve">Grand Total </t>
  </si>
  <si>
    <t>Virgin Atlantic</t>
  </si>
  <si>
    <t xml:space="preserve">Unit Central Cost </t>
  </si>
  <si>
    <t xml:space="preserve">Cycle </t>
  </si>
  <si>
    <t>$</t>
  </si>
  <si>
    <t>%</t>
  </si>
  <si>
    <t>Discount</t>
  </si>
  <si>
    <t>Revenue Meals</t>
  </si>
  <si>
    <t>Revenue Handling</t>
  </si>
  <si>
    <t xml:space="preserve">Mark up on Food </t>
  </si>
  <si>
    <t>Revenue Overheads</t>
  </si>
  <si>
    <t>$705 PER FLIGHT OVERHEAD CHARGE</t>
  </si>
  <si>
    <t xml:space="preserve">Mark up on Food Labor </t>
  </si>
  <si>
    <t>Revenue Other</t>
  </si>
  <si>
    <t xml:space="preserve">Mark up on Handling </t>
  </si>
  <si>
    <t>Net Revenue</t>
  </si>
  <si>
    <t>Food Cost</t>
  </si>
  <si>
    <t xml:space="preserve">VA ATL TOTAL HANDLING </t>
  </si>
  <si>
    <t>Other product cost</t>
  </si>
  <si>
    <t>A330</t>
  </si>
  <si>
    <t xml:space="preserve"> Total Direct Materials</t>
  </si>
  <si>
    <t>A350</t>
  </si>
  <si>
    <t>Direct Labor - Wages</t>
  </si>
  <si>
    <t>Direct Labor - OT Premium</t>
  </si>
  <si>
    <t>Direct Labor - Benefit Cost</t>
  </si>
  <si>
    <t>Direct Labor - Other</t>
  </si>
  <si>
    <t>VA ATL TRANSPORT</t>
  </si>
  <si>
    <t>Direct Management Labor Cost</t>
  </si>
  <si>
    <t>A330 TURNAROUND</t>
  </si>
  <si>
    <t>Total Direct Labor</t>
  </si>
  <si>
    <t>A350 TURNAROUND</t>
  </si>
  <si>
    <t>Gross Profit Margin (CM1)</t>
  </si>
  <si>
    <t>787 TURNAROUND</t>
  </si>
  <si>
    <t>VA ATL Avg. Revenue Per Flight</t>
  </si>
  <si>
    <t>Indirect Management Labor Cost</t>
  </si>
  <si>
    <t>extra management?</t>
  </si>
  <si>
    <t xml:space="preserve"> Avg. Price Per Pax </t>
  </si>
  <si>
    <t>VA ATL INTERNATIONAL GARBAGE</t>
  </si>
  <si>
    <t>Indirect Hourly Labor Cost</t>
  </si>
  <si>
    <t>FC</t>
  </si>
  <si>
    <t>BC</t>
  </si>
  <si>
    <t>PY</t>
  </si>
  <si>
    <t>EY</t>
  </si>
  <si>
    <t>TC</t>
  </si>
  <si>
    <t>CY</t>
  </si>
  <si>
    <t>Total Indirect Labor</t>
  </si>
  <si>
    <t>Operating Expense-Variable</t>
  </si>
  <si>
    <t>Utility</t>
  </si>
  <si>
    <t xml:space="preserve"> $-   </t>
  </si>
  <si>
    <t>Operating Expense-Fixed</t>
  </si>
  <si>
    <t>??? Freezer and Cooler</t>
  </si>
  <si>
    <t>Overhead</t>
  </si>
  <si>
    <t>Other OPEX Cost</t>
  </si>
  <si>
    <t xml:space="preserve">PY </t>
  </si>
  <si>
    <t>YC</t>
  </si>
  <si>
    <t>CC</t>
  </si>
  <si>
    <t>VA ATL WASH UP</t>
  </si>
  <si>
    <t>EBITDA</t>
  </si>
  <si>
    <t>Note - On the P&amp;L we can update the Flights per week, AC type, Load Factor, Cycle &amp; Mark up's</t>
  </si>
  <si>
    <t>Overhead =(2/3)*(property tax+utility)</t>
  </si>
  <si>
    <t xml:space="preserve">VA ATL PACKING </t>
  </si>
  <si>
    <t>customer service account manager</t>
  </si>
  <si>
    <t xml:space="preserve">culinary operation duty manager </t>
  </si>
  <si>
    <t xml:space="preserve">hourly invoice assisant </t>
  </si>
  <si>
    <t xml:space="preserve">ramp duty manager </t>
  </si>
  <si>
    <t>CONTRACTORS</t>
  </si>
  <si>
    <t>EXTERIOR SIGNAGE</t>
  </si>
  <si>
    <t>MULTITEMP FREEZERS</t>
  </si>
  <si>
    <t>DISHWASHER RETAL (YEARLY)</t>
  </si>
  <si>
    <t>PERMITTING</t>
  </si>
  <si>
    <t>RENT/LEASE (YEARLY)</t>
  </si>
  <si>
    <t>TRUCK (2 TRUCKS)</t>
  </si>
  <si>
    <t>EQUIPMENT AND UTILITY (5 YEARS)</t>
  </si>
  <si>
    <t>Bid Fact Sheet</t>
  </si>
  <si>
    <t>Airline Name</t>
  </si>
  <si>
    <t>NEOS</t>
  </si>
  <si>
    <t xml:space="preserve">City Code and Unit Number </t>
  </si>
  <si>
    <t>JFK</t>
  </si>
  <si>
    <t>Date Bid Preparation Begins</t>
  </si>
  <si>
    <t>Period used for Annualization</t>
  </si>
  <si>
    <t>Access Fee %</t>
  </si>
  <si>
    <t>Trade Discount %</t>
  </si>
  <si>
    <t>Cash Discount %</t>
  </si>
  <si>
    <t>Start Up Date</t>
  </si>
  <si>
    <t>Aircraft Type</t>
  </si>
  <si>
    <t xml:space="preserve"> </t>
  </si>
  <si>
    <t>Configuration:       First Class</t>
  </si>
  <si>
    <t>Business Class</t>
  </si>
  <si>
    <t>Tourist Class</t>
  </si>
  <si>
    <t>ETA</t>
  </si>
  <si>
    <t>ETD</t>
  </si>
  <si>
    <t>Frequency (days of operations)</t>
  </si>
  <si>
    <t>Total No. of Flights per Year</t>
  </si>
  <si>
    <t>Load Factor %</t>
  </si>
  <si>
    <t>Source of Load Factor</t>
  </si>
  <si>
    <t>Flight Config</t>
  </si>
  <si>
    <t>Account Rep.</t>
  </si>
  <si>
    <t>Kathy Shi</t>
  </si>
  <si>
    <t>Reason For Bid</t>
  </si>
  <si>
    <t>New Unit</t>
  </si>
  <si>
    <t>Food Markup</t>
  </si>
  <si>
    <t>Incumbent</t>
  </si>
  <si>
    <t>Ancillary Markup</t>
  </si>
  <si>
    <t>New or Old Route</t>
  </si>
  <si>
    <t>New</t>
  </si>
  <si>
    <t>Service Markup</t>
  </si>
  <si>
    <t>Credit Established/Payment Status</t>
  </si>
  <si>
    <t>Was Account Previously Bid</t>
  </si>
  <si>
    <t>Overhead Recovery per Pax  F/C</t>
  </si>
  <si>
    <t>Outcome</t>
  </si>
  <si>
    <t>Overhead Recovery per Pax  B/C</t>
  </si>
  <si>
    <t>Is there a Global Agreement</t>
  </si>
  <si>
    <t>Overhead Recovery per Pax  E/U</t>
  </si>
  <si>
    <t>Date Building Lease expires</t>
  </si>
  <si>
    <t>Overhead Recovery per Pax  Y/C</t>
  </si>
  <si>
    <t>Overhead Recovery per Pax  C/Y</t>
  </si>
  <si>
    <t>Overhead Recovery per Pax  C/C</t>
  </si>
  <si>
    <t>Investment</t>
  </si>
  <si>
    <t>Amount</t>
  </si>
  <si>
    <t>No. Years</t>
  </si>
  <si>
    <t>$ per Year</t>
  </si>
  <si>
    <t>Overhead Recovery per Pax  T/C</t>
  </si>
  <si>
    <t xml:space="preserve">Building  </t>
  </si>
  <si>
    <t>Land</t>
  </si>
  <si>
    <t>N/A</t>
  </si>
  <si>
    <t>Building  - Leasehold Improvements</t>
  </si>
  <si>
    <t>Trucks - Highlifts</t>
  </si>
  <si>
    <t>Trucks - Vans/Utility Vehicles</t>
  </si>
  <si>
    <t>Equipment</t>
  </si>
  <si>
    <t>Rent of Property</t>
  </si>
  <si>
    <t>Other Cities that Dnata serves this Customer and Discounts applied:</t>
  </si>
  <si>
    <t>SFO</t>
  </si>
  <si>
    <t>Pricing Assumptions:</t>
  </si>
  <si>
    <t>Methodology: fc+lc+mu=sp</t>
  </si>
  <si>
    <t>Contract length:</t>
  </si>
  <si>
    <t># of Trucks/price - ea:</t>
  </si>
  <si>
    <t># of Vans/Utility Vehicles/price - ea:</t>
  </si>
  <si>
    <t xml:space="preserve">Equipment descriptions: </t>
  </si>
  <si>
    <t xml:space="preserve">Customer </t>
  </si>
  <si>
    <t>Flights Per week</t>
  </si>
  <si>
    <t xml:space="preserve">AC type </t>
  </si>
  <si>
    <t xml:space="preserve">AC Type </t>
  </si>
  <si>
    <t>Flights Per Month</t>
  </si>
  <si>
    <t xml:space="preserve">Total Revenues </t>
  </si>
  <si>
    <t xml:space="preserve">Annual Flights </t>
  </si>
  <si>
    <t xml:space="preserve">Summary </t>
  </si>
  <si>
    <t>BNA</t>
  </si>
  <si>
    <t xml:space="preserve">Total </t>
  </si>
  <si>
    <t>Hnd</t>
  </si>
  <si>
    <t>FLIGHT CONFIG</t>
  </si>
  <si>
    <t xml:space="preserve">Load Factor </t>
  </si>
  <si>
    <t>FIRST CLASS</t>
  </si>
  <si>
    <t>BUSINESS CLASS</t>
  </si>
  <si>
    <t>PREMIUM ECONOMY CLASS</t>
  </si>
  <si>
    <t>ECONOMY CLASS</t>
  </si>
  <si>
    <t>TECH CREW CLASS</t>
  </si>
  <si>
    <t>cABIN CREW CLASS</t>
  </si>
  <si>
    <t>Per Flight</t>
  </si>
  <si>
    <t xml:space="preserve">Annual </t>
  </si>
  <si>
    <t>OVERHEAD</t>
  </si>
  <si>
    <t>Food Cost (DM)</t>
  </si>
  <si>
    <t>Wage Cost (DL)</t>
  </si>
  <si>
    <t>Food Mark up</t>
  </si>
  <si>
    <t>Labor Mark up</t>
  </si>
  <si>
    <t xml:space="preserve">Direct Labour </t>
  </si>
  <si>
    <t xml:space="preserve">Handling Cost </t>
  </si>
  <si>
    <t xml:space="preserve">Handling Mark up </t>
  </si>
  <si>
    <t>Total Per Flight</t>
  </si>
  <si>
    <t>Handling</t>
  </si>
  <si>
    <t xml:space="preserve">Cost </t>
  </si>
  <si>
    <t xml:space="preserve">Mark Up </t>
  </si>
  <si>
    <t xml:space="preserve">Price </t>
  </si>
  <si>
    <t>737 Handling</t>
  </si>
  <si>
    <t>B777 Handling</t>
  </si>
  <si>
    <t>A380 Handling</t>
  </si>
  <si>
    <t xml:space="preserve">Avg Price Per Pax </t>
  </si>
  <si>
    <t xml:space="preserve">Avg Mark up Per Pax </t>
  </si>
  <si>
    <t xml:space="preserve">Over head Per Pax </t>
  </si>
  <si>
    <t>CYCLE</t>
  </si>
  <si>
    <t>FLT</t>
  </si>
  <si>
    <t xml:space="preserve">Config </t>
  </si>
  <si>
    <t>Markup Food</t>
  </si>
  <si>
    <t>Markup Labor</t>
  </si>
  <si>
    <t xml:space="preserve">Per Pax Avg </t>
  </si>
  <si>
    <t>738 Handling</t>
  </si>
  <si>
    <t>CABIN CREW CLASS</t>
  </si>
  <si>
    <t>NM cost added</t>
  </si>
  <si>
    <t>HANDLING CALCULATOR</t>
  </si>
  <si>
    <t>ALL AC TYPE</t>
  </si>
  <si>
    <t>STATION</t>
  </si>
  <si>
    <t>Aircraft type</t>
  </si>
  <si>
    <t>AC TYPE</t>
  </si>
  <si>
    <t xml:space="preserve">Long Hual with Food </t>
  </si>
  <si>
    <t>EU</t>
  </si>
  <si>
    <t># OF DAYS OPERATING</t>
  </si>
  <si>
    <t>LABOR</t>
  </si>
  <si>
    <t>POSITION</t>
  </si>
  <si>
    <t>No. of SHIFTS</t>
  </si>
  <si>
    <t>HOURS</t>
  </si>
  <si>
    <t>SHIFTS/WK</t>
  </si>
  <si>
    <t>ANNUAL HOURS</t>
  </si>
  <si>
    <t>RATE</t>
  </si>
  <si>
    <t>EMP COST</t>
  </si>
  <si>
    <t>ANNUAL</t>
  </si>
  <si>
    <t>PER FLIGHT</t>
  </si>
  <si>
    <t>PACKER/QC</t>
  </si>
  <si>
    <t>EMD</t>
  </si>
  <si>
    <t>DISHWASHER</t>
  </si>
  <si>
    <t xml:space="preserve">Van Charge </t>
  </si>
  <si>
    <t xml:space="preserve">Ramp Coordinator </t>
  </si>
  <si>
    <t xml:space="preserve">Labor </t>
  </si>
  <si>
    <t xml:space="preserve">Tuck </t>
  </si>
  <si>
    <t xml:space="preserve">total </t>
  </si>
  <si>
    <t>Selling price</t>
  </si>
  <si>
    <t>INVENTORY CLERK</t>
  </si>
  <si>
    <t>DRIVER</t>
  </si>
  <si>
    <t>Total</t>
  </si>
  <si>
    <t>TRUCK COSTS</t>
  </si>
  <si>
    <t>No. of TRUCKS</t>
  </si>
  <si>
    <t>OP HOURS</t>
  </si>
  <si>
    <t>TTL OP HRS</t>
  </si>
  <si>
    <t>DEP./DAY</t>
  </si>
  <si>
    <t>DEP/HR APPLIED</t>
  </si>
  <si>
    <t>DEP $</t>
  </si>
  <si>
    <t>MAIN/FEES/DAY</t>
  </si>
  <si>
    <t>MAIN COST</t>
  </si>
  <si>
    <t>TOTAL COST</t>
  </si>
  <si>
    <t>FUEL COST CALCULATOR</t>
  </si>
  <si>
    <t>A380 TRUCKS</t>
  </si>
  <si>
    <t>ROUND TRIP MILES</t>
  </si>
  <si>
    <t>NARROWBODY TRUCKS</t>
  </si>
  <si>
    <t>IDLE MILES</t>
  </si>
  <si>
    <t>TTL MILES</t>
  </si>
  <si>
    <t>MPG</t>
  </si>
  <si>
    <t>TOTAL HANDLING COST</t>
  </si>
  <si>
    <t>$/GAL</t>
  </si>
  <si>
    <t>MARK-UP</t>
  </si>
  <si>
    <t>long hual</t>
  </si>
  <si>
    <t xml:space="preserve">short hual </t>
  </si>
  <si>
    <t>FUEL $</t>
  </si>
  <si>
    <t>TOTAL HANDLING PRICE</t>
  </si>
  <si>
    <t>Turnaround</t>
  </si>
  <si>
    <t>ASSUMPTIONS</t>
  </si>
  <si>
    <t>One coordinator</t>
  </si>
  <si>
    <t>Two trucks</t>
  </si>
  <si>
    <t>Two helpers</t>
  </si>
  <si>
    <t>WASHUP</t>
  </si>
  <si>
    <t xml:space="preserve">EQUIPMENT PACKING </t>
  </si>
  <si>
    <t xml:space="preserve">TRANSPORT &amp; HANDLING </t>
  </si>
  <si>
    <t xml:space="preserve">INTERNATIONAL TRASH </t>
  </si>
  <si>
    <t>Category</t>
  </si>
  <si>
    <t>Aircraft</t>
  </si>
  <si>
    <t>Packing Category</t>
  </si>
  <si>
    <t>Total Man Minutes per Aircraft</t>
  </si>
  <si>
    <t>Price per MM</t>
  </si>
  <si>
    <t xml:space="preserve">ATL Price </t>
  </si>
  <si>
    <t>ATL</t>
  </si>
  <si>
    <t>A330-300</t>
  </si>
  <si>
    <t>A330-900</t>
  </si>
  <si>
    <t>A350-1000</t>
  </si>
  <si>
    <t>A350-1000B</t>
  </si>
  <si>
    <t>B787-900</t>
  </si>
  <si>
    <t>China / Glassware (inc cutlery)</t>
  </si>
  <si>
    <t>Activity</t>
  </si>
  <si>
    <t>Total Cost ($)</t>
  </si>
  <si>
    <t>Turnaround (Strip and Load)</t>
  </si>
  <si>
    <t>Total factors - All flights</t>
  </si>
  <si>
    <t>Driver Man Minutes</t>
  </si>
  <si>
    <t>J-Class Equipment</t>
  </si>
  <si>
    <t>Quantities</t>
  </si>
  <si>
    <t>MM</t>
  </si>
  <si>
    <t>Price per Man Minutes</t>
  </si>
  <si>
    <t>Crockery</t>
  </si>
  <si>
    <t>Driver Cost</t>
  </si>
  <si>
    <t>Glassware</t>
  </si>
  <si>
    <t>Flt Co-ord Man Minutes</t>
  </si>
  <si>
    <t>Cutlery*</t>
  </si>
  <si>
    <t>WY Bar alcohol packing</t>
  </si>
  <si>
    <t>Tray 1/1</t>
  </si>
  <si>
    <t>Flt Co-ord Cost</t>
  </si>
  <si>
    <t>Sundries Items</t>
  </si>
  <si>
    <t>Dispatch Man Minutes</t>
  </si>
  <si>
    <t>Total Volume of Washing per Aircraft</t>
  </si>
  <si>
    <t>Dispatch Cost</t>
  </si>
  <si>
    <t>Price per Man Minute</t>
  </si>
  <si>
    <t>[Add resource as appropriate]</t>
  </si>
  <si>
    <t>Cost per Flight</t>
  </si>
  <si>
    <t>WY Bar packing</t>
  </si>
  <si>
    <t>[Add resource labour rate as appropriate]</t>
  </si>
  <si>
    <t>W-Class Equipment</t>
  </si>
  <si>
    <t>Cost</t>
  </si>
  <si>
    <t>Total Cost Per Flight</t>
  </si>
  <si>
    <t>Strip Only</t>
  </si>
  <si>
    <t>Tray (1/1 &amp; 1/2)</t>
  </si>
  <si>
    <t>Y-Class Equipment</t>
  </si>
  <si>
    <t>Tray 1/2</t>
  </si>
  <si>
    <t>Plastics</t>
  </si>
  <si>
    <t>Carts, Ovens &amp; Boxes</t>
  </si>
  <si>
    <t xml:space="preserve">Load Only </t>
  </si>
  <si>
    <t>Full Cart</t>
  </si>
  <si>
    <t>Half Cart</t>
  </si>
  <si>
    <t>Box</t>
  </si>
  <si>
    <t>Oven</t>
  </si>
  <si>
    <t>Waste Cart</t>
  </si>
  <si>
    <t>Drawer M11</t>
  </si>
  <si>
    <t>Drawer M8</t>
  </si>
  <si>
    <t>Glass Racks</t>
  </si>
  <si>
    <t>Total Cost Per Flight ($)</t>
  </si>
  <si>
    <t>Additional Activity</t>
  </si>
  <si>
    <t>Extra Truck Trip (one off fee if applicable)</t>
  </si>
  <si>
    <t>Aircraft Change Airside</t>
  </si>
  <si>
    <t>Extra Van Trip (one off fee if applicable)</t>
  </si>
  <si>
    <t>Garbage Removal (one off fee if applicable)</t>
  </si>
  <si>
    <t>Assumptions</t>
  </si>
  <si>
    <t>WEEKS</t>
  </si>
  <si>
    <t>DFW</t>
  </si>
  <si>
    <t>FLIGHTS/WEEK</t>
  </si>
  <si>
    <t>FLTS PER YEAR</t>
  </si>
  <si>
    <t>LOAD FACTORS</t>
  </si>
  <si>
    <t># OF CYCLES</t>
  </si>
  <si>
    <t>PAX COUNT</t>
  </si>
  <si>
    <t>FLTS PER CYCLE</t>
  </si>
  <si>
    <t>AC350</t>
  </si>
  <si>
    <t>AC330</t>
  </si>
  <si>
    <t>Annual</t>
  </si>
  <si>
    <t>CLASS</t>
  </si>
  <si>
    <t>SERVICE</t>
  </si>
  <si>
    <t>Item #</t>
  </si>
  <si>
    <t>QTY</t>
  </si>
  <si>
    <t>RATIOS</t>
  </si>
  <si>
    <t>Volume Per Flight</t>
  </si>
  <si>
    <t>DM</t>
  </si>
  <si>
    <t>IE MM</t>
  </si>
  <si>
    <t>DL</t>
  </si>
  <si>
    <t>Labor Markup</t>
  </si>
  <si>
    <t>Price</t>
  </si>
  <si>
    <t>Food+MU</t>
  </si>
  <si>
    <t>Labor +MU</t>
  </si>
  <si>
    <t>NM per flt</t>
  </si>
  <si>
    <t>DM per flt</t>
  </si>
  <si>
    <t>MM per flt</t>
  </si>
  <si>
    <t>DL per flt</t>
  </si>
  <si>
    <t>Cost per flt</t>
  </si>
  <si>
    <t>Food Markup per flt</t>
  </si>
  <si>
    <t>Labor Markup Per flt</t>
  </si>
  <si>
    <t>Revenue per flt</t>
  </si>
  <si>
    <t>Annual NM cost</t>
  </si>
  <si>
    <t>Annual DM</t>
  </si>
  <si>
    <t>Annual MM</t>
  </si>
  <si>
    <t>Annual DL</t>
  </si>
  <si>
    <t>Annual Cost</t>
  </si>
  <si>
    <t>Annual Revenue</t>
  </si>
  <si>
    <t>PREVIOUS CYCLE</t>
  </si>
  <si>
    <t>STD</t>
  </si>
  <si>
    <t xml:space="preserve">add salad dressing to salad price </t>
  </si>
  <si>
    <t>WATER 250ML (FROM MLCO</t>
  </si>
  <si>
    <t>FLT#</t>
  </si>
  <si>
    <t>AVG PER CLASS</t>
  </si>
  <si>
    <t>AVG PAX</t>
  </si>
  <si>
    <t>AVG $/PAX</t>
  </si>
  <si>
    <t>FLIGHTS/YEAR</t>
  </si>
  <si>
    <t>PAX/YEAR</t>
  </si>
  <si>
    <t>SALES/YEAR</t>
  </si>
  <si>
    <t>HANDLING</t>
  </si>
  <si>
    <t>Finished Good Master</t>
  </si>
  <si>
    <t>Delta</t>
  </si>
  <si>
    <t>Item Description</t>
  </si>
  <si>
    <t>Price Code</t>
  </si>
  <si>
    <t>EQ1</t>
  </si>
  <si>
    <t>EQ2</t>
  </si>
  <si>
    <t>EQ3</t>
  </si>
  <si>
    <t>EQ4</t>
  </si>
  <si>
    <t>EQ5</t>
  </si>
  <si>
    <t>Unit Weight/ Count</t>
  </si>
  <si>
    <t>UOM</t>
  </si>
  <si>
    <t>Final Work Center</t>
  </si>
  <si>
    <t>Req / No processing needed</t>
  </si>
  <si>
    <t>Prep Center</t>
  </si>
  <si>
    <t>Item Weight</t>
  </si>
  <si>
    <t>unit cost</t>
  </si>
  <si>
    <t>cost per quantity</t>
  </si>
  <si>
    <t>man minutes</t>
  </si>
  <si>
    <t>labor factor</t>
  </si>
  <si>
    <t>labor rate</t>
  </si>
  <si>
    <t>labor cost</t>
  </si>
  <si>
    <t>total cost</t>
  </si>
  <si>
    <t>food markup</t>
  </si>
  <si>
    <t>labor m/u</t>
  </si>
  <si>
    <t>food sale price</t>
  </si>
  <si>
    <t>labor sale price</t>
  </si>
  <si>
    <t>calculated sale price</t>
  </si>
  <si>
    <t>Item         Price</t>
  </si>
  <si>
    <t>Final Food Cost %</t>
  </si>
  <si>
    <t>Column1</t>
  </si>
  <si>
    <t>Column2</t>
  </si>
  <si>
    <t xml:space="preserve">BC C1 DINNER GEORGIA PEACH CHILI WHIPPED BUTTER </t>
  </si>
  <si>
    <t xml:space="preserve">BC C1 DINNER SWEETWATER BEET AND CHEESE ROLL </t>
  </si>
  <si>
    <t xml:space="preserve">BC C1 DINNER HERB FOCACCIA ROLL </t>
  </si>
  <si>
    <t xml:space="preserve">BC C1 DINNER HHAWAIIAN ROLL </t>
  </si>
  <si>
    <t xml:space="preserve">BC C1 DINNER STARTER 1 NON VEG ROTATION 1 GRILLED PRAWN U10, MANGO CURRY AIOLI, LEMON HERB SLAW, MICRO CILANTRO, MANGO RELISH </t>
  </si>
  <si>
    <t>BC C1 DINNER STARTER 2 VEG ROTATION 1 BURRATA CHEESE, MARINATED TOMATO, BASIL OIL, MICRO BASIL. BALSAMIC REDUCTION</t>
  </si>
  <si>
    <t>BC C1 DINNER STARTER 1 NON VEG ROTATION 2 PROSCUTTIO WRAPPED PEACHES, FRISEE LETTUCE, WATERMELON, FETA CHEESE MINT LIME VINAIGRETTE</t>
  </si>
  <si>
    <t>BC C1 DINNER STARTER 2 VEG ROTATION 2 POMENTO CHEESE STUFFED PEPPADEW PEPPER, ARUGULA, OLIVE OIL</t>
  </si>
  <si>
    <t xml:space="preserve">BC C1 DINNER ENTRÉE 1 LEMON CONFIT CHICKEN LEG, LEMON CHICKIEN JUS, MASHED POTATOES, HARICOT VERT, LEMON AGRUMATO </t>
  </si>
  <si>
    <t>BC C1 DINNER ENTRÉE 2 FOX BROCHTERS SMOKED PRESSED LAMB SHOULDER, BABY CARROT , PEARL ONION, PEA PUREE, MASHED POTATOES, THYME DEMI GLACE</t>
  </si>
  <si>
    <t xml:space="preserve">BC C1 DINNER ENTRÉE 3 TRUFFLE PARMESAN RISOTTO, BABY ZUCCHINI, WILD MUSHROOM CONSERVA, ASPARAGUS, RAITA SAUCE </t>
  </si>
  <si>
    <t xml:space="preserve">BC C1 DINNER DESSERT COLD ROTATION 1 BANANA PUDDING CHEESECAKE, STREUSEL CRUMBLES, BLUEBERRIES </t>
  </si>
  <si>
    <t>BC C1 DINNER DESSERT COLD ROTATION 2 FLOURLESS CHOCOLOOATE MOUSSE CAKE STRAWBERRY COULIS, WHITE CHOCOLATE PEARLS</t>
  </si>
  <si>
    <t xml:space="preserve">BC C1 DINNER DESSERT HOT ROTATION 1 GEORGIA PEACH COBBLER, WARM PECAN PRALINE SAUCE </t>
  </si>
  <si>
    <t xml:space="preserve">BC C1 DINNER DESSERT HOT ROTATION 2 STICKY TOFFEE PUDDING, CHANTILLY CREAM, CROQUANT, TOFEE SAUCE </t>
  </si>
  <si>
    <t>BC C1 DINNER CHEESE PLATE DAIRY GRIFFIN, ASHER BLUE, GREEN HILL BRIE, ANGRY CUKES, MUSCADINE JELLY</t>
  </si>
  <si>
    <t>BC C1 BREAKFAST ENTRÉE 1 SAVORY PECAN BELGIAN WAFFLE, FRIED CHICKEN, MAPLE SAUSAGE GRAVY, SCRAMBLE EGG</t>
  </si>
  <si>
    <t>BC C1 BREAKFAST ENTRÉE 2 SAVORY FRITTATA, MARINATED TOMATO, HASHBROWN, GREEN ONION MORNAY</t>
  </si>
  <si>
    <t>BC C1 BREAKFAST ENTRÉE 3 SWEET GREEK YOGURT PARFAIT, MANGO PINEAPPLE CHUTNEY, BLUSBERRY, COCONUT AND OAT GRANOLA</t>
  </si>
  <si>
    <t>BC C1 BREAKFAST SIDE 1 FRUIT SEASONAL 4 TYPES 130G</t>
  </si>
  <si>
    <t>BC C1 BREAKFAST SIDE 2 PEACH AND PECAN SCONE</t>
  </si>
  <si>
    <t xml:space="preserve">BC C1 BREAKFAST SIDE 3 YOGURT </t>
  </si>
  <si>
    <t xml:space="preserve">BC C1 BREAKFAST SIDE 4 HOMEMADE GRANOLA </t>
  </si>
  <si>
    <t>BC C1 BREAKFAST SIDE 5 MAPLE CINNAMON BIRCHER MUESLI</t>
  </si>
  <si>
    <t>BC C1 BREAKFAST SIDE 6 CORN FLAKES</t>
  </si>
  <si>
    <t>BC C1 BREAKFAST SIDE OPTION 1 FIRED CHICKEN BISCUIT WITH TOMATO JAM</t>
  </si>
  <si>
    <t xml:space="preserve">BC C1 BREAKFAST SIDE OPTION 2 CHOCOLATE CROISSANT </t>
  </si>
  <si>
    <t xml:space="preserve">PY C1 DINNER GEORGIA PEACH CHILI WHIPPED BUTTER </t>
  </si>
  <si>
    <t xml:space="preserve">PY C1 DINNER SWEETWATER BEET AND CHEESE ROLL </t>
  </si>
  <si>
    <t xml:space="preserve">PY C1 DINNER STARTER MESCLUN MIX WITH CUCUMBER, CARROT AND BOCCONCINI MOZAZARELLA BALL </t>
  </si>
  <si>
    <t>PY C1 DINNER ENTRÉE 1 MARYLAND STULE CRAB CAKE, ARTOCHOKE RISOTTA, ASPARAGUS, LEMON DILL BEURRE BLANC</t>
  </si>
  <si>
    <t>PY C1 DINNER ENTRÉE 2 GRILLED CHICKEN KEBAB, HONEY HARISSA GLAZE, ROASTED RED PEPPER, LEMON HERB RICE, FETA CHEESE</t>
  </si>
  <si>
    <t xml:space="preserve">PY C1 DINNER ENTRÉE 3 SMOKED MOZZARELLA RAVIOLI, MARINARA SAUCE, PESTO MARINATED BOCCONCINI MOZZARELLA, SHREDDED, PARMESAN, SPINACH </t>
  </si>
  <si>
    <t xml:space="preserve">PY C1 DINNER DESSERT BLACKBERRY PEACH COBBLER TART, CRÈME GRAICHE </t>
  </si>
  <si>
    <t xml:space="preserve">PY C1 DINNER CHEESE, THOMASVILLE TOMME, ASHER BLUE, ANGRY CUKES, MESCADINE JELLY </t>
  </si>
  <si>
    <t>PY C1 BREAKFAST BUTTERMILK BISCUIT, SCRAMBLE EGG, MAPLE SAUISAGE GRAVY, CHICKEN SAUSAGE PATTY, ,SCALLIOM</t>
  </si>
  <si>
    <t>PY C1 BREAKFAST SCRAMBLE EGG, GINGERLING POTATOES, ASPARAGUS, CHERRY TOMATOES</t>
  </si>
  <si>
    <t>PY C1 BREAKFAST CHALLAH FRENCH TOAST CASSEROLE, ORANGE WHIPPED RICOTTA, CHERRY COMPOTE</t>
  </si>
  <si>
    <t>PY C1 BREAKFAST SIDE 1 FRUIT PLATE SESONAL FRUIT 100G</t>
  </si>
  <si>
    <t xml:space="preserve">PY C1 BREAKFAST SIDE 2 GREEK YOGURT 100G </t>
  </si>
  <si>
    <t>PY C1 BREAKFAST SIDE 3 PEACH AND PECAN SCONE</t>
  </si>
  <si>
    <t xml:space="preserve">YC C1 DINNER SWEETWATER BEET AND CHEESE ROLL </t>
  </si>
  <si>
    <t>YC C1 DINNER BUTTER CHIP 10G</t>
  </si>
  <si>
    <t>YC C1 DINNER STARTER 1 MESCLUN MIX, CUCUMBER, CARROT, CHERRY TOMATO</t>
  </si>
  <si>
    <t>YC C1 DINNER STARTER 2 RED QUINOA, CORN CAVIAR, SUNFLOWER SEED</t>
  </si>
  <si>
    <t>YC C1 DINNER ENTRÉE 1 BUTTER CHICKEN, CILANTRO LIME RICE, MIXED VEGETABLE</t>
  </si>
  <si>
    <t>YC C1 DINNER ENTRÉE 2 RIGATONI PASTA, POMODORINI SAUCE, WHIPPED RICOTTA, RED PEPPER</t>
  </si>
  <si>
    <t>YC C1 DINNER SIDE 1 TOMATO KACHUMBER SAQLAD</t>
  </si>
  <si>
    <t>YC C1 DINNER DESSERT BANANA PUDDING, BISCOFF CUMBLE, BUTTERSCOTCH</t>
  </si>
  <si>
    <t>YC C1 BREAKFAST SANDWICH 1 FARM EGG BREAKFAST BURROTTO, SALSA ROJA</t>
  </si>
  <si>
    <t>YC C1 BREAKFAST SANDWICH 2 BACON, EGG AND CHEESE HAND PIE WITH HASH BROWNS, SUNDRIED TOMATO AIOLI</t>
  </si>
  <si>
    <t>YC C1 BREAKFAST SIDE 1 COCONUT CHIA OVERNIGHT OATS</t>
  </si>
  <si>
    <t>YC C1 BREAKFAST SIDE 2 HOMEMADE BANANA BREAD</t>
  </si>
  <si>
    <t>CREW C1 DINNER CHEESE &amp; CRACKER, CELERY STICK, CARROT, HUMMUS</t>
  </si>
  <si>
    <t>CREW C1 DINNER HARD BOILED EGG WITH TURKEY CUBES AND CHEDDAR</t>
  </si>
  <si>
    <t>CREW C1 DINNER WHOLE FRUIT BANANA, APPLES AND ORANGE</t>
  </si>
  <si>
    <t xml:space="preserve">CREW C1 DINNER ENTRÉE 1 VEGAN COCONUT CURRY WITH BASMATI RICE </t>
  </si>
  <si>
    <t>CREW C1 DINNER ENTRÉE 2 LEMON CONFIT CHICKEN LEG WITH FINGERING POTATOES, HARICOT VERT, CHICKEN JUS AND LEMON AGRUMATO</t>
  </si>
  <si>
    <t>CREW C1 DINNER ENTRÉE 3 TRUFFLE PARMESAN RISOTTO WITH ZUCCHINI, WILD MUSHROOM CONSERVA, ASPARAGUS, BABAY ARTICHOKE</t>
  </si>
  <si>
    <t>CREW C1 DINNER ENTRÉE 4 BAKED RIGATONI WITH HERB WHIPPED RICCOTA</t>
  </si>
  <si>
    <t xml:space="preserve">CREW C1 DINNER ENTRÉE 5 </t>
  </si>
  <si>
    <t>CREW C1 SANDWICH 1 CAPRESE SANDWICH</t>
  </si>
  <si>
    <t>CREW C1 SANDWICH 2 TURKEY AND CHEESE</t>
  </si>
  <si>
    <t xml:space="preserve">CREW C1 SANDWICH 3 PHILLY CHEESE STEAK SANDWICH </t>
  </si>
  <si>
    <t xml:space="preserve">CREW C1 SANDWICH 4 CHICKEN SALAD CROISSANT SANDWICH </t>
  </si>
  <si>
    <t xml:space="preserve">CREW C1 SANDWICH 5 HAM AND CHEESE SANDWICH </t>
  </si>
  <si>
    <t>CREW C1 MIDNIGHT SNACK CHICKIEN TENDERS WITH FRIES</t>
  </si>
  <si>
    <t>CREW C1 BREAKFAST HOT SANDWICH 1 EGG AND CHEESE ENGLISH MUFFIN</t>
  </si>
  <si>
    <t>CREW C1 BREAKFAST HOT SANDWICH 2 BACON EGG AND CHEESE ENGLISH MUFFIN</t>
  </si>
  <si>
    <t>CREW C1 BREAKFAST HOT SANDWICH 3 FRIED CHICKEN BISCUIT</t>
  </si>
  <si>
    <t>CREW C3 DINNER CHEESE &amp; CRACKER, CELERY STICK, CARROT, HUMMUS</t>
  </si>
  <si>
    <t>CREW C3 DINNER HARD BOILED EGG WITH TURKEY CUBES AND CHEDDAR</t>
  </si>
  <si>
    <t>CREW C3 DINNER WHOLE FRUIT BANANA, APPLES AND ORANGE</t>
  </si>
  <si>
    <t>CREW C3 DINNER ENTRÉE 1 GULTEN FREE PENNE PASTA WITH MARINARA AND BROCCOLINI</t>
  </si>
  <si>
    <t>CREW C3 DINNER ENTRÉE 2 GRILLED HERB CHICKEN WITH QUINOA AND STEAMED VEGETABLES</t>
  </si>
  <si>
    <t>CREW C3 DINNER ENTRÉE 3 MOZZARELLA RAVIOLI WITH POMEDORI SAUCE, PESTO MARINATED BURATTA AND GARLIC SPINACH</t>
  </si>
  <si>
    <t xml:space="preserve">CREW C3 DINNER ENTRÉE 4 WILD MUSHROOM RAVIOLI WITH SAUTEED SPINACH AND ALFREDO SAUCE </t>
  </si>
  <si>
    <t xml:space="preserve">CREW C3 DINNER SANDWICH 1 VEGGIE WRAP </t>
  </si>
  <si>
    <t>CREW C3 DINNER SANDWICH 2 TURKEY CLUB SANDWICH</t>
  </si>
  <si>
    <t>CREW C3 DINNER SANDWICH 3 ROAST BEEF AND CHEDDAR SANDWICH</t>
  </si>
  <si>
    <t>CREW C3 DINNER SANDWICH 4 TUNA SALAD ON WHEAT BREAD</t>
  </si>
  <si>
    <t xml:space="preserve">CREW C3 DINNER SANDWICH 5 CUBAN SANDWICH </t>
  </si>
  <si>
    <t>CREW C3 MIDNIGHT SNACK BUFFALO CHICKEN TENDERS WITH TATER TOTS</t>
  </si>
  <si>
    <t xml:space="preserve">CREW C3 BREAKFAST HOT SANDWICH 1 EGG AND CHEESE BAGEL </t>
  </si>
  <si>
    <t>CREW C3 BREAKFAST HOT SANDWICH 2 SAUSAGE EGG AND CHEESE ENGLISH MUFFIN</t>
  </si>
  <si>
    <t xml:space="preserve">CREW C3 BREAKFAST HOT SANDWICH 3 BREAKFAST CALZONE </t>
  </si>
  <si>
    <t>BC C1 DINNER COLD STARTER 1 PROSCUITTO WRAPPED GRILLED PEACHES, FRISSEE, LIME MINT WATERMELON CHUNK, FETA CUBES, MINT LIME VINAIGRETTE GEL</t>
  </si>
  <si>
    <t xml:space="preserve">BC C1 DINNER HOT STARTER 2 PIMENTO CHEESE, GREEN TOMATO FRITTER, DOU SOUTH RED PEPPER JELLY </t>
  </si>
  <si>
    <t>BC C1 DINNER HOT STARTER 1 GRILLED PRAWN, MANGO CURRY AIOLI, SWEET PEPPER CILANTRO SLAW</t>
  </si>
  <si>
    <t>BC C1 DINNER COLD STARTER 2 BURRATA CCHEESE, MARINATED HEIRLOOM TOMATOES, ARUGULA, BALSAMIC PEARLS</t>
  </si>
  <si>
    <t>BC C1 DINNER GARNISH ARUGULA</t>
  </si>
  <si>
    <t>BC C1 DINNER ENTRÉE 1 LEMON CHICKEN BREAST, WILD MUSHROOM CONSERVA, LEMON CHICKEN JUS, ROASTED FINGERLING POTATOES, HARICOT VERT</t>
  </si>
  <si>
    <t>BC C1 DINNER ENTRÉE 2 HALIBUT, TOMATO CITRUS NAGE, FENNEL CAPER OLIVE RELISH, SAFFRON COUSCOUS, BLISTERED TOMATO</t>
  </si>
  <si>
    <t>BC C1 DINNER ENTRÉE 3 TRUFFLE PARM RISSOTTO, GRILLED BABY ZUCCHINI, MUSHROOM VONSERVA, ASPARAGUS, BABY ARTICHOKE</t>
  </si>
  <si>
    <t>BC C1 DINNER ENTRÉE 4 CHALLAH GRILLED TOAST, TRUFFLE CHEESE FILLING, PROVOLONE CHEESE SLICE, SMOKED TOMATO BISQUE</t>
  </si>
  <si>
    <t xml:space="preserve">BC C1 DINNER ENTRÉE GARNISH BASIL OIL </t>
  </si>
  <si>
    <t xml:space="preserve">BC C1 DINNER DESSERT 1 CHOCOLATE CAKE, COCOA BUTTER CREAM STRAWBERRY COULIS, CHOCOLATE PEARLS, CHANTILLY CREAM </t>
  </si>
  <si>
    <t xml:space="preserve">BC C1 DINNER DESSERT 2 STICKY TOFFEE PUDDINGM TOFFEE SAUCE, CHANTILLY CREAM </t>
  </si>
  <si>
    <t>BC C1 DINNER DESSERT 1 BANANA PUDDING CHEESECAKE, BISCOFF CRUMBLES, BLUEBERRIES, CARAMEL SAUCE, CHANTILLY CREAM</t>
  </si>
  <si>
    <t>BC C1 DINNER DESSERT 2 BLACKBERRY PEACH COBBLER TART, BRULEE SLICED PEACHES, CRÈME FRAICHE</t>
  </si>
  <si>
    <t>BC C1 DINNER CHEESE PLATE HUMBOLT GOF, LAMB CHOPPER, CHEDDAR, SOULSHINE CUCUMBERS, MUSCADINE JELLY, GRAPE, CRACKER</t>
  </si>
  <si>
    <t xml:space="preserve">BC C1 BREAKFAST ENTRÉE 1 CURED SALMON, EVERTHING CREAM CHEESE, HALF EGG, PICKLED ONION </t>
  </si>
  <si>
    <t xml:space="preserve">BC C1 BREAKFAST ENTRÉE 2 SCRAMBLED EGG, BAKED BEAN, BACON, PORK SAUSAGE, HALF ROASTED TOMATO, </t>
  </si>
  <si>
    <t>BC C1 BREAKFAST ENTRÉE 3 BANANA BREAD FRENCH TOAST, HALF TOAST POINTS, BLUBERRY COULIS, BRULEE PEACHES</t>
  </si>
  <si>
    <t>BC C1 BREAKFAST ENTRÉE 4 ENGLEMANS ROLL, SPOTTED TROTTER - BACON, HP SAUCE</t>
  </si>
  <si>
    <t>BC C1 BREAKFAST SIDE 1 FRUIT PLATE KIWI, PINEAPPLE, ORANGE, BLUEBERRIES, STRAWBERRIES 140G</t>
  </si>
  <si>
    <t xml:space="preserve">BC C1 BREAKFAST SIDE 3 COCONUT YOGURT </t>
  </si>
  <si>
    <t>BC C1 BREAKFAST SIDE 4 SUPER SEED GRANOLA</t>
  </si>
  <si>
    <t>PY C1 DINNER TSU</t>
  </si>
  <si>
    <t>PY C1 DINNER BREAD HOUSEMADE SWEETWATER BEER AND CHEESE ROLL</t>
  </si>
  <si>
    <t>PY C1 DINNER BUTTER</t>
  </si>
  <si>
    <t xml:space="preserve">PY C1 DINNER STARTER MESCLUN MIX, CUCUMBER, GRAPE TOMATO, RADISH, BALSAMIC DRESSING </t>
  </si>
  <si>
    <t xml:space="preserve">PY C1 DINNER ENTRÉE 1 CRAB CAKE, POTATO RED ONION HASH, KALE, RED PEPPER CREAM SAUCE </t>
  </si>
  <si>
    <t>PY C1 DINNER ENTRÉE 2 CHICKEN KEBAB, HONEY HARISSA GLAZE, RED PEPPER, LEMON HERB RICE, FETA CHEESE</t>
  </si>
  <si>
    <t xml:space="preserve">PY C1 DINNER ENTRÉE 3 SMOKED MOZZARELLA RAVIOLI, MARINARA SAUCE, PESTO MARINATED BOCCONCINI MOZZARELLA, SHREDDED PARMESAN, SPINACH </t>
  </si>
  <si>
    <t xml:space="preserve">PY C1 DINENR DESSERT PEACH COBBLEER TART, CRÈME FRAICHE </t>
  </si>
  <si>
    <t>PY C1 DINENR CHEESE PLATE - CHEDDAR, MUENSTER CHEESE, DRIED APROCIT, JAM, CRACKER</t>
  </si>
  <si>
    <t>PY C1 BREAKFAST TSU</t>
  </si>
  <si>
    <t xml:space="preserve">PY C1 BREAKFAST ENTRÉE 1 SCRAMBLED EGGS, BAKED BEANS, PORK SAUSAGE, MUSHROOMS AND GRAPE TOMATO </t>
  </si>
  <si>
    <t>PY C1 BREAKFAST ENTRÉE 2 FETA EGG BITES, POTATOES AND RED ONION HASH, SHAKSHUKA SAUCE, FETA CHEESE CRUMBLES</t>
  </si>
  <si>
    <t xml:space="preserve">PY C1 BREAKFAST ENTRÉE 3 CHALLAH FRENCH TOAST CASSEROLE WITH ORANGE WHIPPED RICOTTA, AND MORELLO CHERRY COMPOTE </t>
  </si>
  <si>
    <t xml:space="preserve">PY C1 BREAKFAST SIDE 1 PEACH SLICE, STRAWBERRIES, BLUEBERRIES, AND MINT </t>
  </si>
  <si>
    <t>PY C1 BREAKFAST SIDE 2 GREEK YOGURT 112G</t>
  </si>
  <si>
    <t>YC C1 DINNER TSU</t>
  </si>
  <si>
    <t xml:space="preserve">YC C1 DINNER BREAD SOURDOUGH ROLL </t>
  </si>
  <si>
    <t>YC C1 DINNER BUTTER</t>
  </si>
  <si>
    <t xml:space="preserve">YC C1 DINNER STARTER MIX GREENS, CUCUMBER AND GRAPE TOMATO </t>
  </si>
  <si>
    <t>YC C1 DINNER ENTRÉE 1 THAI CHICKEN MEATBALL, GREEN CURRY</t>
  </si>
  <si>
    <t>YC C1 DINNER ENTRÉE 2 ORRECHIETTE, MARINARA SAUCE, HERB WHIPPED RICOTTA, VEGETABLE BOLOGNESE SAUCE</t>
  </si>
  <si>
    <t>YC C1 DINNER DESSERT BANANA PUDDING, NILLA WAFTER, NILLA WAFER CRUMBLE</t>
  </si>
  <si>
    <t>YC C1 BREAKFAST TSU</t>
  </si>
  <si>
    <t>YC C1 BREAKFAST SANDWICH BANANA MUFFIN</t>
  </si>
  <si>
    <t>YC C1 BREAKFAST BOX SIDES CHOBANI YOGURT, MIX GRUIT CUP</t>
  </si>
  <si>
    <t xml:space="preserve">CREW C1 DINNER WHOLE FRUIT APPLE AND ORANGE </t>
  </si>
  <si>
    <t>CREW C1 DINNER ENTRÉE 1 VEGAN TOFU THAI GREEN CURRY WITH WHITE RICE, STIR FRIED VEGETABLES</t>
  </si>
  <si>
    <t xml:space="preserve">CREW C1 DINNER ENTRÉE 2 CRUSTED SALMON, MISO GLAZE, SHITAKE STICKY RICE, ROOT VEG WIT PERILLA </t>
  </si>
  <si>
    <t>CREW C1 DINNER ENTRÉE 3 LEMON CONFIT CHICKEN BREAST, GRAPE DEMI GLACE, WITH MASHED POTATO AND GREEN BEANS</t>
  </si>
  <si>
    <t xml:space="preserve">CREW C1 DINNER ENTRÉE 4 CAVATAPI WITH RED WINE TOMATO RAGU SAUCE, AND IMPOSSIBLE MEATBALL </t>
  </si>
  <si>
    <t xml:space="preserve">CREW C1 DINNER ENTRÉE 5 POTATO GNOCCHI WITH SAGE BROW BUTTER SAUCE AND MARINATED KALE </t>
  </si>
  <si>
    <t>CREW C1 SANDWICH 1 HUMMUS, SPROUT TORTILLA WRAP</t>
  </si>
  <si>
    <t xml:space="preserve">CREW C1 SANDWICH 2 HAM AND PROVOLINE ON WHITE </t>
  </si>
  <si>
    <t>CREW C1 SANDWICH 3 ROAST BEEF AND CHEDDAR ON HOAGIE</t>
  </si>
  <si>
    <t>CREW C1 SANDWICH 4 CAPRESES SANDWICH ON CIABATA</t>
  </si>
  <si>
    <t>CREW C1 SANDWICH 5 TUNA SALAD ON WHEAT</t>
  </si>
  <si>
    <t>CREW C1 BREAKFAST HOT SANDWICH 1 CROISSANT AND AGED CHEDDAR</t>
  </si>
  <si>
    <t>CREW C1 BREAKFAST HOT SANDWICH 2 CHICKEN SAUSAGE BISCUIT</t>
  </si>
  <si>
    <t xml:space="preserve">CREW C1 BREAKFAST HOT SANDWICH 3 BACON ROLL </t>
  </si>
  <si>
    <t>YC C1 DINNER TILLAMOOK CHEESE</t>
  </si>
  <si>
    <t xml:space="preserve">YC C1 DINNER SALAD DRESSING </t>
  </si>
  <si>
    <t xml:space="preserve">PY C1 DINNER ENTRÉE 1 SHRIMP SCAMPI, POTATO AND RED ONION HASH, KALE, AND RED PEPPER CREAM SAUCE </t>
  </si>
  <si>
    <t>BC C1 DINNER PLAIN WHIPPED BUTTER WITH FLAKE SALT</t>
  </si>
  <si>
    <t>BC C1 DINNER WHOLE FRUIT PLATTER (BANANA, GREEN APPLE, ORANGE, PEAR, TTL 12PC)</t>
  </si>
  <si>
    <t>BC C1 DINNER CHOCOLATE DANISH (OPTIMUM 623)</t>
  </si>
  <si>
    <t>BC C2 DINNER COCKTAIL PRAWN, APPLE FENNEL SALAD, CITRUS AIOLI</t>
  </si>
  <si>
    <t>BC C2 DINNER HERB BAKED GOAT CHEESE, ARUGULA, HOT HONEY GLAZE, VIBIANO BLOOD ORANGE DRESSING</t>
  </si>
  <si>
    <t>BC C2 DINNER AHI TUNA, PICKLED DAIKON AND CUCUMBER SALAD, SCALLION, AND YUZU PONZU AIOLI</t>
  </si>
  <si>
    <t>BC C2 DINNER ROASTED VEG TIKKA PUFF BITE, TOMATO, SWEET TAMARIND CHUTNEY, CORIANDER YOGURT</t>
  </si>
  <si>
    <t>BC C2 DINNER DUBAI CHOCOLATE CRUCH BAR, CHANTILLY CREAM, PISTACHIO</t>
  </si>
  <si>
    <t>BC C2 DINNER EARL GREY CAKE WITH BLACK TEA ANGLAISE, CITRUS PEEL AND ROFFEE CRUNCH</t>
  </si>
  <si>
    <t>BC C2 DINNER RED HEAD MOUSSE CAKE WITH WHIPPED BERRY CREAM, STRAWBERRY AND CROQUANT</t>
  </si>
  <si>
    <t>BC C2 DINNER WARMED APPLE TART</t>
  </si>
  <si>
    <t>BC C2 DINNER DESSERT GARNISH VANILLA ICE CREAM BULK (WITH CRY ICE)</t>
  </si>
  <si>
    <t>BC C2 DINNER ENTREE 1 PERI PERI CHICKEN</t>
  </si>
  <si>
    <t>BC C2 DINNER ENTREE 2 CRAB CAKE</t>
  </si>
  <si>
    <t>BC C2 DINNER ENTREE 3  PASTA CAPPELLETTI</t>
  </si>
  <si>
    <t>BC C2 DINNER ENTREE 4 SOUP AND SANDWICH</t>
  </si>
  <si>
    <t>BC C2 BREAKFAST TRAY SETUP</t>
  </si>
  <si>
    <t xml:space="preserve">BC C2 BREAKFAST TRAY SETUP WITH COLD PLATE </t>
  </si>
  <si>
    <t>BC C2 BRK PASTRIES - CROISSANT</t>
  </si>
  <si>
    <t>BC C2 BRK NOVA CURED SALMON, CREAM CHEESE, EGG, RED ONION,</t>
  </si>
  <si>
    <t>BC C2 BRK CHEDDAR SREAMBLE EGG, BAKED BEAN, PUDDING, PORK SAUSAGE, TOMATO POTATO HASH</t>
  </si>
  <si>
    <t>BC C2 BRK BELGIUM WAFFLE, PEACH COMPOTE, CITRUS WHIPPED RICCOTA</t>
  </si>
  <si>
    <t>BC C2 BRK SIDE ITEM LAYED YOGURT</t>
  </si>
  <si>
    <t>BC C2 BRK SIDE ITEM MINI JAM JAR</t>
  </si>
  <si>
    <t>PY C2 DINNER SALAD TOMAT SLICE, MOZZARELLA, BASIL, BALSAMIC DRESSING</t>
  </si>
  <si>
    <t>PY C2 DINNER ENTRÉE 1 ROAST CHICKEN BREAST, WILD RICE, BROCCOLI, SNAP PEA, THYME JUS</t>
  </si>
  <si>
    <t>PY C2 DINNER ENTRÉE 2 SEARED SALMON, SMOKED CORN CREAM, POTATO, SUCCOTASH, SPINACH</t>
  </si>
  <si>
    <t>PY C2 DINNER ENTRÉE 3 MUSHROOM RAVIOLI, PANA CREAM SAUCE, WILD MUSHROOM CONSERVA</t>
  </si>
  <si>
    <t>PY C2 DINNER CHOCOLATE FLAN</t>
  </si>
  <si>
    <t xml:space="preserve">PY C2 BRK ENTRÉE 1 CHEDDAR SCRAMBEL EGG, BAKED, BEAN, PORK SAUSAGE, MISHROOM, AND TOMATO </t>
  </si>
  <si>
    <t>PY C2 BRK ENTRÉE 2 NOVA SALMON, ARUGULA, CHIVE CREAM CHEESE, EGG, RED ONION, BAGEL</t>
  </si>
  <si>
    <t>PY C2 BRK ENTRÉE 3 CHEESE BLINTZ, CINNAMON SUGAR PEACHES, BERRY CRÈME ANGLAISE</t>
  </si>
  <si>
    <t>PY C2 BRK SIDE ITEM LAYERED YOGURT</t>
  </si>
  <si>
    <t>YC C2 DINNER BREAD HONEY WHEAT</t>
  </si>
  <si>
    <t xml:space="preserve">YC C2 DINNER SALAD MIXED GREEN, CUCUMBER, SHREDDED CARROT WITH ITALIAN DRESSING </t>
  </si>
  <si>
    <t>YC C2 DINNER ENTRÉE 1 TERIYAKI CHICKEN, BULGOLGO SAUCE, SCALLION, FRIED RICE, SIR FRIED VEGETABLE</t>
  </si>
  <si>
    <t>YC C2 DINNER ENTRÉE 2 CANNELLONI, MARINARA SAUCE, JULIENCE VEG, PECORINNO CHEESE</t>
  </si>
  <si>
    <t>YC C2 DINNER DESSERT BROWNIE BAR</t>
  </si>
  <si>
    <t>YC C2 BRK CINNAMON OAT MUFFIN</t>
  </si>
  <si>
    <t>YC C2 BRK VANILLA YOGURT, BLUEBERRY COMPOTE</t>
  </si>
  <si>
    <t>CC C2 SANDWICH TOFU BANH MI</t>
  </si>
  <si>
    <t>CC C2 SANDWICH TURKEY SWISS HOAGIE</t>
  </si>
  <si>
    <t>CC C2 SANDWICH BLT WHOLE WHEAT</t>
  </si>
  <si>
    <t>CC C2 SANDWICH VEGETABLE ON CIABATTA</t>
  </si>
  <si>
    <t xml:space="preserve">CC C2 SANDWICH CHICKEN SALAD CROISSANT </t>
  </si>
  <si>
    <t>CC C2 SANDWICH CROISSANT AND AGED CHEDDAR</t>
  </si>
  <si>
    <t>CC C2 SANDWICH CHICKEN SAUSAGE, BISCUIT</t>
  </si>
  <si>
    <t xml:space="preserve">BC C2 BRK ENGLEMANS PARKER HOUSE BACON BUN </t>
  </si>
  <si>
    <t>BC C2 GARNISH GRAPEFRUIT SEGMENT 20CT</t>
  </si>
  <si>
    <t>BC DINNER TRAY SET UP</t>
  </si>
  <si>
    <t>BC BREAKFAST TRAY SET UP</t>
  </si>
  <si>
    <t xml:space="preserve">PY BREAKFAST TRAY SET UP </t>
  </si>
  <si>
    <t>YC CRACKER</t>
  </si>
  <si>
    <t>BC C2 CRACKER BULK LOAD</t>
  </si>
  <si>
    <t>BC C2 BRK HHH1 BAGEL WITH GRIED EGG AND CHEESE</t>
  </si>
  <si>
    <t>PY C2 BRK HHH1 ENGLISH MUGGIN WITH FRIED EGG AND TURKEY SAUSAGE</t>
  </si>
  <si>
    <t>BC REVISION PERIPERI CHICKEN WITH BUTTER CREAM SAUCE, TRI COLOR PEPPER, ASPARAGUS, JOLLOF RICE, PLANTAIN</t>
  </si>
  <si>
    <t>BC REVISION CRAB CAKE, GRAIN MUSTARD SAUCE, ASPARAGUS, MASHED POTATO, TOMATOES</t>
  </si>
  <si>
    <t>BC REVISION CIABATTA, EGG, KALE PESTO, ROASTED RED PEPPER, SLICED PROVOLONE</t>
  </si>
  <si>
    <t>BC REVISION GREEK YOGURT, BLUEBERRY, GRANOLA, STRAWBERRY, PEACH, KIWI</t>
  </si>
  <si>
    <t>PY C2 BRK SIDE ITEM LAYERED YOGURT (compote weight change)</t>
  </si>
  <si>
    <t>CREW C1 SANDWICH 1 HUMMUS, TORTILLA WRAP</t>
  </si>
  <si>
    <t xml:space="preserve">CYCLE 1 </t>
  </si>
  <si>
    <t>CREW C1 SANDWICH 2 HAM AND PROVOLINE ON SOUGHDOUGH</t>
  </si>
  <si>
    <t xml:space="preserve">CREW C1 BREAKFAST HOT SANDWICH 1 VEGAN SCRAMBLE EGG, POTATO TORTILLA WRAP </t>
  </si>
  <si>
    <t>CREW C1 BREAKFAST HOT SANDWICH 2 FRIED EGG PATTY, CHEDDAR CHEESE, ENGLISH MUFFIN</t>
  </si>
  <si>
    <t xml:space="preserve">CREW C1 BREAKFAST HOT SANDWICH 3 HAM AND CHEESE CROISSANT </t>
  </si>
  <si>
    <t xml:space="preserve">2026 BC CY1 PARKER HOUSE KISS ROLL </t>
  </si>
  <si>
    <t xml:space="preserve">2026 BC CY1 HAWAIIAN ROLL </t>
  </si>
  <si>
    <t xml:space="preserve">2026 BC CY1 SIX GRAIN ROLL </t>
  </si>
  <si>
    <t>2026 BC CY1 COLD STARTER 1 BLINI, SMOKED SALMON, SALMON ROE, LEMON DILL CRÈME FRIACHE, EGG, PICKLED RED ONION</t>
  </si>
  <si>
    <t>2026 BC CY1 HOT STARTER 1 CARAMELIZED SHALLOT MUSHROOM TART, PUFF PASTRY CRUST</t>
  </si>
  <si>
    <t xml:space="preserve">2026 BC CY1 STARTER GARNISH 1 FRISEE AND DRESSING </t>
  </si>
  <si>
    <t>2026 BC CY1 COLD STARTER 2 GOLDEN BEET, MANDARIN SEGMENT, FRISEE, GOAT CHEESE MOUSSE, CHIVES</t>
  </si>
  <si>
    <t>2026 BC CY1 HOT STARTER 2 POACHED SHRIMP, CAJUN BUTTER SAUCE, FINGERLING POTATO, CHARRED CORN, CHICKEN ANDOUILLE SAUSAGE, CROSTINI</t>
  </si>
  <si>
    <t>2026 BC CY1 STARTER GARNISH 2 CHIVE</t>
  </si>
  <si>
    <t>2026 BC CY1 ENTRÉE 1 CHICKEN BREAST, SWEET CORN CREAM, SPRING GREEN, ROASTED TOMATO, SWEET POTATO SOUFFLE</t>
  </si>
  <si>
    <t>2026 BC CY1 ENTRÉE 2 SALMON, TOMATO CHORONE SAUCE, SPINACH, COCANNON MASH</t>
  </si>
  <si>
    <t>2026 BC CY1 ENTRÉE 3 SHITAKE SNAP PEA RISOTTO, BUETTE BLANC, ASPARAGUS, TOATED TOMATO</t>
  </si>
  <si>
    <t>2026 BC CY1 ENTRÉE 4 TOAST POINT, CHEDDAR CHEESE SLICE, PIEMENTO CHEESE, PEPPER JELLY, RED PEPPER BISQUE</t>
  </si>
  <si>
    <t>2026 BC CY1 ENTRÉE GARNISH RAINBOW MICROGREEN 42G</t>
  </si>
  <si>
    <t>2026 BC CY1 COLD DESSERT 1 RED VELVET CAKE, CHANTILLY CREAM, CHOCOLATE PEARL</t>
  </si>
  <si>
    <t>2026 BC CY1 HOT DESSERT 1 MIX BERRY BREAD PUDDING, VANILLA ICE CREAM</t>
  </si>
  <si>
    <t>2026 BC CY1 COLD DESSERT 2 YUZU MOUSSE WITH TROPICAL FRUIT SALAD</t>
  </si>
  <si>
    <t>2026 BC CY1 HOT DESSERT 2 CHOCOLATE SOUFFLE CAKE, VANILLA ICE CREAM SESAME CRUCH</t>
  </si>
  <si>
    <t>2026 BC CY1 CHEESE PLATE</t>
  </si>
  <si>
    <t>2026 BC CY1 WHOLE FRUIT PLATE</t>
  </si>
  <si>
    <t>2026 BC CY1 BRK COLD PLATE NOVA CURED SALMON</t>
  </si>
  <si>
    <t>2026 BC CY1 BRK HHH ENGLEMANS ROLL, SPOTTED TROTTER - BACON, HP SAUCE</t>
  </si>
  <si>
    <t>2026 BC CY1 BRK HHH CIABATTA, EGG PATTY, SUN DRIED TOMATO PESTO, SPINACH, SWISS CHEESE</t>
  </si>
  <si>
    <t xml:space="preserve">2026 BC CY1 BRK CROISSANT </t>
  </si>
  <si>
    <t>2026 BC CY1 BRK LAYERED YOGURT</t>
  </si>
  <si>
    <t>2026 PY CY1 BABY GEM LETTUCE, FETA CHEESE, GRAPE TOMATO, PICKLED ONION</t>
  </si>
  <si>
    <t>2026 PY CY1 ENTREE 1 CHICKEN ROULADE, RISOTTO, GREEN BEAN, LEMON CHICKEN JUS, MUSHROOM CONSERVA</t>
  </si>
  <si>
    <t>2026 PY CY1 ENTRÉE 2 COD, SHRIMP, AND FISHERMAN STEW, GOLD RICE, FENNEL CAPER RELISH</t>
  </si>
  <si>
    <t>2026 PY CY1 ENTRÉE 3 SPINACH CANNELLONI, RATATOUILLE, SAN MARZANO SAUCE, MOZZARELLA CHEESE</t>
  </si>
  <si>
    <t>2026 PY CY1 STRAWBERRY SWIRL CHEESE CAKE</t>
  </si>
  <si>
    <t>2026 PY CY1 CHEESE PLATE</t>
  </si>
  <si>
    <t>2026 PY CY1 ENGLISH MUFFIN, EGG PATTY WITH CHICKEN SAUSAGE PATTY AND CHEDDAR CHEESE</t>
  </si>
  <si>
    <t>2026 PY CY1 CIABATTA, EGG PATTY, SUN DRIED TOMATO PESTO, SPINACH, SWISS CHEESE</t>
  </si>
  <si>
    <t>2026 PY CY1 LAYERED YOGURT, KIWI, STRAWBERRY, BLUEBERRY AND GRANOLA</t>
  </si>
  <si>
    <t>2026 YC CY1 HONEY WHEAT ROLL</t>
  </si>
  <si>
    <t>2026 YC CY1 SALAD DRESSING</t>
  </si>
  <si>
    <t>2026 YC CY1 ECONOMY CRACKER (FINE CHEESE COMPANY)</t>
  </si>
  <si>
    <t>2026 YC CY1 BABY ARUGULA WITH QUINOA SALAD</t>
  </si>
  <si>
    <t>2026 YC CY1 ENTRÉE 1 CHICKEN BREAST, CHICKEN PIE VEG FILING WITH MASHED POTATO AND CHEESE CRUMB TOPPING</t>
  </si>
  <si>
    <t>2026 YC CY1 ENTRÉE 2 SPINACH RICOTTA RAVIOLI, ROSE SAUCE WITH ARTICHOKE HEART AND MUSHROOM, PARMESAN CHEESE</t>
  </si>
  <si>
    <t>2026 YC CY1 CHEESECAKE BROWNIE BAR</t>
  </si>
  <si>
    <t>2026 YC CY1 BLUEBERRY MUFFIN</t>
  </si>
  <si>
    <t>2026 YC CY1 GRANOLA PACK</t>
  </si>
  <si>
    <t>2026 CREW CY2 FRUIT AND CHEESE</t>
  </si>
  <si>
    <t xml:space="preserve">2026 CREW CY2 PROTEIN SNACK </t>
  </si>
  <si>
    <t xml:space="preserve">2026 CREW CY2 WHOLE FRESH FRUIT </t>
  </si>
  <si>
    <t>2026 CREW CY2 CHICKEN BREAST</t>
  </si>
  <si>
    <t>2026 CREW CY2 SALMON</t>
  </si>
  <si>
    <t>2026 CREW CY2 RISOTTO</t>
  </si>
  <si>
    <t>2026 CREW CY2 TOAST WITH RED PEPPER BISQUE</t>
  </si>
  <si>
    <t>2026 CREW CY2 SPINACH CANNELLONI</t>
  </si>
  <si>
    <t>2026 CREW CY2 TURKEY SANDWICH</t>
  </si>
  <si>
    <t>2026 CREW CY2 ROAST BEEF HOAGIE</t>
  </si>
  <si>
    <t>2026 CREW CY2 CHICKEN SALAD CROISSANT</t>
  </si>
  <si>
    <t>2026 CREW CY2 HUMMUS ON CIABATTA</t>
  </si>
  <si>
    <t>2026 CERW CY2 CREAM CHEESE CUCUMBER ON WHOLE WHEAT</t>
  </si>
  <si>
    <t xml:space="preserve">2026 CREW CY2 ENGLISH MUFFIN SAUSAGE PATTY </t>
  </si>
  <si>
    <t>2026 CREW CY2 TOMATO PESTO EGG SANDWICH</t>
  </si>
  <si>
    <t xml:space="preserve">2026 CREW CY2 BACON ROLL </t>
  </si>
  <si>
    <t>2026 PY CRACKER</t>
  </si>
  <si>
    <t xml:space="preserve">2026 PY DRESSING </t>
  </si>
  <si>
    <t>2026 YC CRACKER OPTION 2</t>
  </si>
  <si>
    <t xml:space="preserve">2026 BC ORANGE SLICE </t>
  </si>
  <si>
    <t>1ST SERVICE</t>
  </si>
  <si>
    <t>2D SERVICE</t>
  </si>
  <si>
    <t>2026 YC CY1 PLAIN YOGURT WITH STRAWBERRY COMPOTE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</si>
</sst>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.0000%"/>
    <numFmt numFmtId="166" formatCode="0.0000"/>
    <numFmt numFmtId="167" formatCode="_(&quot;$&quot;* #,##0_);_(&quot;$&quot;* \(#,##0\);_(&quot;$&quot;* &quot;-&quot;??_);_(@_)"/>
    <numFmt numFmtId="168" formatCode="0.0%"/>
    <numFmt numFmtId="169" formatCode="0.000"/>
    <numFmt numFmtId="170" formatCode="&quot;$&quot;#,##0.000"/>
    <numFmt numFmtId="171" formatCode="&quot;$&quot;#,##0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2"/>
      <name val="Arial"/>
      <family val="2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1"/>
      <color theme="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b/>
      <sz val="16"/>
      <color rgb="FFFFFFFF"/>
      <name val="Century Gothic"/>
      <family val="2"/>
    </font>
    <font>
      <b/>
      <sz val="18"/>
      <color rgb="FFFFFFFF"/>
      <name val="Century Gothic"/>
      <family val="2"/>
    </font>
    <font>
      <b/>
      <sz val="12"/>
      <color rgb="FFFFFFFF"/>
      <name val="Century Gothic"/>
      <family val="2"/>
    </font>
    <font>
      <sz val="10"/>
      <name val="Century Gothic"/>
      <family val="2"/>
    </font>
    <font>
      <b/>
      <sz val="14"/>
      <name val="Century Gothic"/>
      <family val="2"/>
    </font>
    <font>
      <b/>
      <sz val="12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FF0000"/>
      <name val="Century Gothic"/>
      <family val="2"/>
    </font>
    <font>
      <b/>
      <sz val="14"/>
      <color rgb="FFFFFFFF"/>
      <name val="Century Gothic"/>
      <family val="2"/>
    </font>
    <font>
      <b/>
      <sz val="10"/>
      <color rgb="FFFFFFFF"/>
      <name val="Century Gothic"/>
      <family val="2"/>
    </font>
    <font>
      <b/>
      <sz val="10"/>
      <name val="Century Gothic"/>
      <family val="2"/>
    </font>
    <font>
      <sz val="10"/>
      <color rgb="FFFFFFFF"/>
      <name val="Century Gothic"/>
      <family val="2"/>
    </font>
    <font>
      <b/>
      <sz val="22"/>
      <color rgb="FFFFFFFF"/>
      <name val="Century Gothic"/>
      <family val="2"/>
    </font>
    <font>
      <b/>
      <sz val="11"/>
      <name val="Century Gothic"/>
      <family val="2"/>
    </font>
    <font>
      <sz val="10"/>
      <color rgb="FFFF0000"/>
      <name val="Century Gothic"/>
      <family val="2"/>
    </font>
    <font>
      <i/>
      <sz val="10"/>
      <name val="Century Gothic"/>
      <family val="2"/>
    </font>
    <font>
      <sz val="11"/>
      <name val="Century Gothic"/>
      <family val="2"/>
    </font>
    <font>
      <u/>
      <sz val="11"/>
      <name val="Century Gothic"/>
      <family val="2"/>
    </font>
    <font>
      <b/>
      <i/>
      <sz val="10"/>
      <color rgb="FFFFFFFF"/>
      <name val="Century Gothic"/>
      <family val="2"/>
    </font>
    <font>
      <b/>
      <sz val="24"/>
      <color theme="1"/>
      <name val="Calibri"/>
      <family val="2"/>
      <scheme val="minor"/>
    </font>
    <font>
      <sz val="12"/>
      <name val="Century Gothic"/>
      <family val="2"/>
    </font>
    <font>
      <b/>
      <sz val="12"/>
      <name val="Century Gothic"/>
      <family val="2"/>
    </font>
  </fonts>
  <fills count="39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rgb="FF7030A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0" fontId="5" fillId="0" borderId="0"/>
  </cellStyleXfs>
  <cellXfs count="497">
    <xf numFmtId="0" fontId="0" fillId="0" borderId="0" xfId="0"/>
    <xf numFmtId="2" fontId="2" fillId="2" borderId="2" xfId="1" applyNumberFormat="1" applyFont="1" applyFill="1" applyBorder="1" applyAlignment="1">
      <alignment horizontal="center" vertical="center" wrapText="1"/>
    </xf>
    <xf numFmtId="9" fontId="2" fillId="2" borderId="2" xfId="3" applyFont="1" applyFill="1" applyBorder="1" applyAlignment="1">
      <alignment horizontal="center" vertical="center"/>
    </xf>
    <xf numFmtId="2" fontId="2" fillId="2" borderId="2" xfId="4" applyNumberFormat="1" applyFont="1" applyFill="1" applyBorder="1" applyAlignment="1">
      <alignment horizontal="center" vertical="center" wrapText="1"/>
    </xf>
    <xf numFmtId="2" fontId="2" fillId="2" borderId="0" xfId="4" applyNumberFormat="1" applyFont="1" applyFill="1" applyBorder="1" applyAlignment="1">
      <alignment horizontal="center" vertical="center" wrapText="1"/>
    </xf>
    <xf numFmtId="2" fontId="2" fillId="2" borderId="0" xfId="1" applyNumberFormat="1" applyFont="1" applyFill="1" applyBorder="1" applyAlignment="1">
      <alignment horizontal="center" vertical="center" wrapText="1"/>
    </xf>
    <xf numFmtId="0" fontId="8" fillId="5" borderId="1" xfId="5" applyFont="1" applyFill="1" applyBorder="1" applyAlignment="1">
      <alignment horizontal="left"/>
    </xf>
    <xf numFmtId="0" fontId="9" fillId="0" borderId="6" xfId="5" applyFont="1" applyBorder="1" applyAlignment="1">
      <alignment horizontal="center"/>
    </xf>
    <xf numFmtId="0" fontId="9" fillId="0" borderId="0" xfId="5" applyFont="1" applyAlignment="1">
      <alignment horizontal="center"/>
    </xf>
    <xf numFmtId="0" fontId="6" fillId="6" borderId="7" xfId="5" applyFont="1" applyFill="1" applyBorder="1" applyAlignment="1">
      <alignment horizontal="center"/>
    </xf>
    <xf numFmtId="0" fontId="9" fillId="6" borderId="7" xfId="5" applyFont="1" applyFill="1" applyBorder="1" applyAlignment="1">
      <alignment horizontal="center"/>
    </xf>
    <xf numFmtId="10" fontId="6" fillId="6" borderId="8" xfId="5" applyNumberFormat="1" applyFont="1" applyFill="1" applyBorder="1" applyAlignment="1">
      <alignment horizontal="left"/>
    </xf>
    <xf numFmtId="0" fontId="6" fillId="6" borderId="9" xfId="5" applyFont="1" applyFill="1" applyBorder="1" applyAlignment="1">
      <alignment horizontal="center"/>
    </xf>
    <xf numFmtId="1" fontId="9" fillId="6" borderId="7" xfId="5" applyNumberFormat="1" applyFont="1" applyFill="1" applyBorder="1" applyAlignment="1">
      <alignment horizontal="center"/>
    </xf>
    <xf numFmtId="0" fontId="6" fillId="6" borderId="7" xfId="5" applyFont="1" applyFill="1" applyBorder="1" applyAlignment="1">
      <alignment horizontal="left"/>
    </xf>
    <xf numFmtId="1" fontId="9" fillId="0" borderId="0" xfId="5" applyNumberFormat="1" applyFont="1" applyAlignment="1">
      <alignment horizontal="center"/>
    </xf>
    <xf numFmtId="9" fontId="9" fillId="6" borderId="7" xfId="5" applyNumberFormat="1" applyFont="1" applyFill="1" applyBorder="1" applyAlignment="1">
      <alignment horizontal="center"/>
    </xf>
    <xf numFmtId="0" fontId="6" fillId="6" borderId="10" xfId="5" applyFont="1" applyFill="1" applyBorder="1" applyAlignment="1">
      <alignment horizontal="left"/>
    </xf>
    <xf numFmtId="1" fontId="9" fillId="6" borderId="10" xfId="5" applyNumberFormat="1" applyFont="1" applyFill="1" applyBorder="1" applyAlignment="1">
      <alignment horizontal="center"/>
    </xf>
    <xf numFmtId="0" fontId="6" fillId="6" borderId="10" xfId="5" applyFont="1" applyFill="1" applyBorder="1" applyAlignment="1">
      <alignment horizontal="center"/>
    </xf>
    <xf numFmtId="1" fontId="9" fillId="6" borderId="11" xfId="5" applyNumberFormat="1" applyFont="1" applyFill="1" applyBorder="1" applyAlignment="1">
      <alignment horizontal="center"/>
    </xf>
    <xf numFmtId="2" fontId="6" fillId="3" borderId="15" xfId="4" applyNumberFormat="1" applyFont="1" applyFill="1" applyBorder="1" applyAlignment="1">
      <alignment horizontal="center" vertical="center"/>
    </xf>
    <xf numFmtId="2" fontId="6" fillId="3" borderId="16" xfId="4" applyNumberFormat="1" applyFont="1" applyFill="1" applyBorder="1" applyAlignment="1">
      <alignment horizontal="center" vertical="center"/>
    </xf>
    <xf numFmtId="2" fontId="6" fillId="3" borderId="17" xfId="4" applyNumberFormat="1" applyFont="1" applyFill="1" applyBorder="1" applyAlignment="1">
      <alignment horizontal="center" vertical="center"/>
    </xf>
    <xf numFmtId="2" fontId="6" fillId="4" borderId="18" xfId="4" applyNumberFormat="1" applyFont="1" applyFill="1" applyBorder="1" applyAlignment="1">
      <alignment horizontal="center" vertical="center"/>
    </xf>
    <xf numFmtId="2" fontId="6" fillId="4" borderId="6" xfId="4" applyNumberFormat="1" applyFont="1" applyFill="1" applyBorder="1" applyAlignment="1">
      <alignment horizontal="center" vertical="center"/>
    </xf>
    <xf numFmtId="2" fontId="6" fillId="4" borderId="11" xfId="4" applyNumberFormat="1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18" xfId="0" applyBorder="1"/>
    <xf numFmtId="0" fontId="0" fillId="0" borderId="6" xfId="0" applyBorder="1"/>
    <xf numFmtId="0" fontId="0" fillId="0" borderId="11" xfId="0" applyBorder="1"/>
    <xf numFmtId="0" fontId="0" fillId="0" borderId="1" xfId="0" applyBorder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29" xfId="0" applyFont="1" applyBorder="1" applyAlignment="1">
      <alignment horizontal="left"/>
    </xf>
    <xf numFmtId="0" fontId="0" fillId="0" borderId="30" xfId="0" applyBorder="1" applyAlignment="1">
      <alignment horizontal="left"/>
    </xf>
    <xf numFmtId="0" fontId="9" fillId="0" borderId="6" xfId="5" applyFont="1" applyBorder="1" applyAlignment="1">
      <alignment horizontal="left"/>
    </xf>
    <xf numFmtId="0" fontId="9" fillId="0" borderId="0" xfId="5" applyFont="1" applyAlignment="1">
      <alignment horizontal="left"/>
    </xf>
    <xf numFmtId="0" fontId="4" fillId="0" borderId="31" xfId="0" applyFont="1" applyBorder="1" applyAlignment="1">
      <alignment horizontal="left"/>
    </xf>
    <xf numFmtId="0" fontId="0" fillId="0" borderId="32" xfId="0" applyBorder="1" applyAlignment="1">
      <alignment horizontal="left"/>
    </xf>
    <xf numFmtId="0" fontId="6" fillId="6" borderId="9" xfId="5" applyFont="1" applyFill="1" applyBorder="1" applyAlignment="1">
      <alignment horizontal="left"/>
    </xf>
    <xf numFmtId="0" fontId="4" fillId="0" borderId="33" xfId="0" applyFont="1" applyBorder="1" applyAlignment="1">
      <alignment horizontal="left"/>
    </xf>
    <xf numFmtId="0" fontId="9" fillId="6" borderId="7" xfId="5" applyFont="1" applyFill="1" applyBorder="1" applyAlignment="1">
      <alignment horizontal="left"/>
    </xf>
    <xf numFmtId="0" fontId="4" fillId="7" borderId="29" xfId="0" applyFont="1" applyFill="1" applyBorder="1" applyAlignment="1">
      <alignment horizontal="left"/>
    </xf>
    <xf numFmtId="0" fontId="4" fillId="7" borderId="35" xfId="0" applyFont="1" applyFill="1" applyBorder="1" applyAlignment="1">
      <alignment horizontal="left"/>
    </xf>
    <xf numFmtId="0" fontId="4" fillId="7" borderId="30" xfId="0" applyFont="1" applyFill="1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22" xfId="0" applyBorder="1" applyAlignment="1">
      <alignment horizontal="left"/>
    </xf>
    <xf numFmtId="0" fontId="0" fillId="0" borderId="27" xfId="0" applyBorder="1" applyAlignment="1">
      <alignment horizontal="left"/>
    </xf>
    <xf numFmtId="0" fontId="4" fillId="0" borderId="15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10" fillId="7" borderId="35" xfId="0" applyFont="1" applyFill="1" applyBorder="1" applyAlignment="1">
      <alignment horizontal="left"/>
    </xf>
    <xf numFmtId="0" fontId="0" fillId="7" borderId="35" xfId="0" applyFill="1" applyBorder="1" applyAlignment="1">
      <alignment horizontal="left"/>
    </xf>
    <xf numFmtId="164" fontId="4" fillId="0" borderId="32" xfId="0" applyNumberFormat="1" applyFont="1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6" xfId="0" applyBorder="1" applyAlignment="1">
      <alignment horizontal="left"/>
    </xf>
    <xf numFmtId="164" fontId="0" fillId="0" borderId="36" xfId="0" applyNumberFormat="1" applyBorder="1" applyAlignment="1">
      <alignment horizontal="left"/>
    </xf>
    <xf numFmtId="164" fontId="3" fillId="0" borderId="36" xfId="0" applyNumberFormat="1" applyFont="1" applyBorder="1" applyAlignment="1">
      <alignment horizontal="left"/>
    </xf>
    <xf numFmtId="164" fontId="4" fillId="0" borderId="34" xfId="0" applyNumberFormat="1" applyFont="1" applyBorder="1" applyAlignment="1">
      <alignment horizontal="left"/>
    </xf>
    <xf numFmtId="9" fontId="0" fillId="0" borderId="1" xfId="0" applyNumberFormat="1" applyBorder="1" applyAlignment="1">
      <alignment horizontal="left"/>
    </xf>
    <xf numFmtId="0" fontId="4" fillId="0" borderId="35" xfId="0" applyFont="1" applyBorder="1" applyAlignment="1">
      <alignment horizontal="left"/>
    </xf>
    <xf numFmtId="164" fontId="4" fillId="0" borderId="30" xfId="0" applyNumberFormat="1" applyFont="1" applyBorder="1" applyAlignment="1">
      <alignment horizontal="left"/>
    </xf>
    <xf numFmtId="0" fontId="4" fillId="8" borderId="33" xfId="0" applyFont="1" applyFill="1" applyBorder="1" applyAlignment="1">
      <alignment horizontal="left"/>
    </xf>
    <xf numFmtId="0" fontId="0" fillId="8" borderId="36" xfId="0" applyFill="1" applyBorder="1" applyAlignment="1">
      <alignment horizontal="left"/>
    </xf>
    <xf numFmtId="164" fontId="4" fillId="8" borderId="34" xfId="0" applyNumberFormat="1" applyFont="1" applyFill="1" applyBorder="1" applyAlignment="1">
      <alignment horizontal="left"/>
    </xf>
    <xf numFmtId="0" fontId="4" fillId="7" borderId="7" xfId="0" applyFont="1" applyFill="1" applyBorder="1" applyAlignment="1">
      <alignment horizontal="left"/>
    </xf>
    <xf numFmtId="0" fontId="11" fillId="0" borderId="22" xfId="7" applyFont="1" applyBorder="1" applyAlignment="1">
      <alignment horizontal="left"/>
    </xf>
    <xf numFmtId="0" fontId="11" fillId="0" borderId="23" xfId="7" applyFont="1" applyBorder="1" applyAlignment="1" applyProtection="1">
      <alignment horizontal="centerContinuous"/>
      <protection locked="0"/>
    </xf>
    <xf numFmtId="0" fontId="5" fillId="0" borderId="23" xfId="7" applyFont="1" applyBorder="1" applyAlignment="1">
      <alignment horizontal="centerContinuous"/>
    </xf>
    <xf numFmtId="0" fontId="5" fillId="0" borderId="24" xfId="7" applyFont="1" applyBorder="1" applyAlignment="1">
      <alignment horizontal="centerContinuous"/>
    </xf>
    <xf numFmtId="0" fontId="5" fillId="0" borderId="27" xfId="7" applyFont="1" applyBorder="1" applyAlignment="1">
      <alignment horizontal="left"/>
    </xf>
    <xf numFmtId="0" fontId="5" fillId="9" borderId="1" xfId="7" applyFont="1" applyFill="1" applyBorder="1" applyAlignment="1" applyProtection="1">
      <alignment horizontal="left"/>
      <protection locked="0"/>
    </xf>
    <xf numFmtId="0" fontId="5" fillId="0" borderId="0" xfId="7" applyFont="1"/>
    <xf numFmtId="0" fontId="5" fillId="0" borderId="28" xfId="7" applyFont="1" applyBorder="1"/>
    <xf numFmtId="14" fontId="5" fillId="9" borderId="1" xfId="8" applyNumberFormat="1" applyFont="1" applyFill="1" applyBorder="1" applyProtection="1">
      <protection locked="0"/>
    </xf>
    <xf numFmtId="0" fontId="5" fillId="9" borderId="1" xfId="7" applyFont="1" applyFill="1" applyBorder="1" applyProtection="1">
      <protection locked="0"/>
    </xf>
    <xf numFmtId="0" fontId="11" fillId="0" borderId="0" xfId="7" applyFont="1" applyAlignment="1">
      <alignment horizontal="left"/>
    </xf>
    <xf numFmtId="165" fontId="5" fillId="9" borderId="1" xfId="7" applyNumberFormat="1" applyFont="1" applyFill="1" applyBorder="1" applyProtection="1">
      <protection locked="0"/>
    </xf>
    <xf numFmtId="14" fontId="5" fillId="9" borderId="1" xfId="7" applyNumberFormat="1" applyFont="1" applyFill="1" applyBorder="1" applyProtection="1">
      <protection locked="0"/>
    </xf>
    <xf numFmtId="20" fontId="5" fillId="9" borderId="1" xfId="7" applyNumberFormat="1" applyFont="1" applyFill="1" applyBorder="1" applyProtection="1">
      <protection locked="0"/>
    </xf>
    <xf numFmtId="9" fontId="5" fillId="9" borderId="1" xfId="7" applyNumberFormat="1" applyFont="1" applyFill="1" applyBorder="1" applyAlignment="1" applyProtection="1">
      <alignment horizontal="left"/>
      <protection locked="0"/>
    </xf>
    <xf numFmtId="0" fontId="5" fillId="0" borderId="25" xfId="7" applyFont="1" applyBorder="1"/>
    <xf numFmtId="0" fontId="5" fillId="0" borderId="37" xfId="7" applyFont="1" applyBorder="1"/>
    <xf numFmtId="0" fontId="5" fillId="10" borderId="37" xfId="7" applyFont="1" applyFill="1" applyBorder="1"/>
    <xf numFmtId="166" fontId="5" fillId="9" borderId="1" xfId="7" applyNumberFormat="1" applyFont="1" applyFill="1" applyBorder="1" applyProtection="1">
      <protection locked="0"/>
    </xf>
    <xf numFmtId="164" fontId="5" fillId="9" borderId="1" xfId="7" applyNumberFormat="1" applyFont="1" applyFill="1" applyBorder="1" applyProtection="1">
      <protection locked="0"/>
    </xf>
    <xf numFmtId="44" fontId="5" fillId="10" borderId="37" xfId="8" applyFont="1" applyFill="1" applyBorder="1"/>
    <xf numFmtId="0" fontId="5" fillId="0" borderId="22" xfId="7" applyFont="1" applyBorder="1" applyAlignment="1">
      <alignment horizontal="left"/>
    </xf>
    <xf numFmtId="0" fontId="5" fillId="0" borderId="23" xfId="7" applyFont="1" applyBorder="1"/>
    <xf numFmtId="0" fontId="5" fillId="0" borderId="0" xfId="7" applyFont="1" applyProtection="1">
      <protection locked="0"/>
    </xf>
    <xf numFmtId="42" fontId="5" fillId="9" borderId="1" xfId="7" applyNumberFormat="1" applyFont="1" applyFill="1" applyBorder="1" applyProtection="1">
      <protection locked="0"/>
    </xf>
    <xf numFmtId="37" fontId="5" fillId="0" borderId="28" xfId="7" applyNumberFormat="1" applyFont="1" applyBorder="1"/>
    <xf numFmtId="0" fontId="5" fillId="0" borderId="0" xfId="7" applyFont="1" applyAlignment="1">
      <alignment horizontal="right"/>
    </xf>
    <xf numFmtId="37" fontId="5" fillId="0" borderId="28" xfId="7" applyNumberFormat="1" applyFont="1" applyBorder="1" applyAlignment="1">
      <alignment horizontal="right"/>
    </xf>
    <xf numFmtId="0" fontId="5" fillId="0" borderId="15" xfId="7" applyFont="1" applyBorder="1" applyAlignment="1">
      <alignment horizontal="left"/>
    </xf>
    <xf numFmtId="0" fontId="5" fillId="0" borderId="16" xfId="7" applyFont="1" applyBorder="1"/>
    <xf numFmtId="37" fontId="5" fillId="0" borderId="17" xfId="7" applyNumberFormat="1" applyFont="1" applyBorder="1"/>
    <xf numFmtId="42" fontId="5" fillId="0" borderId="0" xfId="7" applyNumberFormat="1" applyFont="1" applyProtection="1">
      <protection locked="0"/>
    </xf>
    <xf numFmtId="37" fontId="5" fillId="0" borderId="0" xfId="7" applyNumberFormat="1" applyFont="1"/>
    <xf numFmtId="0" fontId="5" fillId="0" borderId="23" xfId="7" applyFont="1" applyBorder="1" applyProtection="1">
      <protection locked="0"/>
    </xf>
    <xf numFmtId="14" fontId="5" fillId="0" borderId="24" xfId="7" applyNumberFormat="1" applyFont="1" applyBorder="1" applyProtection="1">
      <protection locked="0"/>
    </xf>
    <xf numFmtId="0" fontId="5" fillId="9" borderId="27" xfId="7" applyFont="1" applyFill="1" applyBorder="1" applyAlignment="1" applyProtection="1">
      <alignment horizontal="left"/>
      <protection locked="0"/>
    </xf>
    <xf numFmtId="0" fontId="5" fillId="9" borderId="0" xfId="7" applyFont="1" applyFill="1" applyProtection="1">
      <protection locked="0"/>
    </xf>
    <xf numFmtId="0" fontId="5" fillId="9" borderId="28" xfId="7" applyFont="1" applyFill="1" applyBorder="1" applyProtection="1">
      <protection locked="0"/>
    </xf>
    <xf numFmtId="0" fontId="5" fillId="9" borderId="15" xfId="7" applyFont="1" applyFill="1" applyBorder="1" applyAlignment="1" applyProtection="1">
      <alignment horizontal="left"/>
      <protection locked="0"/>
    </xf>
    <xf numFmtId="0" fontId="5" fillId="9" borderId="16" xfId="7" applyFont="1" applyFill="1" applyBorder="1" applyProtection="1">
      <protection locked="0"/>
    </xf>
    <xf numFmtId="0" fontId="5" fillId="9" borderId="17" xfId="7" applyFont="1" applyFill="1" applyBorder="1" applyProtection="1">
      <protection locked="0"/>
    </xf>
    <xf numFmtId="0" fontId="5" fillId="0" borderId="27" xfId="7" applyFont="1" applyBorder="1" applyAlignment="1" applyProtection="1">
      <alignment horizontal="left"/>
      <protection locked="0"/>
    </xf>
    <xf numFmtId="0" fontId="11" fillId="0" borderId="0" xfId="7" applyFont="1"/>
    <xf numFmtId="14" fontId="5" fillId="0" borderId="0" xfId="7" applyNumberFormat="1" applyFont="1" applyProtection="1">
      <protection locked="0"/>
    </xf>
    <xf numFmtId="0" fontId="5" fillId="9" borderId="22" xfId="7" applyFont="1" applyFill="1" applyBorder="1" applyAlignment="1" applyProtection="1">
      <alignment horizontal="left"/>
      <protection locked="0"/>
    </xf>
    <xf numFmtId="0" fontId="5" fillId="9" borderId="23" xfId="7" applyFont="1" applyFill="1" applyBorder="1" applyProtection="1">
      <protection locked="0"/>
    </xf>
    <xf numFmtId="0" fontId="5" fillId="9" borderId="24" xfId="7" applyFont="1" applyFill="1" applyBorder="1" applyProtection="1">
      <protection locked="0"/>
    </xf>
    <xf numFmtId="0" fontId="5" fillId="9" borderId="27" xfId="7" quotePrefix="1" applyFont="1" applyFill="1" applyBorder="1" applyAlignment="1" applyProtection="1">
      <alignment horizontal="left"/>
      <protection locked="0"/>
    </xf>
    <xf numFmtId="1" fontId="5" fillId="9" borderId="1" xfId="7" applyNumberFormat="1" applyFont="1" applyFill="1" applyBorder="1" applyProtection="1">
      <protection locked="0"/>
    </xf>
    <xf numFmtId="0" fontId="0" fillId="0" borderId="0" xfId="0" applyAlignment="1">
      <alignment wrapText="1"/>
    </xf>
    <xf numFmtId="1" fontId="0" fillId="0" borderId="34" xfId="0" applyNumberFormat="1" applyBorder="1" applyAlignment="1">
      <alignment horizontal="left"/>
    </xf>
    <xf numFmtId="164" fontId="0" fillId="0" borderId="20" xfId="0" applyNumberFormat="1" applyBorder="1"/>
    <xf numFmtId="164" fontId="0" fillId="0" borderId="6" xfId="0" applyNumberFormat="1" applyBorder="1"/>
    <xf numFmtId="164" fontId="2" fillId="2" borderId="2" xfId="4" applyNumberFormat="1" applyFont="1" applyFill="1" applyBorder="1" applyAlignment="1">
      <alignment horizontal="center" vertical="center"/>
    </xf>
    <xf numFmtId="164" fontId="0" fillId="0" borderId="0" xfId="0" applyNumberFormat="1"/>
    <xf numFmtId="164" fontId="12" fillId="0" borderId="6" xfId="0" applyNumberFormat="1" applyFont="1" applyBorder="1"/>
    <xf numFmtId="0" fontId="12" fillId="0" borderId="6" xfId="9" applyNumberFormat="1" applyFont="1" applyBorder="1"/>
    <xf numFmtId="1" fontId="0" fillId="0" borderId="1" xfId="0" applyNumberFormat="1" applyBorder="1"/>
    <xf numFmtId="164" fontId="0" fillId="0" borderId="1" xfId="0" applyNumberFormat="1" applyBorder="1"/>
    <xf numFmtId="164" fontId="0" fillId="14" borderId="0" xfId="0" applyNumberFormat="1" applyFill="1"/>
    <xf numFmtId="1" fontId="0" fillId="12" borderId="1" xfId="0" applyNumberFormat="1" applyFill="1" applyBorder="1"/>
    <xf numFmtId="0" fontId="0" fillId="12" borderId="1" xfId="0" applyFill="1" applyBorder="1"/>
    <xf numFmtId="0" fontId="6" fillId="6" borderId="7" xfId="5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5" borderId="25" xfId="5" applyFont="1" applyFill="1" applyBorder="1" applyAlignment="1">
      <alignment vertical="center"/>
    </xf>
    <xf numFmtId="167" fontId="6" fillId="6" borderId="7" xfId="1" applyNumberFormat="1" applyFont="1" applyFill="1" applyBorder="1" applyAlignment="1">
      <alignment horizontal="center" vertical="center"/>
    </xf>
    <xf numFmtId="44" fontId="9" fillId="6" borderId="7" xfId="1" applyFont="1" applyFill="1" applyBorder="1" applyAlignment="1">
      <alignment horizontal="center" vertical="center"/>
    </xf>
    <xf numFmtId="167" fontId="9" fillId="6" borderId="7" xfId="1" applyNumberFormat="1" applyFont="1" applyFill="1" applyBorder="1" applyAlignment="1">
      <alignment horizontal="center" vertical="center"/>
    </xf>
    <xf numFmtId="0" fontId="8" fillId="5" borderId="38" xfId="5" applyFont="1" applyFill="1" applyBorder="1" applyAlignment="1">
      <alignment horizontal="center" vertical="center"/>
    </xf>
    <xf numFmtId="9" fontId="8" fillId="5" borderId="38" xfId="5" applyNumberFormat="1" applyFont="1" applyFill="1" applyBorder="1" applyAlignment="1">
      <alignment horizontal="center" vertical="center"/>
    </xf>
    <xf numFmtId="0" fontId="8" fillId="5" borderId="38" xfId="10" applyNumberFormat="1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4" fillId="15" borderId="34" xfId="0" applyFont="1" applyFill="1" applyBorder="1" applyAlignment="1">
      <alignment horizontal="center" vertical="center"/>
    </xf>
    <xf numFmtId="0" fontId="6" fillId="0" borderId="0" xfId="5" applyFont="1" applyAlignment="1">
      <alignment horizontal="center" vertical="center"/>
    </xf>
    <xf numFmtId="44" fontId="9" fillId="0" borderId="0" xfId="1" applyFont="1" applyFill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3" fillId="6" borderId="7" xfId="5" applyFont="1" applyFill="1" applyBorder="1" applyAlignment="1">
      <alignment horizontal="center"/>
    </xf>
    <xf numFmtId="167" fontId="15" fillId="0" borderId="0" xfId="0" applyNumberFormat="1" applyFont="1" applyAlignment="1">
      <alignment horizontal="center" vertical="center"/>
    </xf>
    <xf numFmtId="44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" fillId="5" borderId="7" xfId="5" applyFont="1" applyFill="1" applyBorder="1" applyAlignment="1">
      <alignment horizontal="center" vertical="center"/>
    </xf>
    <xf numFmtId="0" fontId="2" fillId="5" borderId="38" xfId="5" applyFont="1" applyFill="1" applyBorder="1" applyAlignment="1">
      <alignment horizontal="center" vertical="center"/>
    </xf>
    <xf numFmtId="167" fontId="2" fillId="5" borderId="38" xfId="1" applyNumberFormat="1" applyFont="1" applyFill="1" applyBorder="1" applyAlignment="1">
      <alignment horizontal="center" vertical="center"/>
    </xf>
    <xf numFmtId="167" fontId="0" fillId="0" borderId="28" xfId="1" applyNumberFormat="1" applyFont="1" applyBorder="1" applyAlignment="1">
      <alignment horizontal="center" vertical="center"/>
    </xf>
    <xf numFmtId="9" fontId="0" fillId="0" borderId="40" xfId="9" applyFont="1" applyBorder="1" applyAlignment="1">
      <alignment horizontal="center" vertical="center"/>
    </xf>
    <xf numFmtId="44" fontId="14" fillId="15" borderId="14" xfId="1" applyFont="1" applyFill="1" applyBorder="1" applyAlignment="1">
      <alignment horizontal="center" vertical="center"/>
    </xf>
    <xf numFmtId="0" fontId="8" fillId="0" borderId="0" xfId="5" applyFont="1" applyAlignment="1">
      <alignment horizontal="left"/>
    </xf>
    <xf numFmtId="10" fontId="6" fillId="0" borderId="0" xfId="5" applyNumberFormat="1" applyFont="1" applyAlignment="1">
      <alignment horizontal="left"/>
    </xf>
    <xf numFmtId="0" fontId="6" fillId="0" borderId="0" xfId="5" applyFont="1" applyAlignment="1">
      <alignment horizontal="center"/>
    </xf>
    <xf numFmtId="0" fontId="6" fillId="0" borderId="0" xfId="5" applyFont="1" applyAlignment="1">
      <alignment horizontal="left"/>
    </xf>
    <xf numFmtId="0" fontId="3" fillId="0" borderId="0" xfId="5" applyFont="1" applyAlignment="1">
      <alignment horizontal="center"/>
    </xf>
    <xf numFmtId="9" fontId="9" fillId="0" borderId="0" xfId="5" applyNumberFormat="1" applyFont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" fontId="9" fillId="0" borderId="39" xfId="9" applyNumberFormat="1" applyFont="1" applyFill="1" applyBorder="1" applyAlignment="1">
      <alignment horizontal="center"/>
    </xf>
    <xf numFmtId="0" fontId="9" fillId="16" borderId="0" xfId="0" applyFont="1" applyFill="1"/>
    <xf numFmtId="9" fontId="9" fillId="3" borderId="0" xfId="9" applyFont="1" applyFill="1" applyAlignment="1">
      <alignment horizontal="center"/>
    </xf>
    <xf numFmtId="0" fontId="0" fillId="0" borderId="39" xfId="0" applyBorder="1"/>
    <xf numFmtId="0" fontId="4" fillId="0" borderId="0" xfId="0" applyFont="1"/>
    <xf numFmtId="1" fontId="9" fillId="0" borderId="0" xfId="9" applyNumberFormat="1" applyFont="1" applyFill="1" applyBorder="1" applyAlignment="1">
      <alignment horizontal="center"/>
    </xf>
    <xf numFmtId="44" fontId="0" fillId="0" borderId="0" xfId="0" applyNumberFormat="1" applyAlignment="1">
      <alignment horizontal="center" vertical="center"/>
    </xf>
    <xf numFmtId="9" fontId="12" fillId="0" borderId="6" xfId="9" applyFont="1" applyBorder="1"/>
    <xf numFmtId="10" fontId="12" fillId="0" borderId="6" xfId="9" applyNumberFormat="1" applyFont="1" applyBorder="1"/>
    <xf numFmtId="168" fontId="12" fillId="0" borderId="6" xfId="9" applyNumberFormat="1" applyFont="1" applyBorder="1"/>
    <xf numFmtId="0" fontId="0" fillId="0" borderId="21" xfId="0" applyBorder="1"/>
    <xf numFmtId="2" fontId="2" fillId="0" borderId="2" xfId="1" applyNumberFormat="1" applyFont="1" applyFill="1" applyBorder="1" applyAlignment="1">
      <alignment horizontal="center" vertical="center"/>
    </xf>
    <xf numFmtId="0" fontId="19" fillId="0" borderId="0" xfId="0" applyFont="1"/>
    <xf numFmtId="2" fontId="19" fillId="0" borderId="0" xfId="0" applyNumberFormat="1" applyFont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8" fontId="0" fillId="0" borderId="0" xfId="9" applyNumberFormat="1" applyFont="1" applyAlignment="1">
      <alignment horizontal="center"/>
    </xf>
    <xf numFmtId="9" fontId="0" fillId="0" borderId="0" xfId="9" applyFont="1" applyAlignment="1">
      <alignment horizontal="center"/>
    </xf>
    <xf numFmtId="0" fontId="20" fillId="18" borderId="0" xfId="0" applyFont="1" applyFill="1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right" wrapText="1"/>
    </xf>
    <xf numFmtId="168" fontId="0" fillId="0" borderId="0" xfId="9" applyNumberFormat="1" applyFont="1" applyAlignment="1">
      <alignment horizontal="center" wrapText="1"/>
    </xf>
    <xf numFmtId="9" fontId="0" fillId="0" borderId="0" xfId="9" applyFont="1" applyAlignment="1">
      <alignment horizontal="center" wrapText="1"/>
    </xf>
    <xf numFmtId="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9" fontId="0" fillId="0" borderId="0" xfId="0" applyNumberFormat="1"/>
    <xf numFmtId="44" fontId="0" fillId="0" borderId="0" xfId="1" applyFont="1"/>
    <xf numFmtId="9" fontId="0" fillId="0" borderId="0" xfId="9" applyFont="1"/>
    <xf numFmtId="44" fontId="4" fillId="3" borderId="0" xfId="1" applyFont="1" applyFill="1"/>
    <xf numFmtId="0" fontId="0" fillId="12" borderId="0" xfId="0" applyFill="1"/>
    <xf numFmtId="0" fontId="0" fillId="19" borderId="0" xfId="0" applyFill="1"/>
    <xf numFmtId="44" fontId="0" fillId="0" borderId="0" xfId="1" applyFont="1" applyFill="1" applyAlignment="1"/>
    <xf numFmtId="44" fontId="0" fillId="0" borderId="0" xfId="0" applyNumberFormat="1"/>
    <xf numFmtId="168" fontId="0" fillId="0" borderId="0" xfId="0" applyNumberFormat="1" applyAlignment="1">
      <alignment horizontal="center"/>
    </xf>
    <xf numFmtId="9" fontId="0" fillId="0" borderId="0" xfId="0" applyNumberFormat="1"/>
    <xf numFmtId="0" fontId="14" fillId="0" borderId="0" xfId="0" applyFont="1" applyAlignment="1">
      <alignment horizontal="center" vertical="center"/>
    </xf>
    <xf numFmtId="9" fontId="0" fillId="0" borderId="0" xfId="9" applyFont="1" applyFill="1" applyBorder="1" applyAlignment="1">
      <alignment horizontal="center" vertical="center"/>
    </xf>
    <xf numFmtId="9" fontId="6" fillId="0" borderId="0" xfId="9" applyFont="1" applyFill="1" applyBorder="1" applyAlignment="1">
      <alignment horizontal="center" vertical="center"/>
    </xf>
    <xf numFmtId="9" fontId="13" fillId="0" borderId="0" xfId="9" applyFont="1" applyFill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167" fontId="2" fillId="0" borderId="0" xfId="1" applyNumberFormat="1" applyFont="1" applyFill="1" applyBorder="1" applyAlignment="1">
      <alignment horizontal="center" vertical="center"/>
    </xf>
    <xf numFmtId="0" fontId="2" fillId="5" borderId="49" xfId="5" applyFont="1" applyFill="1" applyBorder="1" applyAlignment="1">
      <alignment horizontal="center" vertical="center"/>
    </xf>
    <xf numFmtId="44" fontId="9" fillId="6" borderId="10" xfId="1" applyFont="1" applyFill="1" applyBorder="1" applyAlignment="1">
      <alignment horizontal="center" vertical="center"/>
    </xf>
    <xf numFmtId="0" fontId="2" fillId="5" borderId="5" xfId="5" applyFont="1" applyFill="1" applyBorder="1" applyAlignment="1">
      <alignment horizontal="center" vertical="center"/>
    </xf>
    <xf numFmtId="9" fontId="22" fillId="3" borderId="42" xfId="9" applyFont="1" applyFill="1" applyBorder="1" applyAlignment="1">
      <alignment horizontal="center" vertical="center"/>
    </xf>
    <xf numFmtId="167" fontId="22" fillId="3" borderId="44" xfId="1" applyNumberFormat="1" applyFont="1" applyFill="1" applyBorder="1" applyAlignment="1">
      <alignment horizontal="center" vertical="center"/>
    </xf>
    <xf numFmtId="9" fontId="17" fillId="20" borderId="7" xfId="5" applyNumberFormat="1" applyFont="1" applyFill="1" applyBorder="1" applyAlignment="1">
      <alignment horizontal="center" vertical="center"/>
    </xf>
    <xf numFmtId="0" fontId="17" fillId="20" borderId="7" xfId="10" applyNumberFormat="1" applyFont="1" applyFill="1" applyBorder="1" applyAlignment="1">
      <alignment horizontal="center" vertical="center"/>
    </xf>
    <xf numFmtId="9" fontId="17" fillId="20" borderId="7" xfId="10" applyNumberFormat="1" applyFont="1" applyFill="1" applyBorder="1" applyAlignment="1">
      <alignment horizontal="center" vertical="center"/>
    </xf>
    <xf numFmtId="9" fontId="6" fillId="21" borderId="32" xfId="9" applyFont="1" applyFill="1" applyBorder="1" applyAlignment="1">
      <alignment horizontal="center" vertical="center"/>
    </xf>
    <xf numFmtId="167" fontId="6" fillId="21" borderId="26" xfId="1" applyNumberFormat="1" applyFont="1" applyFill="1" applyBorder="1" applyAlignment="1">
      <alignment horizontal="center" vertical="center"/>
    </xf>
    <xf numFmtId="167" fontId="2" fillId="5" borderId="7" xfId="1" applyNumberFormat="1" applyFont="1" applyFill="1" applyBorder="1" applyAlignment="1">
      <alignment horizontal="center" vertical="center"/>
    </xf>
    <xf numFmtId="0" fontId="8" fillId="5" borderId="7" xfId="5" applyFont="1" applyFill="1" applyBorder="1" applyAlignment="1">
      <alignment horizontal="center" vertical="center"/>
    </xf>
    <xf numFmtId="167" fontId="8" fillId="5" borderId="7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5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9" fontId="0" fillId="0" borderId="0" xfId="9" applyFont="1" applyFill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19" fillId="0" borderId="0" xfId="0" applyNumberFormat="1" applyFont="1"/>
    <xf numFmtId="44" fontId="4" fillId="3" borderId="0" xfId="0" applyNumberFormat="1" applyFont="1" applyFill="1"/>
    <xf numFmtId="0" fontId="0" fillId="0" borderId="6" xfId="0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0" fontId="9" fillId="0" borderId="0" xfId="0" applyNumberFormat="1" applyFont="1"/>
    <xf numFmtId="2" fontId="9" fillId="0" borderId="0" xfId="0" applyNumberFormat="1" applyFont="1"/>
    <xf numFmtId="1" fontId="8" fillId="5" borderId="38" xfId="5" applyNumberFormat="1" applyFont="1" applyFill="1" applyBorder="1" applyAlignment="1">
      <alignment horizontal="center" vertical="center"/>
    </xf>
    <xf numFmtId="9" fontId="0" fillId="0" borderId="0" xfId="9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/>
    <xf numFmtId="1" fontId="17" fillId="20" borderId="7" xfId="5" applyNumberFormat="1" applyFont="1" applyFill="1" applyBorder="1" applyAlignment="1">
      <alignment horizontal="center" vertical="center"/>
    </xf>
    <xf numFmtId="44" fontId="0" fillId="23" borderId="0" xfId="1" applyFont="1" applyFill="1"/>
    <xf numFmtId="9" fontId="0" fillId="23" borderId="0" xfId="9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164" fontId="0" fillId="0" borderId="36" xfId="0" applyNumberFormat="1" applyBorder="1" applyAlignment="1">
      <alignment horizontal="center" vertical="center"/>
    </xf>
    <xf numFmtId="164" fontId="0" fillId="0" borderId="34" xfId="0" applyNumberFormat="1" applyBorder="1" applyAlignment="1">
      <alignment horizontal="center" vertical="center"/>
    </xf>
    <xf numFmtId="44" fontId="4" fillId="0" borderId="36" xfId="1" applyFont="1" applyBorder="1" applyAlignment="1">
      <alignment horizontal="center" vertical="center"/>
    </xf>
    <xf numFmtId="167" fontId="18" fillId="0" borderId="7" xfId="1" applyNumberFormat="1" applyFont="1" applyFill="1" applyBorder="1"/>
    <xf numFmtId="0" fontId="4" fillId="7" borderId="47" xfId="0" applyFont="1" applyFill="1" applyBorder="1" applyAlignment="1">
      <alignment horizontal="left"/>
    </xf>
    <xf numFmtId="0" fontId="4" fillId="7" borderId="52" xfId="0" applyFont="1" applyFill="1" applyBorder="1" applyAlignment="1">
      <alignment horizontal="left"/>
    </xf>
    <xf numFmtId="0" fontId="4" fillId="7" borderId="53" xfId="0" applyFont="1" applyFill="1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5" xfId="0" applyBorder="1" applyAlignment="1">
      <alignment horizontal="left"/>
    </xf>
    <xf numFmtId="164" fontId="0" fillId="12" borderId="20" xfId="0" applyNumberFormat="1" applyFill="1" applyBorder="1"/>
    <xf numFmtId="164" fontId="0" fillId="0" borderId="35" xfId="0" applyNumberFormat="1" applyBorder="1" applyAlignment="1">
      <alignment horizontal="left"/>
    </xf>
    <xf numFmtId="164" fontId="0" fillId="12" borderId="0" xfId="0" applyNumberFormat="1" applyFill="1"/>
    <xf numFmtId="0" fontId="4" fillId="6" borderId="48" xfId="0" applyFont="1" applyFill="1" applyBorder="1" applyAlignment="1">
      <alignment horizontal="left"/>
    </xf>
    <xf numFmtId="0" fontId="4" fillId="6" borderId="54" xfId="0" applyFont="1" applyFill="1" applyBorder="1" applyAlignment="1">
      <alignment horizontal="left"/>
    </xf>
    <xf numFmtId="164" fontId="4" fillId="6" borderId="54" xfId="0" applyNumberFormat="1" applyFont="1" applyFill="1" applyBorder="1" applyAlignment="1">
      <alignment horizontal="left"/>
    </xf>
    <xf numFmtId="164" fontId="4" fillId="6" borderId="55" xfId="0" applyNumberFormat="1" applyFont="1" applyFill="1" applyBorder="1" applyAlignment="1">
      <alignment horizontal="left"/>
    </xf>
    <xf numFmtId="164" fontId="0" fillId="0" borderId="30" xfId="0" applyNumberFormat="1" applyBorder="1"/>
    <xf numFmtId="164" fontId="0" fillId="0" borderId="32" xfId="0" applyNumberFormat="1" applyBorder="1"/>
    <xf numFmtId="164" fontId="0" fillId="12" borderId="6" xfId="0" applyNumberFormat="1" applyFill="1" applyBorder="1"/>
    <xf numFmtId="164" fontId="0" fillId="0" borderId="34" xfId="0" applyNumberFormat="1" applyBorder="1"/>
    <xf numFmtId="0" fontId="24" fillId="5" borderId="7" xfId="5" applyFont="1" applyFill="1" applyBorder="1" applyAlignment="1">
      <alignment horizontal="center" vertical="center"/>
    </xf>
    <xf numFmtId="0" fontId="6" fillId="5" borderId="7" xfId="5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6" fillId="12" borderId="0" xfId="5" applyFont="1" applyFill="1" applyAlignment="1">
      <alignment horizontal="left"/>
    </xf>
    <xf numFmtId="2" fontId="0" fillId="0" borderId="20" xfId="0" applyNumberFormat="1" applyBorder="1" applyAlignment="1">
      <alignment wrapText="1"/>
    </xf>
    <xf numFmtId="2" fontId="0" fillId="0" borderId="6" xfId="0" applyNumberFormat="1" applyBorder="1" applyAlignment="1">
      <alignment wrapText="1"/>
    </xf>
    <xf numFmtId="2" fontId="2" fillId="2" borderId="2" xfId="2" applyNumberFormat="1" applyFont="1" applyFill="1" applyBorder="1" applyAlignment="1">
      <alignment horizontal="center" vertical="center" wrapText="1"/>
    </xf>
    <xf numFmtId="2" fontId="9" fillId="3" borderId="0" xfId="0" applyNumberFormat="1" applyFont="1" applyFill="1" applyAlignment="1">
      <alignment horizontal="center"/>
    </xf>
    <xf numFmtId="2" fontId="0" fillId="0" borderId="0" xfId="0" applyNumberFormat="1" applyAlignment="1">
      <alignment wrapText="1"/>
    </xf>
    <xf numFmtId="2" fontId="0" fillId="0" borderId="20" xfId="0" applyNumberFormat="1" applyBorder="1"/>
    <xf numFmtId="2" fontId="0" fillId="0" borderId="6" xfId="0" applyNumberFormat="1" applyBorder="1"/>
    <xf numFmtId="2" fontId="2" fillId="2" borderId="2" xfId="2" applyNumberFormat="1" applyFont="1" applyFill="1" applyBorder="1" applyAlignment="1">
      <alignment horizontal="center" vertical="center"/>
    </xf>
    <xf numFmtId="2" fontId="0" fillId="0" borderId="0" xfId="0" applyNumberFormat="1"/>
    <xf numFmtId="2" fontId="9" fillId="11" borderId="0" xfId="0" quotePrefix="1" applyNumberFormat="1" applyFont="1" applyFill="1" applyAlignment="1">
      <alignment horizontal="center"/>
    </xf>
    <xf numFmtId="9" fontId="0" fillId="0" borderId="40" xfId="9" applyFont="1" applyFill="1" applyBorder="1" applyAlignment="1">
      <alignment horizontal="center" vertical="center"/>
    </xf>
    <xf numFmtId="0" fontId="9" fillId="22" borderId="0" xfId="0" applyFont="1" applyFill="1"/>
    <xf numFmtId="0" fontId="3" fillId="12" borderId="0" xfId="0" applyFont="1" applyFill="1" applyAlignment="1">
      <alignment horizontal="left"/>
    </xf>
    <xf numFmtId="0" fontId="0" fillId="12" borderId="1" xfId="0" applyFill="1" applyBorder="1" applyAlignment="1">
      <alignment horizontal="left"/>
    </xf>
    <xf numFmtId="44" fontId="0" fillId="0" borderId="0" xfId="0" applyNumberFormat="1" applyAlignment="1">
      <alignment horizontal="left"/>
    </xf>
    <xf numFmtId="0" fontId="4" fillId="0" borderId="2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2" xfId="2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20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2" borderId="2" xfId="2" applyFont="1" applyFill="1" applyBorder="1" applyAlignment="1">
      <alignment horizontal="left" vertical="center"/>
    </xf>
    <xf numFmtId="0" fontId="0" fillId="13" borderId="0" xfId="0" applyFill="1" applyAlignment="1">
      <alignment horizontal="left"/>
    </xf>
    <xf numFmtId="0" fontId="9" fillId="24" borderId="0" xfId="0" applyFont="1" applyFill="1"/>
    <xf numFmtId="44" fontId="0" fillId="0" borderId="1" xfId="1" applyFont="1" applyBorder="1" applyAlignment="1">
      <alignment horizontal="left"/>
    </xf>
    <xf numFmtId="44" fontId="0" fillId="12" borderId="1" xfId="1" applyFont="1" applyFill="1" applyBorder="1" applyAlignment="1">
      <alignment horizontal="left"/>
    </xf>
    <xf numFmtId="167" fontId="0" fillId="12" borderId="28" xfId="1" applyNumberFormat="1" applyFont="1" applyFill="1" applyBorder="1" applyAlignment="1">
      <alignment horizontal="center" vertical="center"/>
    </xf>
    <xf numFmtId="0" fontId="9" fillId="0" borderId="0" xfId="0" applyFont="1"/>
    <xf numFmtId="0" fontId="23" fillId="0" borderId="0" xfId="0" applyFont="1" applyAlignment="1">
      <alignment horizontal="left" vertical="center"/>
    </xf>
    <xf numFmtId="0" fontId="3" fillId="0" borderId="0" xfId="0" applyFont="1"/>
    <xf numFmtId="9" fontId="3" fillId="0" borderId="20" xfId="0" applyNumberFormat="1" applyFont="1" applyBorder="1"/>
    <xf numFmtId="0" fontId="3" fillId="0" borderId="20" xfId="0" applyFont="1" applyBorder="1"/>
    <xf numFmtId="44" fontId="9" fillId="26" borderId="7" xfId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7" fontId="0" fillId="0" borderId="1" xfId="1" applyNumberFormat="1" applyFont="1" applyBorder="1" applyAlignment="1">
      <alignment horizontal="left" vertical="center"/>
    </xf>
    <xf numFmtId="3" fontId="0" fillId="0" borderId="0" xfId="0" applyNumberFormat="1"/>
    <xf numFmtId="44" fontId="14" fillId="15" borderId="33" xfId="1" applyFont="1" applyFill="1" applyBorder="1" applyAlignment="1">
      <alignment horizontal="center" vertical="center"/>
    </xf>
    <xf numFmtId="167" fontId="0" fillId="0" borderId="43" xfId="1" applyNumberFormat="1" applyFont="1" applyBorder="1" applyAlignment="1">
      <alignment horizontal="center" vertical="center"/>
    </xf>
    <xf numFmtId="167" fontId="6" fillId="21" borderId="31" xfId="1" applyNumberFormat="1" applyFont="1" applyFill="1" applyBorder="1" applyAlignment="1">
      <alignment horizontal="center" vertical="center"/>
    </xf>
    <xf numFmtId="167" fontId="22" fillId="3" borderId="41" xfId="1" applyNumberFormat="1" applyFont="1" applyFill="1" applyBorder="1" applyAlignment="1">
      <alignment horizontal="center" vertical="center"/>
    </xf>
    <xf numFmtId="167" fontId="0" fillId="0" borderId="56" xfId="0" applyNumberFormat="1" applyBorder="1"/>
    <xf numFmtId="0" fontId="0" fillId="0" borderId="39" xfId="0" applyBorder="1" applyAlignment="1">
      <alignment horizontal="left" vertical="center"/>
    </xf>
    <xf numFmtId="0" fontId="6" fillId="21" borderId="58" xfId="0" applyFont="1" applyFill="1" applyBorder="1" applyAlignment="1">
      <alignment horizontal="right" vertical="center"/>
    </xf>
    <xf numFmtId="0" fontId="22" fillId="3" borderId="3" xfId="0" applyFont="1" applyFill="1" applyBorder="1" applyAlignment="1">
      <alignment horizontal="center" vertical="center"/>
    </xf>
    <xf numFmtId="0" fontId="4" fillId="7" borderId="25" xfId="0" applyFont="1" applyFill="1" applyBorder="1" applyAlignment="1">
      <alignment horizontal="left"/>
    </xf>
    <xf numFmtId="0" fontId="0" fillId="0" borderId="0" xfId="0" quotePrefix="1"/>
    <xf numFmtId="0" fontId="18" fillId="0" borderId="0" xfId="0" applyFont="1" applyAlignment="1">
      <alignment horizontal="left"/>
    </xf>
    <xf numFmtId="1" fontId="3" fillId="6" borderId="7" xfId="5" applyNumberFormat="1" applyFont="1" applyFill="1" applyBorder="1" applyAlignment="1">
      <alignment horizontal="center"/>
    </xf>
    <xf numFmtId="0" fontId="6" fillId="6" borderId="0" xfId="5" applyFont="1" applyFill="1" applyAlignment="1">
      <alignment horizontal="left"/>
    </xf>
    <xf numFmtId="1" fontId="6" fillId="6" borderId="7" xfId="5" applyNumberFormat="1" applyFont="1" applyFill="1" applyBorder="1" applyAlignment="1">
      <alignment horizontal="center" vertical="center"/>
    </xf>
    <xf numFmtId="0" fontId="28" fillId="28" borderId="0" xfId="0" applyFont="1" applyFill="1"/>
    <xf numFmtId="0" fontId="28" fillId="0" borderId="1" xfId="0" applyFont="1" applyBorder="1" applyAlignment="1">
      <alignment horizontal="center" vertical="center"/>
    </xf>
    <xf numFmtId="3" fontId="31" fillId="29" borderId="1" xfId="0" applyNumberFormat="1" applyFont="1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2" fillId="29" borderId="25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28" fillId="31" borderId="0" xfId="0" applyFont="1" applyFill="1"/>
    <xf numFmtId="0" fontId="28" fillId="31" borderId="2" xfId="0" applyFont="1" applyFill="1" applyBorder="1" applyAlignment="1">
      <alignment horizontal="center"/>
    </xf>
    <xf numFmtId="0" fontId="28" fillId="31" borderId="1" xfId="0" applyFont="1" applyFill="1" applyBorder="1" applyAlignment="1">
      <alignment horizontal="center"/>
    </xf>
    <xf numFmtId="0" fontId="28" fillId="31" borderId="1" xfId="0" applyFont="1" applyFill="1" applyBorder="1"/>
    <xf numFmtId="0" fontId="27" fillId="27" borderId="1" xfId="0" applyFont="1" applyFill="1" applyBorder="1" applyAlignment="1">
      <alignment horizontal="center" vertical="center"/>
    </xf>
    <xf numFmtId="8" fontId="34" fillId="27" borderId="1" xfId="0" applyNumberFormat="1" applyFont="1" applyFill="1" applyBorder="1" applyAlignment="1">
      <alignment horizontal="center" vertical="center"/>
    </xf>
    <xf numFmtId="0" fontId="29" fillId="32" borderId="1" xfId="0" applyFont="1" applyFill="1" applyBorder="1" applyAlignment="1">
      <alignment horizontal="center" vertical="center" wrapText="1"/>
    </xf>
    <xf numFmtId="0" fontId="35" fillId="29" borderId="25" xfId="0" applyFont="1" applyFill="1" applyBorder="1" applyAlignment="1">
      <alignment vertical="center"/>
    </xf>
    <xf numFmtId="0" fontId="35" fillId="29" borderId="37" xfId="0" applyFont="1" applyFill="1" applyBorder="1" applyAlignment="1">
      <alignment horizontal="center" vertical="center"/>
    </xf>
    <xf numFmtId="0" fontId="28" fillId="28" borderId="1" xfId="0" applyFont="1" applyFill="1" applyBorder="1" applyAlignment="1">
      <alignment horizontal="right" vertical="center"/>
    </xf>
    <xf numFmtId="0" fontId="28" fillId="30" borderId="1" xfId="0" applyFont="1" applyFill="1" applyBorder="1" applyAlignment="1">
      <alignment horizontal="center" vertical="center"/>
    </xf>
    <xf numFmtId="0" fontId="28" fillId="29" borderId="37" xfId="0" applyFont="1" applyFill="1" applyBorder="1" applyAlignment="1">
      <alignment horizontal="center" vertical="center"/>
    </xf>
    <xf numFmtId="0" fontId="36" fillId="27" borderId="1" xfId="0" applyFont="1" applyFill="1" applyBorder="1" applyAlignment="1">
      <alignment horizontal="center" vertical="center"/>
    </xf>
    <xf numFmtId="0" fontId="33" fillId="27" borderId="1" xfId="0" applyFont="1" applyFill="1" applyBorder="1" applyAlignment="1">
      <alignment horizontal="center" vertical="center"/>
    </xf>
    <xf numFmtId="0" fontId="38" fillId="33" borderId="59" xfId="0" applyFont="1" applyFill="1" applyBorder="1" applyAlignment="1">
      <alignment horizontal="center" vertical="center"/>
    </xf>
    <xf numFmtId="0" fontId="35" fillId="33" borderId="1" xfId="0" applyFont="1" applyFill="1" applyBorder="1" applyAlignment="1">
      <alignment horizontal="center" vertical="center" wrapText="1"/>
    </xf>
    <xf numFmtId="0" fontId="38" fillId="28" borderId="25" xfId="0" applyFont="1" applyFill="1" applyBorder="1" applyAlignment="1">
      <alignment horizontal="left" vertical="center"/>
    </xf>
    <xf numFmtId="0" fontId="38" fillId="28" borderId="37" xfId="0" applyFont="1" applyFill="1" applyBorder="1" applyAlignment="1">
      <alignment horizontal="left" vertical="center"/>
    </xf>
    <xf numFmtId="0" fontId="38" fillId="28" borderId="26" xfId="0" applyFont="1" applyFill="1" applyBorder="1" applyAlignment="1">
      <alignment horizontal="left" vertical="center"/>
    </xf>
    <xf numFmtId="0" fontId="28" fillId="28" borderId="1" xfId="0" applyFont="1" applyFill="1" applyBorder="1"/>
    <xf numFmtId="0" fontId="28" fillId="30" borderId="1" xfId="0" applyFont="1" applyFill="1" applyBorder="1" applyAlignment="1">
      <alignment horizontal="center"/>
    </xf>
    <xf numFmtId="0" fontId="39" fillId="29" borderId="1" xfId="0" applyFont="1" applyFill="1" applyBorder="1"/>
    <xf numFmtId="0" fontId="39" fillId="29" borderId="1" xfId="0" applyFont="1" applyFill="1" applyBorder="1" applyAlignment="1">
      <alignment horizontal="center"/>
    </xf>
    <xf numFmtId="0" fontId="40" fillId="28" borderId="1" xfId="0" applyFont="1" applyFill="1" applyBorder="1"/>
    <xf numFmtId="0" fontId="36" fillId="27" borderId="1" xfId="0" applyFont="1" applyFill="1" applyBorder="1"/>
    <xf numFmtId="0" fontId="34" fillId="27" borderId="1" xfId="0" applyFont="1" applyFill="1" applyBorder="1" applyAlignment="1">
      <alignment horizontal="center"/>
    </xf>
    <xf numFmtId="0" fontId="28" fillId="28" borderId="25" xfId="0" applyFont="1" applyFill="1" applyBorder="1"/>
    <xf numFmtId="8" fontId="28" fillId="30" borderId="1" xfId="0" applyNumberFormat="1" applyFont="1" applyFill="1" applyBorder="1" applyAlignment="1">
      <alignment horizontal="center"/>
    </xf>
    <xf numFmtId="0" fontId="28" fillId="28" borderId="0" xfId="0" applyFont="1" applyFill="1" applyAlignment="1">
      <alignment horizontal="center"/>
    </xf>
    <xf numFmtId="0" fontId="41" fillId="28" borderId="23" xfId="0" applyFont="1" applyFill="1" applyBorder="1"/>
    <xf numFmtId="0" fontId="42" fillId="28" borderId="22" xfId="0" applyFont="1" applyFill="1" applyBorder="1"/>
    <xf numFmtId="0" fontId="41" fillId="28" borderId="27" xfId="0" applyFont="1" applyFill="1" applyBorder="1"/>
    <xf numFmtId="0" fontId="41" fillId="28" borderId="0" xfId="0" applyFont="1" applyFill="1"/>
    <xf numFmtId="0" fontId="27" fillId="27" borderId="1" xfId="0" applyFont="1" applyFill="1" applyBorder="1" applyAlignment="1">
      <alignment horizontal="center" vertical="center" wrapText="1"/>
    </xf>
    <xf numFmtId="8" fontId="9" fillId="6" borderId="10" xfId="1" applyNumberFormat="1" applyFont="1" applyFill="1" applyBorder="1" applyAlignment="1">
      <alignment horizontal="center" vertical="center"/>
    </xf>
    <xf numFmtId="0" fontId="35" fillId="34" borderId="1" xfId="0" applyFont="1" applyFill="1" applyBorder="1" applyAlignment="1">
      <alignment horizontal="center"/>
    </xf>
    <xf numFmtId="9" fontId="28" fillId="34" borderId="1" xfId="0" applyNumberFormat="1" applyFont="1" applyFill="1" applyBorder="1"/>
    <xf numFmtId="0" fontId="33" fillId="27" borderId="59" xfId="0" applyFont="1" applyFill="1" applyBorder="1" applyAlignment="1">
      <alignment vertical="center" textRotation="180" wrapText="1"/>
    </xf>
    <xf numFmtId="44" fontId="35" fillId="34" borderId="1" xfId="1" applyFont="1" applyFill="1" applyBorder="1" applyAlignment="1">
      <alignment horizontal="center"/>
    </xf>
    <xf numFmtId="0" fontId="20" fillId="12" borderId="0" xfId="0" applyFont="1" applyFill="1" applyAlignment="1">
      <alignment horizontal="center"/>
    </xf>
    <xf numFmtId="0" fontId="33" fillId="27" borderId="0" xfId="0" applyFont="1" applyFill="1" applyAlignment="1">
      <alignment horizontal="center" vertical="center"/>
    </xf>
    <xf numFmtId="0" fontId="26" fillId="27" borderId="0" xfId="0" applyFont="1" applyFill="1" applyAlignment="1">
      <alignment horizontal="center" vertical="center"/>
    </xf>
    <xf numFmtId="0" fontId="27" fillId="27" borderId="0" xfId="0" applyFont="1" applyFill="1" applyAlignment="1">
      <alignment horizontal="center" vertical="center" wrapText="1"/>
    </xf>
    <xf numFmtId="0" fontId="29" fillId="28" borderId="0" xfId="0" applyFont="1" applyFill="1" applyAlignment="1">
      <alignment horizontal="center" vertical="center" wrapText="1"/>
    </xf>
    <xf numFmtId="0" fontId="31" fillId="30" borderId="0" xfId="0" applyFont="1" applyFill="1" applyAlignment="1">
      <alignment horizontal="center" vertical="center"/>
    </xf>
    <xf numFmtId="0" fontId="32" fillId="29" borderId="0" xfId="0" applyFont="1" applyFill="1" applyAlignment="1">
      <alignment horizontal="center" vertical="center"/>
    </xf>
    <xf numFmtId="8" fontId="34" fillId="27" borderId="0" xfId="0" applyNumberFormat="1" applyFont="1" applyFill="1" applyAlignment="1">
      <alignment horizontal="center" vertical="center"/>
    </xf>
    <xf numFmtId="44" fontId="35" fillId="34" borderId="0" xfId="1" applyFont="1" applyFill="1" applyBorder="1" applyAlignment="1">
      <alignment horizontal="center"/>
    </xf>
    <xf numFmtId="0" fontId="45" fillId="35" borderId="0" xfId="12" applyFont="1" applyFill="1"/>
    <xf numFmtId="0" fontId="46" fillId="35" borderId="1" xfId="12" applyFont="1" applyFill="1" applyBorder="1" applyAlignment="1">
      <alignment horizontal="center" vertical="center"/>
    </xf>
    <xf numFmtId="0" fontId="28" fillId="35" borderId="0" xfId="12" applyFont="1" applyFill="1"/>
    <xf numFmtId="0" fontId="28" fillId="22" borderId="1" xfId="12" applyFont="1" applyFill="1" applyBorder="1" applyAlignment="1">
      <alignment horizontal="center" vertical="center"/>
    </xf>
    <xf numFmtId="0" fontId="35" fillId="22" borderId="1" xfId="12" applyFont="1" applyFill="1" applyBorder="1" applyAlignment="1">
      <alignment horizontal="center" vertical="center"/>
    </xf>
    <xf numFmtId="0" fontId="28" fillId="35" borderId="0" xfId="12" applyFont="1" applyFill="1" applyProtection="1">
      <protection locked="0"/>
    </xf>
    <xf numFmtId="10" fontId="22" fillId="3" borderId="42" xfId="9" applyNumberFormat="1" applyFont="1" applyFill="1" applyBorder="1" applyAlignment="1">
      <alignment horizontal="center" vertical="center"/>
    </xf>
    <xf numFmtId="168" fontId="0" fillId="0" borderId="40" xfId="9" applyNumberFormat="1" applyFont="1" applyBorder="1" applyAlignment="1">
      <alignment horizontal="center" vertical="center"/>
    </xf>
    <xf numFmtId="167" fontId="0" fillId="0" borderId="0" xfId="0" applyNumberFormat="1"/>
    <xf numFmtId="164" fontId="0" fillId="23" borderId="0" xfId="0" applyNumberFormat="1" applyFill="1"/>
    <xf numFmtId="2" fontId="0" fillId="37" borderId="0" xfId="0" applyNumberFormat="1" applyFill="1" applyAlignment="1">
      <alignment horizontal="right"/>
    </xf>
    <xf numFmtId="166" fontId="0" fillId="37" borderId="0" xfId="0" applyNumberFormat="1" applyFill="1"/>
    <xf numFmtId="8" fontId="0" fillId="0" borderId="0" xfId="0" applyNumberFormat="1" applyAlignment="1">
      <alignment horizontal="center" vertical="center"/>
    </xf>
    <xf numFmtId="0" fontId="0" fillId="37" borderId="0" xfId="0" applyFill="1"/>
    <xf numFmtId="167" fontId="3" fillId="0" borderId="57" xfId="1" applyNumberFormat="1" applyFont="1" applyFill="1" applyBorder="1" applyAlignment="1">
      <alignment horizontal="center" vertical="center"/>
    </xf>
    <xf numFmtId="0" fontId="4" fillId="12" borderId="1" xfId="0" applyFont="1" applyFill="1" applyBorder="1"/>
    <xf numFmtId="0" fontId="4" fillId="20" borderId="1" xfId="0" applyFont="1" applyFill="1" applyBorder="1"/>
    <xf numFmtId="44" fontId="0" fillId="0" borderId="1" xfId="1" applyFont="1" applyBorder="1"/>
    <xf numFmtId="44" fontId="10" fillId="0" borderId="0" xfId="9" applyNumberFormat="1" applyFont="1"/>
    <xf numFmtId="166" fontId="0" fillId="38" borderId="0" xfId="0" applyNumberFormat="1" applyFill="1"/>
    <xf numFmtId="2" fontId="0" fillId="16" borderId="0" xfId="0" applyNumberFormat="1" applyFill="1" applyAlignment="1">
      <alignment horizontal="right"/>
    </xf>
    <xf numFmtId="164" fontId="0" fillId="0" borderId="0" xfId="9" applyNumberFormat="1" applyFont="1" applyAlignment="1">
      <alignment horizontal="center" vertical="center"/>
    </xf>
    <xf numFmtId="1" fontId="9" fillId="0" borderId="39" xfId="9" applyNumberFormat="1" applyFont="1" applyBorder="1" applyAlignment="1">
      <alignment horizontal="center"/>
    </xf>
    <xf numFmtId="1" fontId="9" fillId="0" borderId="0" xfId="9" applyNumberFormat="1" applyFont="1" applyAlignment="1">
      <alignment horizontal="center"/>
    </xf>
    <xf numFmtId="2" fontId="9" fillId="11" borderId="0" xfId="0" applyNumberFormat="1" applyFont="1" applyFill="1" applyAlignment="1">
      <alignment horizontal="center"/>
    </xf>
    <xf numFmtId="44" fontId="0" fillId="0" borderId="0" xfId="1" applyFont="1" applyFill="1"/>
    <xf numFmtId="44" fontId="3" fillId="0" borderId="0" xfId="1" applyFont="1" applyFill="1"/>
    <xf numFmtId="166" fontId="0" fillId="12" borderId="0" xfId="0" applyNumberFormat="1" applyFill="1"/>
    <xf numFmtId="0" fontId="0" fillId="25" borderId="0" xfId="0" applyFill="1"/>
    <xf numFmtId="1" fontId="9" fillId="25" borderId="39" xfId="9" applyNumberFormat="1" applyFont="1" applyFill="1" applyBorder="1" applyAlignment="1">
      <alignment horizontal="center"/>
    </xf>
    <xf numFmtId="1" fontId="9" fillId="25" borderId="0" xfId="9" applyNumberFormat="1" applyFont="1" applyFill="1" applyBorder="1" applyAlignment="1">
      <alignment horizontal="center"/>
    </xf>
    <xf numFmtId="0" fontId="9" fillId="25" borderId="0" xfId="0" applyFont="1" applyFill="1"/>
    <xf numFmtId="0" fontId="0" fillId="25" borderId="50" xfId="0" applyFill="1" applyBorder="1" applyAlignment="1">
      <alignment horizontal="left" vertical="center"/>
    </xf>
    <xf numFmtId="0" fontId="0" fillId="25" borderId="0" xfId="0" applyFill="1" applyAlignment="1">
      <alignment horizontal="left"/>
    </xf>
    <xf numFmtId="2" fontId="9" fillId="25" borderId="0" xfId="0" applyNumberFormat="1" applyFont="1" applyFill="1" applyAlignment="1">
      <alignment horizontal="center"/>
    </xf>
    <xf numFmtId="9" fontId="9" fillId="25" borderId="0" xfId="9" applyFont="1" applyFill="1" applyAlignment="1">
      <alignment horizontal="center"/>
    </xf>
    <xf numFmtId="2" fontId="9" fillId="25" borderId="0" xfId="0" quotePrefix="1" applyNumberFormat="1" applyFont="1" applyFill="1" applyAlignment="1">
      <alignment horizontal="center"/>
    </xf>
    <xf numFmtId="170" fontId="9" fillId="25" borderId="0" xfId="0" applyNumberFormat="1" applyFont="1" applyFill="1"/>
    <xf numFmtId="2" fontId="9" fillId="25" borderId="0" xfId="0" applyNumberFormat="1" applyFont="1" applyFill="1"/>
    <xf numFmtId="164" fontId="0" fillId="25" borderId="0" xfId="0" applyNumberFormat="1" applyFill="1"/>
    <xf numFmtId="164" fontId="3" fillId="0" borderId="0" xfId="0" applyNumberFormat="1" applyFont="1"/>
    <xf numFmtId="2" fontId="6" fillId="3" borderId="12" xfId="4" applyNumberFormat="1" applyFont="1" applyFill="1" applyBorder="1" applyAlignment="1">
      <alignment horizontal="center" vertical="center"/>
    </xf>
    <xf numFmtId="2" fontId="6" fillId="3" borderId="13" xfId="4" applyNumberFormat="1" applyFont="1" applyFill="1" applyBorder="1" applyAlignment="1">
      <alignment horizontal="center" vertical="center"/>
    </xf>
    <xf numFmtId="2" fontId="6" fillId="3" borderId="14" xfId="4" applyNumberFormat="1" applyFont="1" applyFill="1" applyBorder="1" applyAlignment="1">
      <alignment horizontal="center" vertical="center"/>
    </xf>
    <xf numFmtId="2" fontId="6" fillId="4" borderId="3" xfId="4" applyNumberFormat="1" applyFont="1" applyFill="1" applyBorder="1" applyAlignment="1">
      <alignment horizontal="center" vertical="center"/>
    </xf>
    <xf numFmtId="2" fontId="6" fillId="4" borderId="4" xfId="4" applyNumberFormat="1" applyFont="1" applyFill="1" applyBorder="1" applyAlignment="1">
      <alignment horizontal="center" vertical="center"/>
    </xf>
    <xf numFmtId="2" fontId="6" fillId="4" borderId="5" xfId="4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8" fillId="25" borderId="3" xfId="5" applyFont="1" applyFill="1" applyBorder="1" applyAlignment="1">
      <alignment horizontal="center" vertical="center"/>
    </xf>
    <xf numFmtId="0" fontId="8" fillId="25" borderId="4" xfId="5" applyFont="1" applyFill="1" applyBorder="1" applyAlignment="1">
      <alignment horizontal="center" vertical="center"/>
    </xf>
    <xf numFmtId="0" fontId="8" fillId="25" borderId="5" xfId="5" applyFont="1" applyFill="1" applyBorder="1" applyAlignment="1">
      <alignment horizontal="center" vertical="center"/>
    </xf>
    <xf numFmtId="0" fontId="8" fillId="5" borderId="39" xfId="5" applyFont="1" applyFill="1" applyBorder="1" applyAlignment="1">
      <alignment vertical="center"/>
    </xf>
    <xf numFmtId="0" fontId="8" fillId="5" borderId="0" xfId="5" applyFont="1" applyFill="1" applyAlignment="1">
      <alignment vertical="center"/>
    </xf>
    <xf numFmtId="0" fontId="8" fillId="5" borderId="39" xfId="5" applyFont="1" applyFill="1" applyBorder="1" applyAlignment="1">
      <alignment horizontal="left" vertical="center"/>
    </xf>
    <xf numFmtId="0" fontId="8" fillId="5" borderId="0" xfId="5" applyFont="1" applyFill="1" applyAlignment="1">
      <alignment horizontal="left" vertical="center"/>
    </xf>
    <xf numFmtId="0" fontId="8" fillId="36" borderId="3" xfId="5" applyFont="1" applyFill="1" applyBorder="1" applyAlignment="1">
      <alignment horizontal="center" vertical="center"/>
    </xf>
    <xf numFmtId="0" fontId="8" fillId="36" borderId="4" xfId="5" applyFont="1" applyFill="1" applyBorder="1" applyAlignment="1">
      <alignment horizontal="center" vertical="center"/>
    </xf>
    <xf numFmtId="0" fontId="8" fillId="36" borderId="5" xfId="5" applyFont="1" applyFill="1" applyBorder="1" applyAlignment="1">
      <alignment horizontal="center" vertical="center"/>
    </xf>
    <xf numFmtId="0" fontId="21" fillId="17" borderId="3" xfId="0" applyFont="1" applyFill="1" applyBorder="1" applyAlignment="1">
      <alignment horizontal="left"/>
    </xf>
    <xf numFmtId="0" fontId="21" fillId="17" borderId="4" xfId="0" applyFont="1" applyFill="1" applyBorder="1" applyAlignment="1">
      <alignment horizontal="left"/>
    </xf>
    <xf numFmtId="0" fontId="21" fillId="17" borderId="5" xfId="0" applyFont="1" applyFill="1" applyBorder="1" applyAlignment="1">
      <alignment horizontal="left"/>
    </xf>
    <xf numFmtId="0" fontId="14" fillId="15" borderId="45" xfId="0" applyFont="1" applyFill="1" applyBorder="1" applyAlignment="1">
      <alignment horizontal="center" vertical="center"/>
    </xf>
    <xf numFmtId="0" fontId="14" fillId="15" borderId="46" xfId="0" applyFont="1" applyFill="1" applyBorder="1" applyAlignment="1">
      <alignment horizontal="center" vertical="center"/>
    </xf>
    <xf numFmtId="0" fontId="14" fillId="15" borderId="19" xfId="0" applyFont="1" applyFill="1" applyBorder="1" applyAlignment="1">
      <alignment horizontal="center" vertical="center"/>
    </xf>
    <xf numFmtId="0" fontId="14" fillId="15" borderId="18" xfId="0" applyFont="1" applyFill="1" applyBorder="1" applyAlignment="1">
      <alignment horizontal="center" vertical="center"/>
    </xf>
    <xf numFmtId="0" fontId="8" fillId="5" borderId="51" xfId="5" applyFont="1" applyFill="1" applyBorder="1" applyAlignment="1">
      <alignment horizontal="center" vertical="center"/>
    </xf>
    <xf numFmtId="0" fontId="8" fillId="5" borderId="16" xfId="5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171" fontId="4" fillId="6" borderId="3" xfId="0" applyNumberFormat="1" applyFont="1" applyFill="1" applyBorder="1" applyAlignment="1">
      <alignment horizontal="center" vertical="center"/>
    </xf>
    <xf numFmtId="171" fontId="4" fillId="6" borderId="5" xfId="0" applyNumberFormat="1" applyFont="1" applyFill="1" applyBorder="1" applyAlignment="1">
      <alignment horizontal="center" vertical="center"/>
    </xf>
    <xf numFmtId="0" fontId="6" fillId="6" borderId="19" xfId="5" applyFont="1" applyFill="1" applyBorder="1" applyAlignment="1">
      <alignment horizontal="center" vertical="center"/>
    </xf>
    <xf numFmtId="0" fontId="6" fillId="6" borderId="20" xfId="5" applyFont="1" applyFill="1" applyBorder="1" applyAlignment="1">
      <alignment horizontal="center" vertical="center"/>
    </xf>
    <xf numFmtId="0" fontId="6" fillId="6" borderId="21" xfId="5" applyFont="1" applyFill="1" applyBorder="1" applyAlignment="1">
      <alignment horizontal="center" vertical="center"/>
    </xf>
    <xf numFmtId="0" fontId="8" fillId="5" borderId="9" xfId="5" applyFont="1" applyFill="1" applyBorder="1" applyAlignment="1">
      <alignment horizontal="center" vertical="center"/>
    </xf>
    <xf numFmtId="0" fontId="8" fillId="5" borderId="10" xfId="5" applyFont="1" applyFill="1" applyBorder="1" applyAlignment="1">
      <alignment horizontal="center" vertical="center"/>
    </xf>
    <xf numFmtId="0" fontId="29" fillId="28" borderId="16" xfId="0" applyFont="1" applyFill="1" applyBorder="1" applyAlignment="1">
      <alignment horizontal="center" vertical="center" wrapText="1"/>
    </xf>
    <xf numFmtId="0" fontId="30" fillId="28" borderId="25" xfId="0" applyFont="1" applyFill="1" applyBorder="1" applyAlignment="1">
      <alignment horizontal="center" vertical="center"/>
    </xf>
    <xf numFmtId="0" fontId="30" fillId="28" borderId="26" xfId="0" applyFont="1" applyFill="1" applyBorder="1" applyAlignment="1">
      <alignment horizontal="center" vertical="center"/>
    </xf>
    <xf numFmtId="0" fontId="20" fillId="12" borderId="16" xfId="0" applyFont="1" applyFill="1" applyBorder="1" applyAlignment="1">
      <alignment horizontal="center" wrapText="1"/>
    </xf>
    <xf numFmtId="0" fontId="20" fillId="12" borderId="16" xfId="0" applyFont="1" applyFill="1" applyBorder="1" applyAlignment="1">
      <alignment horizontal="center"/>
    </xf>
    <xf numFmtId="0" fontId="37" fillId="27" borderId="25" xfId="0" applyFont="1" applyFill="1" applyBorder="1" applyAlignment="1">
      <alignment horizontal="center"/>
    </xf>
    <xf numFmtId="0" fontId="37" fillId="27" borderId="37" xfId="0" applyFont="1" applyFill="1" applyBorder="1" applyAlignment="1">
      <alignment horizontal="center"/>
    </xf>
    <xf numFmtId="0" fontId="44" fillId="12" borderId="16" xfId="0" applyFont="1" applyFill="1" applyBorder="1" applyAlignment="1">
      <alignment horizontal="center"/>
    </xf>
    <xf numFmtId="0" fontId="25" fillId="27" borderId="22" xfId="0" applyFont="1" applyFill="1" applyBorder="1" applyAlignment="1">
      <alignment horizontal="center" vertical="center"/>
    </xf>
    <xf numFmtId="0" fontId="25" fillId="27" borderId="24" xfId="0" applyFont="1" applyFill="1" applyBorder="1" applyAlignment="1">
      <alignment horizontal="center" vertical="center"/>
    </xf>
    <xf numFmtId="0" fontId="25" fillId="27" borderId="27" xfId="0" applyFont="1" applyFill="1" applyBorder="1" applyAlignment="1">
      <alignment horizontal="center" vertical="center"/>
    </xf>
    <xf numFmtId="0" fontId="25" fillId="27" borderId="28" xfId="0" applyFont="1" applyFill="1" applyBorder="1" applyAlignment="1">
      <alignment horizontal="center" vertical="center"/>
    </xf>
    <xf numFmtId="0" fontId="25" fillId="27" borderId="15" xfId="0" applyFont="1" applyFill="1" applyBorder="1" applyAlignment="1">
      <alignment horizontal="center" vertical="center"/>
    </xf>
    <xf numFmtId="0" fontId="25" fillId="27" borderId="17" xfId="0" applyFont="1" applyFill="1" applyBorder="1" applyAlignment="1">
      <alignment horizontal="center" vertical="center"/>
    </xf>
    <xf numFmtId="0" fontId="26" fillId="27" borderId="25" xfId="0" applyFont="1" applyFill="1" applyBorder="1" applyAlignment="1">
      <alignment horizontal="center" vertical="center"/>
    </xf>
    <xf numFmtId="0" fontId="26" fillId="27" borderId="37" xfId="0" applyFont="1" applyFill="1" applyBorder="1" applyAlignment="1">
      <alignment horizontal="center" vertical="center"/>
    </xf>
    <xf numFmtId="0" fontId="27" fillId="27" borderId="59" xfId="0" applyFont="1" applyFill="1" applyBorder="1" applyAlignment="1">
      <alignment horizontal="center" vertical="center" wrapText="1"/>
    </xf>
    <xf numFmtId="0" fontId="27" fillId="27" borderId="60" xfId="0" applyFont="1" applyFill="1" applyBorder="1" applyAlignment="1">
      <alignment horizontal="center" vertical="center" wrapText="1"/>
    </xf>
    <xf numFmtId="0" fontId="27" fillId="27" borderId="2" xfId="0" applyFont="1" applyFill="1" applyBorder="1" applyAlignment="1">
      <alignment horizontal="center" vertical="center" wrapText="1"/>
    </xf>
    <xf numFmtId="0" fontId="30" fillId="28" borderId="37" xfId="0" applyFont="1" applyFill="1" applyBorder="1" applyAlignment="1">
      <alignment horizontal="center" vertical="center"/>
    </xf>
    <xf numFmtId="0" fontId="31" fillId="29" borderId="25" xfId="0" applyFont="1" applyFill="1" applyBorder="1" applyAlignment="1">
      <alignment horizontal="center" vertical="center"/>
    </xf>
    <xf numFmtId="0" fontId="31" fillId="29" borderId="26" xfId="0" applyFont="1" applyFill="1" applyBorder="1" applyAlignment="1">
      <alignment horizontal="center" vertical="center"/>
    </xf>
    <xf numFmtId="0" fontId="32" fillId="29" borderId="25" xfId="0" applyFont="1" applyFill="1" applyBorder="1" applyAlignment="1">
      <alignment horizontal="center" vertical="center"/>
    </xf>
    <xf numFmtId="0" fontId="32" fillId="29" borderId="26" xfId="0" applyFont="1" applyFill="1" applyBorder="1" applyAlignment="1">
      <alignment horizontal="center" vertical="center"/>
    </xf>
    <xf numFmtId="0" fontId="43" fillId="27" borderId="25" xfId="0" applyFont="1" applyFill="1" applyBorder="1" applyAlignment="1">
      <alignment horizontal="right" wrapText="1"/>
    </xf>
    <xf numFmtId="0" fontId="43" fillId="27" borderId="37" xfId="0" applyFont="1" applyFill="1" applyBorder="1" applyAlignment="1">
      <alignment horizontal="right" wrapText="1"/>
    </xf>
    <xf numFmtId="0" fontId="28" fillId="28" borderId="25" xfId="0" applyFont="1" applyFill="1" applyBorder="1" applyAlignment="1">
      <alignment horizontal="center" vertical="center"/>
    </xf>
    <xf numFmtId="0" fontId="28" fillId="28" borderId="26" xfId="0" applyFont="1" applyFill="1" applyBorder="1" applyAlignment="1">
      <alignment horizontal="center" vertical="center"/>
    </xf>
    <xf numFmtId="0" fontId="20" fillId="18" borderId="0" xfId="0" applyFont="1" applyFill="1" applyAlignment="1">
      <alignment horizontal="center"/>
    </xf>
    <xf numFmtId="166" fontId="0" fillId="0" borderId="0" xfId="0" applyNumberFormat="1" applyFill="1"/>
  </cellXfs>
  <cellStyles count="13">
    <cellStyle name="Comma" xfId="10" builtinId="3"/>
    <cellStyle name="Comma 2" xfId="6" xr:uid="{1A79B25A-E7B8-4F76-A0E9-864FF60581A4}"/>
    <cellStyle name="Currency" xfId="1" builtinId="4"/>
    <cellStyle name="Currency 2" xfId="8" xr:uid="{C8418F38-BBAC-45D8-A444-7D04B177C439}"/>
    <cellStyle name="Currency 3 7" xfId="4" xr:uid="{CD9D0780-83FC-4B82-94A8-009362B444E6}"/>
    <cellStyle name="Normal" xfId="0" builtinId="0"/>
    <cellStyle name="Normal 100" xfId="5" xr:uid="{78053EAD-10D0-48DA-AD0F-A7A1EAD89F1F}"/>
    <cellStyle name="Normal 2" xfId="7" xr:uid="{F34B4925-44B2-4165-B676-FB12DEC4C7F2}"/>
    <cellStyle name="Normal 2 10" xfId="2" xr:uid="{5390AABA-A1DA-4C6D-A867-D56CFC0B3AED}"/>
    <cellStyle name="Normal 3" xfId="11" xr:uid="{C5E9E1B5-D776-41C4-9AAC-ADFAEAA2EE14}"/>
    <cellStyle name="Normal_VAA Packing, Transport &amp; wash Pricing" xfId="12" xr:uid="{7DF15C78-DA7E-4AB8-8FD4-394473FF4862}"/>
    <cellStyle name="Percent" xfId="9" builtinId="5"/>
    <cellStyle name="Percent 9 2" xfId="3" xr:uid="{29D22388-58A0-494B-A7EC-99D26A575297}"/>
  </cellStyles>
  <dxfs count="77">
    <dxf>
      <numFmt numFmtId="34" formatCode="_(&quot;$&quot;* #,##0.00_);_(&quot;$&quot;* \(#,##0.00\);_(&quot;$&quot;* &quot;-&quot;??_);_(@_)"/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0" tint="-0.249977111117893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3" formatCode="0%"/>
      <alignment horizontal="center" vertical="bottom" textRotation="0" wrapText="0" indent="0" justifyLastLine="0" shrinkToFit="0" readingOrder="0"/>
    </dxf>
    <dxf>
      <numFmt numFmtId="168" formatCode="0.0%"/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7" tint="0.59999389629810485"/>
        </patternFill>
      </fill>
      <alignment horizontal="right" vertical="bottom" textRotation="0" wrapText="0" indent="0" justifyLastLine="0" shrinkToFit="0" readingOrder="0"/>
    </dxf>
    <dxf>
      <numFmt numFmtId="169" formatCode="0.000"/>
    </dxf>
    <dxf>
      <numFmt numFmtId="166" formatCode="0.0000"/>
    </dxf>
    <dxf>
      <numFmt numFmtId="166" formatCode="0.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2" formatCode="_(&quot;$&quot;* #,##0.0000_);_(&quot;$&quot;* \(#,##0.00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</dxf>
    <dxf>
      <numFmt numFmtId="169" formatCode="0.000"/>
      <fill>
        <patternFill patternType="none">
          <fgColor indexed="64"/>
          <bgColor indexed="65"/>
        </patternFill>
      </fill>
    </dxf>
    <dxf>
      <numFmt numFmtId="166" formatCode="0.0000"/>
      <fill>
        <patternFill patternType="none">
          <fgColor indexed="64"/>
          <bgColor indexed="65"/>
        </patternFill>
      </fill>
    </dxf>
    <dxf>
      <numFmt numFmtId="166" formatCode="0.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CCFF"/>
      <color rgb="FFFFE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VA</a:t>
            </a:r>
            <a:r>
              <a:rPr lang="en-US" baseline="0"/>
              <a:t> Total </a:t>
            </a:r>
            <a:r>
              <a:rPr lang="en-US"/>
              <a:t>Revenues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346-41D8-A646-7C121B19977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346-41D8-A646-7C121B19977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346-41D8-A646-7C121B19977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F346-41D8-A646-7C121B19977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F346-41D8-A646-7C121B1997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'P&amp;L'!$B$7:$B$11</c:f>
              <c:strCache>
                <c:ptCount val="5"/>
                <c:pt idx="0">
                  <c:v>Revenue Meals</c:v>
                </c:pt>
                <c:pt idx="1">
                  <c:v>Revenue Handling</c:v>
                </c:pt>
                <c:pt idx="2">
                  <c:v>Revenue Overheads</c:v>
                </c:pt>
                <c:pt idx="3">
                  <c:v>Revenue Other</c:v>
                </c:pt>
                <c:pt idx="4">
                  <c:v>Discount</c:v>
                </c:pt>
              </c:strCache>
            </c:strRef>
          </c:cat>
          <c:val>
            <c:numRef>
              <c:f>'P&amp;L'!$E$7:$E$11</c:f>
              <c:numCache>
                <c:formatCode>_("$"* #,##0_);_("$"* \(#,##0\);_("$"* "-"??_);_(@_)</c:formatCode>
                <c:ptCount val="5"/>
                <c:pt idx="0">
                  <c:v>2114664.7245144588</c:v>
                </c:pt>
                <c:pt idx="1">
                  <c:v>1103369.6606400001</c:v>
                </c:pt>
                <c:pt idx="2">
                  <c:v>476580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FC-4ECB-A8FD-92034798D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340881368879039"/>
          <c:y val="0.29244936467291094"/>
          <c:w val="0.38175912048863769"/>
          <c:h val="0.631524623740500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 Rev. Per Flight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7564851130790756E-2"/>
          <c:y val="0.24485250954776455"/>
          <c:w val="0.95219018946990253"/>
          <c:h val="0.43629658993374443"/>
        </c:manualLayout>
      </c:layout>
      <c:bar3DChart>
        <c:barDir val="col"/>
        <c:grouping val="clustered"/>
        <c:varyColors val="0"/>
        <c:ser>
          <c:idx val="10"/>
          <c:order val="0"/>
          <c:spPr>
            <a:solidFill>
              <a:schemeClr val="accent3">
                <a:lumMod val="80000"/>
                <a:alpha val="88000"/>
              </a:schemeClr>
            </a:solidFill>
            <a:ln>
              <a:solidFill>
                <a:schemeClr val="accent3">
                  <a:lumMod val="8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80000"/>
                  <a:lumMod val="50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  <a:round/>
              </a:ln>
              <a:effectLst>
                <a:outerShdw blurRad="63500" dist="88900" dir="2700000" sx="200000" sy="200000" algn="tl" rotWithShape="0">
                  <a:prstClr val="black">
                    <a:alpha val="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'!$B$6:$I$6</c:f>
              <c:strCache>
                <c:ptCount val="8"/>
                <c:pt idx="0">
                  <c:v>FC</c:v>
                </c:pt>
                <c:pt idx="1">
                  <c:v>BC</c:v>
                </c:pt>
                <c:pt idx="2">
                  <c:v>PY</c:v>
                </c:pt>
                <c:pt idx="3">
                  <c:v>EY</c:v>
                </c:pt>
                <c:pt idx="4">
                  <c:v>TC</c:v>
                </c:pt>
                <c:pt idx="5">
                  <c:v>CY</c:v>
                </c:pt>
                <c:pt idx="6">
                  <c:v>Total </c:v>
                </c:pt>
                <c:pt idx="7">
                  <c:v>Hnd</c:v>
                </c:pt>
              </c:strCache>
            </c:strRef>
          </c:cat>
          <c:val>
            <c:numRef>
              <c:f>'Summary '!$B$18:$I$18</c:f>
              <c:numCache>
                <c:formatCode>_("$"* #,##0_);_("$"* \(#,##0\);_("$"* "-"??_);_(@_)</c:formatCode>
                <c:ptCount val="8"/>
                <c:pt idx="0">
                  <c:v>0</c:v>
                </c:pt>
                <c:pt idx="1">
                  <c:v>784.62053927971192</c:v>
                </c:pt>
                <c:pt idx="2">
                  <c:v>650.85848066666665</c:v>
                </c:pt>
                <c:pt idx="3">
                  <c:v>1591.3503652525246</c:v>
                </c:pt>
                <c:pt idx="4">
                  <c:v>0</c:v>
                </c:pt>
                <c:pt idx="5">
                  <c:v>101.37286999999998</c:v>
                </c:pt>
                <c:pt idx="7">
                  <c:v>1632.2036400000002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4C0-4A01-9035-98460D9B5E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371865856"/>
        <c:axId val="1371871680"/>
        <c:axId val="0"/>
      </c:bar3DChart>
      <c:catAx>
        <c:axId val="137186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871680"/>
        <c:crosses val="autoZero"/>
        <c:auto val="1"/>
        <c:lblAlgn val="ctr"/>
        <c:lblOffset val="100"/>
        <c:noMultiLvlLbl val="0"/>
      </c:catAx>
      <c:valAx>
        <c:axId val="1371871680"/>
        <c:scaling>
          <c:orientation val="minMax"/>
        </c:scaling>
        <c:delete val="1"/>
        <c:axPos val="l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37186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142875</xdr:rowOff>
    </xdr:from>
    <xdr:to>
      <xdr:col>15</xdr:col>
      <xdr:colOff>2197</xdr:colOff>
      <xdr:row>9</xdr:row>
      <xdr:rowOff>77787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AB1EF4-9BFD-4D4B-BC1C-520DD3F3C2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10</xdr:row>
      <xdr:rowOff>74706</xdr:rowOff>
    </xdr:from>
    <xdr:to>
      <xdr:col>14</xdr:col>
      <xdr:colOff>582706</xdr:colOff>
      <xdr:row>20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7E73E3C-7D00-404B-BE5D-87C461DE67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144465</xdr:colOff>
      <xdr:row>34</xdr:row>
      <xdr:rowOff>143799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7C6B61-C0E6-CF2A-723C-F043F0AB2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393490" cy="66207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RONG%20LU\Desktop\PnL%20Model%20BNA%20MAINLINE%20AVIATION%205-6%20flight%20a%20day.xlsx" TargetMode="External"/><Relationship Id="rId1" Type="http://schemas.openxmlformats.org/officeDocument/2006/relationships/externalLinkPath" Target="PnL%20Model%20BNA%20MAINLINE%20AVIATION%205-6%20flight%20a%20da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NA Assumptions "/>
      <sheetName val="P&amp;L"/>
      <sheetName val="Bid Assumption "/>
      <sheetName val="Summary "/>
      <sheetName val="Summary Short Haul"/>
      <sheetName val="Summary  735"/>
      <sheetName val="Summary 2221"/>
      <sheetName val="Summary 2439"/>
      <sheetName val="Summary 2682"/>
      <sheetName val="Summary 2855"/>
      <sheetName val="Summary 2037"/>
      <sheetName val="Summary 2817"/>
      <sheetName val="Handling"/>
      <sheetName val="FlightConfig"/>
      <sheetName val="Food"/>
      <sheetName val="Avg Per Flight"/>
      <sheetName val="FG MASTER"/>
      <sheetName val="cost breakdown"/>
    </sheetNames>
    <sheetDataSet>
      <sheetData sheetId="0"/>
      <sheetData sheetId="1">
        <row r="2">
          <cell r="P2">
            <v>38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igia  Baez" id="{3CEB29FF-8EB2-46EA-A5A6-552ED326FCA0}" userId="Ligia  Baez" providerId="Non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07948A-43C1-4388-9A03-875487332756}" name="Table1" displayName="Table1" ref="A9:AD458" totalsRowCount="1" headerRowDxfId="76" dataDxfId="75" dataCellStyle="Currency">
  <autoFilter ref="A9:AD457" xr:uid="{00000000-0009-0000-0100-000001000000}"/>
  <tableColumns count="30">
    <tableColumn id="1" xr3:uid="{C1A95376-BFC5-48B7-A176-529715FEEBA1}" name="Item #" dataDxfId="74" totalsRowDxfId="27"/>
    <tableColumn id="2" xr3:uid="{DF583C00-442A-4A2A-86F8-205CC09498A2}" name="Item Description" dataDxfId="73"/>
    <tableColumn id="4" xr3:uid="{544D79C4-F963-4D7A-8FC4-67068474C720}" name="Price Code" dataDxfId="72" totalsRowDxfId="26"/>
    <tableColumn id="7" xr3:uid="{880CBAF4-DA2C-4CD1-9867-62A9E8338874}" name="EQ1" dataDxfId="71" totalsRowDxfId="25"/>
    <tableColumn id="8" xr3:uid="{7CA8FC1A-443D-4330-9322-4A7BCB6A9BB5}" name="EQ2" dataDxfId="70" totalsRowDxfId="24"/>
    <tableColumn id="9" xr3:uid="{EB7E2000-AFE5-4C14-80EB-D212865FD280}" name="EQ3" dataDxfId="69" totalsRowDxfId="23"/>
    <tableColumn id="10" xr3:uid="{BA3E9D60-D02B-4D62-98EA-C7616AD9E775}" name="EQ4" dataDxfId="68" totalsRowDxfId="22"/>
    <tableColumn id="11" xr3:uid="{8CE11E9B-FE7F-4C4E-8769-7256957A9181}" name="EQ5" dataDxfId="67" totalsRowDxfId="21"/>
    <tableColumn id="12" xr3:uid="{293F2FB6-A648-4C6D-973C-CC21DB24E7CD}" name="Unit Weight/ Count" dataDxfId="66" totalsRowDxfId="20"/>
    <tableColumn id="13" xr3:uid="{E2B307F6-1A47-49E1-A917-D3D4CA08551A}" name="UOM" dataDxfId="65" totalsRowDxfId="19"/>
    <tableColumn id="14" xr3:uid="{62BBD560-83D2-4E14-AD22-FB7762963A1B}" name="Final Work Center" dataDxfId="64" totalsRowDxfId="18"/>
    <tableColumn id="15" xr3:uid="{A56B9C5B-5319-42C3-A8DF-58630B4E6B5D}" name="Req / No processing needed" dataDxfId="63" totalsRowDxfId="17"/>
    <tableColumn id="16" xr3:uid="{FD63D3A8-A757-4EE9-A64B-47DEE12D95E1}" name="Prep Center" dataDxfId="62" totalsRowDxfId="16"/>
    <tableColumn id="17" xr3:uid="{03D61BF8-1875-4530-A5B3-8085E1C35B6C}" name="Item Weight" dataDxfId="61" totalsRowDxfId="15"/>
    <tableColumn id="18" xr3:uid="{DA7619CF-8EC4-4539-BBF0-2DD4A17FC9FD}" name="unit cost" dataDxfId="60" totalsRowDxfId="14"/>
    <tableColumn id="19" xr3:uid="{B5DCEF56-9344-4678-8006-2AED418A46CD}" name="cost per quantity" dataDxfId="59" totalsRowDxfId="13">
      <calculatedColumnFormula>I10*O10</calculatedColumnFormula>
    </tableColumn>
    <tableColumn id="20" xr3:uid="{2A7F2232-49A3-4C55-BEE8-7E16BFDA1741}" name="man minutes" dataDxfId="58" totalsRowDxfId="12"/>
    <tableColumn id="21" xr3:uid="{3A17D7DA-9394-4162-BEB6-3FEA5ED1BBEB}" name="labor factor" dataDxfId="57" totalsRowDxfId="11"/>
    <tableColumn id="22" xr3:uid="{70B8BD2A-73D6-42F1-8DF8-71104B294284}" name="labor rate" dataDxfId="56" totalsRowDxfId="10" dataCellStyle="Currency">
      <calculatedColumnFormula>$S$2</calculatedColumnFormula>
    </tableColumn>
    <tableColumn id="23" xr3:uid="{66A8CCD0-8874-43AD-85BD-E4E826523120}" name="labor cost" dataDxfId="55" totalsRowDxfId="9" dataCellStyle="Currency">
      <calculatedColumnFormula>Table1[[#This Row],[man minutes]]*Table1[[#This Row],[labor rate]]</calculatedColumnFormula>
    </tableColumn>
    <tableColumn id="24" xr3:uid="{A7F19146-6B9A-4ED0-BBEF-398D83FBD8EB}" name="total cost" dataDxfId="54" totalsRowDxfId="8" dataCellStyle="Currency">
      <calculatedColumnFormula>P10+T10</calculatedColumnFormula>
    </tableColumn>
    <tableColumn id="25" xr3:uid="{5599B597-69A2-4707-9E8C-17FDA7036612}" name="food markup" dataDxfId="53" totalsRowDxfId="7" dataCellStyle="Percent"/>
    <tableColumn id="26" xr3:uid="{2DCFA1FF-13F0-4C5A-A6CE-D47AC27ABF10}" name="labor m/u" dataDxfId="52" totalsRowDxfId="6" dataCellStyle="Percent"/>
    <tableColumn id="27" xr3:uid="{1E953153-AB0C-4A62-9875-70ECA8063077}" name="food sale price" dataDxfId="51" totalsRowDxfId="5" dataCellStyle="Currency">
      <calculatedColumnFormula>P10/V10</calculatedColumnFormula>
    </tableColumn>
    <tableColumn id="28" xr3:uid="{8D093CD2-CB12-421D-AA48-A17C799399C3}" name="labor sale price" dataDxfId="50" totalsRowDxfId="4" dataCellStyle="Currency">
      <calculatedColumnFormula>T10+(T10*W10)</calculatedColumnFormula>
    </tableColumn>
    <tableColumn id="29" xr3:uid="{A1028A2C-1329-4778-B8EC-6A0449A0E8E8}" name="calculated sale price" dataDxfId="49" totalsRowDxfId="3" dataCellStyle="Currency">
      <calculatedColumnFormula>IFERROR(ROUNDUP(X10+Y10,2)," ")</calculatedColumnFormula>
    </tableColumn>
    <tableColumn id="30" xr3:uid="{9A56FBFC-AAD1-4047-B2A6-05D98CFA5585}" name="Item         Price" dataDxfId="48" totalsRowDxfId="2" dataCellStyle="Currency"/>
    <tableColumn id="3" xr3:uid="{36153AE1-C663-49E2-BA60-22AA5D28491D}" name="Final Food Cost %" dataDxfId="47" totalsRowDxfId="1" dataCellStyle="Percent">
      <calculatedColumnFormula>IFERROR(Table1[[#This Row],[unit cost]]/Table1[[#This Row],[Item         Price]]," ")</calculatedColumnFormula>
    </tableColumn>
    <tableColumn id="5" xr3:uid="{CDDE8F93-83FE-4251-B481-68A04AC8AAE3}" name="Column1" dataDxfId="46" totalsRowDxfId="0" dataCellStyle="Currency"/>
    <tableColumn id="6" xr3:uid="{3F08D7AD-789B-41B3-A929-D5200790F302}" name="Column2" dataDxfId="45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5" dT="2021-04-30T13:49:47.22" personId="{3CEB29FF-8EB2-46EA-A5A6-552ED326FCA0}" id="{54B4AB6A-A7F9-4E79-8BD1-4A7778F89C1F}">
    <text>includes Premium Economy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78DE4-A6C6-4F63-A623-F15D8DF15442}">
  <dimension ref="B1:AA74"/>
  <sheetViews>
    <sheetView showGridLines="0" zoomScale="115" zoomScaleNormal="115" workbookViewId="0">
      <selection activeCell="R5" sqref="R5"/>
    </sheetView>
  </sheetViews>
  <sheetFormatPr defaultColWidth="8.7109375" defaultRowHeight="15" x14ac:dyDescent="0.25"/>
  <cols>
    <col min="1" max="1" width="6.85546875" style="134" customWidth="1"/>
    <col min="2" max="2" width="30.5703125" style="134" customWidth="1"/>
    <col min="3" max="3" width="22.28515625" style="134" hidden="1" customWidth="1"/>
    <col min="4" max="4" width="10.5703125" style="134" hidden="1" customWidth="1"/>
    <col min="5" max="5" width="22.7109375" style="134" customWidth="1"/>
    <col min="6" max="6" width="9.28515625" style="134" customWidth="1"/>
    <col min="7" max="7" width="16.42578125" style="134" hidden="1" customWidth="1"/>
    <col min="8" max="8" width="2.42578125" style="134" hidden="1" customWidth="1"/>
    <col min="9" max="9" width="19.85546875" customWidth="1"/>
    <col min="10" max="10" width="5.7109375" style="134" hidden="1" customWidth="1"/>
    <col min="11" max="11" width="9.5703125" style="134" customWidth="1"/>
    <col min="12" max="12" width="9.7109375" style="134" customWidth="1"/>
    <col min="13" max="13" width="10.7109375" style="134" customWidth="1"/>
    <col min="14" max="14" width="10.42578125" style="134" customWidth="1"/>
    <col min="15" max="15" width="9.42578125" style="134" customWidth="1"/>
    <col min="16" max="16" width="9.28515625" style="134" customWidth="1"/>
    <col min="17" max="17" width="5.28515625" customWidth="1"/>
    <col min="18" max="18" width="8.28515625" style="134" bestFit="1" customWidth="1"/>
    <col min="19" max="19" width="21.5703125" style="300" customWidth="1"/>
    <col min="20" max="20" width="14.85546875" style="134" bestFit="1" customWidth="1"/>
    <col min="21" max="21" width="10" style="134" bestFit="1" customWidth="1"/>
    <col min="22" max="22" width="4.140625" style="134" customWidth="1"/>
    <col min="23" max="23" width="13.28515625" style="134" bestFit="1" customWidth="1"/>
    <col min="24" max="24" width="14.42578125" style="134" bestFit="1" customWidth="1"/>
    <col min="25" max="25" width="14.85546875" style="134" bestFit="1" customWidth="1"/>
    <col min="26" max="16384" width="8.7109375" style="134"/>
  </cols>
  <sheetData>
    <row r="1" spans="2:27" ht="15.75" thickBot="1" x14ac:dyDescent="0.3"/>
    <row r="2" spans="2:27" ht="15.75" thickBot="1" x14ac:dyDescent="0.3">
      <c r="B2" s="142"/>
      <c r="C2" s="142"/>
      <c r="D2" s="144"/>
      <c r="E2" s="142"/>
      <c r="F2" s="144"/>
      <c r="G2" s="143"/>
      <c r="H2" s="144"/>
      <c r="R2" s="248">
        <v>13</v>
      </c>
      <c r="S2" s="442" t="s">
        <v>0</v>
      </c>
      <c r="T2" s="443"/>
      <c r="U2" s="443"/>
      <c r="V2" s="443"/>
      <c r="W2"/>
      <c r="X2"/>
      <c r="Y2"/>
      <c r="Z2"/>
      <c r="AA2"/>
    </row>
    <row r="3" spans="2:27" ht="15.75" thickBot="1" x14ac:dyDescent="0.3">
      <c r="B3" s="145"/>
      <c r="C3" s="145"/>
      <c r="D3" s="146"/>
      <c r="E3" s="172"/>
      <c r="F3" s="146"/>
      <c r="H3" s="146"/>
      <c r="R3" s="248">
        <f>'Summary '!H4</f>
        <v>676</v>
      </c>
      <c r="S3" s="442" t="s">
        <v>1</v>
      </c>
      <c r="T3" s="443"/>
      <c r="U3" s="443"/>
      <c r="V3" s="443"/>
      <c r="W3"/>
      <c r="X3"/>
      <c r="Y3"/>
      <c r="Z3"/>
      <c r="AA3"/>
    </row>
    <row r="4" spans="2:27" ht="15.75" thickBot="1" x14ac:dyDescent="0.3">
      <c r="B4" s="145"/>
      <c r="C4" s="145"/>
      <c r="D4" s="146"/>
      <c r="E4" s="145"/>
      <c r="F4" s="146"/>
      <c r="H4" s="146"/>
      <c r="R4" s="221">
        <v>0.8</v>
      </c>
      <c r="S4" s="442" t="s">
        <v>2</v>
      </c>
      <c r="T4" s="443"/>
      <c r="U4" s="443"/>
      <c r="V4" s="443"/>
      <c r="W4"/>
      <c r="X4"/>
      <c r="Y4"/>
      <c r="Z4"/>
      <c r="AA4"/>
    </row>
    <row r="5" spans="2:27" ht="16.5" thickBot="1" x14ac:dyDescent="0.3">
      <c r="B5" s="454" t="s">
        <v>3</v>
      </c>
      <c r="C5" s="452" t="s">
        <v>4</v>
      </c>
      <c r="D5" s="453"/>
      <c r="E5" s="452" t="s">
        <v>5</v>
      </c>
      <c r="F5" s="453"/>
      <c r="G5" s="452" t="s">
        <v>6</v>
      </c>
      <c r="H5" s="453"/>
      <c r="J5" s="210"/>
      <c r="R5" s="222">
        <v>1</v>
      </c>
      <c r="S5" s="442" t="s">
        <v>7</v>
      </c>
      <c r="T5" s="443"/>
      <c r="U5" s="443"/>
      <c r="V5" s="443"/>
      <c r="W5"/>
      <c r="X5"/>
      <c r="Y5"/>
      <c r="Z5"/>
      <c r="AA5"/>
    </row>
    <row r="6" spans="2:27" ht="16.5" thickBot="1" x14ac:dyDescent="0.3">
      <c r="B6" s="455"/>
      <c r="C6" s="320" t="s">
        <v>8</v>
      </c>
      <c r="D6" s="147" t="s">
        <v>9</v>
      </c>
      <c r="E6" s="320" t="s">
        <v>8</v>
      </c>
      <c r="F6" s="147" t="s">
        <v>9</v>
      </c>
      <c r="G6" s="160" t="s">
        <v>8</v>
      </c>
      <c r="H6" s="147" t="s">
        <v>9</v>
      </c>
      <c r="J6" s="210"/>
      <c r="R6" s="221">
        <v>0</v>
      </c>
      <c r="S6" s="442" t="s">
        <v>10</v>
      </c>
      <c r="T6" s="443"/>
      <c r="U6" s="443"/>
      <c r="V6" s="443"/>
      <c r="W6"/>
      <c r="X6"/>
      <c r="Y6"/>
      <c r="Z6"/>
      <c r="AA6"/>
    </row>
    <row r="7" spans="2:27" ht="15.75" thickBot="1" x14ac:dyDescent="0.3">
      <c r="B7" s="325" t="s">
        <v>11</v>
      </c>
      <c r="C7" s="321">
        <f>SUM(E7,G7)</f>
        <v>2114664.7245244589</v>
      </c>
      <c r="D7" s="159">
        <f>C7/$C$12</f>
        <v>0.57236412357830635</v>
      </c>
      <c r="E7" s="321">
        <f>SUM('Summary '!J11:J14)</f>
        <v>2114664.7245144588</v>
      </c>
      <c r="F7" s="159">
        <f>E7/$E$12</f>
        <v>0.57236412357714894</v>
      </c>
      <c r="G7" s="310">
        <v>1.0000000000000001E-5</v>
      </c>
      <c r="H7" s="159">
        <f>G7/$G$12</f>
        <v>1</v>
      </c>
      <c r="J7" s="211"/>
      <c r="W7"/>
      <c r="X7"/>
      <c r="Y7"/>
      <c r="Z7"/>
      <c r="AA7"/>
    </row>
    <row r="8" spans="2:27" ht="15.75" thickBot="1" x14ac:dyDescent="0.3">
      <c r="B8" s="325" t="s">
        <v>12</v>
      </c>
      <c r="C8" s="321">
        <f>SUM(E8,G8)</f>
        <v>1103369.6606400001</v>
      </c>
      <c r="D8" s="159">
        <f>C8/$C$12</f>
        <v>0.29864271223284528</v>
      </c>
      <c r="E8" s="321">
        <f>SUM('Summary '!J15:J16)</f>
        <v>1103369.6606400001</v>
      </c>
      <c r="F8" s="159">
        <f t="shared" ref="F8:F21" si="0">E8/$E$12</f>
        <v>0.29864271223365363</v>
      </c>
      <c r="G8" s="158"/>
      <c r="H8" s="159">
        <f t="shared" ref="H8:H22" si="1">G8/$G$12</f>
        <v>0</v>
      </c>
      <c r="J8" s="211"/>
      <c r="R8" s="223">
        <v>0.22</v>
      </c>
      <c r="S8" s="444" t="s">
        <v>13</v>
      </c>
      <c r="T8" s="445"/>
      <c r="U8" s="445"/>
      <c r="V8" s="445"/>
      <c r="W8"/>
      <c r="X8"/>
      <c r="Y8"/>
      <c r="Z8"/>
      <c r="AA8"/>
    </row>
    <row r="9" spans="2:27" ht="15.75" thickBot="1" x14ac:dyDescent="0.3">
      <c r="B9" s="325" t="s">
        <v>14</v>
      </c>
      <c r="C9" s="321">
        <f>SUM(E9,G9)</f>
        <v>476580</v>
      </c>
      <c r="D9" s="159">
        <f t="shared" ref="D9:D20" si="2">C9/$C$12</f>
        <v>0.12899316418884832</v>
      </c>
      <c r="E9" s="321">
        <f>705*R3</f>
        <v>476580</v>
      </c>
      <c r="F9" s="159">
        <f t="shared" si="0"/>
        <v>0.12899316418919748</v>
      </c>
      <c r="G9" s="158"/>
      <c r="H9" s="159">
        <f t="shared" si="1"/>
        <v>0</v>
      </c>
      <c r="I9" t="s">
        <v>15</v>
      </c>
      <c r="J9" s="211"/>
      <c r="R9" s="223">
        <v>0.2</v>
      </c>
      <c r="S9" s="444" t="s">
        <v>16</v>
      </c>
      <c r="T9" s="445"/>
      <c r="U9" s="445"/>
      <c r="V9" s="445"/>
      <c r="W9"/>
      <c r="X9"/>
      <c r="Y9"/>
      <c r="Z9"/>
      <c r="AA9"/>
    </row>
    <row r="10" spans="2:27" ht="15.75" thickBot="1" x14ac:dyDescent="0.3">
      <c r="B10" s="325" t="s">
        <v>17</v>
      </c>
      <c r="C10" s="321">
        <f>SUM(E10,G10)</f>
        <v>0</v>
      </c>
      <c r="D10" s="159">
        <f t="shared" si="2"/>
        <v>0</v>
      </c>
      <c r="E10" s="321"/>
      <c r="F10" s="159">
        <f t="shared" si="0"/>
        <v>0</v>
      </c>
      <c r="G10" s="158"/>
      <c r="H10" s="159">
        <f t="shared" si="1"/>
        <v>0</v>
      </c>
      <c r="I10" s="311"/>
      <c r="J10" s="211"/>
      <c r="R10" s="223">
        <v>0.13</v>
      </c>
      <c r="S10" s="444" t="s">
        <v>18</v>
      </c>
      <c r="T10" s="445"/>
      <c r="U10" s="445"/>
      <c r="V10" s="445"/>
      <c r="W10"/>
      <c r="X10"/>
      <c r="Y10"/>
      <c r="Z10"/>
      <c r="AA10"/>
    </row>
    <row r="11" spans="2:27" x14ac:dyDescent="0.25">
      <c r="B11" s="325" t="s">
        <v>10</v>
      </c>
      <c r="C11" s="321">
        <f>SUM(E11,G11)</f>
        <v>0</v>
      </c>
      <c r="D11" s="159">
        <f t="shared" si="2"/>
        <v>0</v>
      </c>
      <c r="E11" s="321">
        <f>SUM(E7:E9)*R6</f>
        <v>0</v>
      </c>
      <c r="F11" s="159">
        <f>E11/$E$12</f>
        <v>0</v>
      </c>
      <c r="G11" s="158"/>
      <c r="H11" s="159">
        <f t="shared" si="1"/>
        <v>0</v>
      </c>
      <c r="J11" s="211"/>
      <c r="R11" s="245"/>
      <c r="W11"/>
      <c r="X11"/>
      <c r="Y11"/>
      <c r="Z11"/>
      <c r="AA11"/>
    </row>
    <row r="12" spans="2:27" ht="15.75" thickBot="1" x14ac:dyDescent="0.3">
      <c r="B12" s="326" t="s">
        <v>19</v>
      </c>
      <c r="C12" s="322">
        <f>SUM(C7:C11)</f>
        <v>3694614.3851644592</v>
      </c>
      <c r="D12" s="224">
        <f t="shared" si="2"/>
        <v>1</v>
      </c>
      <c r="E12" s="322">
        <f>SUM(E7:E11)</f>
        <v>3694614.3851544587</v>
      </c>
      <c r="F12" s="224">
        <f t="shared" si="0"/>
        <v>1</v>
      </c>
      <c r="G12" s="225">
        <f>SUM(G7:G11)</f>
        <v>1.0000000000000001E-5</v>
      </c>
      <c r="H12" s="224">
        <f t="shared" si="1"/>
        <v>1</v>
      </c>
      <c r="I12" s="407">
        <f>E12/12</f>
        <v>307884.53209620487</v>
      </c>
      <c r="J12" s="212"/>
      <c r="W12"/>
      <c r="X12"/>
      <c r="Y12"/>
      <c r="Z12"/>
      <c r="AA12"/>
    </row>
    <row r="13" spans="2:27" ht="15.75" thickBot="1" x14ac:dyDescent="0.3">
      <c r="B13" s="325" t="s">
        <v>20</v>
      </c>
      <c r="C13" s="321">
        <f>SUM(E13,G13)</f>
        <v>1153884.680421337</v>
      </c>
      <c r="D13" s="159">
        <f t="shared" si="2"/>
        <v>0.31231532174364496</v>
      </c>
      <c r="E13" s="321">
        <f>'Summary '!J11</f>
        <v>1153884.680421337</v>
      </c>
      <c r="F13" s="396">
        <f>E13/$E$12</f>
        <v>0.31231532174449034</v>
      </c>
      <c r="G13" s="310"/>
      <c r="H13" s="159">
        <f t="shared" si="1"/>
        <v>0</v>
      </c>
      <c r="J13" s="211"/>
      <c r="R13" s="439" t="s">
        <v>21</v>
      </c>
      <c r="S13" s="440"/>
      <c r="T13" s="440"/>
      <c r="U13" s="440"/>
      <c r="V13" s="441"/>
      <c r="W13"/>
      <c r="X13"/>
      <c r="Y13"/>
      <c r="Z13"/>
      <c r="AA13"/>
    </row>
    <row r="14" spans="2:27" ht="15.75" thickBot="1" x14ac:dyDescent="0.3">
      <c r="B14" s="325" t="s">
        <v>22</v>
      </c>
      <c r="C14" s="321">
        <f>SUM(E14,G14)</f>
        <v>0</v>
      </c>
      <c r="D14" s="159">
        <f t="shared" si="2"/>
        <v>0</v>
      </c>
      <c r="E14" s="321">
        <v>0</v>
      </c>
      <c r="F14" s="159">
        <f t="shared" si="0"/>
        <v>0</v>
      </c>
      <c r="G14" s="158"/>
      <c r="H14" s="159">
        <f t="shared" si="1"/>
        <v>0</v>
      </c>
      <c r="J14" s="211"/>
      <c r="R14" s="258">
        <f>R20+R25+R30+R35</f>
        <v>1575.559</v>
      </c>
      <c r="S14" s="436" t="s">
        <v>23</v>
      </c>
      <c r="T14" s="437"/>
      <c r="U14" s="437"/>
      <c r="V14" s="438"/>
      <c r="W14"/>
      <c r="X14"/>
      <c r="Y14"/>
      <c r="Z14"/>
      <c r="AA14"/>
    </row>
    <row r="15" spans="2:27" ht="15.75" thickBot="1" x14ac:dyDescent="0.3">
      <c r="B15" s="326" t="s">
        <v>24</v>
      </c>
      <c r="C15" s="322">
        <f>SUM(C13:C14)</f>
        <v>1153884.680421337</v>
      </c>
      <c r="D15" s="224">
        <f t="shared" si="2"/>
        <v>0.31231532174364496</v>
      </c>
      <c r="E15" s="322">
        <f>SUM(E13:E14)</f>
        <v>1153884.680421337</v>
      </c>
      <c r="F15" s="224">
        <f t="shared" si="0"/>
        <v>0.31231532174449034</v>
      </c>
      <c r="G15" s="225">
        <f>SUM(G13:G14)</f>
        <v>0</v>
      </c>
      <c r="H15" s="224">
        <f t="shared" si="1"/>
        <v>0</v>
      </c>
      <c r="J15" s="212"/>
      <c r="R15" s="258">
        <f>R21+R26+R31+R36</f>
        <v>1932.8198</v>
      </c>
      <c r="S15" s="436" t="s">
        <v>25</v>
      </c>
      <c r="T15" s="437"/>
      <c r="U15" s="437"/>
      <c r="V15" s="438"/>
      <c r="W15"/>
      <c r="X15"/>
      <c r="Y15"/>
      <c r="Z15"/>
      <c r="AA15"/>
    </row>
    <row r="16" spans="2:27" ht="15.75" thickBot="1" x14ac:dyDescent="0.3">
      <c r="B16" s="325" t="s">
        <v>26</v>
      </c>
      <c r="C16" s="321">
        <f>SUM(E16,G16)</f>
        <v>1299396.4072002959</v>
      </c>
      <c r="D16" s="159">
        <f t="shared" si="2"/>
        <v>0.35170014289392632</v>
      </c>
      <c r="E16" s="321">
        <f>'Summary '!L16</f>
        <v>1299396.4072002959</v>
      </c>
      <c r="F16" s="396">
        <f>E16/$E$12</f>
        <v>0.35170014289487828</v>
      </c>
      <c r="G16" s="310"/>
      <c r="H16" s="159">
        <f t="shared" si="1"/>
        <v>0</v>
      </c>
      <c r="J16" s="211"/>
      <c r="R16" s="258">
        <f>R22+R27+R32+R37</f>
        <v>1529.3419999999999</v>
      </c>
      <c r="S16" s="436">
        <v>787</v>
      </c>
      <c r="T16" s="437"/>
      <c r="U16" s="437"/>
      <c r="V16" s="438"/>
      <c r="W16"/>
      <c r="X16"/>
      <c r="Y16"/>
      <c r="Z16"/>
      <c r="AA16"/>
    </row>
    <row r="17" spans="2:27" x14ac:dyDescent="0.25">
      <c r="B17" s="325" t="s">
        <v>27</v>
      </c>
      <c r="C17" s="321">
        <f>SUM(E17,G17)</f>
        <v>0</v>
      </c>
      <c r="D17" s="159">
        <f t="shared" si="2"/>
        <v>0</v>
      </c>
      <c r="E17" s="321">
        <v>0</v>
      </c>
      <c r="F17" s="159">
        <f t="shared" si="0"/>
        <v>0</v>
      </c>
      <c r="G17" s="158"/>
      <c r="H17" s="159">
        <f t="shared" si="1"/>
        <v>0</v>
      </c>
      <c r="J17" s="211"/>
      <c r="W17"/>
      <c r="X17"/>
      <c r="Y17"/>
      <c r="Z17"/>
      <c r="AA17"/>
    </row>
    <row r="18" spans="2:27" ht="15.75" thickBot="1" x14ac:dyDescent="0.3">
      <c r="B18" s="325" t="s">
        <v>28</v>
      </c>
      <c r="C18" s="321">
        <f>SUM(E18,G18)</f>
        <v>266141.4328000606</v>
      </c>
      <c r="D18" s="159">
        <f t="shared" si="2"/>
        <v>7.2034969026466833E-2</v>
      </c>
      <c r="E18" s="321">
        <f>'Summary '!L17</f>
        <v>266141.4328000606</v>
      </c>
      <c r="F18" s="396">
        <f t="shared" si="0"/>
        <v>7.2034969026661816E-2</v>
      </c>
      <c r="G18" s="310"/>
      <c r="H18" s="159">
        <f t="shared" si="1"/>
        <v>0</v>
      </c>
      <c r="I18">
        <f>E18/E16</f>
        <v>0.20481927710843373</v>
      </c>
      <c r="J18" s="211"/>
      <c r="W18"/>
      <c r="X18"/>
      <c r="Y18"/>
      <c r="Z18"/>
      <c r="AA18"/>
    </row>
    <row r="19" spans="2:27" ht="15.75" thickBot="1" x14ac:dyDescent="0.3">
      <c r="B19" s="325" t="s">
        <v>29</v>
      </c>
      <c r="C19" s="321">
        <f>SUM(E19,G19)</f>
        <v>0</v>
      </c>
      <c r="D19" s="159">
        <f t="shared" si="2"/>
        <v>0</v>
      </c>
      <c r="E19" s="321">
        <v>0</v>
      </c>
      <c r="F19" s="159">
        <f t="shared" si="0"/>
        <v>0</v>
      </c>
      <c r="G19" s="158"/>
      <c r="H19" s="159">
        <f t="shared" si="1"/>
        <v>0</v>
      </c>
      <c r="J19" s="211"/>
      <c r="R19" s="446" t="s">
        <v>30</v>
      </c>
      <c r="S19" s="447"/>
      <c r="T19" s="447"/>
      <c r="U19" s="447"/>
      <c r="V19" s="448"/>
      <c r="W19"/>
      <c r="X19"/>
      <c r="Y19"/>
      <c r="Z19"/>
      <c r="AA19"/>
    </row>
    <row r="20" spans="2:27" ht="15.75" thickBot="1" x14ac:dyDescent="0.3">
      <c r="B20" s="325" t="s">
        <v>31</v>
      </c>
      <c r="C20" s="321">
        <f>SUM(E20,G20)</f>
        <v>0</v>
      </c>
      <c r="D20" s="159">
        <f t="shared" si="2"/>
        <v>0</v>
      </c>
      <c r="E20" s="321">
        <v>0</v>
      </c>
      <c r="F20" s="159">
        <f t="shared" si="0"/>
        <v>0</v>
      </c>
      <c r="G20" s="310"/>
      <c r="H20" s="159">
        <f t="shared" si="1"/>
        <v>0</v>
      </c>
      <c r="J20" s="211"/>
      <c r="R20" s="258">
        <f>Handling!V53</f>
        <v>313.23599999999993</v>
      </c>
      <c r="S20" s="436" t="s">
        <v>32</v>
      </c>
      <c r="T20" s="437"/>
      <c r="U20" s="437"/>
      <c r="V20" s="438"/>
      <c r="W20"/>
      <c r="X20"/>
      <c r="Y20"/>
      <c r="Z20"/>
      <c r="AA20"/>
    </row>
    <row r="21" spans="2:27" ht="15.75" thickBot="1" x14ac:dyDescent="0.3">
      <c r="B21" s="326" t="s">
        <v>33</v>
      </c>
      <c r="C21" s="322">
        <f>SUM(C16:C20)</f>
        <v>1565537.8400003565</v>
      </c>
      <c r="D21" s="224">
        <f>C21/$C$12</f>
        <v>0.42373511192039309</v>
      </c>
      <c r="E21" s="322">
        <f>SUM(E16:E20)</f>
        <v>1565537.8400003565</v>
      </c>
      <c r="F21" s="224">
        <f t="shared" si="0"/>
        <v>0.42373511192154006</v>
      </c>
      <c r="G21" s="225">
        <f>SUM(G16:G20)</f>
        <v>0</v>
      </c>
      <c r="H21" s="224">
        <f t="shared" si="1"/>
        <v>0</v>
      </c>
      <c r="I21" s="397">
        <f>E21-E8</f>
        <v>462168.17936035641</v>
      </c>
      <c r="J21" s="212"/>
      <c r="P21" s="229"/>
      <c r="R21" s="258">
        <f>Handling!X53</f>
        <v>362.95599999999996</v>
      </c>
      <c r="S21" s="436" t="s">
        <v>34</v>
      </c>
      <c r="T21" s="437"/>
      <c r="U21" s="437"/>
      <c r="V21" s="438"/>
      <c r="W21"/>
      <c r="X21"/>
      <c r="Y21"/>
      <c r="Z21"/>
      <c r="AA21"/>
    </row>
    <row r="22" spans="2:27" ht="19.5" thickBot="1" x14ac:dyDescent="0.3">
      <c r="B22" s="327" t="s">
        <v>35</v>
      </c>
      <c r="C22" s="323">
        <f>C12-C15-C21</f>
        <v>975191.86474276567</v>
      </c>
      <c r="D22" s="219">
        <f>C22/$C$12</f>
        <v>0.26394956633596195</v>
      </c>
      <c r="E22" s="323">
        <f>E12-E15-E21</f>
        <v>975191.86473276513</v>
      </c>
      <c r="F22" s="395">
        <f>E22/$E$12</f>
        <v>0.2639495663339696</v>
      </c>
      <c r="G22" s="220">
        <f>G12-G15-G21</f>
        <v>1.0000000000000001E-5</v>
      </c>
      <c r="H22" s="219">
        <f t="shared" si="1"/>
        <v>1</v>
      </c>
      <c r="J22" s="213"/>
      <c r="P22" s="229"/>
      <c r="R22" s="258">
        <f>Handling!Z53</f>
        <v>313.23599999999993</v>
      </c>
      <c r="S22" s="436" t="s">
        <v>36</v>
      </c>
      <c r="T22" s="437"/>
      <c r="U22" s="437"/>
      <c r="V22" s="438"/>
      <c r="W22"/>
      <c r="X22"/>
      <c r="Y22"/>
      <c r="Z22"/>
      <c r="AA22"/>
    </row>
    <row r="23" spans="2:27" ht="15.75" thickBot="1" x14ac:dyDescent="0.3">
      <c r="B23" s="145"/>
      <c r="C23" s="321"/>
      <c r="D23" s="159"/>
      <c r="E23" s="321"/>
      <c r="F23" s="159"/>
      <c r="G23" s="158"/>
      <c r="H23" s="159"/>
      <c r="J23" s="211"/>
      <c r="K23" s="458" t="s">
        <v>37</v>
      </c>
      <c r="L23" s="459"/>
      <c r="M23" s="459"/>
      <c r="N23" s="459"/>
      <c r="O23" s="460">
        <f>'Summary '!H17+705</f>
        <v>5465.4058951989036</v>
      </c>
      <c r="P23" s="461"/>
      <c r="Q23" s="313">
        <f>4993+705</f>
        <v>5698</v>
      </c>
      <c r="R23" s="175"/>
      <c r="W23"/>
      <c r="X23"/>
      <c r="Y23"/>
      <c r="Z23"/>
      <c r="AA23"/>
    </row>
    <row r="24" spans="2:27" ht="15.75" thickBot="1" x14ac:dyDescent="0.3">
      <c r="B24" s="325" t="s">
        <v>38</v>
      </c>
      <c r="C24" s="321">
        <f>SUM(E24,G24)</f>
        <v>80500</v>
      </c>
      <c r="D24" s="159">
        <f t="shared" ref="D24:D30" si="3">C24/$C$12</f>
        <v>2.1788471436489761E-2</v>
      </c>
      <c r="E24" s="321">
        <f>70000*1.15</f>
        <v>80500</v>
      </c>
      <c r="F24" s="159">
        <f>E24/$C$12</f>
        <v>2.1788471436489761E-2</v>
      </c>
      <c r="G24" s="310"/>
      <c r="H24" s="159">
        <f t="shared" ref="H24:H30" si="4">G24/$G$12</f>
        <v>0</v>
      </c>
      <c r="I24" s="313" t="s">
        <v>39</v>
      </c>
      <c r="J24" s="211"/>
      <c r="K24" s="462" t="s">
        <v>40</v>
      </c>
      <c r="L24" s="463"/>
      <c r="M24" s="463"/>
      <c r="N24" s="463"/>
      <c r="O24" s="463"/>
      <c r="P24" s="464"/>
      <c r="R24" s="446" t="s">
        <v>41</v>
      </c>
      <c r="S24" s="447"/>
      <c r="T24" s="447"/>
      <c r="U24" s="447"/>
      <c r="V24" s="448"/>
      <c r="W24"/>
      <c r="X24"/>
      <c r="Y24"/>
      <c r="Z24"/>
      <c r="AA24"/>
    </row>
    <row r="25" spans="2:27" ht="15.75" thickBot="1" x14ac:dyDescent="0.3">
      <c r="B25" s="325" t="s">
        <v>42</v>
      </c>
      <c r="C25" s="321">
        <f>SUM(E25,G25)</f>
        <v>0</v>
      </c>
      <c r="D25" s="159">
        <f t="shared" si="3"/>
        <v>0</v>
      </c>
      <c r="E25" s="321">
        <v>0</v>
      </c>
      <c r="F25" s="159">
        <f>E25/$C$12</f>
        <v>0</v>
      </c>
      <c r="G25" s="310"/>
      <c r="H25" s="159">
        <f t="shared" si="4"/>
        <v>0</v>
      </c>
      <c r="J25" s="211"/>
      <c r="K25" s="294" t="s">
        <v>43</v>
      </c>
      <c r="L25" s="295" t="s">
        <v>44</v>
      </c>
      <c r="M25" s="295" t="s">
        <v>45</v>
      </c>
      <c r="N25" s="295" t="s">
        <v>46</v>
      </c>
      <c r="O25" s="295" t="s">
        <v>47</v>
      </c>
      <c r="P25" s="296" t="s">
        <v>48</v>
      </c>
      <c r="R25" s="258">
        <f>Handling!AD39</f>
        <v>338.99999999999994</v>
      </c>
      <c r="S25" s="436" t="s">
        <v>23</v>
      </c>
      <c r="T25" s="437"/>
      <c r="U25" s="437"/>
      <c r="V25" s="438"/>
      <c r="W25"/>
      <c r="X25"/>
      <c r="Y25"/>
      <c r="Z25"/>
      <c r="AA25"/>
    </row>
    <row r="26" spans="2:27" ht="15.75" thickBot="1" x14ac:dyDescent="0.3">
      <c r="B26" s="326" t="s">
        <v>49</v>
      </c>
      <c r="C26" s="322">
        <f>SUM(C24:C25)</f>
        <v>80500</v>
      </c>
      <c r="D26" s="224">
        <f t="shared" si="3"/>
        <v>2.1788471436489761E-2</v>
      </c>
      <c r="E26" s="322">
        <f>SUM(E24:E25)</f>
        <v>80500</v>
      </c>
      <c r="F26" s="224">
        <f>E26/$E$12</f>
        <v>2.1788471436548738E-2</v>
      </c>
      <c r="G26" s="225">
        <f>SUM(G24:G25)</f>
        <v>0</v>
      </c>
      <c r="H26" s="224">
        <f t="shared" si="4"/>
        <v>0</v>
      </c>
      <c r="J26" s="212"/>
      <c r="K26" s="257">
        <f>'Summary '!B24</f>
        <v>0</v>
      </c>
      <c r="L26" s="257">
        <f>'Summary '!C24</f>
        <v>30.17771304921969</v>
      </c>
      <c r="M26" s="257">
        <f>'Summary '!D24</f>
        <v>17.590769747747746</v>
      </c>
      <c r="N26" s="257">
        <f>'Summary '!E24</f>
        <v>10.400982779428269</v>
      </c>
      <c r="O26" s="257">
        <f>'Summary '!F24</f>
        <v>0</v>
      </c>
      <c r="P26" s="257">
        <f>'Summary '!G24</f>
        <v>20.274573999999994</v>
      </c>
      <c r="R26" s="258">
        <f>Handling!AD41</f>
        <v>395.49999999999994</v>
      </c>
      <c r="S26" s="436" t="s">
        <v>25</v>
      </c>
      <c r="T26" s="437"/>
      <c r="U26" s="437"/>
      <c r="V26" s="438"/>
      <c r="W26"/>
      <c r="X26"/>
      <c r="Y26"/>
      <c r="Z26"/>
      <c r="AA26"/>
    </row>
    <row r="27" spans="2:27" ht="15.75" thickBot="1" x14ac:dyDescent="0.3">
      <c r="B27" s="325" t="s">
        <v>50</v>
      </c>
      <c r="C27" s="321">
        <f>SUM(E27,G27)</f>
        <v>84000</v>
      </c>
      <c r="D27" s="159">
        <f t="shared" si="3"/>
        <v>2.2735796281554532E-2</v>
      </c>
      <c r="E27" s="324">
        <f>7000*12</f>
        <v>84000</v>
      </c>
      <c r="F27" s="159">
        <f>E27/E12</f>
        <v>2.2735796281616073E-2</v>
      </c>
      <c r="G27" s="310"/>
      <c r="H27" s="159">
        <f t="shared" si="4"/>
        <v>0</v>
      </c>
      <c r="I27" t="s">
        <v>51</v>
      </c>
      <c r="J27" s="211"/>
      <c r="L27" s="401">
        <v>34.4</v>
      </c>
      <c r="M27" s="401">
        <v>23.8</v>
      </c>
      <c r="N27" s="401">
        <v>12.42</v>
      </c>
      <c r="O27" s="134" t="s">
        <v>52</v>
      </c>
      <c r="P27" s="401">
        <v>36.119999999999997</v>
      </c>
      <c r="R27" s="258">
        <f>Handling!AD43</f>
        <v>338.99999999999994</v>
      </c>
      <c r="S27" s="436">
        <v>787</v>
      </c>
      <c r="T27" s="437"/>
      <c r="U27" s="437"/>
      <c r="V27" s="438"/>
      <c r="W27"/>
    </row>
    <row r="28" spans="2:27" ht="15.75" thickBot="1" x14ac:dyDescent="0.3">
      <c r="B28" s="325" t="s">
        <v>53</v>
      </c>
      <c r="C28" s="321">
        <f>SUM(E28,G28)</f>
        <v>66666.666666666672</v>
      </c>
      <c r="D28" s="159">
        <f t="shared" si="3"/>
        <v>1.8044282763138519E-2</v>
      </c>
      <c r="E28" s="403">
        <f>200000/3</f>
        <v>66666.666666666672</v>
      </c>
      <c r="F28" s="289">
        <f>E28/E12</f>
        <v>1.8044282763187362E-2</v>
      </c>
      <c r="G28" s="310"/>
      <c r="H28" s="159">
        <f t="shared" si="4"/>
        <v>0</v>
      </c>
      <c r="I28" s="313" t="s">
        <v>54</v>
      </c>
      <c r="J28" s="211"/>
      <c r="K28" s="456" t="s">
        <v>55</v>
      </c>
      <c r="L28" s="457"/>
      <c r="M28" s="457"/>
      <c r="N28" s="457"/>
      <c r="O28" s="457"/>
      <c r="P28" s="457"/>
      <c r="W28"/>
    </row>
    <row r="29" spans="2:27" ht="15.75" thickBot="1" x14ac:dyDescent="0.3">
      <c r="B29" s="326" t="s">
        <v>56</v>
      </c>
      <c r="C29" s="322">
        <f>SUM(C27:C28)</f>
        <v>150666.66666666669</v>
      </c>
      <c r="D29" s="224">
        <f t="shared" si="3"/>
        <v>4.0780079044693059E-2</v>
      </c>
      <c r="E29" s="322">
        <f>SUM(E27:E28)</f>
        <v>150666.66666666669</v>
      </c>
      <c r="F29" s="224">
        <f>E29/E12</f>
        <v>4.0780079044803443E-2</v>
      </c>
      <c r="G29" s="225">
        <f>SUM(G27:G28)</f>
        <v>0</v>
      </c>
      <c r="H29" s="224">
        <f t="shared" si="4"/>
        <v>0</v>
      </c>
      <c r="J29" s="212"/>
      <c r="K29" s="252" t="s">
        <v>43</v>
      </c>
      <c r="L29" s="251" t="s">
        <v>44</v>
      </c>
      <c r="M29" s="251" t="s">
        <v>57</v>
      </c>
      <c r="N29" s="251" t="s">
        <v>58</v>
      </c>
      <c r="O29" s="251" t="s">
        <v>47</v>
      </c>
      <c r="P29" s="253" t="s">
        <v>59</v>
      </c>
      <c r="R29" s="446" t="s">
        <v>60</v>
      </c>
      <c r="S29" s="447"/>
      <c r="T29" s="447"/>
      <c r="U29" s="447"/>
      <c r="V29" s="448"/>
      <c r="W29"/>
    </row>
    <row r="30" spans="2:27" ht="19.5" thickBot="1" x14ac:dyDescent="0.3">
      <c r="B30" s="327" t="s">
        <v>61</v>
      </c>
      <c r="C30" s="323">
        <f>C22-C26-C29</f>
        <v>744025.19807609892</v>
      </c>
      <c r="D30" s="219">
        <f t="shared" si="3"/>
        <v>0.20138101585477911</v>
      </c>
      <c r="E30" s="323">
        <f>E22-E26-E29</f>
        <v>744025.19806609838</v>
      </c>
      <c r="F30" s="395">
        <f>E30/$E$12</f>
        <v>0.20138101585261742</v>
      </c>
      <c r="G30" s="220">
        <f>G22-G26-G29</f>
        <v>1.0000000000000001E-5</v>
      </c>
      <c r="H30" s="219">
        <f t="shared" si="4"/>
        <v>1</v>
      </c>
      <c r="I30" s="319">
        <f>E30/12</f>
        <v>62002.099838841532</v>
      </c>
      <c r="J30" s="211"/>
      <c r="K30" s="254">
        <v>0</v>
      </c>
      <c r="L30" s="255">
        <v>0</v>
      </c>
      <c r="M30" s="255">
        <v>0</v>
      </c>
      <c r="N30" s="255">
        <v>0</v>
      </c>
      <c r="O30" s="255">
        <v>0</v>
      </c>
      <c r="P30" s="256">
        <v>0</v>
      </c>
      <c r="R30" s="258">
        <f>Handling!C84</f>
        <v>704.10300000000007</v>
      </c>
      <c r="S30" s="436" t="s">
        <v>23</v>
      </c>
      <c r="T30" s="437"/>
      <c r="U30" s="437"/>
      <c r="V30" s="438"/>
      <c r="W30"/>
    </row>
    <row r="31" spans="2:27" ht="19.5" thickBot="1" x14ac:dyDescent="0.3">
      <c r="E31" s="410">
        <f>E30/12</f>
        <v>62002.099838841532</v>
      </c>
      <c r="F31" s="245"/>
      <c r="I31">
        <f>11000*30</f>
        <v>330000</v>
      </c>
      <c r="J31" s="213"/>
      <c r="K31" s="229">
        <f>I31*12</f>
        <v>3960000</v>
      </c>
      <c r="L31" s="229"/>
      <c r="M31" s="229"/>
      <c r="N31" s="229"/>
      <c r="O31" s="229"/>
      <c r="P31" s="229"/>
      <c r="R31" s="258">
        <f>Handling!E84</f>
        <v>878.30380000000014</v>
      </c>
      <c r="S31" s="436" t="s">
        <v>25</v>
      </c>
      <c r="T31" s="437"/>
      <c r="U31" s="437"/>
      <c r="V31" s="438"/>
      <c r="W31"/>
    </row>
    <row r="32" spans="2:27" ht="15.75" thickBot="1" x14ac:dyDescent="0.3">
      <c r="B32" s="449" t="s">
        <v>62</v>
      </c>
      <c r="C32" s="450"/>
      <c r="D32" s="450"/>
      <c r="E32" s="450"/>
      <c r="F32" s="450"/>
      <c r="G32" s="450"/>
      <c r="H32" s="451"/>
      <c r="R32" s="258">
        <f>Handling!G84</f>
        <v>653.36599999999999</v>
      </c>
      <c r="S32" s="436">
        <v>787</v>
      </c>
      <c r="T32" s="437"/>
      <c r="U32" s="437"/>
      <c r="V32" s="438"/>
      <c r="W32"/>
    </row>
    <row r="33" spans="2:23" s="229" customFormat="1" ht="15.75" thickBot="1" x14ac:dyDescent="0.3">
      <c r="I33"/>
      <c r="K33" s="134"/>
      <c r="L33" s="134"/>
      <c r="M33" s="134"/>
      <c r="N33" s="134"/>
      <c r="O33" s="134"/>
      <c r="P33" s="134"/>
      <c r="Q33"/>
      <c r="R33" s="300"/>
      <c r="S33"/>
      <c r="T33"/>
      <c r="U33"/>
      <c r="V33"/>
      <c r="W33"/>
    </row>
    <row r="34" spans="2:23" s="229" customFormat="1" ht="15.75" thickBot="1" x14ac:dyDescent="0.3">
      <c r="B34" s="312"/>
      <c r="E34" s="229" t="s">
        <v>63</v>
      </c>
      <c r="I34"/>
      <c r="J34" s="134"/>
      <c r="K34" s="134"/>
      <c r="L34" s="134"/>
      <c r="M34" s="134"/>
      <c r="N34" s="134"/>
      <c r="O34" s="134"/>
      <c r="P34" s="134"/>
      <c r="Q34"/>
      <c r="R34" s="446" t="s">
        <v>64</v>
      </c>
      <c r="S34" s="447"/>
      <c r="T34" s="447"/>
      <c r="U34" s="447"/>
      <c r="V34" s="448"/>
      <c r="W34"/>
    </row>
    <row r="35" spans="2:23" s="229" customFormat="1" ht="15.75" thickBot="1" x14ac:dyDescent="0.3">
      <c r="I35"/>
      <c r="K35" s="134"/>
      <c r="L35" s="134"/>
      <c r="M35" s="134"/>
      <c r="N35" s="134"/>
      <c r="O35" s="134"/>
      <c r="P35" s="134"/>
      <c r="Q35"/>
      <c r="R35" s="258">
        <f>Handling!S39+Handling!S45</f>
        <v>219.21999999999997</v>
      </c>
      <c r="S35" s="436" t="s">
        <v>23</v>
      </c>
      <c r="T35" s="437"/>
      <c r="U35" s="437"/>
      <c r="V35" s="438"/>
      <c r="W35"/>
    </row>
    <row r="36" spans="2:23" s="229" customFormat="1" ht="15.75" thickBot="1" x14ac:dyDescent="0.3">
      <c r="B36" s="312" t="s">
        <v>65</v>
      </c>
      <c r="I36"/>
      <c r="K36" s="134"/>
      <c r="L36" s="134"/>
      <c r="M36" s="134"/>
      <c r="N36" s="134"/>
      <c r="O36" s="134"/>
      <c r="P36" s="134"/>
      <c r="Q36"/>
      <c r="R36" s="258">
        <f>Handling!S41+Handling!S47</f>
        <v>296.05999999999995</v>
      </c>
      <c r="S36" s="436" t="s">
        <v>25</v>
      </c>
      <c r="T36" s="437"/>
      <c r="U36" s="437"/>
      <c r="V36" s="438"/>
      <c r="W36"/>
    </row>
    <row r="37" spans="2:23" s="229" customFormat="1" ht="15.75" thickBot="1" x14ac:dyDescent="0.3">
      <c r="B37" s="312" t="s">
        <v>66</v>
      </c>
      <c r="I37"/>
      <c r="K37" s="134"/>
      <c r="L37" s="134"/>
      <c r="M37"/>
      <c r="N37" s="134"/>
      <c r="O37" s="134"/>
      <c r="P37" s="134"/>
      <c r="Q37"/>
      <c r="R37" s="258">
        <f>Handling!S43+Handling!S50</f>
        <v>223.74</v>
      </c>
      <c r="S37" s="436">
        <v>787</v>
      </c>
      <c r="T37" s="437"/>
      <c r="U37" s="437"/>
      <c r="V37" s="438"/>
      <c r="W37"/>
    </row>
    <row r="38" spans="2:23" s="229" customFormat="1" x14ac:dyDescent="0.25">
      <c r="B38" s="312" t="s">
        <v>67</v>
      </c>
      <c r="I38"/>
      <c r="K38" s="134"/>
      <c r="L38" s="134"/>
      <c r="M38" s="134"/>
      <c r="N38" s="134"/>
      <c r="O38" s="134"/>
      <c r="P38" s="134"/>
      <c r="Q38"/>
      <c r="W38"/>
    </row>
    <row r="39" spans="2:23" s="229" customFormat="1" x14ac:dyDescent="0.25">
      <c r="B39" s="312" t="s">
        <v>68</v>
      </c>
      <c r="I39"/>
      <c r="K39" s="134"/>
      <c r="L39" s="134"/>
      <c r="O39" s="134"/>
      <c r="P39" s="134"/>
      <c r="Q39"/>
      <c r="W39"/>
    </row>
    <row r="40" spans="2:23" x14ac:dyDescent="0.25">
      <c r="W40"/>
    </row>
    <row r="52" spans="22:22" x14ac:dyDescent="0.25">
      <c r="V52" s="246"/>
    </row>
    <row r="66" spans="2:3" x14ac:dyDescent="0.25">
      <c r="B66" s="300"/>
    </row>
    <row r="67" spans="2:3" x14ac:dyDescent="0.25">
      <c r="B67" s="317" t="s">
        <v>69</v>
      </c>
      <c r="C67" s="318">
        <v>271755</v>
      </c>
    </row>
    <row r="68" spans="2:3" x14ac:dyDescent="0.25">
      <c r="B68" s="317" t="s">
        <v>70</v>
      </c>
      <c r="C68" s="318">
        <v>2000</v>
      </c>
    </row>
    <row r="69" spans="2:3" x14ac:dyDescent="0.25">
      <c r="B69" s="317" t="s">
        <v>71</v>
      </c>
      <c r="C69" s="318">
        <v>164340</v>
      </c>
    </row>
    <row r="70" spans="2:3" x14ac:dyDescent="0.25">
      <c r="B70" s="317" t="s">
        <v>72</v>
      </c>
      <c r="C70" s="318">
        <v>3840</v>
      </c>
    </row>
    <row r="71" spans="2:3" x14ac:dyDescent="0.25">
      <c r="B71" s="317" t="s">
        <v>73</v>
      </c>
      <c r="C71" s="318">
        <v>19000</v>
      </c>
    </row>
    <row r="72" spans="2:3" x14ac:dyDescent="0.25">
      <c r="B72" s="317" t="s">
        <v>74</v>
      </c>
      <c r="C72" s="318">
        <v>261360</v>
      </c>
    </row>
    <row r="73" spans="2:3" x14ac:dyDescent="0.25">
      <c r="B73" s="317" t="s">
        <v>75</v>
      </c>
      <c r="C73" s="318">
        <v>675000</v>
      </c>
    </row>
    <row r="74" spans="2:3" x14ac:dyDescent="0.25">
      <c r="B74" s="317" t="s">
        <v>76</v>
      </c>
      <c r="C74" s="318">
        <f>116139*5</f>
        <v>580695</v>
      </c>
    </row>
  </sheetData>
  <mergeCells count="37">
    <mergeCell ref="S36:V36"/>
    <mergeCell ref="S37:V37"/>
    <mergeCell ref="B32:H32"/>
    <mergeCell ref="C5:D5"/>
    <mergeCell ref="B5:B6"/>
    <mergeCell ref="E5:F5"/>
    <mergeCell ref="G5:H5"/>
    <mergeCell ref="R29:V29"/>
    <mergeCell ref="S30:V30"/>
    <mergeCell ref="R34:V34"/>
    <mergeCell ref="S35:V35"/>
    <mergeCell ref="S32:V32"/>
    <mergeCell ref="K28:P28"/>
    <mergeCell ref="K23:N23"/>
    <mergeCell ref="O23:P23"/>
    <mergeCell ref="K24:P24"/>
    <mergeCell ref="S2:V2"/>
    <mergeCell ref="S22:V22"/>
    <mergeCell ref="S26:V26"/>
    <mergeCell ref="S27:V27"/>
    <mergeCell ref="S31:V31"/>
    <mergeCell ref="S3:V3"/>
    <mergeCell ref="S4:V4"/>
    <mergeCell ref="S5:V5"/>
    <mergeCell ref="S8:V8"/>
    <mergeCell ref="S9:V9"/>
    <mergeCell ref="S20:V20"/>
    <mergeCell ref="R19:V19"/>
    <mergeCell ref="R24:V24"/>
    <mergeCell ref="S25:V25"/>
    <mergeCell ref="S6:V6"/>
    <mergeCell ref="S10:V10"/>
    <mergeCell ref="S21:V21"/>
    <mergeCell ref="R13:V13"/>
    <mergeCell ref="S14:V14"/>
    <mergeCell ref="S15:V15"/>
    <mergeCell ref="S16:V16"/>
  </mergeCells>
  <pageMargins left="0.7" right="0.7" top="0.75" bottom="0.75" header="0.3" footer="0.3"/>
  <pageSetup scale="44" orientation="portrait" r:id="rId1"/>
  <ignoredErrors>
    <ignoredError sqref="F21 F12 D21 D29 F15 F30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5A6F802-614A-4C09-BBD7-0BEE3D5EC057}">
          <x14:formula1>
            <xm:f>'Summary '!$M$3:$M$4</xm:f>
          </x14:formula1>
          <xm:sqref>R5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5979-CC37-4F94-BAE9-E9D905FFE18A}">
  <sheetPr>
    <tabColor theme="7" tint="0.59999389629810485"/>
  </sheetPr>
  <dimension ref="A1:I56"/>
  <sheetViews>
    <sheetView workbookViewId="0"/>
  </sheetViews>
  <sheetFormatPr defaultRowHeight="15" x14ac:dyDescent="0.25"/>
  <cols>
    <col min="1" max="1" width="54.28515625" bestFit="1" customWidth="1"/>
    <col min="2" max="2" width="12" bestFit="1" customWidth="1"/>
    <col min="3" max="3" width="8.7109375" bestFit="1" customWidth="1"/>
    <col min="4" max="4" width="9.42578125" bestFit="1" customWidth="1"/>
    <col min="5" max="5" width="28" bestFit="1" customWidth="1"/>
    <col min="6" max="8" width="1.42578125" bestFit="1" customWidth="1"/>
    <col min="9" max="9" width="6.42578125" bestFit="1" customWidth="1"/>
  </cols>
  <sheetData>
    <row r="1" spans="1:9" x14ac:dyDescent="0.25">
      <c r="A1" s="71" t="s">
        <v>77</v>
      </c>
      <c r="B1" s="72"/>
      <c r="C1" s="73"/>
      <c r="D1" s="73"/>
      <c r="E1" s="73"/>
      <c r="F1" s="73"/>
      <c r="G1" s="73"/>
      <c r="H1" s="73"/>
      <c r="I1" s="74"/>
    </row>
    <row r="2" spans="1:9" x14ac:dyDescent="0.25">
      <c r="A2" s="75" t="s">
        <v>78</v>
      </c>
      <c r="B2" s="76" t="s">
        <v>79</v>
      </c>
      <c r="C2" s="77"/>
      <c r="D2" s="77"/>
      <c r="E2" s="77"/>
      <c r="F2" s="77"/>
      <c r="G2" s="77"/>
      <c r="H2" s="77"/>
      <c r="I2" s="78"/>
    </row>
    <row r="3" spans="1:9" x14ac:dyDescent="0.25">
      <c r="A3" s="75" t="s">
        <v>80</v>
      </c>
      <c r="B3" s="76" t="s">
        <v>81</v>
      </c>
      <c r="C3" s="77"/>
      <c r="D3" s="77"/>
      <c r="E3" s="77"/>
      <c r="F3" s="77"/>
      <c r="G3" s="77"/>
      <c r="H3" s="77"/>
      <c r="I3" s="78"/>
    </row>
    <row r="4" spans="1:9" x14ac:dyDescent="0.25">
      <c r="A4" s="75" t="s">
        <v>82</v>
      </c>
      <c r="B4" s="79"/>
      <c r="C4" s="77"/>
      <c r="D4" s="77"/>
      <c r="E4" s="77"/>
      <c r="F4" s="77"/>
      <c r="G4" s="77"/>
      <c r="H4" s="77"/>
      <c r="I4" s="78"/>
    </row>
    <row r="5" spans="1:9" x14ac:dyDescent="0.25">
      <c r="A5" s="75" t="s">
        <v>83</v>
      </c>
      <c r="B5" s="80"/>
      <c r="C5" s="81"/>
      <c r="D5" s="77"/>
      <c r="E5" s="77"/>
      <c r="F5" s="77"/>
      <c r="G5" s="77"/>
      <c r="H5" s="77"/>
      <c r="I5" s="78"/>
    </row>
    <row r="6" spans="1:9" x14ac:dyDescent="0.25">
      <c r="A6" s="75" t="s">
        <v>84</v>
      </c>
      <c r="B6" s="82"/>
      <c r="C6" s="77"/>
      <c r="D6" s="77"/>
      <c r="E6" s="77"/>
      <c r="F6" s="77"/>
      <c r="G6" s="77"/>
      <c r="H6" s="77"/>
      <c r="I6" s="78"/>
    </row>
    <row r="7" spans="1:9" x14ac:dyDescent="0.25">
      <c r="A7" s="75" t="s">
        <v>85</v>
      </c>
      <c r="B7" s="82"/>
      <c r="C7" s="77"/>
      <c r="D7" s="77"/>
      <c r="E7" s="77"/>
      <c r="F7" s="77"/>
      <c r="G7" s="77"/>
      <c r="H7" s="77"/>
      <c r="I7" s="78"/>
    </row>
    <row r="8" spans="1:9" x14ac:dyDescent="0.25">
      <c r="A8" s="75" t="s">
        <v>86</v>
      </c>
      <c r="B8" s="82"/>
      <c r="C8" s="77"/>
      <c r="D8" s="77"/>
      <c r="E8" s="77"/>
      <c r="F8" s="77"/>
      <c r="G8" s="77"/>
      <c r="H8" s="77"/>
      <c r="I8" s="78"/>
    </row>
    <row r="9" spans="1:9" x14ac:dyDescent="0.25">
      <c r="A9" s="75" t="s">
        <v>87</v>
      </c>
      <c r="B9" s="83"/>
      <c r="C9" s="77"/>
      <c r="D9" s="77"/>
      <c r="E9" s="77"/>
      <c r="F9" s="77"/>
      <c r="G9" s="77"/>
      <c r="H9" s="77"/>
      <c r="I9" s="78"/>
    </row>
    <row r="10" spans="1:9" x14ac:dyDescent="0.25">
      <c r="A10" s="75"/>
      <c r="B10" s="77"/>
      <c r="C10" s="77"/>
      <c r="D10" s="77"/>
      <c r="E10" s="77"/>
      <c r="F10" s="77"/>
      <c r="G10" s="77"/>
      <c r="H10" s="77"/>
      <c r="I10" s="78"/>
    </row>
    <row r="11" spans="1:9" x14ac:dyDescent="0.25">
      <c r="A11" s="75"/>
      <c r="B11" s="77"/>
      <c r="C11" s="77"/>
      <c r="D11" s="77"/>
      <c r="E11" s="77"/>
      <c r="F11" s="77"/>
      <c r="G11" s="77"/>
      <c r="H11" s="77"/>
      <c r="I11" s="78"/>
    </row>
    <row r="12" spans="1:9" x14ac:dyDescent="0.25">
      <c r="A12" s="75" t="s">
        <v>88</v>
      </c>
      <c r="B12" s="80">
        <v>787</v>
      </c>
      <c r="C12" s="80"/>
      <c r="D12" s="80"/>
      <c r="E12" s="80"/>
      <c r="F12" s="80" t="s">
        <v>89</v>
      </c>
      <c r="G12" s="80" t="s">
        <v>89</v>
      </c>
      <c r="H12" s="80" t="s">
        <v>89</v>
      </c>
      <c r="I12" s="80" t="s">
        <v>89</v>
      </c>
    </row>
    <row r="13" spans="1:9" x14ac:dyDescent="0.25">
      <c r="A13" s="75" t="s">
        <v>90</v>
      </c>
      <c r="B13" s="80">
        <f>+'FlightConfig '!B3</f>
        <v>0</v>
      </c>
      <c r="C13" s="80"/>
      <c r="D13" s="80"/>
      <c r="E13" s="80"/>
      <c r="F13" s="80" t="s">
        <v>89</v>
      </c>
      <c r="G13" s="80" t="s">
        <v>89</v>
      </c>
      <c r="H13" s="80" t="s">
        <v>89</v>
      </c>
      <c r="I13" s="80" t="s">
        <v>89</v>
      </c>
    </row>
    <row r="14" spans="1:9" x14ac:dyDescent="0.25">
      <c r="A14" s="75" t="s">
        <v>91</v>
      </c>
      <c r="B14" s="80">
        <f>+'FlightConfig '!C3</f>
        <v>34</v>
      </c>
      <c r="C14" s="80"/>
      <c r="D14" s="80"/>
      <c r="E14" s="80"/>
      <c r="F14" s="80" t="s">
        <v>89</v>
      </c>
      <c r="G14" s="80" t="s">
        <v>89</v>
      </c>
      <c r="H14" s="80" t="s">
        <v>89</v>
      </c>
      <c r="I14" s="80" t="s">
        <v>89</v>
      </c>
    </row>
    <row r="15" spans="1:9" x14ac:dyDescent="0.25">
      <c r="A15" s="75" t="s">
        <v>92</v>
      </c>
      <c r="B15" s="80">
        <f>SUM('FlightConfig '!D3:E3)</f>
        <v>246</v>
      </c>
      <c r="C15" s="80"/>
      <c r="D15" s="80"/>
      <c r="E15" s="80"/>
      <c r="F15" s="80" t="s">
        <v>89</v>
      </c>
      <c r="G15" s="80" t="s">
        <v>89</v>
      </c>
      <c r="H15" s="80" t="s">
        <v>89</v>
      </c>
      <c r="I15" s="80" t="s">
        <v>89</v>
      </c>
    </row>
    <row r="16" spans="1:9" x14ac:dyDescent="0.25">
      <c r="A16" s="75" t="s">
        <v>93</v>
      </c>
      <c r="B16" s="84">
        <v>0.2673611111111111</v>
      </c>
      <c r="C16" s="80"/>
      <c r="D16" s="80"/>
      <c r="E16" s="80"/>
      <c r="F16" s="80" t="s">
        <v>89</v>
      </c>
      <c r="G16" s="80" t="s">
        <v>89</v>
      </c>
      <c r="H16" s="80" t="s">
        <v>89</v>
      </c>
      <c r="I16" s="80" t="s">
        <v>89</v>
      </c>
    </row>
    <row r="17" spans="1:9" x14ac:dyDescent="0.25">
      <c r="A17" s="75" t="s">
        <v>94</v>
      </c>
      <c r="B17" s="84">
        <v>0.93402777777777779</v>
      </c>
      <c r="C17" s="80"/>
      <c r="D17" s="80"/>
      <c r="E17" s="80"/>
      <c r="F17" s="80" t="s">
        <v>89</v>
      </c>
      <c r="G17" s="80" t="s">
        <v>89</v>
      </c>
      <c r="H17" s="80" t="s">
        <v>89</v>
      </c>
      <c r="I17" s="80" t="s">
        <v>89</v>
      </c>
    </row>
    <row r="18" spans="1:9" x14ac:dyDescent="0.25">
      <c r="A18" s="75" t="s">
        <v>95</v>
      </c>
      <c r="B18" s="119">
        <f>+'FlightConfig '!K2</f>
        <v>0</v>
      </c>
      <c r="C18" s="80"/>
      <c r="D18" s="80"/>
      <c r="E18" s="80"/>
      <c r="F18" s="80" t="s">
        <v>89</v>
      </c>
      <c r="G18" s="80" t="s">
        <v>89</v>
      </c>
      <c r="H18" s="80" t="s">
        <v>89</v>
      </c>
      <c r="I18" s="80" t="s">
        <v>89</v>
      </c>
    </row>
    <row r="19" spans="1:9" x14ac:dyDescent="0.25">
      <c r="A19" s="75" t="s">
        <v>96</v>
      </c>
      <c r="B19" s="119">
        <f>+'FlightConfig '!K3</f>
        <v>0</v>
      </c>
      <c r="C19" s="80"/>
      <c r="D19" s="80"/>
      <c r="E19" s="80"/>
      <c r="F19" s="80" t="s">
        <v>89</v>
      </c>
      <c r="G19" s="80" t="s">
        <v>89</v>
      </c>
      <c r="H19" s="80" t="s">
        <v>89</v>
      </c>
      <c r="I19" s="80" t="s">
        <v>89</v>
      </c>
    </row>
    <row r="20" spans="1:9" x14ac:dyDescent="0.25">
      <c r="A20" s="75" t="s">
        <v>97</v>
      </c>
      <c r="B20" s="85"/>
      <c r="C20" s="85"/>
      <c r="D20" s="85"/>
      <c r="E20" s="80"/>
      <c r="F20" s="80"/>
      <c r="G20" s="80"/>
      <c r="H20" s="80"/>
      <c r="I20" s="80"/>
    </row>
    <row r="21" spans="1:9" x14ac:dyDescent="0.25">
      <c r="A21" s="75" t="s">
        <v>98</v>
      </c>
      <c r="B21" s="76" t="s">
        <v>99</v>
      </c>
      <c r="C21" s="77"/>
      <c r="D21" s="77"/>
      <c r="E21" s="77"/>
      <c r="F21" s="77"/>
      <c r="G21" s="77"/>
      <c r="H21" s="77"/>
      <c r="I21" s="78"/>
    </row>
    <row r="22" spans="1:9" x14ac:dyDescent="0.25">
      <c r="A22" s="75" t="s">
        <v>100</v>
      </c>
      <c r="B22" s="76" t="s">
        <v>101</v>
      </c>
      <c r="C22" s="77"/>
      <c r="D22" s="77"/>
      <c r="E22" s="77"/>
      <c r="F22" s="77"/>
      <c r="G22" s="77"/>
      <c r="H22" s="77"/>
      <c r="I22" s="78"/>
    </row>
    <row r="23" spans="1:9" x14ac:dyDescent="0.25">
      <c r="A23" s="75" t="s">
        <v>102</v>
      </c>
      <c r="B23" s="76" t="s">
        <v>103</v>
      </c>
      <c r="C23" s="77"/>
      <c r="D23" s="77"/>
      <c r="E23" s="86" t="s">
        <v>104</v>
      </c>
      <c r="F23" s="87"/>
      <c r="G23" s="87"/>
      <c r="H23" s="88"/>
      <c r="I23" s="89"/>
    </row>
    <row r="24" spans="1:9" x14ac:dyDescent="0.25">
      <c r="A24" s="75" t="s">
        <v>105</v>
      </c>
      <c r="B24" s="76"/>
      <c r="C24" s="77"/>
      <c r="D24" s="77"/>
      <c r="E24" s="86" t="s">
        <v>106</v>
      </c>
      <c r="F24" s="87"/>
      <c r="G24" s="87"/>
      <c r="H24" s="88"/>
      <c r="I24" s="89"/>
    </row>
    <row r="25" spans="1:9" x14ac:dyDescent="0.25">
      <c r="A25" s="75" t="s">
        <v>107</v>
      </c>
      <c r="B25" s="76" t="s">
        <v>108</v>
      </c>
      <c r="C25" s="77"/>
      <c r="D25" s="77"/>
      <c r="E25" s="86" t="s">
        <v>109</v>
      </c>
      <c r="F25" s="87"/>
      <c r="G25" s="87"/>
      <c r="H25" s="88"/>
      <c r="I25" s="89"/>
    </row>
    <row r="26" spans="1:9" x14ac:dyDescent="0.25">
      <c r="A26" s="75" t="s">
        <v>110</v>
      </c>
      <c r="B26" s="76"/>
      <c r="C26" s="77"/>
      <c r="D26" s="77"/>
      <c r="E26" s="86"/>
      <c r="F26" s="87"/>
      <c r="G26" s="87"/>
      <c r="H26" s="88"/>
      <c r="I26" s="89"/>
    </row>
    <row r="27" spans="1:9" x14ac:dyDescent="0.25">
      <c r="A27" s="75" t="s">
        <v>111</v>
      </c>
      <c r="B27" s="76"/>
      <c r="C27" s="77"/>
      <c r="D27" s="77"/>
      <c r="E27" s="86" t="s">
        <v>112</v>
      </c>
      <c r="F27" s="87"/>
      <c r="G27" s="87"/>
      <c r="H27" s="88"/>
      <c r="I27" s="90"/>
    </row>
    <row r="28" spans="1:9" x14ac:dyDescent="0.25">
      <c r="A28" s="75" t="s">
        <v>113</v>
      </c>
      <c r="B28" s="76"/>
      <c r="C28" s="77"/>
      <c r="D28" s="77"/>
      <c r="E28" s="86" t="s">
        <v>114</v>
      </c>
      <c r="F28" s="87"/>
      <c r="G28" s="87"/>
      <c r="H28" s="91"/>
      <c r="I28" s="90"/>
    </row>
    <row r="29" spans="1:9" x14ac:dyDescent="0.25">
      <c r="A29" s="75" t="s">
        <v>115</v>
      </c>
      <c r="B29" s="76"/>
      <c r="C29" s="77"/>
      <c r="D29" s="77"/>
      <c r="E29" s="86" t="s">
        <v>116</v>
      </c>
      <c r="F29" s="87"/>
      <c r="G29" s="87"/>
      <c r="H29" s="91"/>
      <c r="I29" s="90"/>
    </row>
    <row r="30" spans="1:9" x14ac:dyDescent="0.25">
      <c r="A30" s="75" t="s">
        <v>117</v>
      </c>
      <c r="B30" s="76"/>
      <c r="C30" s="77"/>
      <c r="D30" s="77"/>
      <c r="E30" s="86" t="s">
        <v>118</v>
      </c>
      <c r="F30" s="87"/>
      <c r="G30" s="87"/>
      <c r="H30" s="91"/>
      <c r="I30" s="90"/>
    </row>
    <row r="31" spans="1:9" x14ac:dyDescent="0.25">
      <c r="A31" s="75"/>
      <c r="B31" s="77"/>
      <c r="C31" s="77"/>
      <c r="D31" s="77"/>
      <c r="E31" s="86" t="s">
        <v>119</v>
      </c>
      <c r="F31" s="87"/>
      <c r="G31" s="87"/>
      <c r="H31" s="88"/>
      <c r="I31" s="90"/>
    </row>
    <row r="32" spans="1:9" x14ac:dyDescent="0.25">
      <c r="A32" s="75"/>
      <c r="B32" s="77"/>
      <c r="C32" s="77"/>
      <c r="D32" s="77"/>
      <c r="E32" s="86" t="s">
        <v>120</v>
      </c>
      <c r="F32" s="87"/>
      <c r="G32" s="87"/>
      <c r="H32" s="88"/>
      <c r="I32" s="90"/>
    </row>
    <row r="33" spans="1:9" x14ac:dyDescent="0.25">
      <c r="A33" s="92" t="s">
        <v>121</v>
      </c>
      <c r="B33" s="93" t="s">
        <v>122</v>
      </c>
      <c r="C33" s="93" t="s">
        <v>123</v>
      </c>
      <c r="D33" s="93" t="s">
        <v>124</v>
      </c>
      <c r="E33" s="86" t="s">
        <v>125</v>
      </c>
      <c r="F33" s="87"/>
      <c r="G33" s="87"/>
      <c r="H33" s="88"/>
      <c r="I33" s="90"/>
    </row>
    <row r="34" spans="1:9" x14ac:dyDescent="0.25">
      <c r="A34" s="75" t="s">
        <v>126</v>
      </c>
      <c r="B34" s="95"/>
      <c r="C34" s="77">
        <v>0</v>
      </c>
      <c r="D34" s="96" t="e">
        <f t="shared" ref="D34:D40" si="0">+B34/C34</f>
        <v>#DIV/0!</v>
      </c>
      <c r="E34" s="94"/>
      <c r="F34" s="94"/>
      <c r="G34" s="94"/>
      <c r="H34" s="94"/>
      <c r="I34" s="94"/>
    </row>
    <row r="35" spans="1:9" x14ac:dyDescent="0.25">
      <c r="A35" s="75" t="s">
        <v>127</v>
      </c>
      <c r="B35" s="95"/>
      <c r="C35" s="97" t="s">
        <v>128</v>
      </c>
      <c r="D35" s="98" t="s">
        <v>128</v>
      </c>
      <c r="E35" s="94"/>
      <c r="F35" s="94"/>
      <c r="G35" s="94"/>
      <c r="H35" s="94"/>
      <c r="I35" s="94"/>
    </row>
    <row r="36" spans="1:9" x14ac:dyDescent="0.25">
      <c r="A36" s="75" t="s">
        <v>129</v>
      </c>
      <c r="B36" s="95"/>
      <c r="C36" s="77">
        <v>0</v>
      </c>
      <c r="D36" s="96" t="e">
        <f t="shared" si="0"/>
        <v>#DIV/0!</v>
      </c>
      <c r="E36" s="94"/>
      <c r="F36" s="94"/>
      <c r="G36" s="94"/>
      <c r="H36" s="94"/>
      <c r="I36" s="94"/>
    </row>
    <row r="37" spans="1:9" x14ac:dyDescent="0.25">
      <c r="A37" s="75" t="s">
        <v>130</v>
      </c>
      <c r="B37" s="95"/>
      <c r="C37" s="77">
        <v>0</v>
      </c>
      <c r="D37" s="96" t="e">
        <f t="shared" si="0"/>
        <v>#DIV/0!</v>
      </c>
      <c r="E37" s="94"/>
      <c r="F37" s="94"/>
      <c r="G37" s="94"/>
      <c r="H37" s="94"/>
      <c r="I37" s="94"/>
    </row>
    <row r="38" spans="1:9" x14ac:dyDescent="0.25">
      <c r="A38" s="75" t="s">
        <v>131</v>
      </c>
      <c r="B38" s="95"/>
      <c r="C38" s="77">
        <v>0</v>
      </c>
      <c r="D38" s="96" t="e">
        <f t="shared" si="0"/>
        <v>#DIV/0!</v>
      </c>
      <c r="E38" s="94"/>
      <c r="F38" s="94"/>
      <c r="G38" s="94"/>
      <c r="H38" s="94"/>
      <c r="I38" s="94"/>
    </row>
    <row r="39" spans="1:9" x14ac:dyDescent="0.25">
      <c r="A39" s="75" t="s">
        <v>132</v>
      </c>
      <c r="B39" s="95"/>
      <c r="C39" s="77">
        <v>0</v>
      </c>
      <c r="D39" s="96" t="e">
        <f t="shared" si="0"/>
        <v>#DIV/0!</v>
      </c>
      <c r="E39" s="94"/>
      <c r="F39" s="94"/>
      <c r="G39" s="94"/>
      <c r="H39" s="94"/>
      <c r="I39" s="94"/>
    </row>
    <row r="40" spans="1:9" x14ac:dyDescent="0.25">
      <c r="A40" s="99" t="s">
        <v>133</v>
      </c>
      <c r="B40" s="95"/>
      <c r="C40" s="100">
        <v>0</v>
      </c>
      <c r="D40" s="101" t="e">
        <f t="shared" si="0"/>
        <v>#DIV/0!</v>
      </c>
      <c r="E40" s="94"/>
      <c r="F40" s="94"/>
      <c r="G40" s="94"/>
      <c r="H40" s="94"/>
      <c r="I40" s="94"/>
    </row>
    <row r="41" spans="1:9" x14ac:dyDescent="0.25">
      <c r="A41" s="75"/>
      <c r="B41" s="102"/>
      <c r="C41" s="77"/>
      <c r="D41" s="103"/>
      <c r="E41" s="94"/>
      <c r="F41" s="94"/>
      <c r="G41" s="94"/>
      <c r="H41" s="94"/>
      <c r="I41" s="94"/>
    </row>
    <row r="42" spans="1:9" x14ac:dyDescent="0.25">
      <c r="A42" s="92" t="s">
        <v>134</v>
      </c>
      <c r="B42" s="93"/>
      <c r="C42" s="93"/>
      <c r="D42" s="93"/>
      <c r="E42" s="93"/>
      <c r="F42" s="104"/>
      <c r="G42" s="104"/>
      <c r="H42" s="104"/>
      <c r="I42" s="105"/>
    </row>
    <row r="43" spans="1:9" x14ac:dyDescent="0.25">
      <c r="A43" s="106" t="s">
        <v>135</v>
      </c>
      <c r="B43" s="107"/>
      <c r="C43" s="107"/>
      <c r="D43" s="107"/>
      <c r="E43" s="107"/>
      <c r="F43" s="107"/>
      <c r="G43" s="107"/>
      <c r="H43" s="107"/>
      <c r="I43" s="108"/>
    </row>
    <row r="44" spans="1:9" x14ac:dyDescent="0.25">
      <c r="A44" s="106"/>
      <c r="B44" s="107"/>
      <c r="C44" s="107"/>
      <c r="D44" s="107"/>
      <c r="E44" s="107"/>
      <c r="F44" s="107"/>
      <c r="G44" s="107"/>
      <c r="H44" s="107"/>
      <c r="I44" s="108"/>
    </row>
    <row r="45" spans="1:9" x14ac:dyDescent="0.25">
      <c r="A45" s="109"/>
      <c r="B45" s="110"/>
      <c r="C45" s="110"/>
      <c r="D45" s="110"/>
      <c r="E45" s="110"/>
      <c r="F45" s="110"/>
      <c r="G45" s="110"/>
      <c r="H45" s="110"/>
      <c r="I45" s="111"/>
    </row>
    <row r="46" spans="1:9" x14ac:dyDescent="0.25">
      <c r="A46" s="112"/>
      <c r="B46" s="94"/>
      <c r="C46" s="94"/>
      <c r="D46" s="94"/>
      <c r="E46" s="94"/>
      <c r="F46" s="94"/>
      <c r="G46" s="94"/>
      <c r="H46" s="94"/>
      <c r="I46" s="94"/>
    </row>
    <row r="47" spans="1:9" x14ac:dyDescent="0.25">
      <c r="A47" s="75" t="s">
        <v>136</v>
      </c>
      <c r="B47" s="77"/>
      <c r="C47" s="77"/>
      <c r="D47" s="77"/>
      <c r="E47" s="113"/>
      <c r="F47" s="94"/>
      <c r="G47" s="94"/>
      <c r="H47" s="94"/>
      <c r="I47" s="114"/>
    </row>
    <row r="48" spans="1:9" x14ac:dyDescent="0.25">
      <c r="A48" s="115" t="s">
        <v>137</v>
      </c>
      <c r="B48" s="116"/>
      <c r="C48" s="116"/>
      <c r="D48" s="116"/>
      <c r="E48" s="116"/>
      <c r="F48" s="116"/>
      <c r="G48" s="116"/>
      <c r="H48" s="116"/>
      <c r="I48" s="117"/>
    </row>
    <row r="49" spans="1:9" x14ac:dyDescent="0.25">
      <c r="A49" s="106" t="s">
        <v>138</v>
      </c>
      <c r="B49" s="107"/>
      <c r="C49" s="107"/>
      <c r="D49" s="107"/>
      <c r="E49" s="107"/>
      <c r="F49" s="107"/>
      <c r="G49" s="107"/>
      <c r="H49" s="107"/>
      <c r="I49" s="108"/>
    </row>
    <row r="50" spans="1:9" x14ac:dyDescent="0.25">
      <c r="A50" s="118" t="s">
        <v>139</v>
      </c>
      <c r="B50" s="107"/>
      <c r="C50" s="107"/>
      <c r="D50" s="107"/>
      <c r="E50" s="107"/>
      <c r="F50" s="107"/>
      <c r="G50" s="107"/>
      <c r="H50" s="107"/>
      <c r="I50" s="108"/>
    </row>
    <row r="51" spans="1:9" x14ac:dyDescent="0.25">
      <c r="A51" s="118" t="s">
        <v>140</v>
      </c>
      <c r="B51" s="107"/>
      <c r="C51" s="107"/>
      <c r="D51" s="107"/>
      <c r="E51" s="107"/>
      <c r="F51" s="107"/>
      <c r="G51" s="107"/>
      <c r="H51" s="107"/>
      <c r="I51" s="108"/>
    </row>
    <row r="52" spans="1:9" x14ac:dyDescent="0.25">
      <c r="A52" s="118" t="s">
        <v>141</v>
      </c>
      <c r="B52" s="107"/>
      <c r="C52" s="107"/>
      <c r="D52" s="107"/>
      <c r="E52" s="107"/>
      <c r="F52" s="107"/>
      <c r="G52" s="107"/>
      <c r="H52" s="107"/>
      <c r="I52" s="108"/>
    </row>
    <row r="53" spans="1:9" x14ac:dyDescent="0.25">
      <c r="A53" s="106"/>
      <c r="B53" s="107"/>
      <c r="C53" s="107"/>
      <c r="D53" s="107"/>
      <c r="E53" s="107"/>
      <c r="F53" s="107"/>
      <c r="G53" s="107"/>
      <c r="H53" s="107"/>
      <c r="I53" s="108"/>
    </row>
    <row r="54" spans="1:9" x14ac:dyDescent="0.25">
      <c r="A54" s="106"/>
      <c r="B54" s="107"/>
      <c r="C54" s="107"/>
      <c r="D54" s="107"/>
      <c r="E54" s="107"/>
      <c r="F54" s="107"/>
      <c r="G54" s="107"/>
      <c r="H54" s="107"/>
      <c r="I54" s="108"/>
    </row>
    <row r="55" spans="1:9" x14ac:dyDescent="0.25">
      <c r="A55" s="106"/>
      <c r="B55" s="107"/>
      <c r="C55" s="107"/>
      <c r="D55" s="107"/>
      <c r="E55" s="107"/>
      <c r="F55" s="107"/>
      <c r="G55" s="107"/>
      <c r="H55" s="107"/>
      <c r="I55" s="108"/>
    </row>
    <row r="56" spans="1:9" x14ac:dyDescent="0.25">
      <c r="A56" s="109"/>
      <c r="B56" s="110"/>
      <c r="C56" s="110"/>
      <c r="D56" s="110"/>
      <c r="E56" s="110"/>
      <c r="F56" s="110"/>
      <c r="G56" s="110"/>
      <c r="H56" s="110"/>
      <c r="I56" s="11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F16B9-127B-4843-8279-0F1C23A5614A}">
  <sheetPr>
    <tabColor theme="7" tint="0.59999389629810485"/>
  </sheetPr>
  <dimension ref="A1:M109"/>
  <sheetViews>
    <sheetView zoomScale="115" zoomScaleNormal="115" workbookViewId="0">
      <selection activeCell="L37" sqref="L37"/>
    </sheetView>
  </sheetViews>
  <sheetFormatPr defaultColWidth="10.7109375" defaultRowHeight="15" x14ac:dyDescent="0.25"/>
  <cols>
    <col min="1" max="1" width="24.28515625" style="134" bestFit="1" customWidth="1"/>
    <col min="2" max="2" width="12.42578125" style="134" customWidth="1"/>
    <col min="3" max="3" width="15" style="134" bestFit="1" customWidth="1"/>
    <col min="4" max="4" width="12.5703125" style="134" bestFit="1" customWidth="1"/>
    <col min="5" max="5" width="15.5703125" style="134" bestFit="1" customWidth="1"/>
    <col min="6" max="6" width="10.7109375" style="134"/>
    <col min="7" max="7" width="15.7109375" style="134" customWidth="1"/>
    <col min="8" max="8" width="12.5703125" style="134" bestFit="1" customWidth="1"/>
    <col min="9" max="9" width="10.28515625" style="134" bestFit="1" customWidth="1"/>
    <col min="10" max="10" width="15.28515625" style="134" bestFit="1" customWidth="1"/>
    <col min="11" max="11" width="10.7109375" style="134"/>
    <col min="12" max="12" width="16.28515625" style="134" bestFit="1" customWidth="1"/>
    <col min="13" max="16384" width="10.7109375" style="134"/>
  </cols>
  <sheetData>
    <row r="1" spans="1:13" ht="15.75" thickBot="1" x14ac:dyDescent="0.3"/>
    <row r="2" spans="1:13" ht="15.75" thickBot="1" x14ac:dyDescent="0.3">
      <c r="A2" s="465" t="s">
        <v>142</v>
      </c>
      <c r="B2" s="28"/>
      <c r="C2" s="144"/>
      <c r="G2" s="139" t="s">
        <v>143</v>
      </c>
      <c r="H2" s="244">
        <f>'P&amp;L'!R2</f>
        <v>13</v>
      </c>
      <c r="L2" s="241" t="s">
        <v>144</v>
      </c>
      <c r="M2" s="241" t="s">
        <v>7</v>
      </c>
    </row>
    <row r="3" spans="1:13" ht="15.75" thickBot="1" x14ac:dyDescent="0.3">
      <c r="A3" s="466"/>
      <c r="B3" s="167"/>
      <c r="C3" s="168"/>
      <c r="E3" s="139" t="s">
        <v>145</v>
      </c>
      <c r="F3" s="141"/>
      <c r="G3" s="139" t="s">
        <v>146</v>
      </c>
      <c r="H3" s="244">
        <f>H4/12</f>
        <v>56.333333333333336</v>
      </c>
      <c r="J3" s="227" t="s">
        <v>147</v>
      </c>
      <c r="L3" s="241">
        <v>737</v>
      </c>
      <c r="M3" s="241">
        <v>1</v>
      </c>
    </row>
    <row r="4" spans="1:13" ht="15.75" thickBot="1" x14ac:dyDescent="0.3">
      <c r="E4" s="139" t="s">
        <v>2</v>
      </c>
      <c r="F4" s="140">
        <f>'P&amp;L'!R4</f>
        <v>0.8</v>
      </c>
      <c r="G4" s="139" t="s">
        <v>148</v>
      </c>
      <c r="H4" s="139">
        <f>H2*52</f>
        <v>676</v>
      </c>
      <c r="J4" s="228">
        <f>H17*H4</f>
        <v>3218034.3851544587</v>
      </c>
      <c r="L4" s="241"/>
      <c r="M4" s="241">
        <v>2</v>
      </c>
    </row>
    <row r="5" spans="1:13" ht="15.75" thickBot="1" x14ac:dyDescent="0.3">
      <c r="A5" s="135" t="s">
        <v>149</v>
      </c>
      <c r="L5" s="241"/>
      <c r="M5" s="241"/>
    </row>
    <row r="6" spans="1:13" ht="15.75" thickBot="1" x14ac:dyDescent="0.3">
      <c r="A6" s="155" t="s">
        <v>150</v>
      </c>
      <c r="B6" s="155" t="s">
        <v>43</v>
      </c>
      <c r="C6" s="155" t="s">
        <v>44</v>
      </c>
      <c r="D6" s="155" t="s">
        <v>45</v>
      </c>
      <c r="E6" s="155" t="s">
        <v>46</v>
      </c>
      <c r="F6" s="155" t="s">
        <v>47</v>
      </c>
      <c r="G6" s="155" t="s">
        <v>48</v>
      </c>
      <c r="H6" s="155" t="s">
        <v>151</v>
      </c>
      <c r="I6" s="154" t="s">
        <v>152</v>
      </c>
      <c r="L6" s="240"/>
      <c r="M6" s="240"/>
    </row>
    <row r="7" spans="1:13" ht="15.75" thickBot="1" x14ac:dyDescent="0.3">
      <c r="A7" s="133" t="s">
        <v>153</v>
      </c>
      <c r="B7" s="133">
        <f>+'FlightConfig '!B17</f>
        <v>0</v>
      </c>
      <c r="C7" s="133">
        <f>('Summary FLT104'!C7+'Summary FLT110'!C7)/2</f>
        <v>32</v>
      </c>
      <c r="D7" s="133">
        <f>('Summary FLT104'!D7+'Summary FLT110'!D7)/2</f>
        <v>46</v>
      </c>
      <c r="E7" s="133">
        <f>('Summary FLT104'!E7+'Summary FLT110'!E7)/2</f>
        <v>191</v>
      </c>
      <c r="F7" s="133">
        <f>('Summary FLT104'!F7+'Summary FLT110'!F7)/2</f>
        <v>0</v>
      </c>
      <c r="G7" s="133">
        <f>('Summary FLT104'!G7+'Summary FLT110'!G7)/2</f>
        <v>6</v>
      </c>
      <c r="H7" s="133">
        <f>('Summary FLT104'!H7+'Summary FLT110'!H7)/2</f>
        <v>275</v>
      </c>
      <c r="L7" s="240"/>
      <c r="M7" s="240"/>
    </row>
    <row r="8" spans="1:13" ht="15.75" thickBot="1" x14ac:dyDescent="0.3">
      <c r="A8" s="133" t="s">
        <v>154</v>
      </c>
      <c r="B8" s="133">
        <f t="shared" ref="B8:G8" si="0">ROUNDUP(B7*$F$4,0)</f>
        <v>0</v>
      </c>
      <c r="C8" s="133">
        <f t="shared" si="0"/>
        <v>26</v>
      </c>
      <c r="D8" s="133">
        <f t="shared" si="0"/>
        <v>37</v>
      </c>
      <c r="E8" s="133">
        <f t="shared" si="0"/>
        <v>153</v>
      </c>
      <c r="F8" s="133">
        <f t="shared" si="0"/>
        <v>0</v>
      </c>
      <c r="G8" s="133">
        <f t="shared" si="0"/>
        <v>5</v>
      </c>
      <c r="H8" s="133">
        <f>SUM(B8:G8)</f>
        <v>221</v>
      </c>
      <c r="L8" s="240"/>
      <c r="M8" s="240"/>
    </row>
    <row r="9" spans="1:13" ht="15.75" thickBot="1" x14ac:dyDescent="0.3">
      <c r="A9" s="275"/>
      <c r="B9" s="276" t="s">
        <v>155</v>
      </c>
      <c r="C9" s="276" t="s">
        <v>156</v>
      </c>
      <c r="D9" s="276" t="s">
        <v>157</v>
      </c>
      <c r="E9" s="276" t="s">
        <v>158</v>
      </c>
      <c r="F9" s="276" t="s">
        <v>159</v>
      </c>
      <c r="G9" s="276" t="s">
        <v>160</v>
      </c>
      <c r="H9" s="155" t="s">
        <v>161</v>
      </c>
      <c r="J9" s="155" t="s">
        <v>162</v>
      </c>
    </row>
    <row r="10" spans="1:13" ht="15.75" thickBot="1" x14ac:dyDescent="0.3">
      <c r="A10" s="133" t="s">
        <v>163</v>
      </c>
      <c r="B10" s="137">
        <f>('Summary FLT104'!B10+'Summary FLT110'!B10)/2</f>
        <v>0</v>
      </c>
      <c r="C10" s="137">
        <f>('Summary FLT104'!C10+'Summary FLT110'!C10)/2</f>
        <v>0</v>
      </c>
      <c r="D10" s="137">
        <f>('Summary FLT104'!D10+'Summary FLT110'!D10)/2</f>
        <v>0</v>
      </c>
      <c r="E10" s="137">
        <f>('Summary FLT104'!E10+'Summary FLT110'!E10)/2</f>
        <v>0</v>
      </c>
      <c r="F10" s="137">
        <f>('Summary FLT104'!F10+'Summary FLT110'!F10)/2</f>
        <v>0</v>
      </c>
      <c r="G10" s="137">
        <f>('Summary FLT104'!G10+'Summary FLT110'!G10)/2</f>
        <v>0</v>
      </c>
      <c r="H10" s="137">
        <f>('Summary FLT104'!H10+'Summary FLT110'!H10)/2</f>
        <v>0</v>
      </c>
      <c r="J10" s="136">
        <f>H10*$H$4</f>
        <v>0</v>
      </c>
    </row>
    <row r="11" spans="1:13" ht="15.75" thickBot="1" x14ac:dyDescent="0.3">
      <c r="A11" s="133" t="s">
        <v>164</v>
      </c>
      <c r="B11" s="137">
        <f>('Summary FLT104'!B11+'Summary FLT110'!B11)/2</f>
        <v>0</v>
      </c>
      <c r="C11" s="137">
        <f>('Summary FLT104'!C11+'Summary FLT110'!C11)/2</f>
        <v>456.44114405762298</v>
      </c>
      <c r="D11" s="137">
        <f>('Summary FLT104'!D11+'Summary FLT110'!D11)/2</f>
        <v>318.22703333333328</v>
      </c>
      <c r="E11" s="137">
        <f>('Summary FLT104'!E11+'Summary FLT110'!E11)/2</f>
        <v>870.2043232323233</v>
      </c>
      <c r="F11" s="137">
        <f>('Summary FLT104'!F11+'Summary FLT110'!F11)/2</f>
        <v>0</v>
      </c>
      <c r="G11" s="137">
        <f>('Summary FLT104'!G11+'Summary FLT110'!G11)/2</f>
        <v>62.05749999999999</v>
      </c>
      <c r="H11" s="137">
        <f>('Summary FLT104'!H11+'Summary FLT110'!H11)/2</f>
        <v>1706.9300006232795</v>
      </c>
      <c r="I11" s="175">
        <f>I12*45%</f>
        <v>1160.2738706949142</v>
      </c>
      <c r="J11" s="136">
        <f>H11*$H$4</f>
        <v>1153884.680421337</v>
      </c>
    </row>
    <row r="12" spans="1:13" ht="15.75" thickBot="1" x14ac:dyDescent="0.3">
      <c r="A12" s="133" t="s">
        <v>165</v>
      </c>
      <c r="B12" s="137">
        <f>('Summary FLT104'!B12+'Summary FLT110'!B12)/2</f>
        <v>0</v>
      </c>
      <c r="C12" s="137">
        <f>('Summary FLT104'!C12+'Summary FLT110'!C12)/2</f>
        <v>189.80195294117647</v>
      </c>
      <c r="D12" s="137">
        <f>('Summary FLT104'!D12+'Summary FLT110'!D12)/2</f>
        <v>218.85124999999999</v>
      </c>
      <c r="E12" s="137">
        <f>('Summary FLT104'!E12+'Summary FLT110'!E12)/2</f>
        <v>441.41757575757572</v>
      </c>
      <c r="F12" s="137">
        <f>('Summary FLT104'!F12+'Summary FLT110'!F12)/2</f>
        <v>0</v>
      </c>
      <c r="G12" s="137">
        <f>('Summary FLT104'!G12+'Summary FLT110'!G12)/2</f>
        <v>21.385599999999997</v>
      </c>
      <c r="H12" s="137">
        <f>('Summary FLT104'!H12+'Summary FLT110'!H12)/2</f>
        <v>871.45637869875213</v>
      </c>
      <c r="I12" s="246">
        <f>H11+H12</f>
        <v>2578.3863793220316</v>
      </c>
      <c r="J12" s="136">
        <f t="shared" ref="J12:J17" si="1">H12*$H$4</f>
        <v>589104.51200035645</v>
      </c>
    </row>
    <row r="13" spans="1:13" ht="15.75" thickBot="1" x14ac:dyDescent="0.3">
      <c r="A13" s="133" t="s">
        <v>166</v>
      </c>
      <c r="B13" s="137">
        <f>('Summary FLT104'!B13+'Summary FLT110'!B13)/2</f>
        <v>0</v>
      </c>
      <c r="C13" s="137">
        <f>('Summary FLT104'!C13+'Summary FLT110'!C13)/2</f>
        <v>100.41705169267708</v>
      </c>
      <c r="D13" s="137">
        <f>('Summary FLT104'!D13+'Summary FLT110'!D13)/2</f>
        <v>70.009947333333344</v>
      </c>
      <c r="E13" s="137">
        <f>('Summary FLT104'!E13+'Summary FLT110'!E13)/2</f>
        <v>191.44495111111115</v>
      </c>
      <c r="F13" s="137">
        <f>('Summary FLT104'!F13+'Summary FLT110'!F13)/2</f>
        <v>0</v>
      </c>
      <c r="G13" s="137">
        <f>('Summary FLT104'!G13+'Summary FLT110'!G13)/2</f>
        <v>13.65265</v>
      </c>
      <c r="H13" s="137">
        <f>('Summary FLT104'!H13+'Summary FLT110'!H13)/2</f>
        <v>375.52460013712152</v>
      </c>
      <c r="J13" s="136">
        <f t="shared" si="1"/>
        <v>253854.62969269414</v>
      </c>
    </row>
    <row r="14" spans="1:13" ht="15.75" thickBot="1" x14ac:dyDescent="0.3">
      <c r="A14" s="133" t="s">
        <v>167</v>
      </c>
      <c r="B14" s="137">
        <f>('Summary FLT104'!B14+'Summary FLT110'!B14)/2</f>
        <v>0</v>
      </c>
      <c r="C14" s="137">
        <f>('Summary FLT104'!C14+'Summary FLT110'!C14)/2</f>
        <v>37.960390588235292</v>
      </c>
      <c r="D14" s="137">
        <f>('Summary FLT104'!D14+'Summary FLT110'!D14)/2</f>
        <v>43.77024999999999</v>
      </c>
      <c r="E14" s="137">
        <f>('Summary FLT104'!E14+'Summary FLT110'!E14)/2</f>
        <v>88.283515151515132</v>
      </c>
      <c r="F14" s="137">
        <f>('Summary FLT104'!F14+'Summary FLT110'!F14)/2</f>
        <v>0</v>
      </c>
      <c r="G14" s="137">
        <f>('Summary FLT104'!G14+'Summary FLT110'!G14)/2</f>
        <v>4.2771199999999983</v>
      </c>
      <c r="H14" s="137">
        <f>('Summary FLT104'!H14+'Summary FLT110'!H14)/2</f>
        <v>174.29127573975043</v>
      </c>
      <c r="J14" s="136">
        <f t="shared" si="1"/>
        <v>117820.9024000713</v>
      </c>
      <c r="L14" s="155" t="s">
        <v>168</v>
      </c>
      <c r="M14" s="155"/>
    </row>
    <row r="15" spans="1:13" ht="15.75" thickBot="1" x14ac:dyDescent="0.3">
      <c r="A15" s="133" t="s">
        <v>169</v>
      </c>
      <c r="B15" s="137">
        <f>('Summary FLT104'!B15+'Summary FLT110'!B15)/2</f>
        <v>0</v>
      </c>
      <c r="C15" s="137">
        <f>('Summary FLT104'!C15+'Summary FLT110'!C15)/2</f>
        <v>0</v>
      </c>
      <c r="D15" s="137">
        <f>('Summary FLT104'!D15+'Summary FLT110'!D15)/2</f>
        <v>0</v>
      </c>
      <c r="E15" s="137">
        <f>('Summary FLT104'!E15+'Summary FLT110'!E15)/2</f>
        <v>1444.4280000000001</v>
      </c>
      <c r="F15" s="137">
        <f>('Summary FLT104'!F15+'Summary FLT110'!F15)/2</f>
        <v>0</v>
      </c>
      <c r="G15" s="137">
        <f>('Summary FLT104'!G15+'Summary FLT110'!G15)/2</f>
        <v>0</v>
      </c>
      <c r="H15" s="137">
        <f>('Summary FLT104'!H15+'Summary FLT110'!H15)/2</f>
        <v>1444.4280000000001</v>
      </c>
      <c r="I15" s="175"/>
      <c r="J15" s="136">
        <f t="shared" si="1"/>
        <v>976433.3280000001</v>
      </c>
      <c r="L15" s="234">
        <f>J12+J15</f>
        <v>1565537.8400003565</v>
      </c>
      <c r="M15" s="236">
        <v>1</v>
      </c>
    </row>
    <row r="16" spans="1:13" ht="15.75" thickBot="1" x14ac:dyDescent="0.3">
      <c r="A16" s="133" t="s">
        <v>170</v>
      </c>
      <c r="B16" s="137">
        <f>('Summary FLT104'!B16+'Summary FLT110'!B16)/2</f>
        <v>0</v>
      </c>
      <c r="C16" s="137">
        <f>('Summary FLT104'!C16+'Summary FLT110'!C16)/2</f>
        <v>0</v>
      </c>
      <c r="D16" s="137">
        <f>('Summary FLT104'!D16+'Summary FLT110'!D16)/2</f>
        <v>0</v>
      </c>
      <c r="E16" s="137">
        <f>('Summary FLT104'!E16+'Summary FLT110'!E16)/2</f>
        <v>187.77564000000001</v>
      </c>
      <c r="F16" s="137">
        <f>('Summary FLT104'!F16+'Summary FLT110'!F16)/2</f>
        <v>0</v>
      </c>
      <c r="G16" s="137">
        <f>('Summary FLT104'!G16+'Summary FLT110'!G16)/2</f>
        <v>0</v>
      </c>
      <c r="H16" s="137">
        <f>('Summary FLT104'!H16+'Summary FLT110'!H16)/2</f>
        <v>187.77564000000001</v>
      </c>
      <c r="I16" s="153"/>
      <c r="J16" s="136">
        <f t="shared" si="1"/>
        <v>126936.33264000001</v>
      </c>
      <c r="L16" s="234">
        <f>L15*M16</f>
        <v>1299396.4072002959</v>
      </c>
      <c r="M16" s="236">
        <v>0.83</v>
      </c>
    </row>
    <row r="17" spans="1:13" ht="15.75" thickBot="1" x14ac:dyDescent="0.3">
      <c r="A17" s="156" t="s">
        <v>171</v>
      </c>
      <c r="B17" s="157">
        <f>SUM(B11:B16)</f>
        <v>0</v>
      </c>
      <c r="C17" s="157">
        <f>SUM(C11:C16)</f>
        <v>784.62053927971192</v>
      </c>
      <c r="D17" s="157">
        <f>SUM(D10:D16)</f>
        <v>650.85848066666665</v>
      </c>
      <c r="E17" s="157">
        <f>SUM(E10:E16)</f>
        <v>3223.5540052525248</v>
      </c>
      <c r="F17" s="157">
        <f>SUM(F10:F16)</f>
        <v>0</v>
      </c>
      <c r="G17" s="157">
        <f>SUM(G10:G16)</f>
        <v>101.37286999999998</v>
      </c>
      <c r="H17" s="157">
        <f>SUM(H10:H16)</f>
        <v>4760.4058951989036</v>
      </c>
      <c r="J17" s="226">
        <f t="shared" si="1"/>
        <v>3218034.3851544587</v>
      </c>
      <c r="L17" s="234">
        <f>L15*M17</f>
        <v>266141.4328000606</v>
      </c>
      <c r="M17" s="236">
        <v>0.17</v>
      </c>
    </row>
    <row r="18" spans="1:13" ht="15.75" thickBot="1" x14ac:dyDescent="0.3">
      <c r="A18" s="214"/>
      <c r="B18" s="215">
        <f>B17</f>
        <v>0</v>
      </c>
      <c r="C18" s="215">
        <f>C17</f>
        <v>784.62053927971192</v>
      </c>
      <c r="D18" s="215">
        <f>D17</f>
        <v>650.85848066666665</v>
      </c>
      <c r="E18" s="215">
        <f>E17-E15-E16</f>
        <v>1591.3503652525246</v>
      </c>
      <c r="F18" s="215">
        <f>F17</f>
        <v>0</v>
      </c>
      <c r="G18" s="215">
        <f>G17</f>
        <v>101.37286999999998</v>
      </c>
      <c r="H18" s="215"/>
      <c r="I18" s="215">
        <f>E15+E16</f>
        <v>1632.2036400000002</v>
      </c>
      <c r="J18" s="215"/>
      <c r="L18" s="233"/>
    </row>
    <row r="19" spans="1:13" ht="15.75" thickBot="1" x14ac:dyDescent="0.3">
      <c r="A19" s="155" t="s">
        <v>172</v>
      </c>
      <c r="B19" s="218" t="s">
        <v>173</v>
      </c>
      <c r="C19" s="218" t="s">
        <v>174</v>
      </c>
      <c r="D19" s="218" t="s">
        <v>175</v>
      </c>
      <c r="E19" s="152"/>
      <c r="F19" s="152"/>
      <c r="G19" s="152"/>
      <c r="H19" s="154"/>
      <c r="I19" s="152">
        <f>E16</f>
        <v>187.77564000000001</v>
      </c>
      <c r="J19" s="246">
        <f>H11+H12+H15</f>
        <v>4022.8143793220315</v>
      </c>
    </row>
    <row r="20" spans="1:13" ht="15.75" thickBot="1" x14ac:dyDescent="0.3">
      <c r="A20" s="216" t="s">
        <v>176</v>
      </c>
      <c r="B20" s="137"/>
      <c r="C20" s="137"/>
      <c r="D20" s="217">
        <f>Handling!C84+Handling!S39+Handling!S45+Handling!V53+Handling!AD39</f>
        <v>1575.559</v>
      </c>
      <c r="G20" s="175"/>
      <c r="J20" s="246">
        <f>H13+H14+H16</f>
        <v>737.59151587687188</v>
      </c>
    </row>
    <row r="21" spans="1:13" ht="15.75" hidden="1" thickBot="1" x14ac:dyDescent="0.3">
      <c r="A21" s="156" t="s">
        <v>177</v>
      </c>
      <c r="B21" s="137" t="e">
        <f>Handling!#REF!</f>
        <v>#REF!</v>
      </c>
      <c r="C21" s="137" t="e">
        <f>Handling!#REF!</f>
        <v>#REF!</v>
      </c>
      <c r="D21" s="137" t="e">
        <f>Handling!#REF!</f>
        <v>#REF!</v>
      </c>
      <c r="G21" s="175"/>
    </row>
    <row r="22" spans="1:13" ht="15.75" hidden="1" thickBot="1" x14ac:dyDescent="0.3">
      <c r="A22" s="156" t="s">
        <v>178</v>
      </c>
      <c r="B22" s="137" t="e">
        <f>Handling!#REF!</f>
        <v>#REF!</v>
      </c>
      <c r="C22" s="137" t="e">
        <f>Handling!#REF!</f>
        <v>#REF!</v>
      </c>
      <c r="D22" s="137" t="e">
        <f>Handling!#REF!</f>
        <v>#REF!</v>
      </c>
    </row>
    <row r="23" spans="1:13" ht="15.75" thickBot="1" x14ac:dyDescent="0.3"/>
    <row r="24" spans="1:13" ht="15.75" thickBot="1" x14ac:dyDescent="0.3">
      <c r="A24" s="133" t="s">
        <v>179</v>
      </c>
      <c r="B24" s="137">
        <f>IFERROR(((B11+B12+B13+B14)/B8),0)</f>
        <v>0</v>
      </c>
      <c r="C24" s="137">
        <f>IFERROR(((C11+C12+C13+C14)/C8),0)</f>
        <v>30.17771304921969</v>
      </c>
      <c r="D24" s="137">
        <f>IFERROR(((D10+D11+D12+D13+D14)/D8),0)</f>
        <v>17.590769747747746</v>
      </c>
      <c r="E24" s="137">
        <f>IFERROR(((E10+E11+E12+E13+E14)/E8),0)</f>
        <v>10.400982779428269</v>
      </c>
      <c r="F24" s="137">
        <f>IFERROR(((F10+F11+F12+F13+F14)/F8),0)</f>
        <v>0</v>
      </c>
      <c r="G24" s="137">
        <f>IFERROR(((G10+G11+G12+G13+G14)/G8),0)</f>
        <v>20.274573999999994</v>
      </c>
    </row>
    <row r="25" spans="1:13" ht="15.75" thickBot="1" x14ac:dyDescent="0.3">
      <c r="A25" s="133" t="s">
        <v>180</v>
      </c>
      <c r="B25" s="137">
        <f t="shared" ref="B25:G25" si="2">IFERROR(((B13+B14)/B8),0)</f>
        <v>0</v>
      </c>
      <c r="C25" s="137">
        <f t="shared" si="2"/>
        <v>5.322209318496629</v>
      </c>
      <c r="D25" s="137">
        <f t="shared" si="2"/>
        <v>3.0751404684684687</v>
      </c>
      <c r="E25" s="137">
        <f t="shared" si="2"/>
        <v>1.8282906291674921</v>
      </c>
      <c r="F25" s="137">
        <f t="shared" si="2"/>
        <v>0</v>
      </c>
      <c r="G25" s="137">
        <f t="shared" si="2"/>
        <v>3.5859539999999996</v>
      </c>
      <c r="J25" s="246">
        <f>J11+J12+J15</f>
        <v>2719422.5204216936</v>
      </c>
    </row>
    <row r="26" spans="1:13" ht="15.75" thickBot="1" x14ac:dyDescent="0.3">
      <c r="A26" s="133" t="s">
        <v>181</v>
      </c>
      <c r="B26" s="137">
        <f t="shared" ref="B26:G26" si="3">IFERROR((B10/B8),0)</f>
        <v>0</v>
      </c>
      <c r="C26" s="137">
        <f t="shared" si="3"/>
        <v>0</v>
      </c>
      <c r="D26" s="137">
        <f t="shared" si="3"/>
        <v>0</v>
      </c>
      <c r="E26" s="137">
        <f t="shared" si="3"/>
        <v>0</v>
      </c>
      <c r="F26" s="137">
        <f t="shared" si="3"/>
        <v>0</v>
      </c>
      <c r="G26" s="137">
        <f t="shared" si="3"/>
        <v>0</v>
      </c>
      <c r="J26" s="246">
        <f>J13+J14+J16</f>
        <v>498611.86473276548</v>
      </c>
    </row>
    <row r="27" spans="1:13" s="230" customFormat="1" x14ac:dyDescent="0.25">
      <c r="A27" s="231"/>
      <c r="B27" s="232"/>
      <c r="C27" s="232"/>
      <c r="D27" s="232"/>
      <c r="E27" s="232"/>
      <c r="F27" s="232"/>
      <c r="G27" s="232"/>
    </row>
    <row r="28" spans="1:13" x14ac:dyDescent="0.25">
      <c r="B28" s="156" t="s">
        <v>182</v>
      </c>
      <c r="C28" s="156" t="s">
        <v>183</v>
      </c>
    </row>
    <row r="29" spans="1:13" ht="15.75" thickBot="1" x14ac:dyDescent="0.3">
      <c r="A29" s="156" t="s">
        <v>184</v>
      </c>
      <c r="B29" s="156">
        <f>'P&amp;L'!R5</f>
        <v>1</v>
      </c>
      <c r="C29" s="156"/>
    </row>
    <row r="30" spans="1:13" ht="15.75" thickBot="1" x14ac:dyDescent="0.3">
      <c r="A30" s="133" t="s">
        <v>163</v>
      </c>
      <c r="B30" s="137">
        <f t="shared" ref="B30:G30" si="4">B37*B8</f>
        <v>0</v>
      </c>
      <c r="C30" s="137">
        <f t="shared" si="4"/>
        <v>0</v>
      </c>
      <c r="D30" s="137">
        <f t="shared" si="4"/>
        <v>0</v>
      </c>
      <c r="E30" s="137">
        <f t="shared" si="4"/>
        <v>0</v>
      </c>
      <c r="F30" s="137">
        <f t="shared" si="4"/>
        <v>0</v>
      </c>
      <c r="G30" s="137">
        <f t="shared" si="4"/>
        <v>0</v>
      </c>
    </row>
    <row r="31" spans="1:13" ht="15.75" thickBot="1" x14ac:dyDescent="0.3">
      <c r="A31" s="133" t="s">
        <v>164</v>
      </c>
      <c r="B31" s="137">
        <f>('Summary FLT104'!B31+'Summary FLT110'!B31)/2</f>
        <v>0</v>
      </c>
      <c r="C31" s="137">
        <f>('Summary FLT104'!C31+'Summary FLT110'!C31)/2</f>
        <v>562.13738724489792</v>
      </c>
      <c r="D31" s="137">
        <f>('Summary FLT104'!D31+'Summary FLT110'!D31)/2</f>
        <v>390.24186666666662</v>
      </c>
      <c r="E31" s="137">
        <f>('Summary FLT104'!E31+'Summary FLT110'!E31)/2</f>
        <v>1082.7725333333333</v>
      </c>
      <c r="F31" s="137">
        <f>('Summary FLT104'!F31+'Summary FLT110'!F31)/2</f>
        <v>0</v>
      </c>
      <c r="G31" s="137">
        <f>('Summary FLT104'!G31+'Summary FLT110'!G31)/2</f>
        <v>74.468999999999994</v>
      </c>
    </row>
    <row r="32" spans="1:13" ht="15.75" thickBot="1" x14ac:dyDescent="0.3">
      <c r="A32" s="133" t="s">
        <v>165</v>
      </c>
      <c r="B32" s="137">
        <f>('Summary FLT104'!B32+'Summary FLT110'!B32)/2</f>
        <v>0</v>
      </c>
      <c r="C32" s="137">
        <f>('Summary FLT104'!C32+'Summary FLT110'!C32)/2</f>
        <v>233.66400000000002</v>
      </c>
      <c r="D32" s="137">
        <f>('Summary FLT104'!D32+'Summary FLT110'!D32)/2</f>
        <v>268.39999999999998</v>
      </c>
      <c r="E32" s="137">
        <f>('Summary FLT104'!E32+'Summary FLT110'!E32)/2</f>
        <v>549.24</v>
      </c>
      <c r="F32" s="137">
        <f>('Summary FLT104'!F32+'Summary FLT110'!F32)/2</f>
        <v>0</v>
      </c>
      <c r="G32" s="137">
        <f>('Summary FLT104'!G32+'Summary FLT110'!G32)/2</f>
        <v>25.662719999999993</v>
      </c>
    </row>
    <row r="33" spans="1:7" ht="15.75" thickBot="1" x14ac:dyDescent="0.3">
      <c r="A33" s="133" t="s">
        <v>185</v>
      </c>
      <c r="B33" s="137">
        <f>('Summary FLT104'!B33+'Summary FLT110'!B33)/2</f>
        <v>0</v>
      </c>
      <c r="C33" s="137">
        <f>('Summary FLT104'!C33+'Summary FLT110'!C33)/2</f>
        <v>123.67022519387756</v>
      </c>
      <c r="D33" s="137">
        <f>('Summary FLT104'!D33+'Summary FLT110'!D33)/2</f>
        <v>85.853210666666655</v>
      </c>
      <c r="E33" s="137">
        <f>('Summary FLT104'!E33+'Summary FLT110'!E33)/2</f>
        <v>238.20995733333336</v>
      </c>
      <c r="F33" s="137">
        <f>('Summary FLT104'!F33+'Summary FLT110'!F33)/2</f>
        <v>0</v>
      </c>
      <c r="G33" s="137">
        <f>('Summary FLT104'!G33+'Summary FLT110'!G33)/2</f>
        <v>16.383179999999999</v>
      </c>
    </row>
    <row r="34" spans="1:7" ht="15.75" thickBot="1" x14ac:dyDescent="0.3">
      <c r="A34" s="133" t="s">
        <v>186</v>
      </c>
      <c r="B34" s="137">
        <f>('Summary FLT104'!B34+'Summary FLT110'!B34)/2</f>
        <v>0</v>
      </c>
      <c r="C34" s="137">
        <f>('Summary FLT104'!C34+'Summary FLT110'!C34)/2</f>
        <v>46.732799999999997</v>
      </c>
      <c r="D34" s="137">
        <f>('Summary FLT104'!D34+'Summary FLT110'!D34)/2</f>
        <v>53.679999999999993</v>
      </c>
      <c r="E34" s="137">
        <f>('Summary FLT104'!E34+'Summary FLT110'!E34)/2</f>
        <v>109.84799999999998</v>
      </c>
      <c r="F34" s="137">
        <f>('Summary FLT104'!F34+'Summary FLT110'!F34)/2</f>
        <v>0</v>
      </c>
      <c r="G34" s="137">
        <f>('Summary FLT104'!G34+'Summary FLT110'!G34)/2</f>
        <v>5.1325439999999976</v>
      </c>
    </row>
    <row r="35" spans="1:7" x14ac:dyDescent="0.25">
      <c r="A35" s="148"/>
      <c r="B35" s="149"/>
      <c r="C35" s="149"/>
      <c r="D35" s="149"/>
      <c r="E35" s="149"/>
      <c r="F35" s="149"/>
      <c r="G35" s="149"/>
    </row>
    <row r="36" spans="1:7" ht="15.75" thickBot="1" x14ac:dyDescent="0.3">
      <c r="A36" s="156" t="s">
        <v>187</v>
      </c>
    </row>
    <row r="37" spans="1:7" ht="15.75" thickBot="1" x14ac:dyDescent="0.3">
      <c r="A37" s="133" t="s">
        <v>163</v>
      </c>
      <c r="B37" s="137">
        <f>'P&amp;L'!$K$30</f>
        <v>0</v>
      </c>
      <c r="C37" s="137">
        <f>'P&amp;L'!$L$30</f>
        <v>0</v>
      </c>
      <c r="D37" s="137">
        <f>'P&amp;L'!$M$30</f>
        <v>0</v>
      </c>
      <c r="E37" s="137">
        <f>'P&amp;L'!$N$30</f>
        <v>0</v>
      </c>
      <c r="F37" s="137">
        <f>'P&amp;L'!$O$30</f>
        <v>0</v>
      </c>
      <c r="G37" s="137">
        <f>'P&amp;L'!$P$30</f>
        <v>0</v>
      </c>
    </row>
    <row r="38" spans="1:7" ht="15.75" thickBot="1" x14ac:dyDescent="0.3">
      <c r="A38" s="133" t="s">
        <v>164</v>
      </c>
      <c r="B38" s="137" t="str">
        <f t="shared" ref="B38:G38" si="5">IFERROR(B31/B7," ")</f>
        <v xml:space="preserve"> </v>
      </c>
      <c r="C38" s="137">
        <f t="shared" si="5"/>
        <v>17.56679335140306</v>
      </c>
      <c r="D38" s="137">
        <f t="shared" si="5"/>
        <v>8.4835188405797091</v>
      </c>
      <c r="E38" s="137">
        <f t="shared" si="5"/>
        <v>5.6689661431064566</v>
      </c>
      <c r="F38" s="137" t="str">
        <f t="shared" si="5"/>
        <v xml:space="preserve"> </v>
      </c>
      <c r="G38" s="137">
        <f t="shared" si="5"/>
        <v>12.411499999999998</v>
      </c>
    </row>
    <row r="39" spans="1:7" ht="15.75" thickBot="1" x14ac:dyDescent="0.3">
      <c r="A39" s="133" t="s">
        <v>165</v>
      </c>
      <c r="B39" s="137" t="str">
        <f>IFERROR(B32/B7," ")</f>
        <v xml:space="preserve"> </v>
      </c>
      <c r="C39" s="137">
        <f t="shared" ref="C39:G39" si="6">IFERROR(C32/C7," ")</f>
        <v>7.3020000000000005</v>
      </c>
      <c r="D39" s="137">
        <f t="shared" si="6"/>
        <v>5.8347826086956518</v>
      </c>
      <c r="E39" s="137">
        <f t="shared" si="6"/>
        <v>2.8756020942408376</v>
      </c>
      <c r="F39" s="137" t="str">
        <f t="shared" si="6"/>
        <v xml:space="preserve"> </v>
      </c>
      <c r="G39" s="137">
        <f t="shared" si="6"/>
        <v>4.2771199999999991</v>
      </c>
    </row>
    <row r="40" spans="1:7" ht="15.75" thickBot="1" x14ac:dyDescent="0.3">
      <c r="A40" s="133" t="s">
        <v>185</v>
      </c>
      <c r="B40" s="137" t="str">
        <f>IFERROR(B33/B8," ")</f>
        <v xml:space="preserve"> </v>
      </c>
      <c r="C40" s="137">
        <f>IFERROR(C33/C7," ")</f>
        <v>3.8646945373086736</v>
      </c>
      <c r="D40" s="137">
        <f>IFERROR(D33/D7," ")</f>
        <v>1.8663741449275359</v>
      </c>
      <c r="E40" s="137">
        <f>IFERROR(E33/E7," ")</f>
        <v>1.2471725514834207</v>
      </c>
      <c r="F40" s="137" t="str">
        <f>IFERROR(F33/F7," ")</f>
        <v xml:space="preserve"> </v>
      </c>
      <c r="G40" s="137">
        <f>IFERROR(G33/G7," ")</f>
        <v>2.7305299999999999</v>
      </c>
    </row>
    <row r="41" spans="1:7" ht="15.75" thickBot="1" x14ac:dyDescent="0.3">
      <c r="A41" s="133" t="s">
        <v>186</v>
      </c>
      <c r="B41" s="137" t="str">
        <f t="shared" ref="B41:G41" si="7">IFERROR(B34/B7," ")</f>
        <v xml:space="preserve"> </v>
      </c>
      <c r="C41" s="137">
        <f t="shared" si="7"/>
        <v>1.4603999999999999</v>
      </c>
      <c r="D41" s="137">
        <f t="shared" si="7"/>
        <v>1.1669565217391302</v>
      </c>
      <c r="E41" s="137">
        <f t="shared" si="7"/>
        <v>0.57512041884816745</v>
      </c>
      <c r="F41" s="137" t="str">
        <f t="shared" si="7"/>
        <v xml:space="preserve"> </v>
      </c>
      <c r="G41" s="137">
        <f t="shared" si="7"/>
        <v>0.85542399999999963</v>
      </c>
    </row>
    <row r="42" spans="1:7" x14ac:dyDescent="0.25">
      <c r="B42" s="150"/>
      <c r="C42" s="150"/>
    </row>
    <row r="43" spans="1:7" x14ac:dyDescent="0.25">
      <c r="B43" s="150"/>
      <c r="C43" s="150"/>
    </row>
    <row r="108" spans="1:1" x14ac:dyDescent="0.25">
      <c r="A108" s="134">
        <v>388</v>
      </c>
    </row>
    <row r="109" spans="1:1" x14ac:dyDescent="0.25">
      <c r="A109" s="134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3EE39-EC64-4CB8-A033-775DD5D0AD50}">
  <sheetPr>
    <tabColor theme="7" tint="0.59999389629810485"/>
  </sheetPr>
  <dimension ref="A1:M109"/>
  <sheetViews>
    <sheetView zoomScaleNormal="100" workbookViewId="0">
      <selection activeCell="H17" sqref="H17"/>
    </sheetView>
  </sheetViews>
  <sheetFormatPr defaultColWidth="10.7109375" defaultRowHeight="15" x14ac:dyDescent="0.25"/>
  <cols>
    <col min="1" max="1" width="24.28515625" style="134" bestFit="1" customWidth="1"/>
    <col min="2" max="2" width="10.7109375" style="134" bestFit="1" customWidth="1"/>
    <col min="3" max="3" width="15" style="134" bestFit="1" customWidth="1"/>
    <col min="4" max="4" width="12.5703125" style="134" bestFit="1" customWidth="1"/>
    <col min="5" max="5" width="15.5703125" style="134" bestFit="1" customWidth="1"/>
    <col min="6" max="6" width="10.7109375" style="134"/>
    <col min="7" max="7" width="15.7109375" style="134" customWidth="1"/>
    <col min="8" max="8" width="12.5703125" style="134" bestFit="1" customWidth="1"/>
    <col min="9" max="9" width="8.5703125" style="134" bestFit="1" customWidth="1"/>
    <col min="10" max="10" width="15.28515625" style="134" bestFit="1" customWidth="1"/>
    <col min="11" max="11" width="10.7109375" style="134"/>
    <col min="12" max="12" width="16.28515625" style="134" bestFit="1" customWidth="1"/>
    <col min="13" max="16384" width="10.7109375" style="134"/>
  </cols>
  <sheetData>
    <row r="1" spans="1:13" ht="15.75" thickBot="1" x14ac:dyDescent="0.3"/>
    <row r="2" spans="1:13" ht="15.75" thickBot="1" x14ac:dyDescent="0.3">
      <c r="A2" s="465" t="s">
        <v>142</v>
      </c>
      <c r="B2" s="28"/>
      <c r="C2" s="144"/>
      <c r="G2" s="139" t="s">
        <v>143</v>
      </c>
      <c r="H2" s="244">
        <f>'Summary  735'!H2+'Summary 2221'!H2+'Summary 2439'!H2+'Summary 2682'!H2+'Summary 2855'!H2</f>
        <v>0</v>
      </c>
      <c r="L2" s="241" t="s">
        <v>144</v>
      </c>
      <c r="M2" s="241" t="s">
        <v>7</v>
      </c>
    </row>
    <row r="3" spans="1:13" ht="15.75" thickBot="1" x14ac:dyDescent="0.3">
      <c r="A3" s="466"/>
      <c r="B3" s="167"/>
      <c r="C3" s="168"/>
      <c r="E3" s="139" t="s">
        <v>145</v>
      </c>
      <c r="F3" s="141">
        <v>737</v>
      </c>
      <c r="G3" s="139" t="s">
        <v>146</v>
      </c>
      <c r="H3" s="244">
        <f>H4/12</f>
        <v>0</v>
      </c>
      <c r="J3" s="227" t="s">
        <v>147</v>
      </c>
      <c r="L3" s="241">
        <v>737</v>
      </c>
      <c r="M3" s="241">
        <v>1</v>
      </c>
    </row>
    <row r="4" spans="1:13" ht="15.75" thickBot="1" x14ac:dyDescent="0.3">
      <c r="E4" s="139" t="s">
        <v>2</v>
      </c>
      <c r="F4" s="140">
        <f>'P&amp;L'!R4</f>
        <v>0.8</v>
      </c>
      <c r="G4" s="139" t="s">
        <v>148</v>
      </c>
      <c r="H4" s="139">
        <f>H2*52</f>
        <v>0</v>
      </c>
      <c r="J4" s="228" t="e">
        <f>H17*H4</f>
        <v>#REF!</v>
      </c>
      <c r="L4" s="241"/>
      <c r="M4" s="241"/>
    </row>
    <row r="5" spans="1:13" ht="15.75" thickBot="1" x14ac:dyDescent="0.3">
      <c r="A5" s="135" t="s">
        <v>149</v>
      </c>
      <c r="L5" s="241"/>
      <c r="M5" s="241"/>
    </row>
    <row r="6" spans="1:13" ht="15.75" thickBot="1" x14ac:dyDescent="0.3">
      <c r="A6" s="155" t="s">
        <v>150</v>
      </c>
      <c r="B6" s="155" t="s">
        <v>43</v>
      </c>
      <c r="C6" s="155" t="s">
        <v>44</v>
      </c>
      <c r="D6" s="155" t="s">
        <v>45</v>
      </c>
      <c r="E6" s="155" t="s">
        <v>46</v>
      </c>
      <c r="F6" s="155" t="s">
        <v>47</v>
      </c>
      <c r="G6" s="155" t="s">
        <v>48</v>
      </c>
      <c r="H6" s="155" t="s">
        <v>151</v>
      </c>
      <c r="I6" s="154" t="s">
        <v>152</v>
      </c>
      <c r="L6" s="240"/>
      <c r="M6" s="240"/>
    </row>
    <row r="7" spans="1:13" ht="15.75" thickBot="1" x14ac:dyDescent="0.3">
      <c r="A7" s="133" t="s">
        <v>153</v>
      </c>
      <c r="B7" s="133">
        <f>+'FlightConfig '!B17</f>
        <v>0</v>
      </c>
      <c r="C7" s="133">
        <f>+'FlightConfig '!C17</f>
        <v>34</v>
      </c>
      <c r="D7" s="133">
        <f>+'FlightConfig '!D17</f>
        <v>48</v>
      </c>
      <c r="E7" s="133">
        <f>+'FlightConfig '!E17</f>
        <v>198</v>
      </c>
      <c r="F7" s="133">
        <f>+'FlightConfig '!F17</f>
        <v>0</v>
      </c>
      <c r="G7" s="133">
        <f>+'FlightConfig '!G17</f>
        <v>6</v>
      </c>
      <c r="H7" s="133">
        <f>SUM(B7:G7)</f>
        <v>286</v>
      </c>
      <c r="L7" s="240"/>
      <c r="M7" s="240"/>
    </row>
    <row r="8" spans="1:13" ht="15.75" thickBot="1" x14ac:dyDescent="0.3">
      <c r="A8" s="133" t="s">
        <v>154</v>
      </c>
      <c r="B8" s="133">
        <f t="shared" ref="B8:G8" si="0">ROUNDUP(B7*$F$4,0)</f>
        <v>0</v>
      </c>
      <c r="C8" s="133">
        <f t="shared" si="0"/>
        <v>28</v>
      </c>
      <c r="D8" s="133">
        <f t="shared" si="0"/>
        <v>39</v>
      </c>
      <c r="E8" s="133">
        <f t="shared" si="0"/>
        <v>159</v>
      </c>
      <c r="F8" s="133">
        <f t="shared" si="0"/>
        <v>0</v>
      </c>
      <c r="G8" s="133">
        <f t="shared" si="0"/>
        <v>5</v>
      </c>
      <c r="H8" s="133">
        <f>SUM(B8:G8)</f>
        <v>231</v>
      </c>
      <c r="L8" s="240"/>
      <c r="M8" s="240"/>
    </row>
    <row r="9" spans="1:13" ht="15.75" thickBot="1" x14ac:dyDescent="0.3">
      <c r="A9" s="275"/>
      <c r="B9" s="276" t="s">
        <v>155</v>
      </c>
      <c r="C9" s="276" t="s">
        <v>156</v>
      </c>
      <c r="D9" s="276" t="s">
        <v>157</v>
      </c>
      <c r="E9" s="276" t="s">
        <v>158</v>
      </c>
      <c r="F9" s="276" t="s">
        <v>159</v>
      </c>
      <c r="G9" s="276" t="s">
        <v>160</v>
      </c>
      <c r="H9" s="155" t="s">
        <v>161</v>
      </c>
      <c r="J9" s="155" t="s">
        <v>162</v>
      </c>
    </row>
    <row r="10" spans="1:13" ht="15.75" thickBot="1" x14ac:dyDescent="0.3">
      <c r="A10" s="133" t="s">
        <v>163</v>
      </c>
      <c r="B10" s="137">
        <f>B37*B8</f>
        <v>0</v>
      </c>
      <c r="C10" s="137" t="e">
        <f>('Summary  735'!C10+'Summary 2221'!C10+'Summary 2439'!C10+'Summary 2682'!C10+'Summary 2855'!C10+#REF!+'Summary FLT104'!C10+'Summary FLT110'!C10+#REF!+#REF!+#REF!+'Summary 2037'!C10+'Summary 2817'!C10)/13</f>
        <v>#REF!</v>
      </c>
      <c r="D10" s="137" t="e">
        <f>('Summary  735'!D10+'Summary 2221'!D10+'Summary 2439'!D10+'Summary 2682'!D10+'Summary 2855'!D10+#REF!+'Summary FLT104'!D10+'Summary FLT110'!D10+#REF!+#REF!+#REF!+'Summary 2037'!D10+'Summary 2817'!D10)/13</f>
        <v>#REF!</v>
      </c>
      <c r="E10" s="137" t="e">
        <f>('Summary  735'!E10+'Summary 2221'!E10+'Summary 2439'!E10+'Summary 2682'!E10+'Summary 2855'!E10+#REF!+'Summary FLT104'!E10+'Summary FLT110'!E10+#REF!+#REF!+#REF!+'Summary 2037'!E10+'Summary 2817'!E10)/13</f>
        <v>#REF!</v>
      </c>
      <c r="F10" s="137" t="e">
        <f>('Summary  735'!F10+'Summary 2221'!F10+'Summary 2439'!F10+'Summary 2682'!F10+'Summary 2855'!F10+#REF!+'Summary FLT104'!F10+'Summary FLT110'!F10+#REF!+#REF!+#REF!+'Summary 2037'!F10+'Summary 2817'!F10)/13</f>
        <v>#REF!</v>
      </c>
      <c r="G10" s="137" t="e">
        <f>('Summary  735'!G10+'Summary 2221'!G10+'Summary 2439'!G10+'Summary 2682'!G10+'Summary 2855'!G10+#REF!+'Summary FLT104'!G10+'Summary FLT110'!G10+#REF!+#REF!+#REF!+'Summary 2037'!G10+'Summary 2817'!G10)/13</f>
        <v>#REF!</v>
      </c>
      <c r="H10" s="136" t="e">
        <f t="shared" ref="H10:H16" si="1">SUM(B10:G10)</f>
        <v>#REF!</v>
      </c>
      <c r="J10" s="136" t="e">
        <f>H10*$H$4</f>
        <v>#REF!</v>
      </c>
    </row>
    <row r="11" spans="1:13" ht="15.75" thickBot="1" x14ac:dyDescent="0.3">
      <c r="A11" s="133" t="s">
        <v>164</v>
      </c>
      <c r="B11" s="137">
        <f>('Summary  735'!B11+'Summary 2221'!B11+'Summary 2439'!B11+'Summary 2682'!B11+'Summary 2855'!B11)/5</f>
        <v>0</v>
      </c>
      <c r="C11" s="137">
        <f>('Summary  735'!C11+'Summary 2221'!C11+'Summary 2439'!C11+'Summary 2682'!C11+'Summary 2855'!C11)/5</f>
        <v>0</v>
      </c>
      <c r="D11" s="137">
        <f>('Summary  735'!D11+'Summary 2221'!D11+'Summary 2439'!D11+'Summary 2682'!D11+'Summary 2855'!D11)/5</f>
        <v>0</v>
      </c>
      <c r="E11" s="137">
        <f>('Summary  735'!E11+'Summary 2221'!E11+'Summary 2439'!E11+'Summary 2682'!E11+'Summary 2855'!E11)/5</f>
        <v>0</v>
      </c>
      <c r="F11" s="137">
        <f>('Summary  735'!F11+'Summary 2221'!F11+'Summary 2439'!F11+'Summary 2682'!F11+'Summary 2855'!F11)/5</f>
        <v>0</v>
      </c>
      <c r="G11" s="137">
        <f>('Summary  735'!G11+'Summary 2221'!G11+'Summary 2439'!G11+'Summary 2682'!G11+'Summary 2855'!G11)/5</f>
        <v>0</v>
      </c>
      <c r="H11" s="136">
        <f t="shared" si="1"/>
        <v>0</v>
      </c>
      <c r="I11" s="175" t="e">
        <f>I12*45%</f>
        <v>#REF!</v>
      </c>
      <c r="J11" s="136">
        <f>H11*$H$4</f>
        <v>0</v>
      </c>
    </row>
    <row r="12" spans="1:13" ht="15.75" thickBot="1" x14ac:dyDescent="0.3">
      <c r="A12" s="133" t="s">
        <v>165</v>
      </c>
      <c r="B12" s="137" t="e">
        <f>('Summary  735'!B12+'Summary 2221'!B12+'Summary 2439'!B12+'Summary 2682'!B12+'Summary 2855'!B12+#REF!+'Summary FLT104'!B12+'Summary FLT110'!B12+#REF!+#REF!+#REF!+'Summary 2037'!B12+'Summary 2817'!B12)/13</f>
        <v>#REF!</v>
      </c>
      <c r="C12" s="137">
        <f>('Summary  735'!C12+'Summary 2221'!C12+'Summary 2439'!C12+'Summary 2682'!C12+'Summary 2855'!C12)/5</f>
        <v>0</v>
      </c>
      <c r="D12" s="137">
        <f>('Summary  735'!D12+'Summary 2221'!D12+'Summary 2439'!D12+'Summary 2682'!D12+'Summary 2855'!D12)/5</f>
        <v>0</v>
      </c>
      <c r="E12" s="137">
        <f>('Summary  735'!E12+'Summary 2221'!E12+'Summary 2439'!E12+'Summary 2682'!E12+'Summary 2855'!E12)/5</f>
        <v>0</v>
      </c>
      <c r="F12" s="137">
        <f>('Summary  735'!F12+'Summary 2221'!F12+'Summary 2439'!F12+'Summary 2682'!F12+'Summary 2855'!F12)/5</f>
        <v>0</v>
      </c>
      <c r="G12" s="137">
        <f>('Summary  735'!G12+'Summary 2221'!G12+'Summary 2439'!G12+'Summary 2682'!G12+'Summary 2855'!G12)/5</f>
        <v>0</v>
      </c>
      <c r="H12" s="136" t="e">
        <f t="shared" si="1"/>
        <v>#REF!</v>
      </c>
      <c r="I12" s="246" t="e">
        <f>H11+H12</f>
        <v>#REF!</v>
      </c>
      <c r="J12" s="136" t="e">
        <f t="shared" ref="J12:J17" si="2">H12*$H$4</f>
        <v>#REF!</v>
      </c>
    </row>
    <row r="13" spans="1:13" ht="15.75" thickBot="1" x14ac:dyDescent="0.3">
      <c r="A13" s="133" t="s">
        <v>166</v>
      </c>
      <c r="B13" s="137" t="e">
        <f>('Summary  735'!B13+'Summary 2221'!B13+'Summary 2439'!B13+'Summary 2682'!B13+'Summary 2855'!B13+#REF!+'Summary FLT104'!B13+'Summary FLT110'!B13+#REF!+#REF!+#REF!+'Summary 2037'!B13+'Summary 2817'!B13)/13</f>
        <v>#VALUE!</v>
      </c>
      <c r="C13" s="137">
        <f>('Summary  735'!C13+'Summary 2221'!C13+'Summary 2439'!C13+'Summary 2682'!C13+'Summary 2855'!C13)/5</f>
        <v>0</v>
      </c>
      <c r="D13" s="137">
        <f>('Summary  735'!D13+'Summary 2221'!D13+'Summary 2439'!D13+'Summary 2682'!D13+'Summary 2855'!D13)/5</f>
        <v>0</v>
      </c>
      <c r="E13" s="137">
        <f>('Summary  735'!E13+'Summary 2221'!E13+'Summary 2439'!E13+'Summary 2682'!E13+'Summary 2855'!E13)/5</f>
        <v>0</v>
      </c>
      <c r="F13" s="137">
        <f>('Summary  735'!F13+'Summary 2221'!F13+'Summary 2439'!F13+'Summary 2682'!F13+'Summary 2855'!F13)/5</f>
        <v>0</v>
      </c>
      <c r="G13" s="137">
        <f>('Summary  735'!G13+'Summary 2221'!G13+'Summary 2439'!G13+'Summary 2682'!G13+'Summary 2855'!G13)/5</f>
        <v>0</v>
      </c>
      <c r="H13" s="136" t="e">
        <f t="shared" si="1"/>
        <v>#VALUE!</v>
      </c>
      <c r="J13" s="136" t="e">
        <f t="shared" si="2"/>
        <v>#VALUE!</v>
      </c>
    </row>
    <row r="14" spans="1:13" ht="15.75" thickBot="1" x14ac:dyDescent="0.3">
      <c r="A14" s="133" t="s">
        <v>167</v>
      </c>
      <c r="B14" s="137" t="e">
        <f>('Summary  735'!B14+'Summary 2221'!B14+'Summary 2439'!B14+'Summary 2682'!B14+'Summary 2855'!B14+#REF!+'Summary FLT104'!B14+'Summary FLT110'!B14+#REF!+#REF!+#REF!+'Summary 2037'!B14+'Summary 2817'!B14)/13</f>
        <v>#VALUE!</v>
      </c>
      <c r="C14" s="137">
        <f>('Summary  735'!C14+'Summary 2221'!C14+'Summary 2439'!C14+'Summary 2682'!C14+'Summary 2855'!C14)/5</f>
        <v>0</v>
      </c>
      <c r="D14" s="137">
        <f>('Summary  735'!D14+'Summary 2221'!D14+'Summary 2439'!D14+'Summary 2682'!D14+'Summary 2855'!D14)/5</f>
        <v>0</v>
      </c>
      <c r="E14" s="137">
        <f>('Summary  735'!E14+'Summary 2221'!E14+'Summary 2439'!E14+'Summary 2682'!E14+'Summary 2855'!E14)/5</f>
        <v>0</v>
      </c>
      <c r="F14" s="137">
        <f>('Summary  735'!F14+'Summary 2221'!F14+'Summary 2439'!F14+'Summary 2682'!F14+'Summary 2855'!F14)/5</f>
        <v>0</v>
      </c>
      <c r="G14" s="137">
        <f>('Summary  735'!G14+'Summary 2221'!G14+'Summary 2439'!G14+'Summary 2682'!G14+'Summary 2855'!G14)/5</f>
        <v>0</v>
      </c>
      <c r="H14" s="136" t="e">
        <f t="shared" si="1"/>
        <v>#VALUE!</v>
      </c>
      <c r="J14" s="136" t="e">
        <f t="shared" si="2"/>
        <v>#VALUE!</v>
      </c>
      <c r="L14" s="155" t="s">
        <v>168</v>
      </c>
      <c r="M14" s="155"/>
    </row>
    <row r="15" spans="1:13" ht="15.75" thickBot="1" x14ac:dyDescent="0.3">
      <c r="A15" s="133" t="s">
        <v>169</v>
      </c>
      <c r="B15" s="137" t="e">
        <f>SUM('Summary  735'!B15+'Summary 2221'!B15+'Summary 2221'!B15+'Summary 2439'!B15+'Summary 2682'!B15+'Summary 2855'!B15+#REF!+'Summary FLT104'!B15+'Summary FLT110'!B15+#REF!+#REF!+#REF!+'Summary 2037'!B15+'Summary 2817'!B15)/13</f>
        <v>#REF!</v>
      </c>
      <c r="C15" s="137">
        <f>('Summary  735'!C15+'Summary 2221'!C15+'Summary 2439'!C15+'Summary 2682'!C15+'Summary 2855'!C15)/5</f>
        <v>0</v>
      </c>
      <c r="D15" s="137">
        <f>('Summary  735'!D15+'Summary 2221'!D15+'Summary 2439'!D15+'Summary 2682'!D15+'Summary 2855'!D15)/5</f>
        <v>0</v>
      </c>
      <c r="E15" s="137">
        <f>('Summary  735'!E15+'Summary 2221'!E15+'Summary 2439'!E15+'Summary 2682'!E15+'Summary 2855'!E15)/5</f>
        <v>0</v>
      </c>
      <c r="F15" s="137">
        <f>('Summary  735'!F15+'Summary 2221'!F15+'Summary 2439'!F15+'Summary 2682'!F15+'Summary 2855'!F15)/5</f>
        <v>0</v>
      </c>
      <c r="G15" s="137">
        <f>('Summary  735'!G15+'Summary 2221'!G15+'Summary 2439'!G15+'Summary 2682'!G15+'Summary 2855'!G15)/5</f>
        <v>0</v>
      </c>
      <c r="H15" s="136" t="e">
        <f t="shared" si="1"/>
        <v>#REF!</v>
      </c>
      <c r="I15" s="175"/>
      <c r="J15" s="136" t="e">
        <f t="shared" si="2"/>
        <v>#REF!</v>
      </c>
      <c r="L15" s="234" t="e">
        <f>J12+J15</f>
        <v>#REF!</v>
      </c>
      <c r="M15" s="236">
        <v>1</v>
      </c>
    </row>
    <row r="16" spans="1:13" ht="15.75" thickBot="1" x14ac:dyDescent="0.3">
      <c r="A16" s="133" t="s">
        <v>170</v>
      </c>
      <c r="B16" s="137" t="e">
        <f>SUM('Summary  735'!B16+'Summary 2221'!B16+'Summary 2221'!B16+'Summary 2439'!B16+'Summary 2682'!B16+'Summary 2855'!B16+#REF!+'Summary FLT104'!B16+'Summary FLT110'!B16+#REF!+#REF!+#REF!+'Summary 2037'!B16+'Summary 2817'!B16)/13</f>
        <v>#REF!</v>
      </c>
      <c r="C16" s="137">
        <f>('Summary  735'!C16+'Summary 2221'!C16+'Summary 2439'!C16+'Summary 2682'!C16+'Summary 2855'!C16)/5</f>
        <v>0</v>
      </c>
      <c r="D16" s="137">
        <f>('Summary  735'!D16+'Summary 2221'!D16+'Summary 2439'!D16+'Summary 2682'!D16+'Summary 2855'!D16)/5</f>
        <v>0</v>
      </c>
      <c r="E16" s="137">
        <f>('Summary  735'!E16+'Summary 2221'!E16+'Summary 2439'!E16+'Summary 2682'!E16+'Summary 2855'!E16)/5</f>
        <v>0</v>
      </c>
      <c r="F16" s="137">
        <f>('Summary  735'!F16+'Summary 2221'!F16+'Summary 2439'!F16+'Summary 2682'!F16+'Summary 2855'!F16)/5</f>
        <v>0</v>
      </c>
      <c r="G16" s="137">
        <f>('Summary  735'!G16+'Summary 2221'!G16+'Summary 2439'!G16+'Summary 2682'!G16+'Summary 2855'!G16)/5</f>
        <v>0</v>
      </c>
      <c r="H16" s="136" t="e">
        <f t="shared" si="1"/>
        <v>#REF!</v>
      </c>
      <c r="I16" s="153"/>
      <c r="J16" s="136" t="e">
        <f t="shared" si="2"/>
        <v>#REF!</v>
      </c>
      <c r="L16" s="235" t="e">
        <f>L15*M16</f>
        <v>#REF!</v>
      </c>
      <c r="M16" s="236">
        <v>0.8</v>
      </c>
    </row>
    <row r="17" spans="1:13" ht="15.75" thickBot="1" x14ac:dyDescent="0.3">
      <c r="A17" s="156" t="s">
        <v>171</v>
      </c>
      <c r="B17" s="157" t="e">
        <f>SUM(B11:B16)</f>
        <v>#REF!</v>
      </c>
      <c r="C17" s="157">
        <f>SUM(C11:C16)</f>
        <v>0</v>
      </c>
      <c r="D17" s="157" t="e">
        <f>SUM(D10:D16)</f>
        <v>#REF!</v>
      </c>
      <c r="E17" s="157" t="e">
        <f>SUM(E10:E16)</f>
        <v>#REF!</v>
      </c>
      <c r="F17" s="157" t="e">
        <f>SUM(F10:F16)</f>
        <v>#REF!</v>
      </c>
      <c r="G17" s="157" t="e">
        <f>SUM(G10:G16)</f>
        <v>#REF!</v>
      </c>
      <c r="H17" s="157" t="e">
        <f>SUM(H10:H16)</f>
        <v>#REF!</v>
      </c>
      <c r="J17" s="226" t="e">
        <f t="shared" si="2"/>
        <v>#REF!</v>
      </c>
      <c r="L17" s="235" t="e">
        <f>L15*M17</f>
        <v>#REF!</v>
      </c>
      <c r="M17" s="236">
        <v>0.2</v>
      </c>
    </row>
    <row r="18" spans="1:13" ht="15.75" thickBot="1" x14ac:dyDescent="0.3">
      <c r="A18" s="214"/>
      <c r="B18" s="215" t="e">
        <f>B17</f>
        <v>#REF!</v>
      </c>
      <c r="C18" s="215">
        <f>C17</f>
        <v>0</v>
      </c>
      <c r="D18" s="215" t="e">
        <f>D17</f>
        <v>#REF!</v>
      </c>
      <c r="E18" s="215" t="e">
        <f>E17-E15-E16</f>
        <v>#REF!</v>
      </c>
      <c r="F18" s="215" t="e">
        <f>F17</f>
        <v>#REF!</v>
      </c>
      <c r="G18" s="215" t="e">
        <f>G17</f>
        <v>#REF!</v>
      </c>
      <c r="H18" s="215"/>
      <c r="I18" s="215">
        <f>E15+E16</f>
        <v>0</v>
      </c>
      <c r="J18" s="215"/>
      <c r="L18" s="233"/>
    </row>
    <row r="19" spans="1:13" ht="15.75" thickBot="1" x14ac:dyDescent="0.3">
      <c r="A19" s="155" t="s">
        <v>172</v>
      </c>
      <c r="B19" s="218" t="s">
        <v>173</v>
      </c>
      <c r="C19" s="218" t="s">
        <v>174</v>
      </c>
      <c r="D19" s="218" t="s">
        <v>175</v>
      </c>
      <c r="E19" s="152"/>
      <c r="F19" s="152"/>
      <c r="G19" s="152"/>
      <c r="H19" s="154"/>
      <c r="I19" s="152">
        <f>E16</f>
        <v>0</v>
      </c>
    </row>
    <row r="20" spans="1:13" ht="15.75" thickBot="1" x14ac:dyDescent="0.3">
      <c r="A20" s="216" t="s">
        <v>176</v>
      </c>
      <c r="B20" s="137" t="e">
        <f>SUM('Summary  735'!B20+'Summary 2221'!B20+'Summary 2221'!B20+'Summary 2439'!B20+'Summary 2682'!B20+'Summary 2855'!B20+#REF!+'Summary FLT104'!B20+'Summary FLT110'!B20+#REF!+#REF!+#REF!+'Summary 2037'!B20+'Summary 2817'!B20)/13</f>
        <v>#REF!</v>
      </c>
      <c r="C20" s="217" t="e">
        <f>B20*'P&amp;L'!$R$10</f>
        <v>#REF!</v>
      </c>
      <c r="D20" s="217" t="e">
        <f>SUM(B20:C20)</f>
        <v>#REF!</v>
      </c>
      <c r="G20" s="175"/>
    </row>
    <row r="21" spans="1:13" ht="15.75" hidden="1" thickBot="1" x14ac:dyDescent="0.3">
      <c r="A21" s="156" t="s">
        <v>177</v>
      </c>
      <c r="B21" s="137" t="e">
        <f>Handling!#REF!</f>
        <v>#REF!</v>
      </c>
      <c r="C21" s="137" t="e">
        <f>Handling!#REF!</f>
        <v>#REF!</v>
      </c>
      <c r="D21" s="137" t="e">
        <f>Handling!#REF!</f>
        <v>#REF!</v>
      </c>
      <c r="G21" s="175"/>
    </row>
    <row r="22" spans="1:13" ht="15.75" hidden="1" thickBot="1" x14ac:dyDescent="0.3">
      <c r="A22" s="156" t="s">
        <v>178</v>
      </c>
      <c r="B22" s="137" t="e">
        <f>Handling!#REF!</f>
        <v>#REF!</v>
      </c>
      <c r="C22" s="137" t="e">
        <f>Handling!#REF!</f>
        <v>#REF!</v>
      </c>
      <c r="D22" s="137" t="e">
        <f>Handling!#REF!</f>
        <v>#REF!</v>
      </c>
    </row>
    <row r="23" spans="1:13" ht="15.75" thickBot="1" x14ac:dyDescent="0.3"/>
    <row r="24" spans="1:13" ht="15.75" thickBot="1" x14ac:dyDescent="0.3">
      <c r="A24" s="133" t="s">
        <v>179</v>
      </c>
      <c r="B24" s="137">
        <f>IFERROR(((B11+B12+B13+B14)/B8),0)</f>
        <v>0</v>
      </c>
      <c r="C24" s="137">
        <f>IFERROR(((C11+C12+C13+C14)/C8),0)</f>
        <v>0</v>
      </c>
      <c r="D24" s="137">
        <f>IFERROR(((D10+D11+D12+D13+D14)/D8),0)</f>
        <v>0</v>
      </c>
      <c r="E24" s="137">
        <f>IFERROR(((E10+E11+E12+E13+E14)/E8),0)</f>
        <v>0</v>
      </c>
      <c r="F24" s="137">
        <f>IFERROR(((F10+F11+F12+F13+F14)/F8),0)</f>
        <v>0</v>
      </c>
      <c r="G24" s="137">
        <f>IFERROR(((G10+G11+G12+G13+G14)/G8),0)</f>
        <v>0</v>
      </c>
    </row>
    <row r="25" spans="1:13" ht="15.75" thickBot="1" x14ac:dyDescent="0.3">
      <c r="A25" s="133" t="s">
        <v>180</v>
      </c>
      <c r="B25" s="137">
        <f t="shared" ref="B25:G25" si="3">IFERROR(((B13+B14)/B8),0)</f>
        <v>0</v>
      </c>
      <c r="C25" s="137">
        <f t="shared" si="3"/>
        <v>0</v>
      </c>
      <c r="D25" s="137">
        <f t="shared" si="3"/>
        <v>0</v>
      </c>
      <c r="E25" s="137">
        <f t="shared" si="3"/>
        <v>0</v>
      </c>
      <c r="F25" s="137">
        <f t="shared" si="3"/>
        <v>0</v>
      </c>
      <c r="G25" s="137">
        <f t="shared" si="3"/>
        <v>0</v>
      </c>
    </row>
    <row r="26" spans="1:13" ht="15.75" thickBot="1" x14ac:dyDescent="0.3">
      <c r="A26" s="133" t="s">
        <v>181</v>
      </c>
      <c r="B26" s="137">
        <f t="shared" ref="B26:G26" si="4">IFERROR((B10/B8),0)</f>
        <v>0</v>
      </c>
      <c r="C26" s="137">
        <f t="shared" si="4"/>
        <v>0</v>
      </c>
      <c r="D26" s="137">
        <f t="shared" si="4"/>
        <v>0</v>
      </c>
      <c r="E26" s="137">
        <f t="shared" si="4"/>
        <v>0</v>
      </c>
      <c r="F26" s="137">
        <f t="shared" si="4"/>
        <v>0</v>
      </c>
      <c r="G26" s="137">
        <f t="shared" si="4"/>
        <v>0</v>
      </c>
    </row>
    <row r="27" spans="1:13" s="230" customFormat="1" x14ac:dyDescent="0.25">
      <c r="A27" s="231"/>
      <c r="B27" s="232"/>
      <c r="C27" s="232"/>
      <c r="D27" s="232"/>
      <c r="E27" s="232"/>
      <c r="F27" s="232"/>
      <c r="G27" s="232"/>
    </row>
    <row r="28" spans="1:13" x14ac:dyDescent="0.25">
      <c r="B28" s="156" t="s">
        <v>182</v>
      </c>
      <c r="C28" s="156" t="s">
        <v>183</v>
      </c>
    </row>
    <row r="29" spans="1:13" ht="15.75" thickBot="1" x14ac:dyDescent="0.3">
      <c r="A29" s="156" t="s">
        <v>184</v>
      </c>
      <c r="B29" s="156">
        <f>'P&amp;L'!R5</f>
        <v>1</v>
      </c>
      <c r="C29" s="156"/>
    </row>
    <row r="30" spans="1:13" ht="15.75" thickBot="1" x14ac:dyDescent="0.3">
      <c r="A30" s="133" t="s">
        <v>163</v>
      </c>
      <c r="B30" s="137">
        <f t="shared" ref="B30:G30" si="5">B37*B8</f>
        <v>0</v>
      </c>
      <c r="C30" s="137">
        <f t="shared" si="5"/>
        <v>0</v>
      </c>
      <c r="D30" s="137">
        <f t="shared" si="5"/>
        <v>0</v>
      </c>
      <c r="E30" s="137">
        <f t="shared" si="5"/>
        <v>0</v>
      </c>
      <c r="F30" s="137">
        <f t="shared" si="5"/>
        <v>0</v>
      </c>
      <c r="G30" s="137">
        <f t="shared" si="5"/>
        <v>0</v>
      </c>
    </row>
    <row r="31" spans="1:13" ht="15.75" thickBot="1" x14ac:dyDescent="0.3">
      <c r="A31" s="133" t="s">
        <v>164</v>
      </c>
      <c r="B31" s="137">
        <f>('Summary  735'!B31+'Summary 2221'!B31+'Summary 2439'!B31+'Summary 2682'!B31+'Summary 2855'!B31)/5</f>
        <v>0</v>
      </c>
      <c r="C31" s="137" t="e">
        <f>('Summary  735'!C31+'Summary 2221'!C31+'Summary 2439'!C31+'Summary 2682'!C31+'Summary 2855'!C31+#REF!+'Summary FLT104'!C31+'Summary FLT110'!C31+#REF!+#REF!+#REF!+'Summary 2037'!C31+'Summary 2817'!C31)/13</f>
        <v>#REF!</v>
      </c>
      <c r="D31" s="137" t="e">
        <f>('Summary  735'!D31+'Summary 2221'!D31+'Summary 2439'!D31+'Summary 2682'!D31+'Summary 2855'!D31+#REF!+'Summary FLT104'!D31+'Summary FLT110'!D31+#REF!+#REF!+#REF!+'Summary 2037'!D31+'Summary 2817'!D31)/13</f>
        <v>#REF!</v>
      </c>
      <c r="E31" s="137">
        <f>('Summary  735'!E31+'Summary 2221'!E31+'Summary 2439'!E31+'Summary 2682'!E31+'Summary 2855'!E31)/5</f>
        <v>0</v>
      </c>
      <c r="F31" s="137" t="e">
        <f>('Summary  735'!F31+'Summary 2221'!F31+'Summary 2439'!F31+'Summary 2682'!F31+'Summary 2855'!F31+#REF!+'Summary FLT104'!F31+'Summary FLT110'!F31+#REF!+#REF!+#REF!+'Summary 2037'!F31+'Summary 2817'!F31)/13</f>
        <v>#REF!</v>
      </c>
      <c r="G31" s="137" t="e">
        <f>('Summary  735'!G31+'Summary 2221'!G31+'Summary 2439'!G31+'Summary 2682'!G31+'Summary 2855'!G31+#REF!+'Summary FLT104'!G31+'Summary FLT110'!G31+#REF!+#REF!+#REF!+'Summary 2037'!G31+'Summary 2817'!G31)/13</f>
        <v>#REF!</v>
      </c>
    </row>
    <row r="32" spans="1:13" ht="15.75" thickBot="1" x14ac:dyDescent="0.3">
      <c r="A32" s="133" t="s">
        <v>165</v>
      </c>
      <c r="B32" s="137">
        <f>('Summary  735'!B32+'Summary 2221'!B32+'Summary 2439'!B32+'Summary 2682'!B32+'Summary 2855'!B32)/5</f>
        <v>0</v>
      </c>
      <c r="C32" s="137" t="e">
        <f>('Summary  735'!C32+'Summary 2221'!C32+'Summary 2439'!C32+'Summary 2682'!C32+'Summary 2855'!C32+#REF!+'Summary FLT104'!C32+'Summary FLT110'!C32+#REF!+#REF!+#REF!+'Summary 2037'!C32+'Summary 2817'!C32)/13</f>
        <v>#REF!</v>
      </c>
      <c r="D32" s="137" t="e">
        <f>('Summary  735'!D32+'Summary 2221'!D32+'Summary 2439'!D32+'Summary 2682'!D32+'Summary 2855'!D32+#REF!+'Summary FLT104'!D32+'Summary FLT110'!D32+#REF!+#REF!+#REF!+'Summary 2037'!D32+'Summary 2817'!D32)/13</f>
        <v>#REF!</v>
      </c>
      <c r="E32" s="137">
        <f>('Summary  735'!E32+'Summary 2221'!E32+'Summary 2439'!E32+'Summary 2682'!E32+'Summary 2855'!E32)/5</f>
        <v>0</v>
      </c>
      <c r="F32" s="137" t="e">
        <f>('Summary  735'!F32+'Summary 2221'!F32+'Summary 2439'!F32+'Summary 2682'!F32+'Summary 2855'!F32+#REF!+'Summary FLT104'!F32+'Summary FLT110'!F32+#REF!+#REF!+#REF!+'Summary 2037'!F32+'Summary 2817'!F32)/13</f>
        <v>#REF!</v>
      </c>
      <c r="G32" s="137" t="e">
        <f>('Summary  735'!G32+'Summary 2221'!G32+'Summary 2439'!G32+'Summary 2682'!G32+'Summary 2855'!G32+#REF!+'Summary FLT104'!G32+'Summary FLT110'!G32+#REF!+#REF!+#REF!+'Summary 2037'!G32+'Summary 2817'!G32)/13</f>
        <v>#REF!</v>
      </c>
    </row>
    <row r="33" spans="1:7" ht="15.75" thickBot="1" x14ac:dyDescent="0.3">
      <c r="A33" s="133" t="s">
        <v>185</v>
      </c>
      <c r="B33" s="137">
        <f>('Summary  735'!B33+'Summary 2221'!B33+'Summary 2439'!B33+'Summary 2682'!B33+'Summary 2855'!B33)/5</f>
        <v>0</v>
      </c>
      <c r="C33" s="137" t="e">
        <f>('Summary  735'!C33+'Summary 2221'!C33+'Summary 2439'!C33+'Summary 2682'!C33+'Summary 2855'!C33+#REF!+'Summary FLT104'!C33+'Summary FLT110'!C33+#REF!+#REF!+#REF!+'Summary 2037'!C33+'Summary 2817'!C33)/13</f>
        <v>#REF!</v>
      </c>
      <c r="D33" s="137" t="e">
        <f>('Summary  735'!D33+'Summary 2221'!D33+'Summary 2439'!D33+'Summary 2682'!D33+'Summary 2855'!D33+#REF!+'Summary FLT104'!D33+'Summary FLT110'!D33+#REF!+#REF!+#REF!+'Summary 2037'!D33+'Summary 2817'!D33)/13</f>
        <v>#REF!</v>
      </c>
      <c r="E33" s="137">
        <f>('Summary  735'!E33+'Summary 2221'!E33+'Summary 2439'!E33+'Summary 2682'!E33+'Summary 2855'!E33)/5</f>
        <v>0</v>
      </c>
      <c r="F33" s="137" t="e">
        <f>('Summary  735'!F33+'Summary 2221'!F33+'Summary 2439'!F33+'Summary 2682'!F33+'Summary 2855'!F33+#REF!+'Summary FLT104'!F33+'Summary FLT110'!F33+#REF!+#REF!+#REF!+'Summary 2037'!F33+'Summary 2817'!F33)/13</f>
        <v>#REF!</v>
      </c>
      <c r="G33" s="137" t="e">
        <f>('Summary  735'!G33+'Summary 2221'!G33+'Summary 2439'!G33+'Summary 2682'!G33+'Summary 2855'!G33+#REF!+'Summary FLT104'!G33+'Summary FLT110'!G33+#REF!+#REF!+#REF!+'Summary 2037'!G33+'Summary 2817'!G33)/13</f>
        <v>#REF!</v>
      </c>
    </row>
    <row r="34" spans="1:7" ht="15.75" thickBot="1" x14ac:dyDescent="0.3">
      <c r="A34" s="133" t="s">
        <v>186</v>
      </c>
      <c r="B34" s="137">
        <f>('Summary  735'!B34+'Summary 2221'!B34+'Summary 2439'!B34+'Summary 2682'!B34+'Summary 2855'!B34)/5</f>
        <v>0</v>
      </c>
      <c r="C34" s="137" t="e">
        <f>('Summary  735'!C34+'Summary 2221'!C34+'Summary 2439'!C34+'Summary 2682'!C34+'Summary 2855'!C34+#REF!+'Summary FLT104'!C34+'Summary FLT110'!C34+#REF!+#REF!+#REF!+'Summary 2037'!C34+'Summary 2817'!C34)/13</f>
        <v>#REF!</v>
      </c>
      <c r="D34" s="137" t="e">
        <f>('Summary  735'!D34+'Summary 2221'!D34+'Summary 2439'!D34+'Summary 2682'!D34+'Summary 2855'!D34+#REF!+'Summary FLT104'!D34+'Summary FLT110'!D34+#REF!+#REF!+#REF!+'Summary 2037'!D34+'Summary 2817'!D34)/13</f>
        <v>#REF!</v>
      </c>
      <c r="E34" s="137">
        <f>('Summary  735'!E34+'Summary 2221'!E34+'Summary 2439'!E34+'Summary 2682'!E34+'Summary 2855'!E34)/5</f>
        <v>0</v>
      </c>
      <c r="F34" s="137" t="e">
        <f>('Summary  735'!F34+'Summary 2221'!F34+'Summary 2439'!F34+'Summary 2682'!F34+'Summary 2855'!F34+#REF!+'Summary FLT104'!F34+'Summary FLT110'!F34+#REF!+#REF!+#REF!+'Summary 2037'!F34+'Summary 2817'!F34)/13</f>
        <v>#REF!</v>
      </c>
      <c r="G34" s="137" t="e">
        <f>('Summary  735'!G34+'Summary 2221'!G34+'Summary 2439'!G34+'Summary 2682'!G34+'Summary 2855'!G34+#REF!+'Summary FLT104'!G34+'Summary FLT110'!G34+#REF!+#REF!+#REF!+'Summary 2037'!G34+'Summary 2817'!G34)/13</f>
        <v>#REF!</v>
      </c>
    </row>
    <row r="35" spans="1:7" x14ac:dyDescent="0.25">
      <c r="A35" s="148"/>
      <c r="B35" s="149"/>
      <c r="C35" s="149"/>
      <c r="D35" s="149"/>
      <c r="E35" s="149"/>
      <c r="F35" s="149"/>
      <c r="G35" s="149"/>
    </row>
    <row r="36" spans="1:7" ht="15.75" thickBot="1" x14ac:dyDescent="0.3">
      <c r="A36" s="156" t="s">
        <v>187</v>
      </c>
    </row>
    <row r="37" spans="1:7" ht="15.75" thickBot="1" x14ac:dyDescent="0.3">
      <c r="A37" s="133" t="s">
        <v>163</v>
      </c>
      <c r="B37" s="137">
        <f>'P&amp;L'!$K$30</f>
        <v>0</v>
      </c>
      <c r="C37" s="137">
        <f>'P&amp;L'!$L$30</f>
        <v>0</v>
      </c>
      <c r="D37" s="137">
        <f>'P&amp;L'!$M$30</f>
        <v>0</v>
      </c>
      <c r="E37" s="137">
        <f>'P&amp;L'!$N$30</f>
        <v>0</v>
      </c>
      <c r="F37" s="137">
        <f>'P&amp;L'!$O$30</f>
        <v>0</v>
      </c>
      <c r="G37" s="137">
        <f>'P&amp;L'!$P$30</f>
        <v>0</v>
      </c>
    </row>
    <row r="38" spans="1:7" ht="15.75" thickBot="1" x14ac:dyDescent="0.3">
      <c r="A38" s="133" t="s">
        <v>164</v>
      </c>
      <c r="B38" s="137" t="str">
        <f t="shared" ref="B38:G38" si="6">IFERROR(B31/B7," ")</f>
        <v xml:space="preserve"> </v>
      </c>
      <c r="C38" s="137" t="str">
        <f t="shared" si="6"/>
        <v xml:space="preserve"> </v>
      </c>
      <c r="D38" s="137" t="str">
        <f t="shared" si="6"/>
        <v xml:space="preserve"> </v>
      </c>
      <c r="E38" s="137">
        <f t="shared" si="6"/>
        <v>0</v>
      </c>
      <c r="F38" s="137" t="str">
        <f t="shared" si="6"/>
        <v xml:space="preserve"> </v>
      </c>
      <c r="G38" s="137" t="str">
        <f t="shared" si="6"/>
        <v xml:space="preserve"> </v>
      </c>
    </row>
    <row r="39" spans="1:7" ht="15.75" thickBot="1" x14ac:dyDescent="0.3">
      <c r="A39" s="133" t="s">
        <v>165</v>
      </c>
      <c r="B39" s="137" t="str">
        <f t="shared" ref="B39:G39" si="7">IFERROR(B32/B7," ")</f>
        <v xml:space="preserve"> </v>
      </c>
      <c r="C39" s="137" t="str">
        <f t="shared" si="7"/>
        <v xml:space="preserve"> </v>
      </c>
      <c r="D39" s="137" t="str">
        <f t="shared" si="7"/>
        <v xml:space="preserve"> </v>
      </c>
      <c r="E39" s="137">
        <f t="shared" si="7"/>
        <v>0</v>
      </c>
      <c r="F39" s="137" t="str">
        <f t="shared" si="7"/>
        <v xml:space="preserve"> </v>
      </c>
      <c r="G39" s="137" t="str">
        <f t="shared" si="7"/>
        <v xml:space="preserve"> </v>
      </c>
    </row>
    <row r="40" spans="1:7" ht="15.75" thickBot="1" x14ac:dyDescent="0.3">
      <c r="A40" s="133" t="s">
        <v>185</v>
      </c>
      <c r="B40" s="137" t="str">
        <f>IFERROR(B33/B8," ")</f>
        <v xml:space="preserve"> </v>
      </c>
      <c r="C40" s="137" t="str">
        <f>IFERROR(C33/C7," ")</f>
        <v xml:space="preserve"> </v>
      </c>
      <c r="D40" s="137" t="str">
        <f>IFERROR(D33/D7," ")</f>
        <v xml:space="preserve"> </v>
      </c>
      <c r="E40" s="137">
        <f>IFERROR(E33/E7," ")</f>
        <v>0</v>
      </c>
      <c r="F40" s="137" t="str">
        <f>IFERROR(F33/F7," ")</f>
        <v xml:space="preserve"> </v>
      </c>
      <c r="G40" s="137" t="str">
        <f>IFERROR(G33/G7," ")</f>
        <v xml:space="preserve"> </v>
      </c>
    </row>
    <row r="41" spans="1:7" ht="15.75" thickBot="1" x14ac:dyDescent="0.3">
      <c r="A41" s="133" t="s">
        <v>186</v>
      </c>
      <c r="B41" s="137" t="str">
        <f t="shared" ref="B41:G41" si="8">IFERROR(B34/B7," ")</f>
        <v xml:space="preserve"> </v>
      </c>
      <c r="C41" s="137" t="str">
        <f t="shared" si="8"/>
        <v xml:space="preserve"> </v>
      </c>
      <c r="D41" s="137" t="str">
        <f t="shared" si="8"/>
        <v xml:space="preserve"> </v>
      </c>
      <c r="E41" s="137">
        <f t="shared" si="8"/>
        <v>0</v>
      </c>
      <c r="F41" s="137" t="str">
        <f t="shared" si="8"/>
        <v xml:space="preserve"> </v>
      </c>
      <c r="G41" s="137" t="str">
        <f t="shared" si="8"/>
        <v xml:space="preserve"> </v>
      </c>
    </row>
    <row r="42" spans="1:7" x14ac:dyDescent="0.25">
      <c r="B42" s="150"/>
      <c r="C42" s="150"/>
    </row>
    <row r="43" spans="1:7" x14ac:dyDescent="0.25">
      <c r="B43" s="150"/>
      <c r="C43" s="150"/>
    </row>
    <row r="108" spans="1:1" x14ac:dyDescent="0.25">
      <c r="A108" s="134">
        <v>388</v>
      </c>
    </row>
    <row r="109" spans="1:1" x14ac:dyDescent="0.25">
      <c r="A109" s="134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91AC8-383E-43B9-B42B-4227F35AB339}">
  <sheetPr>
    <tabColor theme="7" tint="0.59999389629810485"/>
  </sheetPr>
  <dimension ref="A1:M109"/>
  <sheetViews>
    <sheetView zoomScaleNormal="100" workbookViewId="0">
      <selection activeCell="E32" sqref="E32"/>
    </sheetView>
  </sheetViews>
  <sheetFormatPr defaultColWidth="10.7109375" defaultRowHeight="15" x14ac:dyDescent="0.25"/>
  <cols>
    <col min="1" max="1" width="24.28515625" style="134" bestFit="1" customWidth="1"/>
    <col min="2" max="2" width="10.7109375" style="134" bestFit="1" customWidth="1"/>
    <col min="3" max="3" width="15" style="134" bestFit="1" customWidth="1"/>
    <col min="4" max="4" width="12.5703125" style="134" bestFit="1" customWidth="1"/>
    <col min="5" max="5" width="15.5703125" style="134" bestFit="1" customWidth="1"/>
    <col min="6" max="6" width="10.7109375" style="134"/>
    <col min="7" max="7" width="15.7109375" style="134" customWidth="1"/>
    <col min="8" max="8" width="12.5703125" style="134" bestFit="1" customWidth="1"/>
    <col min="9" max="9" width="8.5703125" style="134" bestFit="1" customWidth="1"/>
    <col min="10" max="10" width="15.28515625" style="134" bestFit="1" customWidth="1"/>
    <col min="11" max="11" width="10.7109375" style="134"/>
    <col min="12" max="12" width="16.28515625" style="134" bestFit="1" customWidth="1"/>
    <col min="13" max="16384" width="10.7109375" style="134"/>
  </cols>
  <sheetData>
    <row r="1" spans="1:13" ht="15.75" thickBot="1" x14ac:dyDescent="0.3"/>
    <row r="2" spans="1:13" ht="15.75" thickBot="1" x14ac:dyDescent="0.3">
      <c r="A2" s="465" t="s">
        <v>142</v>
      </c>
      <c r="B2" s="28"/>
      <c r="C2" s="144"/>
      <c r="G2" s="139" t="s">
        <v>143</v>
      </c>
      <c r="H2" s="244" t="e">
        <f>#REF!+'Summary FLT104'!H2+'Summary FLT110'!H2+#REF!+#REF!+#REF!+'Summary 2037'!H2+'Summary 2817'!H2</f>
        <v>#REF!</v>
      </c>
      <c r="L2" s="241" t="s">
        <v>144</v>
      </c>
      <c r="M2" s="241" t="s">
        <v>7</v>
      </c>
    </row>
    <row r="3" spans="1:13" ht="15.75" thickBot="1" x14ac:dyDescent="0.3">
      <c r="A3" s="466"/>
      <c r="B3" s="167"/>
      <c r="C3" s="168"/>
      <c r="E3" s="139" t="s">
        <v>145</v>
      </c>
      <c r="F3" s="141">
        <v>737</v>
      </c>
      <c r="G3" s="139" t="s">
        <v>146</v>
      </c>
      <c r="H3" s="244" t="e">
        <f>H4/12</f>
        <v>#REF!</v>
      </c>
      <c r="J3" s="227" t="s">
        <v>147</v>
      </c>
      <c r="L3" s="241">
        <v>737</v>
      </c>
      <c r="M3" s="241">
        <v>1</v>
      </c>
    </row>
    <row r="4" spans="1:13" ht="15.75" thickBot="1" x14ac:dyDescent="0.3">
      <c r="E4" s="139" t="s">
        <v>2</v>
      </c>
      <c r="F4" s="140">
        <f>'P&amp;L'!R4</f>
        <v>0.8</v>
      </c>
      <c r="G4" s="139" t="s">
        <v>148</v>
      </c>
      <c r="H4" s="139" t="e">
        <f>H2*52</f>
        <v>#REF!</v>
      </c>
      <c r="J4" s="228" t="e">
        <f>H17*H4</f>
        <v>#REF!</v>
      </c>
      <c r="L4" s="241"/>
      <c r="M4" s="241"/>
    </row>
    <row r="5" spans="1:13" ht="15.75" thickBot="1" x14ac:dyDescent="0.3">
      <c r="A5" s="135" t="s">
        <v>149</v>
      </c>
      <c r="L5" s="241"/>
      <c r="M5" s="241"/>
    </row>
    <row r="6" spans="1:13" ht="15.75" thickBot="1" x14ac:dyDescent="0.3">
      <c r="A6" s="155" t="s">
        <v>150</v>
      </c>
      <c r="B6" s="155" t="s">
        <v>43</v>
      </c>
      <c r="C6" s="155" t="s">
        <v>44</v>
      </c>
      <c r="D6" s="155" t="s">
        <v>45</v>
      </c>
      <c r="E6" s="155" t="s">
        <v>46</v>
      </c>
      <c r="F6" s="155" t="s">
        <v>47</v>
      </c>
      <c r="G6" s="155" t="s">
        <v>48</v>
      </c>
      <c r="H6" s="155" t="s">
        <v>151</v>
      </c>
      <c r="I6" s="154" t="s">
        <v>152</v>
      </c>
      <c r="L6" s="240"/>
      <c r="M6" s="240"/>
    </row>
    <row r="7" spans="1:13" ht="15.75" thickBot="1" x14ac:dyDescent="0.3">
      <c r="A7" s="133" t="s">
        <v>153</v>
      </c>
      <c r="B7" s="133">
        <f>+'FlightConfig '!B17</f>
        <v>0</v>
      </c>
      <c r="C7" s="133">
        <f>+'FlightConfig '!C17</f>
        <v>34</v>
      </c>
      <c r="D7" s="133">
        <f>+'FlightConfig '!D17</f>
        <v>48</v>
      </c>
      <c r="E7" s="133">
        <f>+'FlightConfig '!E17</f>
        <v>198</v>
      </c>
      <c r="F7" s="133">
        <f>+'FlightConfig '!F17</f>
        <v>0</v>
      </c>
      <c r="G7" s="133">
        <f>+'FlightConfig '!G17</f>
        <v>6</v>
      </c>
      <c r="H7" s="133">
        <f>SUM(B7:G7)</f>
        <v>286</v>
      </c>
      <c r="L7" s="240"/>
      <c r="M7" s="240"/>
    </row>
    <row r="8" spans="1:13" ht="15.75" thickBot="1" x14ac:dyDescent="0.3">
      <c r="A8" s="133" t="s">
        <v>154</v>
      </c>
      <c r="B8" s="133">
        <f t="shared" ref="B8:G8" si="0">ROUNDUP(B7*$F$4,0)</f>
        <v>0</v>
      </c>
      <c r="C8" s="133">
        <f t="shared" si="0"/>
        <v>28</v>
      </c>
      <c r="D8" s="133">
        <f t="shared" si="0"/>
        <v>39</v>
      </c>
      <c r="E8" s="133">
        <f t="shared" si="0"/>
        <v>159</v>
      </c>
      <c r="F8" s="133">
        <f t="shared" si="0"/>
        <v>0</v>
      </c>
      <c r="G8" s="133">
        <f t="shared" si="0"/>
        <v>5</v>
      </c>
      <c r="H8" s="133">
        <f>SUM(B8:G8)</f>
        <v>231</v>
      </c>
      <c r="L8" s="240"/>
      <c r="M8" s="240"/>
    </row>
    <row r="9" spans="1:13" ht="15.75" thickBot="1" x14ac:dyDescent="0.3">
      <c r="A9" s="275"/>
      <c r="B9" s="276" t="s">
        <v>155</v>
      </c>
      <c r="C9" s="276" t="s">
        <v>156</v>
      </c>
      <c r="D9" s="276" t="s">
        <v>157</v>
      </c>
      <c r="E9" s="276" t="s">
        <v>158</v>
      </c>
      <c r="F9" s="276" t="s">
        <v>159</v>
      </c>
      <c r="G9" s="276" t="s">
        <v>160</v>
      </c>
      <c r="H9" s="155" t="s">
        <v>161</v>
      </c>
      <c r="J9" s="155" t="s">
        <v>162</v>
      </c>
    </row>
    <row r="10" spans="1:13" ht="15.75" thickBot="1" x14ac:dyDescent="0.3">
      <c r="A10" s="133" t="s">
        <v>163</v>
      </c>
      <c r="B10" s="137" t="e">
        <f>(#REF!+'Summary FLT104'!B10+'Summary FLT110'!B10+#REF!+#REF!+#REF!)/6</f>
        <v>#REF!</v>
      </c>
      <c r="C10" s="137" t="e">
        <f>(#REF!+'Summary FLT104'!C10+'Summary FLT110'!C10+#REF!+#REF!+#REF!)/6</f>
        <v>#REF!</v>
      </c>
      <c r="D10" s="137" t="e">
        <f>(#REF!+'Summary FLT104'!D10+'Summary FLT110'!D10+#REF!+#REF!+#REF!)/6</f>
        <v>#REF!</v>
      </c>
      <c r="E10" s="137" t="e">
        <f>(#REF!+'Summary FLT104'!E10+'Summary FLT110'!E10+#REF!+#REF!+#REF!)/6</f>
        <v>#REF!</v>
      </c>
      <c r="F10" s="137" t="e">
        <f>(#REF!+'Summary FLT104'!F10+'Summary FLT110'!F10+#REF!+#REF!+#REF!)/6</f>
        <v>#REF!</v>
      </c>
      <c r="G10" s="137" t="e">
        <f>(#REF!+'Summary FLT104'!G10+'Summary FLT110'!G10+#REF!+#REF!+#REF!)/6</f>
        <v>#REF!</v>
      </c>
      <c r="H10" s="137" t="e">
        <f>(#REF!+'Summary FLT104'!H10+'Summary FLT110'!H10+#REF!+#REF!+#REF!)/6</f>
        <v>#REF!</v>
      </c>
      <c r="J10" s="136" t="e">
        <f>H10*$H$4</f>
        <v>#REF!</v>
      </c>
    </row>
    <row r="11" spans="1:13" ht="15.75" thickBot="1" x14ac:dyDescent="0.3">
      <c r="A11" s="133" t="s">
        <v>164</v>
      </c>
      <c r="B11" s="137" t="e">
        <f>(#REF!+'Summary FLT104'!B11+'Summary FLT110'!B11+#REF!+#REF!+#REF!)/6</f>
        <v>#REF!</v>
      </c>
      <c r="C11" s="137" t="e">
        <f>(#REF!+'Summary FLT104'!C11+'Summary FLT110'!C11+#REF!+#REF!+#REF!)/6</f>
        <v>#REF!</v>
      </c>
      <c r="D11" s="137" t="e">
        <f>(#REF!+'Summary FLT104'!D11+'Summary FLT110'!D11+#REF!+#REF!+#REF!)/6</f>
        <v>#REF!</v>
      </c>
      <c r="E11" s="137" t="e">
        <f>(#REF!+'Summary FLT104'!E11+'Summary FLT110'!E11+#REF!+#REF!+#REF!)/6</f>
        <v>#REF!</v>
      </c>
      <c r="F11" s="137" t="e">
        <f>(#REF!+'Summary FLT104'!F11+'Summary FLT110'!F11+#REF!+#REF!+#REF!)/6</f>
        <v>#REF!</v>
      </c>
      <c r="G11" s="137" t="e">
        <f>(#REF!+'Summary FLT104'!G11+'Summary FLT110'!G11+#REF!+#REF!+#REF!)/6</f>
        <v>#REF!</v>
      </c>
      <c r="H11" s="137" t="e">
        <f>(#REF!+'Summary FLT104'!H11+'Summary FLT110'!H11+#REF!+#REF!+#REF!)/6</f>
        <v>#REF!</v>
      </c>
      <c r="I11" s="175" t="e">
        <f>I12*45%</f>
        <v>#REF!</v>
      </c>
      <c r="J11" s="136" t="e">
        <f>H11*$H$4</f>
        <v>#REF!</v>
      </c>
    </row>
    <row r="12" spans="1:13" ht="15.75" thickBot="1" x14ac:dyDescent="0.3">
      <c r="A12" s="133" t="s">
        <v>165</v>
      </c>
      <c r="B12" s="137" t="e">
        <f>(#REF!+'Summary FLT104'!B12+'Summary FLT110'!B12+#REF!+#REF!+#REF!)/6</f>
        <v>#REF!</v>
      </c>
      <c r="C12" s="137" t="e">
        <f>(#REF!+'Summary FLT104'!C12+'Summary FLT110'!C12+#REF!+#REF!+#REF!)/6</f>
        <v>#REF!</v>
      </c>
      <c r="D12" s="137" t="e">
        <f>(#REF!+'Summary FLT104'!D12+'Summary FLT110'!D12+#REF!+#REF!+#REF!)/6</f>
        <v>#REF!</v>
      </c>
      <c r="E12" s="137" t="e">
        <f>(#REF!+'Summary FLT104'!E12+'Summary FLT110'!E12+#REF!+#REF!+#REF!)/6</f>
        <v>#REF!</v>
      </c>
      <c r="F12" s="137" t="e">
        <f>(#REF!+'Summary FLT104'!F12+'Summary FLT110'!F12+#REF!+#REF!+#REF!)/6</f>
        <v>#REF!</v>
      </c>
      <c r="G12" s="137" t="e">
        <f>(#REF!+'Summary FLT104'!G12+'Summary FLT110'!G12+#REF!+#REF!+#REF!)/6</f>
        <v>#REF!</v>
      </c>
      <c r="H12" s="137" t="e">
        <f>(#REF!+'Summary FLT104'!H12+'Summary FLT110'!H12+#REF!+#REF!+#REF!)/6</f>
        <v>#REF!</v>
      </c>
      <c r="I12" s="246" t="e">
        <f>H11+H12</f>
        <v>#REF!</v>
      </c>
      <c r="J12" s="136" t="e">
        <f t="shared" ref="J12:J17" si="1">H12*$H$4</f>
        <v>#REF!</v>
      </c>
    </row>
    <row r="13" spans="1:13" ht="15.75" thickBot="1" x14ac:dyDescent="0.3">
      <c r="A13" s="133" t="s">
        <v>166</v>
      </c>
      <c r="B13" s="137" t="e">
        <f>(#REF!+'Summary FLT104'!B13+'Summary FLT110'!B13+#REF!+#REF!+#REF!)/6</f>
        <v>#REF!</v>
      </c>
      <c r="C13" s="137" t="e">
        <f>(#REF!+'Summary FLT104'!C13+'Summary FLT110'!C13+#REF!+#REF!+#REF!)/6</f>
        <v>#REF!</v>
      </c>
      <c r="D13" s="137" t="e">
        <f>(#REF!+'Summary FLT104'!D13+'Summary FLT110'!D13+#REF!+#REF!+#REF!)/6</f>
        <v>#REF!</v>
      </c>
      <c r="E13" s="137" t="e">
        <f>(#REF!+'Summary FLT104'!E13+'Summary FLT110'!E13+#REF!+#REF!+#REF!)/6</f>
        <v>#REF!</v>
      </c>
      <c r="F13" s="137" t="e">
        <f>(#REF!+'Summary FLT104'!F13+'Summary FLT110'!F13+#REF!+#REF!+#REF!)/6</f>
        <v>#REF!</v>
      </c>
      <c r="G13" s="137" t="e">
        <f>(#REF!+'Summary FLT104'!G13+'Summary FLT110'!G13+#REF!+#REF!+#REF!)/6</f>
        <v>#REF!</v>
      </c>
      <c r="H13" s="137" t="e">
        <f>(#REF!+'Summary FLT104'!H13+'Summary FLT110'!H13+#REF!+#REF!+#REF!)/6</f>
        <v>#REF!</v>
      </c>
      <c r="J13" s="136" t="e">
        <f t="shared" si="1"/>
        <v>#REF!</v>
      </c>
    </row>
    <row r="14" spans="1:13" ht="15.75" thickBot="1" x14ac:dyDescent="0.3">
      <c r="A14" s="133" t="s">
        <v>167</v>
      </c>
      <c r="B14" s="137" t="e">
        <f>(#REF!+'Summary FLT104'!B14+'Summary FLT110'!B14+#REF!+#REF!+#REF!)/6</f>
        <v>#REF!</v>
      </c>
      <c r="C14" s="137" t="e">
        <f>(#REF!+'Summary FLT104'!C14+'Summary FLT110'!C14+#REF!+#REF!+#REF!)/6</f>
        <v>#REF!</v>
      </c>
      <c r="D14" s="137" t="e">
        <f>(#REF!+'Summary FLT104'!D14+'Summary FLT110'!D14+#REF!+#REF!+#REF!)/6</f>
        <v>#REF!</v>
      </c>
      <c r="E14" s="137" t="e">
        <f>(#REF!+'Summary FLT104'!E14+'Summary FLT110'!E14+#REF!+#REF!+#REF!)/6</f>
        <v>#REF!</v>
      </c>
      <c r="F14" s="137" t="e">
        <f>(#REF!+'Summary FLT104'!F14+'Summary FLT110'!F14+#REF!+#REF!+#REF!)/6</f>
        <v>#REF!</v>
      </c>
      <c r="G14" s="137" t="e">
        <f>(#REF!+'Summary FLT104'!G14+'Summary FLT110'!G14+#REF!+#REF!+#REF!)/6</f>
        <v>#REF!</v>
      </c>
      <c r="H14" s="137" t="e">
        <f>(#REF!+'Summary FLT104'!H14+'Summary FLT110'!H14+#REF!+#REF!+#REF!)/6</f>
        <v>#REF!</v>
      </c>
      <c r="J14" s="136" t="e">
        <f t="shared" si="1"/>
        <v>#REF!</v>
      </c>
      <c r="L14" s="155" t="s">
        <v>168</v>
      </c>
      <c r="M14" s="155"/>
    </row>
    <row r="15" spans="1:13" ht="15.75" thickBot="1" x14ac:dyDescent="0.3">
      <c r="A15" s="133" t="s">
        <v>169</v>
      </c>
      <c r="B15" s="137" t="e">
        <f>(#REF!+'Summary FLT104'!B15+'Summary FLT110'!B15+#REF!+#REF!+#REF!)/6</f>
        <v>#REF!</v>
      </c>
      <c r="C15" s="137" t="e">
        <f>(#REF!+'Summary FLT104'!C15+'Summary FLT110'!C15+#REF!+#REF!+#REF!)/6</f>
        <v>#REF!</v>
      </c>
      <c r="D15" s="137" t="e">
        <f>(#REF!+'Summary FLT104'!D15+'Summary FLT110'!D15+#REF!+#REF!+#REF!)/6</f>
        <v>#REF!</v>
      </c>
      <c r="E15" s="137" t="e">
        <f>(#REF!+'Summary FLT104'!E15+'Summary FLT110'!E15+#REF!+#REF!+#REF!)/6</f>
        <v>#REF!</v>
      </c>
      <c r="F15" s="137" t="e">
        <f>(#REF!+'Summary FLT104'!F15+'Summary FLT110'!F15+#REF!+#REF!+#REF!)/6</f>
        <v>#REF!</v>
      </c>
      <c r="G15" s="137" t="e">
        <f>(#REF!+'Summary FLT104'!G15+'Summary FLT110'!G15+#REF!+#REF!+#REF!)/6</f>
        <v>#REF!</v>
      </c>
      <c r="H15" s="137" t="e">
        <f>(#REF!+'Summary FLT104'!H15+'Summary FLT110'!H15+#REF!+#REF!+#REF!)/6</f>
        <v>#REF!</v>
      </c>
      <c r="I15" s="175"/>
      <c r="J15" s="136" t="e">
        <f t="shared" si="1"/>
        <v>#REF!</v>
      </c>
      <c r="L15" s="234" t="e">
        <f>J12+J15</f>
        <v>#REF!</v>
      </c>
      <c r="M15" s="236">
        <v>1</v>
      </c>
    </row>
    <row r="16" spans="1:13" ht="15.75" thickBot="1" x14ac:dyDescent="0.3">
      <c r="A16" s="133" t="s">
        <v>170</v>
      </c>
      <c r="B16" s="137" t="e">
        <f>(#REF!+'Summary FLT104'!B16+'Summary FLT110'!B16+#REF!+#REF!+#REF!)/6</f>
        <v>#REF!</v>
      </c>
      <c r="C16" s="137" t="e">
        <f>(#REF!+'Summary FLT104'!C16+'Summary FLT110'!C16+#REF!+#REF!+#REF!)/6</f>
        <v>#REF!</v>
      </c>
      <c r="D16" s="137" t="e">
        <f>(#REF!+'Summary FLT104'!D16+'Summary FLT110'!D16+#REF!+#REF!+#REF!)/6</f>
        <v>#REF!</v>
      </c>
      <c r="E16" s="137" t="e">
        <f>(#REF!+'Summary FLT104'!E16+'Summary FLT110'!E16+#REF!+#REF!+#REF!)/6</f>
        <v>#REF!</v>
      </c>
      <c r="F16" s="137" t="e">
        <f>(#REF!+'Summary FLT104'!F16+'Summary FLT110'!F16+#REF!+#REF!+#REF!)/6</f>
        <v>#REF!</v>
      </c>
      <c r="G16" s="137" t="e">
        <f>(#REF!+'Summary FLT104'!G16+'Summary FLT110'!G16+#REF!+#REF!+#REF!)/6</f>
        <v>#REF!</v>
      </c>
      <c r="H16" s="137" t="e">
        <f>(#REF!+'Summary FLT104'!H16+'Summary FLT110'!H16+#REF!+#REF!+#REF!)/6</f>
        <v>#REF!</v>
      </c>
      <c r="I16" s="153"/>
      <c r="J16" s="136" t="e">
        <f t="shared" si="1"/>
        <v>#REF!</v>
      </c>
      <c r="L16" s="235" t="e">
        <f>L15*M16</f>
        <v>#REF!</v>
      </c>
      <c r="M16" s="236">
        <v>0.8</v>
      </c>
    </row>
    <row r="17" spans="1:13" ht="15.75" thickBot="1" x14ac:dyDescent="0.3">
      <c r="A17" s="156" t="s">
        <v>171</v>
      </c>
      <c r="B17" s="157" t="e">
        <f>SUM(B11:B16)</f>
        <v>#REF!</v>
      </c>
      <c r="C17" s="157" t="e">
        <f>SUM(C11:C16)</f>
        <v>#REF!</v>
      </c>
      <c r="D17" s="157" t="e">
        <f>SUM(D10:D16)</f>
        <v>#REF!</v>
      </c>
      <c r="E17" s="157" t="e">
        <f>SUM(E10:E16)</f>
        <v>#REF!</v>
      </c>
      <c r="F17" s="157" t="e">
        <f>SUM(F10:F16)</f>
        <v>#REF!</v>
      </c>
      <c r="G17" s="157" t="e">
        <f>SUM(G10:G16)</f>
        <v>#REF!</v>
      </c>
      <c r="H17" s="157" t="e">
        <f>SUM(H10:H16)</f>
        <v>#REF!</v>
      </c>
      <c r="J17" s="226" t="e">
        <f t="shared" si="1"/>
        <v>#REF!</v>
      </c>
      <c r="L17" s="235" t="e">
        <f>L15*M17</f>
        <v>#REF!</v>
      </c>
      <c r="M17" s="236">
        <v>0.2</v>
      </c>
    </row>
    <row r="18" spans="1:13" ht="15.75" thickBot="1" x14ac:dyDescent="0.3">
      <c r="A18" s="214"/>
      <c r="B18" s="215" t="e">
        <f>B17</f>
        <v>#REF!</v>
      </c>
      <c r="C18" s="215" t="e">
        <f>C17</f>
        <v>#REF!</v>
      </c>
      <c r="D18" s="215" t="e">
        <f>D17</f>
        <v>#REF!</v>
      </c>
      <c r="E18" s="215" t="e">
        <f>E17-E15-E16</f>
        <v>#REF!</v>
      </c>
      <c r="F18" s="215" t="e">
        <f>F17</f>
        <v>#REF!</v>
      </c>
      <c r="G18" s="215" t="e">
        <f>G17</f>
        <v>#REF!</v>
      </c>
      <c r="H18" s="215"/>
      <c r="I18" s="215" t="e">
        <f>E15+E16</f>
        <v>#REF!</v>
      </c>
      <c r="J18" s="215"/>
      <c r="L18" s="233"/>
    </row>
    <row r="19" spans="1:13" ht="15.75" thickBot="1" x14ac:dyDescent="0.3">
      <c r="A19" s="155" t="s">
        <v>172</v>
      </c>
      <c r="B19" s="218" t="s">
        <v>173</v>
      </c>
      <c r="C19" s="218" t="s">
        <v>174</v>
      </c>
      <c r="D19" s="218" t="s">
        <v>175</v>
      </c>
      <c r="E19" s="152"/>
      <c r="F19" s="152"/>
      <c r="G19" s="152"/>
      <c r="H19" s="154"/>
      <c r="I19" s="152" t="e">
        <f>E16</f>
        <v>#REF!</v>
      </c>
    </row>
    <row r="20" spans="1:13" ht="15.75" thickBot="1" x14ac:dyDescent="0.3">
      <c r="A20" s="216" t="s">
        <v>176</v>
      </c>
      <c r="B20" s="137" t="e">
        <f>(#REF!+'Summary FLT104'!B20+'Summary FLT110'!B20+#REF!+#REF!+#REF!+'Summary 2037'!B20+'Summary 2817'!B20)/8</f>
        <v>#REF!</v>
      </c>
      <c r="C20" s="217" t="e">
        <f>B20*'P&amp;L'!$R$10</f>
        <v>#REF!</v>
      </c>
      <c r="D20" s="217" t="e">
        <f>SUM(B20:C20)</f>
        <v>#REF!</v>
      </c>
      <c r="G20" s="175"/>
    </row>
    <row r="21" spans="1:13" ht="15.75" hidden="1" thickBot="1" x14ac:dyDescent="0.3">
      <c r="A21" s="156" t="s">
        <v>177</v>
      </c>
      <c r="B21" s="137" t="e">
        <f>Handling!#REF!</f>
        <v>#REF!</v>
      </c>
      <c r="C21" s="137" t="e">
        <f>Handling!#REF!</f>
        <v>#REF!</v>
      </c>
      <c r="D21" s="137" t="e">
        <f>Handling!#REF!</f>
        <v>#REF!</v>
      </c>
      <c r="G21" s="175"/>
    </row>
    <row r="22" spans="1:13" ht="15.75" hidden="1" thickBot="1" x14ac:dyDescent="0.3">
      <c r="A22" s="156" t="s">
        <v>178</v>
      </c>
      <c r="B22" s="137" t="e">
        <f>Handling!#REF!</f>
        <v>#REF!</v>
      </c>
      <c r="C22" s="137" t="e">
        <f>Handling!#REF!</f>
        <v>#REF!</v>
      </c>
      <c r="D22" s="137" t="e">
        <f>Handling!#REF!</f>
        <v>#REF!</v>
      </c>
    </row>
    <row r="23" spans="1:13" ht="15.75" thickBot="1" x14ac:dyDescent="0.3"/>
    <row r="24" spans="1:13" ht="15.75" thickBot="1" x14ac:dyDescent="0.3">
      <c r="A24" s="133" t="s">
        <v>179</v>
      </c>
      <c r="B24" s="137">
        <f>IFERROR(((B11+B12+B13+B14)/B8),0)</f>
        <v>0</v>
      </c>
      <c r="C24" s="137">
        <f>IFERROR(((C11+C12+C13+C14)/C8),0)</f>
        <v>0</v>
      </c>
      <c r="D24" s="137">
        <f>IFERROR(((D10+D11+D12+D13+D14)/D8),0)</f>
        <v>0</v>
      </c>
      <c r="E24" s="137">
        <f>IFERROR(((E10+E11+E12+E13+E14)/E8),0)</f>
        <v>0</v>
      </c>
      <c r="F24" s="137">
        <f>IFERROR(((F10+F11+F12+F13+F14)/F8),0)</f>
        <v>0</v>
      </c>
      <c r="G24" s="137">
        <f>IFERROR(((G10+G11+G12+G13+G14)/G8),0)</f>
        <v>0</v>
      </c>
    </row>
    <row r="25" spans="1:13" ht="15.75" thickBot="1" x14ac:dyDescent="0.3">
      <c r="A25" s="133" t="s">
        <v>180</v>
      </c>
      <c r="B25" s="137">
        <f t="shared" ref="B25:G25" si="2">IFERROR(((B13+B14)/B8),0)</f>
        <v>0</v>
      </c>
      <c r="C25" s="137">
        <f t="shared" si="2"/>
        <v>0</v>
      </c>
      <c r="D25" s="137">
        <f t="shared" si="2"/>
        <v>0</v>
      </c>
      <c r="E25" s="137">
        <f t="shared" si="2"/>
        <v>0</v>
      </c>
      <c r="F25" s="137">
        <f t="shared" si="2"/>
        <v>0</v>
      </c>
      <c r="G25" s="137">
        <f t="shared" si="2"/>
        <v>0</v>
      </c>
    </row>
    <row r="26" spans="1:13" ht="15.75" thickBot="1" x14ac:dyDescent="0.3">
      <c r="A26" s="133" t="s">
        <v>181</v>
      </c>
      <c r="B26" s="137">
        <f t="shared" ref="B26:G26" si="3">IFERROR((B10/B8),0)</f>
        <v>0</v>
      </c>
      <c r="C26" s="137">
        <f t="shared" si="3"/>
        <v>0</v>
      </c>
      <c r="D26" s="137">
        <f t="shared" si="3"/>
        <v>0</v>
      </c>
      <c r="E26" s="137">
        <f t="shared" si="3"/>
        <v>0</v>
      </c>
      <c r="F26" s="137">
        <f t="shared" si="3"/>
        <v>0</v>
      </c>
      <c r="G26" s="137">
        <f t="shared" si="3"/>
        <v>0</v>
      </c>
    </row>
    <row r="27" spans="1:13" s="230" customFormat="1" x14ac:dyDescent="0.25">
      <c r="A27" s="231"/>
      <c r="B27" s="232"/>
      <c r="C27" s="232"/>
      <c r="D27" s="232"/>
      <c r="E27" s="232"/>
      <c r="F27" s="232"/>
      <c r="G27" s="232"/>
    </row>
    <row r="28" spans="1:13" x14ac:dyDescent="0.25">
      <c r="B28" s="156" t="s">
        <v>182</v>
      </c>
      <c r="C28" s="156" t="s">
        <v>183</v>
      </c>
    </row>
    <row r="29" spans="1:13" ht="15.75" thickBot="1" x14ac:dyDescent="0.3">
      <c r="A29" s="156" t="s">
        <v>184</v>
      </c>
      <c r="B29" s="156">
        <f>'P&amp;L'!R5</f>
        <v>1</v>
      </c>
      <c r="C29" s="156"/>
    </row>
    <row r="30" spans="1:13" ht="15.75" thickBot="1" x14ac:dyDescent="0.3">
      <c r="A30" s="133" t="s">
        <v>163</v>
      </c>
      <c r="B30" s="137" t="e">
        <f>(#REF!+'Summary FLT104'!B30+'Summary FLT110'!B30+#REF!+#REF!+#REF!)/6</f>
        <v>#REF!</v>
      </c>
      <c r="C30" s="137" t="e">
        <f>(#REF!+'Summary FLT104'!C30+'Summary FLT110'!C30+#REF!+#REF!+#REF!)/6</f>
        <v>#REF!</v>
      </c>
      <c r="D30" s="137" t="e">
        <f>(#REF!+'Summary FLT104'!D30+'Summary FLT110'!D30+#REF!+#REF!+#REF!)/6</f>
        <v>#REF!</v>
      </c>
      <c r="E30" s="137" t="e">
        <f>(#REF!+'Summary FLT104'!E30+'Summary FLT110'!E30+#REF!+#REF!+#REF!)/6</f>
        <v>#REF!</v>
      </c>
      <c r="F30" s="137" t="e">
        <f>(#REF!+'Summary FLT104'!F30+'Summary FLT110'!F30+#REF!+#REF!+#REF!)/6</f>
        <v>#REF!</v>
      </c>
      <c r="G30" s="137" t="e">
        <f>(#REF!+'Summary FLT104'!G30+'Summary FLT110'!G30+#REF!+#REF!+#REF!)/6</f>
        <v>#REF!</v>
      </c>
    </row>
    <row r="31" spans="1:13" ht="15.75" thickBot="1" x14ac:dyDescent="0.3">
      <c r="A31" s="133" t="s">
        <v>164</v>
      </c>
      <c r="B31" s="137" t="e">
        <f>(#REF!+'Summary FLT104'!B31+'Summary FLT110'!B31+#REF!+#REF!+#REF!)/6</f>
        <v>#REF!</v>
      </c>
      <c r="C31" s="137" t="e">
        <f>(#REF!+'Summary FLT104'!C31+'Summary FLT110'!C31+#REF!+#REF!+#REF!)/6</f>
        <v>#REF!</v>
      </c>
      <c r="D31" s="137" t="e">
        <f>(#REF!+'Summary FLT104'!D31+'Summary FLT110'!D31+#REF!+#REF!+#REF!)/6</f>
        <v>#REF!</v>
      </c>
      <c r="E31" s="137" t="e">
        <f>(#REF!+'Summary FLT104'!E31+'Summary FLT110'!E31+#REF!+#REF!+#REF!)/6</f>
        <v>#REF!</v>
      </c>
      <c r="F31" s="137" t="e">
        <f>(#REF!+'Summary FLT104'!F31+'Summary FLT110'!F31+#REF!+#REF!+#REF!)/6</f>
        <v>#REF!</v>
      </c>
      <c r="G31" s="137" t="e">
        <f>(#REF!+'Summary FLT104'!G31+'Summary FLT110'!G31+#REF!+#REF!+#REF!)/6</f>
        <v>#REF!</v>
      </c>
    </row>
    <row r="32" spans="1:13" ht="15.75" thickBot="1" x14ac:dyDescent="0.3">
      <c r="A32" s="133" t="s">
        <v>165</v>
      </c>
      <c r="B32" s="137" t="e">
        <f>(#REF!+'Summary FLT104'!B32+'Summary FLT110'!B32+#REF!+#REF!+#REF!)/6</f>
        <v>#REF!</v>
      </c>
      <c r="C32" s="137" t="e">
        <f>(#REF!+'Summary FLT104'!C32+'Summary FLT110'!C32+#REF!+#REF!+#REF!)/6</f>
        <v>#REF!</v>
      </c>
      <c r="D32" s="137" t="e">
        <f>(#REF!+'Summary FLT104'!D32+'Summary FLT110'!D32+#REF!+#REF!+#REF!)/6</f>
        <v>#REF!</v>
      </c>
      <c r="E32" s="137" t="e">
        <f>(#REF!+'Summary FLT104'!E32+'Summary FLT110'!E32+#REF!+#REF!+#REF!)/6</f>
        <v>#REF!</v>
      </c>
      <c r="F32" s="137" t="e">
        <f>(#REF!+'Summary FLT104'!F32+'Summary FLT110'!F32+#REF!+#REF!+#REF!)/6</f>
        <v>#REF!</v>
      </c>
      <c r="G32" s="137" t="e">
        <f>(#REF!+'Summary FLT104'!G32+'Summary FLT110'!G32+#REF!+#REF!+#REF!)/6</f>
        <v>#REF!</v>
      </c>
    </row>
    <row r="33" spans="1:7" ht="15.75" thickBot="1" x14ac:dyDescent="0.3">
      <c r="A33" s="133" t="s">
        <v>185</v>
      </c>
      <c r="B33" s="137" t="e">
        <f>(#REF!+'Summary FLT104'!B33+'Summary FLT110'!B33+#REF!+#REF!+#REF!)/6</f>
        <v>#REF!</v>
      </c>
      <c r="C33" s="137" t="e">
        <f>(#REF!+'Summary FLT104'!C33+'Summary FLT110'!C33+#REF!+#REF!+#REF!)/6</f>
        <v>#REF!</v>
      </c>
      <c r="D33" s="137" t="e">
        <f>(#REF!+'Summary FLT104'!D33+'Summary FLT110'!D33+#REF!+#REF!+#REF!)/6</f>
        <v>#REF!</v>
      </c>
      <c r="E33" s="137" t="e">
        <f>(#REF!+'Summary FLT104'!E33+'Summary FLT110'!E33+#REF!+#REF!+#REF!)/6</f>
        <v>#REF!</v>
      </c>
      <c r="F33" s="137" t="e">
        <f>(#REF!+'Summary FLT104'!F33+'Summary FLT110'!F33+#REF!+#REF!+#REF!)/6</f>
        <v>#REF!</v>
      </c>
      <c r="G33" s="137" t="e">
        <f>(#REF!+'Summary FLT104'!G33+'Summary FLT110'!G33+#REF!+#REF!+#REF!)/6</f>
        <v>#REF!</v>
      </c>
    </row>
    <row r="34" spans="1:7" ht="15.75" thickBot="1" x14ac:dyDescent="0.3">
      <c r="A34" s="133" t="s">
        <v>186</v>
      </c>
      <c r="B34" s="137" t="e">
        <f>(#REF!+'Summary FLT104'!B34+'Summary FLT110'!B34+#REF!+#REF!+#REF!)/6</f>
        <v>#REF!</v>
      </c>
      <c r="C34" s="137" t="e">
        <f>(#REF!+'Summary FLT104'!C34+'Summary FLT110'!C34+#REF!+#REF!+#REF!)/6</f>
        <v>#REF!</v>
      </c>
      <c r="D34" s="137" t="e">
        <f>(#REF!+'Summary FLT104'!D34+'Summary FLT110'!D34+#REF!+#REF!+#REF!)/6</f>
        <v>#REF!</v>
      </c>
      <c r="E34" s="137" t="e">
        <f>(#REF!+'Summary FLT104'!E34+'Summary FLT110'!E34+#REF!+#REF!+#REF!)/6</f>
        <v>#REF!</v>
      </c>
      <c r="F34" s="137" t="e">
        <f>(#REF!+'Summary FLT104'!F34+'Summary FLT110'!F34+#REF!+#REF!+#REF!)/6</f>
        <v>#REF!</v>
      </c>
      <c r="G34" s="137" t="e">
        <f>(#REF!+'Summary FLT104'!G34+'Summary FLT110'!G34+#REF!+#REF!+#REF!)/6</f>
        <v>#REF!</v>
      </c>
    </row>
    <row r="35" spans="1:7" x14ac:dyDescent="0.25">
      <c r="A35" s="148"/>
      <c r="B35" s="149"/>
      <c r="C35" s="149"/>
      <c r="D35" s="149"/>
      <c r="E35" s="149"/>
      <c r="F35" s="149"/>
      <c r="G35" s="149"/>
    </row>
    <row r="36" spans="1:7" ht="15.75" thickBot="1" x14ac:dyDescent="0.3">
      <c r="A36" s="156" t="s">
        <v>187</v>
      </c>
    </row>
    <row r="37" spans="1:7" ht="15.75" thickBot="1" x14ac:dyDescent="0.3">
      <c r="A37" s="133" t="s">
        <v>163</v>
      </c>
      <c r="B37" s="137">
        <f>'P&amp;L'!$K$30</f>
        <v>0</v>
      </c>
      <c r="C37" s="137">
        <f>'P&amp;L'!$L$30</f>
        <v>0</v>
      </c>
      <c r="D37" s="137">
        <f>'P&amp;L'!$M$30</f>
        <v>0</v>
      </c>
      <c r="E37" s="137">
        <f>'P&amp;L'!$N$30</f>
        <v>0</v>
      </c>
      <c r="F37" s="137">
        <f>'P&amp;L'!$O$30</f>
        <v>0</v>
      </c>
      <c r="G37" s="137">
        <f>'P&amp;L'!$P$30</f>
        <v>0</v>
      </c>
    </row>
    <row r="38" spans="1:7" ht="15.75" thickBot="1" x14ac:dyDescent="0.3">
      <c r="A38" s="133" t="s">
        <v>164</v>
      </c>
      <c r="B38" s="137" t="str">
        <f t="shared" ref="B38:G38" si="4">IFERROR(B31/B7," ")</f>
        <v xml:space="preserve"> </v>
      </c>
      <c r="C38" s="137" t="str">
        <f t="shared" si="4"/>
        <v xml:space="preserve"> </v>
      </c>
      <c r="D38" s="137" t="str">
        <f t="shared" si="4"/>
        <v xml:space="preserve"> </v>
      </c>
      <c r="E38" s="137" t="str">
        <f t="shared" si="4"/>
        <v xml:space="preserve"> </v>
      </c>
      <c r="F38" s="137" t="str">
        <f t="shared" si="4"/>
        <v xml:space="preserve"> </v>
      </c>
      <c r="G38" s="137" t="str">
        <f t="shared" si="4"/>
        <v xml:space="preserve"> </v>
      </c>
    </row>
    <row r="39" spans="1:7" ht="15.75" thickBot="1" x14ac:dyDescent="0.3">
      <c r="A39" s="133" t="s">
        <v>165</v>
      </c>
      <c r="B39" s="137" t="str">
        <f t="shared" ref="B39:G39" si="5">IFERROR(B32/B7," ")</f>
        <v xml:space="preserve"> </v>
      </c>
      <c r="C39" s="137" t="str">
        <f t="shared" si="5"/>
        <v xml:space="preserve"> </v>
      </c>
      <c r="D39" s="137" t="str">
        <f t="shared" si="5"/>
        <v xml:space="preserve"> </v>
      </c>
      <c r="E39" s="137" t="str">
        <f t="shared" si="5"/>
        <v xml:space="preserve"> </v>
      </c>
      <c r="F39" s="137" t="str">
        <f t="shared" si="5"/>
        <v xml:space="preserve"> </v>
      </c>
      <c r="G39" s="137" t="str">
        <f t="shared" si="5"/>
        <v xml:space="preserve"> </v>
      </c>
    </row>
    <row r="40" spans="1:7" ht="15.75" thickBot="1" x14ac:dyDescent="0.3">
      <c r="A40" s="133" t="s">
        <v>185</v>
      </c>
      <c r="B40" s="137" t="str">
        <f>IFERROR(B33/B8," ")</f>
        <v xml:space="preserve"> </v>
      </c>
      <c r="C40" s="137" t="str">
        <f>IFERROR(C33/C7," ")</f>
        <v xml:space="preserve"> </v>
      </c>
      <c r="D40" s="137" t="str">
        <f>IFERROR(D33/D7," ")</f>
        <v xml:space="preserve"> </v>
      </c>
      <c r="E40" s="137" t="str">
        <f>IFERROR(E33/E7," ")</f>
        <v xml:space="preserve"> </v>
      </c>
      <c r="F40" s="137" t="str">
        <f>IFERROR(F33/F7," ")</f>
        <v xml:space="preserve"> </v>
      </c>
      <c r="G40" s="137" t="str">
        <f>IFERROR(G33/G7," ")</f>
        <v xml:space="preserve"> </v>
      </c>
    </row>
    <row r="41" spans="1:7" ht="15.75" thickBot="1" x14ac:dyDescent="0.3">
      <c r="A41" s="133" t="s">
        <v>186</v>
      </c>
      <c r="B41" s="137" t="str">
        <f t="shared" ref="B41:G41" si="6">IFERROR(B34/B7," ")</f>
        <v xml:space="preserve"> </v>
      </c>
      <c r="C41" s="137" t="str">
        <f t="shared" si="6"/>
        <v xml:space="preserve"> </v>
      </c>
      <c r="D41" s="137" t="str">
        <f t="shared" si="6"/>
        <v xml:space="preserve"> </v>
      </c>
      <c r="E41" s="137" t="str">
        <f t="shared" si="6"/>
        <v xml:space="preserve"> </v>
      </c>
      <c r="F41" s="137" t="str">
        <f t="shared" si="6"/>
        <v xml:space="preserve"> </v>
      </c>
      <c r="G41" s="137" t="str">
        <f t="shared" si="6"/>
        <v xml:space="preserve"> </v>
      </c>
    </row>
    <row r="42" spans="1:7" x14ac:dyDescent="0.25">
      <c r="B42" s="150"/>
      <c r="C42" s="150"/>
    </row>
    <row r="43" spans="1:7" x14ac:dyDescent="0.25">
      <c r="B43" s="150"/>
      <c r="C43" s="150"/>
    </row>
    <row r="108" spans="1:1" x14ac:dyDescent="0.25">
      <c r="A108" s="134">
        <v>388</v>
      </c>
    </row>
    <row r="109" spans="1:1" x14ac:dyDescent="0.25">
      <c r="A109" s="134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F5FD0-ADC6-440D-9EF2-90964C0A2BDC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 x14ac:dyDescent="0.25"/>
  <cols>
    <col min="1" max="1" width="24.28515625" style="134" bestFit="1" customWidth="1"/>
    <col min="2" max="2" width="10.7109375" style="134" bestFit="1" customWidth="1"/>
    <col min="3" max="3" width="15" style="134" bestFit="1" customWidth="1"/>
    <col min="4" max="5" width="12.5703125" style="134" bestFit="1" customWidth="1"/>
    <col min="6" max="6" width="10.7109375" style="134"/>
    <col min="7" max="7" width="15.7109375" style="134" customWidth="1"/>
    <col min="8" max="8" width="12.5703125" style="134" bestFit="1" customWidth="1"/>
    <col min="9" max="9" width="8.5703125" style="134" bestFit="1" customWidth="1"/>
    <col min="10" max="10" width="15.28515625" style="134" bestFit="1" customWidth="1"/>
    <col min="11" max="11" width="10.7109375" style="134"/>
    <col min="12" max="12" width="16.28515625" style="134" bestFit="1" customWidth="1"/>
    <col min="13" max="16384" width="10.7109375" style="134"/>
  </cols>
  <sheetData>
    <row r="1" spans="1:13" ht="15.75" thickBot="1" x14ac:dyDescent="0.3"/>
    <row r="2" spans="1:13" ht="15.75" thickBot="1" x14ac:dyDescent="0.3">
      <c r="A2" s="465" t="s">
        <v>142</v>
      </c>
      <c r="B2" s="28"/>
      <c r="C2" s="144"/>
      <c r="G2" s="139" t="s">
        <v>143</v>
      </c>
      <c r="H2" s="244">
        <v>0</v>
      </c>
      <c r="L2" s="241" t="s">
        <v>144</v>
      </c>
      <c r="M2" s="241" t="s">
        <v>7</v>
      </c>
    </row>
    <row r="3" spans="1:13" ht="15.75" thickBot="1" x14ac:dyDescent="0.3">
      <c r="A3" s="466"/>
      <c r="B3" s="167"/>
      <c r="C3" s="168"/>
      <c r="E3" s="139" t="s">
        <v>145</v>
      </c>
      <c r="F3" s="141">
        <v>738</v>
      </c>
      <c r="G3" s="139" t="s">
        <v>146</v>
      </c>
      <c r="H3" s="139">
        <f>H4/12</f>
        <v>0</v>
      </c>
      <c r="J3" s="227" t="s">
        <v>147</v>
      </c>
      <c r="L3" s="241">
        <v>737</v>
      </c>
      <c r="M3" s="241">
        <v>1</v>
      </c>
    </row>
    <row r="4" spans="1:13" ht="15.75" thickBot="1" x14ac:dyDescent="0.3">
      <c r="E4" s="139" t="s">
        <v>2</v>
      </c>
      <c r="F4" s="140">
        <f>'P&amp;L'!R4</f>
        <v>0.8</v>
      </c>
      <c r="G4" s="139" t="s">
        <v>148</v>
      </c>
      <c r="H4" s="139">
        <f>H2*52</f>
        <v>0</v>
      </c>
      <c r="J4" s="228">
        <f>H17*H4</f>
        <v>0</v>
      </c>
      <c r="L4" s="241"/>
      <c r="M4" s="241"/>
    </row>
    <row r="5" spans="1:13" ht="15.75" thickBot="1" x14ac:dyDescent="0.3">
      <c r="A5" s="135" t="s">
        <v>149</v>
      </c>
      <c r="L5" s="241"/>
      <c r="M5" s="241"/>
    </row>
    <row r="6" spans="1:13" ht="15.75" thickBot="1" x14ac:dyDescent="0.3">
      <c r="A6" s="155" t="s">
        <v>150</v>
      </c>
      <c r="B6" s="155" t="s">
        <v>43</v>
      </c>
      <c r="C6" s="155" t="s">
        <v>44</v>
      </c>
      <c r="D6" s="155" t="s">
        <v>45</v>
      </c>
      <c r="E6" s="155" t="s">
        <v>46</v>
      </c>
      <c r="F6" s="155" t="s">
        <v>47</v>
      </c>
      <c r="G6" s="155" t="s">
        <v>48</v>
      </c>
      <c r="H6" s="155" t="s">
        <v>151</v>
      </c>
      <c r="I6" s="154" t="s">
        <v>152</v>
      </c>
      <c r="L6" s="240"/>
      <c r="M6" s="240"/>
    </row>
    <row r="7" spans="1:13" ht="15.75" thickBot="1" x14ac:dyDescent="0.3">
      <c r="A7" s="133" t="s">
        <v>153</v>
      </c>
      <c r="B7" s="133">
        <f>+'FlightConfig '!B17</f>
        <v>0</v>
      </c>
      <c r="C7" s="133">
        <f>+'FlightConfig '!C17</f>
        <v>34</v>
      </c>
      <c r="D7" s="133">
        <f>+'FlightConfig '!D17</f>
        <v>48</v>
      </c>
      <c r="E7" s="133">
        <f>+'FlightConfig '!E17</f>
        <v>198</v>
      </c>
      <c r="F7" s="133">
        <f>+'FlightConfig '!F17</f>
        <v>0</v>
      </c>
      <c r="G7" s="133">
        <f>+'FlightConfig '!G17</f>
        <v>6</v>
      </c>
      <c r="H7" s="133">
        <f>SUM(B7:G7)</f>
        <v>286</v>
      </c>
      <c r="L7" s="240"/>
      <c r="M7" s="240"/>
    </row>
    <row r="8" spans="1:13" ht="15.75" thickBot="1" x14ac:dyDescent="0.3">
      <c r="A8" s="133" t="s">
        <v>154</v>
      </c>
      <c r="B8" s="133">
        <f t="shared" ref="B8:G8" si="0">ROUNDUP(B7*$F$4,0)</f>
        <v>0</v>
      </c>
      <c r="C8" s="133">
        <f t="shared" si="0"/>
        <v>28</v>
      </c>
      <c r="D8" s="133">
        <f t="shared" si="0"/>
        <v>39</v>
      </c>
      <c r="E8" s="133">
        <f t="shared" si="0"/>
        <v>159</v>
      </c>
      <c r="F8" s="133">
        <f t="shared" si="0"/>
        <v>0</v>
      </c>
      <c r="G8" s="133">
        <f t="shared" si="0"/>
        <v>5</v>
      </c>
      <c r="H8" s="133">
        <f>SUM(B8:G8)</f>
        <v>231</v>
      </c>
      <c r="L8" s="240"/>
      <c r="M8" s="240"/>
    </row>
    <row r="9" spans="1:13" ht="15.75" thickBot="1" x14ac:dyDescent="0.3">
      <c r="A9" s="275"/>
      <c r="B9" s="276" t="s">
        <v>155</v>
      </c>
      <c r="C9" s="276" t="s">
        <v>156</v>
      </c>
      <c r="D9" s="276" t="s">
        <v>157</v>
      </c>
      <c r="E9" s="276" t="s">
        <v>158</v>
      </c>
      <c r="F9" s="276" t="s">
        <v>159</v>
      </c>
      <c r="G9" s="276" t="s">
        <v>160</v>
      </c>
      <c r="H9" s="155" t="s">
        <v>161</v>
      </c>
      <c r="J9" s="155" t="s">
        <v>162</v>
      </c>
    </row>
    <row r="10" spans="1:13" ht="15.75" thickBot="1" x14ac:dyDescent="0.3">
      <c r="A10" s="133" t="s">
        <v>163</v>
      </c>
      <c r="B10" s="137">
        <f t="shared" ref="B10:G10" si="1">B37*B8</f>
        <v>0</v>
      </c>
      <c r="C10" s="137">
        <f t="shared" si="1"/>
        <v>0</v>
      </c>
      <c r="D10" s="137">
        <f t="shared" si="1"/>
        <v>0</v>
      </c>
      <c r="E10" s="137">
        <f t="shared" si="1"/>
        <v>0</v>
      </c>
      <c r="F10" s="137">
        <f t="shared" si="1"/>
        <v>0</v>
      </c>
      <c r="G10" s="137">
        <f t="shared" si="1"/>
        <v>0</v>
      </c>
      <c r="H10" s="136">
        <f t="shared" ref="H10:H16" si="2">SUM(B10:G10)</f>
        <v>0</v>
      </c>
      <c r="J10" s="136">
        <f>H10*$H$4</f>
        <v>0</v>
      </c>
    </row>
    <row r="11" spans="1:13" ht="15.75" thickBot="1" x14ac:dyDescent="0.3">
      <c r="A11" s="133" t="s">
        <v>164</v>
      </c>
      <c r="B11" s="137">
        <f>IFERROR(B38*B8,0)</f>
        <v>0</v>
      </c>
      <c r="C11" s="137">
        <f>IFERROR(C38*$C$8,0)</f>
        <v>0</v>
      </c>
      <c r="D11" s="137">
        <f>IFERROR(D38*$D$8,0)</f>
        <v>0</v>
      </c>
      <c r="E11" s="137">
        <f>IFERROR(E38*$E$8,0)</f>
        <v>0</v>
      </c>
      <c r="F11" s="137">
        <f>IFERROR(F38*$F$8,0)</f>
        <v>0</v>
      </c>
      <c r="G11" s="137">
        <f>IFERROR(G38*G8,0)</f>
        <v>0</v>
      </c>
      <c r="H11" s="136">
        <f t="shared" si="2"/>
        <v>0</v>
      </c>
      <c r="I11" s="175">
        <f>I12*45%</f>
        <v>0</v>
      </c>
      <c r="J11" s="136">
        <f>H11*$H$4</f>
        <v>0</v>
      </c>
    </row>
    <row r="12" spans="1:13" ht="15.75" thickBot="1" x14ac:dyDescent="0.3">
      <c r="A12" s="133" t="s">
        <v>165</v>
      </c>
      <c r="B12" s="137">
        <f>IFERROR(B39*B8,0)</f>
        <v>0</v>
      </c>
      <c r="C12" s="137">
        <f>IFERROR(C39*$C$8,0)</f>
        <v>0</v>
      </c>
      <c r="D12" s="137">
        <f>IFERROR(D39*$D$8,0)</f>
        <v>0</v>
      </c>
      <c r="E12" s="137">
        <f>IFERROR(E39*$E$8,0)</f>
        <v>0</v>
      </c>
      <c r="F12" s="137">
        <f>IFERROR(F39*$F$8,0)</f>
        <v>0</v>
      </c>
      <c r="G12" s="137">
        <f>IFERROR(G39*G8,0)</f>
        <v>0</v>
      </c>
      <c r="H12" s="136">
        <f t="shared" si="2"/>
        <v>0</v>
      </c>
      <c r="I12" s="246">
        <f>H11+H12</f>
        <v>0</v>
      </c>
      <c r="J12" s="136">
        <f t="shared" ref="J12:J17" si="3">H12*$H$4</f>
        <v>0</v>
      </c>
    </row>
    <row r="13" spans="1:13" ht="15.75" thickBot="1" x14ac:dyDescent="0.3">
      <c r="A13" s="133" t="s">
        <v>166</v>
      </c>
      <c r="B13" s="137" t="str">
        <f>IFERROR(B40*B8," ")</f>
        <v xml:space="preserve"> </v>
      </c>
      <c r="C13" s="137">
        <f>IFERROR(C40*$C$8,0)</f>
        <v>0</v>
      </c>
      <c r="D13" s="137">
        <f>IFERROR(D40*$D$8,0)</f>
        <v>0</v>
      </c>
      <c r="E13" s="137">
        <f>IFERROR(E40*$E$8,0)</f>
        <v>0</v>
      </c>
      <c r="F13" s="137">
        <f>IFERROR(F40*$F$8,0)</f>
        <v>0</v>
      </c>
      <c r="G13" s="137">
        <v>0</v>
      </c>
      <c r="H13" s="136">
        <f t="shared" si="2"/>
        <v>0</v>
      </c>
      <c r="J13" s="136">
        <f t="shared" si="3"/>
        <v>0</v>
      </c>
    </row>
    <row r="14" spans="1:13" ht="15.75" thickBot="1" x14ac:dyDescent="0.3">
      <c r="A14" s="133" t="s">
        <v>167</v>
      </c>
      <c r="B14" s="137" t="str">
        <f>IFERROR(B41*B8," ")</f>
        <v xml:space="preserve"> </v>
      </c>
      <c r="C14" s="137">
        <f>IFERROR(C41*$C$8,0)</f>
        <v>0</v>
      </c>
      <c r="D14" s="137">
        <f>IFERROR(D41*$D$8,0)</f>
        <v>0</v>
      </c>
      <c r="E14" s="137">
        <f>IFERROR(E41*$E$8,0)</f>
        <v>0</v>
      </c>
      <c r="F14" s="137">
        <f>IFERROR(F41*$F$8,0)</f>
        <v>0</v>
      </c>
      <c r="G14" s="137">
        <v>0</v>
      </c>
      <c r="H14" s="136">
        <f t="shared" si="2"/>
        <v>0</v>
      </c>
      <c r="J14" s="136">
        <f t="shared" si="3"/>
        <v>0</v>
      </c>
      <c r="L14" s="155" t="s">
        <v>168</v>
      </c>
      <c r="M14" s="155"/>
    </row>
    <row r="15" spans="1:13" ht="15.75" thickBot="1" x14ac:dyDescent="0.3">
      <c r="A15" s="133" t="s">
        <v>169</v>
      </c>
      <c r="B15" s="137">
        <v>0</v>
      </c>
      <c r="C15" s="137">
        <v>0</v>
      </c>
      <c r="D15" s="137">
        <v>0</v>
      </c>
      <c r="E15" s="137">
        <f>+B20</f>
        <v>0</v>
      </c>
      <c r="F15" s="137">
        <v>0</v>
      </c>
      <c r="G15" s="137">
        <v>0</v>
      </c>
      <c r="H15" s="136">
        <f t="shared" si="2"/>
        <v>0</v>
      </c>
      <c r="I15" s="175"/>
      <c r="J15" s="136">
        <f t="shared" si="3"/>
        <v>0</v>
      </c>
      <c r="L15" s="234">
        <f>J12+J15</f>
        <v>0</v>
      </c>
      <c r="M15" s="236">
        <v>1</v>
      </c>
    </row>
    <row r="16" spans="1:13" ht="15.75" thickBot="1" x14ac:dyDescent="0.3">
      <c r="A16" s="133" t="s">
        <v>170</v>
      </c>
      <c r="B16" s="138">
        <v>0</v>
      </c>
      <c r="C16" s="138">
        <v>0</v>
      </c>
      <c r="D16" s="138">
        <v>0</v>
      </c>
      <c r="E16" s="137">
        <f>+C20</f>
        <v>0</v>
      </c>
      <c r="F16" s="138">
        <v>0</v>
      </c>
      <c r="G16" s="138">
        <v>0</v>
      </c>
      <c r="H16" s="136">
        <f t="shared" si="2"/>
        <v>0</v>
      </c>
      <c r="I16" s="153"/>
      <c r="J16" s="136">
        <f t="shared" si="3"/>
        <v>0</v>
      </c>
      <c r="L16" s="235">
        <f>L15*M16</f>
        <v>0</v>
      </c>
      <c r="M16" s="236">
        <v>0.8</v>
      </c>
    </row>
    <row r="17" spans="1:13" ht="15.75" thickBot="1" x14ac:dyDescent="0.3">
      <c r="A17" s="156" t="s">
        <v>171</v>
      </c>
      <c r="B17" s="157">
        <f>SUM(B11:B16)</f>
        <v>0</v>
      </c>
      <c r="C17" s="157">
        <f>SUM(C11:C16)</f>
        <v>0</v>
      </c>
      <c r="D17" s="157">
        <f>SUM(D10:D16)</f>
        <v>0</v>
      </c>
      <c r="E17" s="157">
        <f>SUM(E10:E16)</f>
        <v>0</v>
      </c>
      <c r="F17" s="157">
        <f>SUM(F10:F16)</f>
        <v>0</v>
      </c>
      <c r="G17" s="157">
        <f>SUM(G10:G16)</f>
        <v>0</v>
      </c>
      <c r="H17" s="157">
        <f>SUM(H10:H16)</f>
        <v>0</v>
      </c>
      <c r="J17" s="226">
        <f t="shared" si="3"/>
        <v>0</v>
      </c>
      <c r="L17" s="235">
        <f>L15*M17</f>
        <v>0</v>
      </c>
      <c r="M17" s="236">
        <v>0.2</v>
      </c>
    </row>
    <row r="18" spans="1:13" ht="15.75" thickBot="1" x14ac:dyDescent="0.3">
      <c r="A18" s="214"/>
      <c r="B18" s="215">
        <f>B17</f>
        <v>0</v>
      </c>
      <c r="C18" s="215">
        <f>C17</f>
        <v>0</v>
      </c>
      <c r="D18" s="215">
        <f>D17</f>
        <v>0</v>
      </c>
      <c r="E18" s="215">
        <f>E17-E15-E16</f>
        <v>0</v>
      </c>
      <c r="F18" s="215">
        <f>F17</f>
        <v>0</v>
      </c>
      <c r="G18" s="215">
        <f>G17</f>
        <v>0</v>
      </c>
      <c r="H18" s="215"/>
      <c r="I18" s="215">
        <f>E15+E16</f>
        <v>0</v>
      </c>
      <c r="J18" s="215"/>
      <c r="L18" s="233"/>
    </row>
    <row r="19" spans="1:13" ht="15.75" thickBot="1" x14ac:dyDescent="0.3">
      <c r="A19" s="155" t="s">
        <v>172</v>
      </c>
      <c r="B19" s="218" t="s">
        <v>173</v>
      </c>
      <c r="C19" s="218" t="s">
        <v>174</v>
      </c>
      <c r="D19" s="218" t="s">
        <v>175</v>
      </c>
      <c r="E19" s="152"/>
      <c r="F19" s="152"/>
      <c r="G19" s="152"/>
      <c r="H19" s="154"/>
      <c r="I19" s="152">
        <f>E16</f>
        <v>0</v>
      </c>
    </row>
    <row r="20" spans="1:13" ht="15.75" thickBot="1" x14ac:dyDescent="0.3">
      <c r="A20" s="216" t="s">
        <v>188</v>
      </c>
      <c r="B20" s="217">
        <f>Handling!C56</f>
        <v>0</v>
      </c>
      <c r="C20" s="217">
        <f>B20*'P&amp;L'!$R$10</f>
        <v>0</v>
      </c>
      <c r="D20" s="217">
        <f>SUM(B20:C20)</f>
        <v>0</v>
      </c>
      <c r="G20" s="175"/>
    </row>
    <row r="21" spans="1:13" ht="15.75" hidden="1" thickBot="1" x14ac:dyDescent="0.3">
      <c r="A21" s="156" t="s">
        <v>177</v>
      </c>
      <c r="B21" s="137" t="e">
        <f>Handling!#REF!</f>
        <v>#REF!</v>
      </c>
      <c r="C21" s="137" t="e">
        <f>Handling!#REF!</f>
        <v>#REF!</v>
      </c>
      <c r="D21" s="137" t="e">
        <f>Handling!#REF!</f>
        <v>#REF!</v>
      </c>
      <c r="G21" s="175"/>
    </row>
    <row r="22" spans="1:13" ht="15.75" hidden="1" thickBot="1" x14ac:dyDescent="0.3">
      <c r="A22" s="156" t="s">
        <v>178</v>
      </c>
      <c r="B22" s="137" t="e">
        <f>Handling!#REF!</f>
        <v>#REF!</v>
      </c>
      <c r="C22" s="137" t="e">
        <f>Handling!#REF!</f>
        <v>#REF!</v>
      </c>
      <c r="D22" s="137" t="e">
        <f>Handling!#REF!</f>
        <v>#REF!</v>
      </c>
    </row>
    <row r="23" spans="1:13" ht="15.75" thickBot="1" x14ac:dyDescent="0.3"/>
    <row r="24" spans="1:13" ht="15.75" thickBot="1" x14ac:dyDescent="0.3">
      <c r="A24" s="133" t="s">
        <v>179</v>
      </c>
      <c r="B24" s="137">
        <f>IFERROR(((B11+B12+B13+B14)/B8),0)</f>
        <v>0</v>
      </c>
      <c r="C24" s="137">
        <f>IFERROR(((C11+C12+C13+C14)/C8),0)</f>
        <v>0</v>
      </c>
      <c r="D24" s="137">
        <f>IFERROR(((D10+D11+D12+D13+D14)/D8),0)</f>
        <v>0</v>
      </c>
      <c r="E24" s="137">
        <f>IFERROR(((E10+E11+E12+E13+E14)/E8),0)</f>
        <v>0</v>
      </c>
      <c r="F24" s="137">
        <f>IFERROR(((F10+F11+F12+F13+F14)/F8),0)</f>
        <v>0</v>
      </c>
      <c r="G24" s="137">
        <f>IFERROR(((G10+G11+G12+G13+G14)/G8),0)</f>
        <v>0</v>
      </c>
    </row>
    <row r="25" spans="1:13" ht="15.75" thickBot="1" x14ac:dyDescent="0.3">
      <c r="A25" s="133" t="s">
        <v>180</v>
      </c>
      <c r="B25" s="137">
        <f t="shared" ref="B25:G25" si="4">IFERROR(((B13+B14)/B8),0)</f>
        <v>0</v>
      </c>
      <c r="C25" s="137">
        <f t="shared" si="4"/>
        <v>0</v>
      </c>
      <c r="D25" s="137">
        <f t="shared" si="4"/>
        <v>0</v>
      </c>
      <c r="E25" s="137">
        <f t="shared" si="4"/>
        <v>0</v>
      </c>
      <c r="F25" s="137">
        <f t="shared" si="4"/>
        <v>0</v>
      </c>
      <c r="G25" s="137">
        <f t="shared" si="4"/>
        <v>0</v>
      </c>
    </row>
    <row r="26" spans="1:13" ht="15.75" thickBot="1" x14ac:dyDescent="0.3">
      <c r="A26" s="133" t="s">
        <v>181</v>
      </c>
      <c r="B26" s="137">
        <f t="shared" ref="B26:G26" si="5">IFERROR((B10/B8),0)</f>
        <v>0</v>
      </c>
      <c r="C26" s="137">
        <f t="shared" si="5"/>
        <v>0</v>
      </c>
      <c r="D26" s="137">
        <f t="shared" si="5"/>
        <v>0</v>
      </c>
      <c r="E26" s="137">
        <f t="shared" si="5"/>
        <v>0</v>
      </c>
      <c r="F26" s="137">
        <f t="shared" si="5"/>
        <v>0</v>
      </c>
      <c r="G26" s="137">
        <f t="shared" si="5"/>
        <v>0</v>
      </c>
    </row>
    <row r="27" spans="1:13" s="230" customFormat="1" x14ac:dyDescent="0.25">
      <c r="A27" s="231"/>
      <c r="B27" s="232"/>
      <c r="C27" s="232"/>
      <c r="D27" s="232"/>
      <c r="E27" s="232"/>
      <c r="F27" s="232"/>
      <c r="G27" s="232"/>
    </row>
    <row r="28" spans="1:13" x14ac:dyDescent="0.25">
      <c r="B28" s="156" t="s">
        <v>182</v>
      </c>
      <c r="C28" s="156" t="s">
        <v>183</v>
      </c>
    </row>
    <row r="29" spans="1:13" ht="15.75" thickBot="1" x14ac:dyDescent="0.3">
      <c r="A29" s="156" t="s">
        <v>184</v>
      </c>
      <c r="B29" s="156">
        <f>'P&amp;L'!R5</f>
        <v>1</v>
      </c>
      <c r="C29" s="156">
        <v>735</v>
      </c>
    </row>
    <row r="30" spans="1:13" ht="15.75" thickBot="1" x14ac:dyDescent="0.3">
      <c r="A30" s="133" t="s">
        <v>163</v>
      </c>
      <c r="B30" s="137">
        <f t="shared" ref="B30:G30" si="6">B37*B8</f>
        <v>0</v>
      </c>
      <c r="C30" s="137">
        <f t="shared" si="6"/>
        <v>0</v>
      </c>
      <c r="D30" s="137">
        <f t="shared" si="6"/>
        <v>0</v>
      </c>
      <c r="E30" s="137">
        <f t="shared" si="6"/>
        <v>0</v>
      </c>
      <c r="F30" s="137">
        <f t="shared" si="6"/>
        <v>0</v>
      </c>
      <c r="G30" s="137">
        <f t="shared" si="6"/>
        <v>0</v>
      </c>
    </row>
    <row r="31" spans="1:13" ht="15.75" thickBot="1" x14ac:dyDescent="0.3">
      <c r="A31" s="133" t="s">
        <v>164</v>
      </c>
      <c r="B31" s="137">
        <f>IFERROR(IF($B$29=$B$29,SUMIF(Food!$C:$C,B$9&amp;$B$29&amp;$C$29,Food!$X:$X),0),"")</f>
        <v>0</v>
      </c>
      <c r="C31" s="137">
        <f>IFERROR(IF($B$29=$B$29,SUMIF(Food!$C:$C,C$9&amp;$B$29&amp;$C$29,Food!$X:$X),0),"")</f>
        <v>0</v>
      </c>
      <c r="D31" s="137">
        <f>IFERROR(IF($B$29=$B$29,SUMIF(Food!$C:$C,D$9&amp;$B$29&amp;$C$29,Food!$X:$X),0),"")</f>
        <v>0</v>
      </c>
      <c r="E31" s="137">
        <f>IFERROR(IF($B$29=$B$29,SUMIF(Food!$C:$C,E$9&amp;$B$29&amp;$C$29,Food!$X:$X),0),"")</f>
        <v>0</v>
      </c>
      <c r="F31" s="137">
        <f>IFERROR(IF($B$29=$B$29,SUMIF(Food!$C:$C,F$9&amp;$B$29&amp;$C$29,Food!$X:$X),0),"")</f>
        <v>0</v>
      </c>
      <c r="G31" s="137">
        <f>IFERROR(IF($B$29=$B$29,SUMIF(Food!$C:$C,G$9&amp;$B$29&amp;$C$29,Food!$X:$X),0),"")</f>
        <v>0</v>
      </c>
    </row>
    <row r="32" spans="1:13" ht="15.75" thickBot="1" x14ac:dyDescent="0.3">
      <c r="A32" s="133" t="s">
        <v>165</v>
      </c>
      <c r="B32" s="137">
        <f>IFERROR(IF($B$29=$B$29,SUMIF(Food!$C:$C,B$9&amp;$B$29&amp;$C$29,Food!$Z:$Z),0),"")</f>
        <v>0</v>
      </c>
      <c r="C32" s="137">
        <f>IFERROR(IF($B$29=$B$29,SUMIF(Food!$C:$C,C$9&amp;$B$29&amp;$C$29,Food!$Z:$Z),0),"")</f>
        <v>0</v>
      </c>
      <c r="D32" s="137">
        <f>IFERROR(IF($B$29=$B$29,SUMIF(Food!$C:$C,D$9&amp;$B$29&amp;$C$29,Food!$Z:$Z),0),"")</f>
        <v>0</v>
      </c>
      <c r="E32" s="137">
        <f>IFERROR(IF($B$29=$B$29,SUMIF(Food!$C:$C,E$9&amp;$B$29&amp;$C$29,Food!$Z:$Z),0),"")</f>
        <v>0</v>
      </c>
      <c r="F32" s="137">
        <f>IFERROR(IF($B$29=$B$29,SUMIF(Food!$C:$C,F$9&amp;$B$29&amp;$C$29,Food!$Z:$Z),0),"")</f>
        <v>0</v>
      </c>
      <c r="G32" s="137">
        <f>IFERROR(IF($B$29=$B$29,SUMIF(Food!$C:$C,G$9&amp;$B$29&amp;$C$29,Food!$Z:$Z),0),"")</f>
        <v>0</v>
      </c>
    </row>
    <row r="33" spans="1:7" ht="15.75" thickBot="1" x14ac:dyDescent="0.3">
      <c r="A33" s="133" t="s">
        <v>185</v>
      </c>
      <c r="B33" s="137">
        <f>IFERROR(IF($B$29=$B$29,SUMIF(Food!$C:$C,B$9&amp;$B$29&amp;$C$29,Food!$AB:$AB),0),"")</f>
        <v>0</v>
      </c>
      <c r="C33" s="137">
        <f>IFERROR(IF($B$29=$B$29,SUMIF(Food!$C:$C,C$9&amp;$B$29&amp;$C$29,Food!$AB:$AB),0),"")</f>
        <v>0</v>
      </c>
      <c r="D33" s="137">
        <f>IFERROR(IF($B$29=$B$29,SUMIF(Food!$C:$C,D$9&amp;$B$29&amp;$C$29,Food!$AB:$AB),0),"")</f>
        <v>0</v>
      </c>
      <c r="E33" s="137">
        <f>IFERROR(IF($B$29=$B$29,SUMIF(Food!$C:$C,E$9&amp;$B$29&amp;$C$29,Food!$AB:$AB),0),"")</f>
        <v>0</v>
      </c>
      <c r="F33" s="137">
        <f>IFERROR(IF($B$29=$B$29,SUMIF(Food!$C:$C,F$9&amp;$B$29&amp;$C$29,Food!$AB:$AB),0),"")</f>
        <v>0</v>
      </c>
      <c r="G33" s="137">
        <f>IFERROR(IF($B$29=$B$29,SUMIF(Food!$C:$C,G$9&amp;$B$29&amp;$C$29,Food!$O:$O),0),"")</f>
        <v>0</v>
      </c>
    </row>
    <row r="34" spans="1:7" ht="15.75" thickBot="1" x14ac:dyDescent="0.3">
      <c r="A34" s="133" t="s">
        <v>186</v>
      </c>
      <c r="B34" s="137">
        <f>IFERROR(IF($B$29=$B$29,SUMIF(Food!$C:$C,B$9&amp;$B$29&amp;$C$29,Food!$AC:$AC),0),"")</f>
        <v>0</v>
      </c>
      <c r="C34" s="137">
        <f>IFERROR(IF($B$29=$B$29,SUMIF(Food!$C:$C,C$9&amp;$B$29&amp;$C$29,Food!$AC:$AC),0),"")</f>
        <v>0</v>
      </c>
      <c r="D34" s="137">
        <f>IFERROR(IF($B$29=$B$29,SUMIF(Food!$C:$C,D$9&amp;$B$29&amp;$C$29,Food!$AC:$AC),0),"")</f>
        <v>0</v>
      </c>
      <c r="E34" s="137">
        <f>IFERROR(IF($B$29=$B$29,SUMIF(Food!$C:$C,E$9&amp;$B$29&amp;$C$29,Food!$AC:$AC),0),"")</f>
        <v>0</v>
      </c>
      <c r="F34" s="137">
        <f>IFERROR(IF($B$29=$B$29,SUMIF(Food!$C:$C,F$9&amp;$B$29&amp;$C$29,Food!$AC:$AC),0),"")</f>
        <v>0</v>
      </c>
      <c r="G34" s="137">
        <f>IFERROR(IF($B$29=$B$29,SUMIF(Food!$C:$C,G$9&amp;$B$29&amp;$C$29,Food!$P:$P),0),"")</f>
        <v>0</v>
      </c>
    </row>
    <row r="35" spans="1:7" x14ac:dyDescent="0.25">
      <c r="A35" s="148"/>
      <c r="B35" s="149"/>
      <c r="C35" s="149"/>
      <c r="D35" s="149"/>
      <c r="E35" s="149"/>
      <c r="F35" s="149"/>
      <c r="G35" s="149"/>
    </row>
    <row r="36" spans="1:7" ht="15.75" thickBot="1" x14ac:dyDescent="0.3">
      <c r="A36" s="156" t="s">
        <v>187</v>
      </c>
    </row>
    <row r="37" spans="1:7" ht="15.75" thickBot="1" x14ac:dyDescent="0.3">
      <c r="A37" s="133" t="s">
        <v>163</v>
      </c>
      <c r="B37" s="137">
        <f>'P&amp;L'!$K$30</f>
        <v>0</v>
      </c>
      <c r="C37" s="137">
        <f>'P&amp;L'!$L$30</f>
        <v>0</v>
      </c>
      <c r="D37" s="137">
        <f>'P&amp;L'!$M$30</f>
        <v>0</v>
      </c>
      <c r="E37" s="137">
        <f>'P&amp;L'!$N$30</f>
        <v>0</v>
      </c>
      <c r="F37" s="137">
        <f>'P&amp;L'!$O$30</f>
        <v>0</v>
      </c>
      <c r="G37" s="137">
        <f>'P&amp;L'!$P$30</f>
        <v>0</v>
      </c>
    </row>
    <row r="38" spans="1:7" ht="15.75" thickBot="1" x14ac:dyDescent="0.3">
      <c r="A38" s="133" t="s">
        <v>164</v>
      </c>
      <c r="B38" s="137" t="str">
        <f t="shared" ref="B38:G38" si="7">IFERROR(B31/B7," ")</f>
        <v xml:space="preserve"> </v>
      </c>
      <c r="C38" s="137">
        <f t="shared" si="7"/>
        <v>0</v>
      </c>
      <c r="D38" s="137">
        <f t="shared" si="7"/>
        <v>0</v>
      </c>
      <c r="E38" s="137">
        <f t="shared" si="7"/>
        <v>0</v>
      </c>
      <c r="F38" s="137" t="str">
        <f t="shared" si="7"/>
        <v xml:space="preserve"> </v>
      </c>
      <c r="G38" s="137">
        <f t="shared" si="7"/>
        <v>0</v>
      </c>
    </row>
    <row r="39" spans="1:7" ht="15.75" thickBot="1" x14ac:dyDescent="0.3">
      <c r="A39" s="133" t="s">
        <v>165</v>
      </c>
      <c r="B39" s="137" t="str">
        <f t="shared" ref="B39:G39" si="8">IFERROR(B32/B7," ")</f>
        <v xml:space="preserve"> </v>
      </c>
      <c r="C39" s="137">
        <f t="shared" si="8"/>
        <v>0</v>
      </c>
      <c r="D39" s="137">
        <f t="shared" si="8"/>
        <v>0</v>
      </c>
      <c r="E39" s="137">
        <f t="shared" si="8"/>
        <v>0</v>
      </c>
      <c r="F39" s="137" t="str">
        <f t="shared" si="8"/>
        <v xml:space="preserve"> </v>
      </c>
      <c r="G39" s="137">
        <f t="shared" si="8"/>
        <v>0</v>
      </c>
    </row>
    <row r="40" spans="1:7" ht="15.75" thickBot="1" x14ac:dyDescent="0.3">
      <c r="A40" s="133" t="s">
        <v>185</v>
      </c>
      <c r="B40" s="137" t="str">
        <f>IFERROR(B33/B8," ")</f>
        <v xml:space="preserve"> </v>
      </c>
      <c r="C40" s="137">
        <f>IFERROR(C33/C7," ")</f>
        <v>0</v>
      </c>
      <c r="D40" s="137">
        <f>IFERROR(D33/D7," ")</f>
        <v>0</v>
      </c>
      <c r="E40" s="137">
        <f>IFERROR(E33/E7," ")</f>
        <v>0</v>
      </c>
      <c r="F40" s="137" t="str">
        <f>IFERROR(F33/F7," ")</f>
        <v xml:space="preserve"> </v>
      </c>
      <c r="G40" s="137">
        <f>IFERROR(G33/G7," ")</f>
        <v>0</v>
      </c>
    </row>
    <row r="41" spans="1:7" ht="15.75" thickBot="1" x14ac:dyDescent="0.3">
      <c r="A41" s="133" t="s">
        <v>186</v>
      </c>
      <c r="B41" s="137" t="str">
        <f t="shared" ref="B41:G41" si="9">IFERROR(B34/B7," ")</f>
        <v xml:space="preserve"> </v>
      </c>
      <c r="C41" s="137">
        <f t="shared" si="9"/>
        <v>0</v>
      </c>
      <c r="D41" s="137">
        <f t="shared" si="9"/>
        <v>0</v>
      </c>
      <c r="E41" s="137">
        <f t="shared" si="9"/>
        <v>0</v>
      </c>
      <c r="F41" s="137" t="str">
        <f t="shared" si="9"/>
        <v xml:space="preserve"> </v>
      </c>
      <c r="G41" s="137">
        <f t="shared" si="9"/>
        <v>0</v>
      </c>
    </row>
    <row r="42" spans="1:7" x14ac:dyDescent="0.25">
      <c r="B42" s="150"/>
      <c r="C42" s="150"/>
    </row>
    <row r="43" spans="1:7" x14ac:dyDescent="0.25">
      <c r="B43" s="150"/>
      <c r="C43" s="150"/>
    </row>
    <row r="108" spans="1:1" x14ac:dyDescent="0.25">
      <c r="A108" s="134">
        <v>388</v>
      </c>
    </row>
    <row r="109" spans="1:1" x14ac:dyDescent="0.25">
      <c r="A109" s="134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2F381-1FC3-44AD-8E87-E8817164C2AE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 x14ac:dyDescent="0.25"/>
  <cols>
    <col min="1" max="1" width="24.28515625" style="134" bestFit="1" customWidth="1"/>
    <col min="2" max="2" width="10.7109375" style="134" bestFit="1" customWidth="1"/>
    <col min="3" max="3" width="15" style="134" bestFit="1" customWidth="1"/>
    <col min="4" max="5" width="12.5703125" style="134" bestFit="1" customWidth="1"/>
    <col min="6" max="6" width="10.7109375" style="134"/>
    <col min="7" max="7" width="15.7109375" style="134" customWidth="1"/>
    <col min="8" max="8" width="12.5703125" style="134" bestFit="1" customWidth="1"/>
    <col min="9" max="9" width="8.5703125" style="134" bestFit="1" customWidth="1"/>
    <col min="10" max="10" width="15.28515625" style="134" bestFit="1" customWidth="1"/>
    <col min="11" max="11" width="10.7109375" style="134"/>
    <col min="12" max="12" width="16.28515625" style="134" bestFit="1" customWidth="1"/>
    <col min="13" max="16384" width="10.7109375" style="134"/>
  </cols>
  <sheetData>
    <row r="1" spans="1:13" ht="15.75" thickBot="1" x14ac:dyDescent="0.3"/>
    <row r="2" spans="1:13" ht="15.75" thickBot="1" x14ac:dyDescent="0.3">
      <c r="A2" s="465" t="s">
        <v>142</v>
      </c>
      <c r="B2" s="28"/>
      <c r="C2" s="144"/>
      <c r="G2" s="139" t="s">
        <v>143</v>
      </c>
      <c r="H2" s="244">
        <v>0</v>
      </c>
      <c r="L2" s="241" t="s">
        <v>144</v>
      </c>
      <c r="M2" s="241" t="s">
        <v>7</v>
      </c>
    </row>
    <row r="3" spans="1:13" ht="15.75" thickBot="1" x14ac:dyDescent="0.3">
      <c r="A3" s="466"/>
      <c r="B3" s="167"/>
      <c r="C3" s="168"/>
      <c r="E3" s="139" t="s">
        <v>145</v>
      </c>
      <c r="F3" s="141">
        <v>738</v>
      </c>
      <c r="G3" s="139" t="s">
        <v>146</v>
      </c>
      <c r="H3" s="139">
        <f>H4/12</f>
        <v>0</v>
      </c>
      <c r="J3" s="227" t="s">
        <v>147</v>
      </c>
      <c r="L3" s="241">
        <v>737</v>
      </c>
      <c r="M3" s="241">
        <v>1</v>
      </c>
    </row>
    <row r="4" spans="1:13" ht="15.75" thickBot="1" x14ac:dyDescent="0.3">
      <c r="E4" s="139" t="s">
        <v>2</v>
      </c>
      <c r="F4" s="140">
        <f>'P&amp;L'!R4</f>
        <v>0.8</v>
      </c>
      <c r="G4" s="139" t="s">
        <v>148</v>
      </c>
      <c r="H4" s="139">
        <f>H2*52</f>
        <v>0</v>
      </c>
      <c r="J4" s="228">
        <f>H17*H4</f>
        <v>0</v>
      </c>
      <c r="L4" s="241"/>
      <c r="M4" s="241"/>
    </row>
    <row r="5" spans="1:13" ht="15.75" thickBot="1" x14ac:dyDescent="0.3">
      <c r="A5" s="135" t="s">
        <v>149</v>
      </c>
      <c r="L5" s="241"/>
      <c r="M5" s="241"/>
    </row>
    <row r="6" spans="1:13" ht="15.75" thickBot="1" x14ac:dyDescent="0.3">
      <c r="A6" s="155" t="s">
        <v>150</v>
      </c>
      <c r="B6" s="155" t="s">
        <v>43</v>
      </c>
      <c r="C6" s="155" t="s">
        <v>44</v>
      </c>
      <c r="D6" s="155" t="s">
        <v>45</v>
      </c>
      <c r="E6" s="155" t="s">
        <v>46</v>
      </c>
      <c r="F6" s="155" t="s">
        <v>47</v>
      </c>
      <c r="G6" s="155" t="s">
        <v>48</v>
      </c>
      <c r="H6" s="155" t="s">
        <v>151</v>
      </c>
      <c r="I6" s="154" t="s">
        <v>152</v>
      </c>
      <c r="L6" s="240"/>
      <c r="M6" s="240"/>
    </row>
    <row r="7" spans="1:13" ht="15.75" thickBot="1" x14ac:dyDescent="0.3">
      <c r="A7" s="133" t="s">
        <v>153</v>
      </c>
      <c r="B7" s="133">
        <f>+'FlightConfig '!B17</f>
        <v>0</v>
      </c>
      <c r="C7" s="133">
        <f>+'FlightConfig '!C17</f>
        <v>34</v>
      </c>
      <c r="D7" s="133">
        <f>+'FlightConfig '!D17</f>
        <v>48</v>
      </c>
      <c r="E7" s="133">
        <f>+'FlightConfig '!E17</f>
        <v>198</v>
      </c>
      <c r="F7" s="133">
        <f>+'FlightConfig '!F17</f>
        <v>0</v>
      </c>
      <c r="G7" s="133">
        <f>+'FlightConfig '!G17</f>
        <v>6</v>
      </c>
      <c r="H7" s="133">
        <f>SUM(B7:G7)</f>
        <v>286</v>
      </c>
      <c r="L7" s="240"/>
      <c r="M7" s="240"/>
    </row>
    <row r="8" spans="1:13" ht="15.75" thickBot="1" x14ac:dyDescent="0.3">
      <c r="A8" s="133" t="s">
        <v>154</v>
      </c>
      <c r="B8" s="133">
        <f t="shared" ref="B8:G8" si="0">ROUNDUP(B7*$F$4,0)</f>
        <v>0</v>
      </c>
      <c r="C8" s="133">
        <f t="shared" si="0"/>
        <v>28</v>
      </c>
      <c r="D8" s="133">
        <f t="shared" si="0"/>
        <v>39</v>
      </c>
      <c r="E8" s="133">
        <f t="shared" si="0"/>
        <v>159</v>
      </c>
      <c r="F8" s="133">
        <f t="shared" si="0"/>
        <v>0</v>
      </c>
      <c r="G8" s="133">
        <f t="shared" si="0"/>
        <v>5</v>
      </c>
      <c r="H8" s="133">
        <f>SUM(B8:G8)</f>
        <v>231</v>
      </c>
      <c r="L8" s="240"/>
      <c r="M8" s="240"/>
    </row>
    <row r="9" spans="1:13" ht="15.75" thickBot="1" x14ac:dyDescent="0.3">
      <c r="A9" s="275"/>
      <c r="B9" s="276" t="s">
        <v>155</v>
      </c>
      <c r="C9" s="276" t="s">
        <v>156</v>
      </c>
      <c r="D9" s="276" t="s">
        <v>157</v>
      </c>
      <c r="E9" s="276" t="s">
        <v>158</v>
      </c>
      <c r="F9" s="276" t="s">
        <v>159</v>
      </c>
      <c r="G9" s="276" t="s">
        <v>160</v>
      </c>
      <c r="H9" s="155" t="s">
        <v>161</v>
      </c>
      <c r="J9" s="155" t="s">
        <v>162</v>
      </c>
    </row>
    <row r="10" spans="1:13" ht="15.75" thickBot="1" x14ac:dyDescent="0.3">
      <c r="A10" s="133" t="s">
        <v>163</v>
      </c>
      <c r="B10" s="137">
        <f t="shared" ref="B10:G10" si="1">B37*B8</f>
        <v>0</v>
      </c>
      <c r="C10" s="137">
        <f t="shared" si="1"/>
        <v>0</v>
      </c>
      <c r="D10" s="137">
        <f t="shared" si="1"/>
        <v>0</v>
      </c>
      <c r="E10" s="137">
        <f t="shared" si="1"/>
        <v>0</v>
      </c>
      <c r="F10" s="137">
        <f t="shared" si="1"/>
        <v>0</v>
      </c>
      <c r="G10" s="137">
        <f t="shared" si="1"/>
        <v>0</v>
      </c>
      <c r="H10" s="136">
        <f t="shared" ref="H10:H16" si="2">SUM(B10:G10)</f>
        <v>0</v>
      </c>
      <c r="J10" s="136">
        <f>H10*$H$4</f>
        <v>0</v>
      </c>
    </row>
    <row r="11" spans="1:13" ht="15.75" thickBot="1" x14ac:dyDescent="0.3">
      <c r="A11" s="133" t="s">
        <v>164</v>
      </c>
      <c r="B11" s="137">
        <f>IFERROR(B38*B8,0)</f>
        <v>0</v>
      </c>
      <c r="C11" s="137">
        <f>IFERROR(C38*$C$8,0)</f>
        <v>0</v>
      </c>
      <c r="D11" s="137">
        <f>IFERROR(D38*$D$8,0)</f>
        <v>0</v>
      </c>
      <c r="E11" s="137">
        <f>IFERROR(E38*$E$8,0)</f>
        <v>0</v>
      </c>
      <c r="F11" s="137">
        <f>IFERROR(F38*$F$8,0)</f>
        <v>0</v>
      </c>
      <c r="G11" s="137">
        <f>IFERROR(G38*G8,0)</f>
        <v>0</v>
      </c>
      <c r="H11" s="136">
        <f t="shared" si="2"/>
        <v>0</v>
      </c>
      <c r="I11" s="175">
        <f>I12*45%</f>
        <v>0</v>
      </c>
      <c r="J11" s="136">
        <f>H11*$H$4</f>
        <v>0</v>
      </c>
    </row>
    <row r="12" spans="1:13" ht="15.75" thickBot="1" x14ac:dyDescent="0.3">
      <c r="A12" s="133" t="s">
        <v>165</v>
      </c>
      <c r="B12" s="137">
        <f>IFERROR(B39*B8,0)</f>
        <v>0</v>
      </c>
      <c r="C12" s="137">
        <f>IFERROR(C39*$C$8,0)</f>
        <v>0</v>
      </c>
      <c r="D12" s="137">
        <f>IFERROR(D39*$D$8,0)</f>
        <v>0</v>
      </c>
      <c r="E12" s="137">
        <f>IFERROR(E39*$E$8,0)</f>
        <v>0</v>
      </c>
      <c r="F12" s="137">
        <f>IFERROR(F39*$F$8,0)</f>
        <v>0</v>
      </c>
      <c r="G12" s="137">
        <f>IFERROR(G39*G8,0)</f>
        <v>0</v>
      </c>
      <c r="H12" s="136">
        <f t="shared" si="2"/>
        <v>0</v>
      </c>
      <c r="I12" s="246">
        <f>H11+H12</f>
        <v>0</v>
      </c>
      <c r="J12" s="136">
        <f t="shared" ref="J12:J17" si="3">H12*$H$4</f>
        <v>0</v>
      </c>
    </row>
    <row r="13" spans="1:13" ht="15.75" thickBot="1" x14ac:dyDescent="0.3">
      <c r="A13" s="133" t="s">
        <v>166</v>
      </c>
      <c r="B13" s="137" t="str">
        <f>IFERROR(B40*B8," ")</f>
        <v xml:space="preserve"> </v>
      </c>
      <c r="C13" s="137">
        <f>IFERROR(C40*$C$8,0)</f>
        <v>0</v>
      </c>
      <c r="D13" s="137">
        <f>IFERROR(D40*$D$8,0)</f>
        <v>0</v>
      </c>
      <c r="E13" s="137">
        <f>IFERROR(E40*$E$8,0)</f>
        <v>0</v>
      </c>
      <c r="F13" s="137">
        <f>IFERROR(F40*$F$8,0)</f>
        <v>0</v>
      </c>
      <c r="G13" s="137">
        <v>0</v>
      </c>
      <c r="H13" s="136">
        <f t="shared" si="2"/>
        <v>0</v>
      </c>
      <c r="J13" s="136">
        <f t="shared" si="3"/>
        <v>0</v>
      </c>
    </row>
    <row r="14" spans="1:13" ht="15.75" thickBot="1" x14ac:dyDescent="0.3">
      <c r="A14" s="133" t="s">
        <v>167</v>
      </c>
      <c r="B14" s="137" t="str">
        <f>IFERROR(B41*B8," ")</f>
        <v xml:space="preserve"> </v>
      </c>
      <c r="C14" s="137">
        <f>IFERROR(C41*$C$8,0)</f>
        <v>0</v>
      </c>
      <c r="D14" s="137">
        <f>IFERROR(D41*$D$8,0)</f>
        <v>0</v>
      </c>
      <c r="E14" s="137">
        <f>IFERROR(E41*$E$8,0)</f>
        <v>0</v>
      </c>
      <c r="F14" s="137">
        <f>IFERROR(F41*$F$8,0)</f>
        <v>0</v>
      </c>
      <c r="G14" s="137">
        <v>0</v>
      </c>
      <c r="H14" s="136">
        <f t="shared" si="2"/>
        <v>0</v>
      </c>
      <c r="J14" s="136">
        <f t="shared" si="3"/>
        <v>0</v>
      </c>
      <c r="L14" s="155" t="s">
        <v>168</v>
      </c>
      <c r="M14" s="155"/>
    </row>
    <row r="15" spans="1:13" ht="15.75" thickBot="1" x14ac:dyDescent="0.3">
      <c r="A15" s="133" t="s">
        <v>169</v>
      </c>
      <c r="B15" s="137">
        <v>0</v>
      </c>
      <c r="C15" s="137">
        <v>0</v>
      </c>
      <c r="D15" s="137">
        <v>0</v>
      </c>
      <c r="E15" s="137">
        <f>+B20</f>
        <v>0</v>
      </c>
      <c r="F15" s="137">
        <v>0</v>
      </c>
      <c r="G15" s="137">
        <v>0</v>
      </c>
      <c r="H15" s="136">
        <f t="shared" si="2"/>
        <v>0</v>
      </c>
      <c r="I15" s="175"/>
      <c r="J15" s="136">
        <f t="shared" si="3"/>
        <v>0</v>
      </c>
      <c r="L15" s="234">
        <f>J12+J15</f>
        <v>0</v>
      </c>
      <c r="M15" s="236">
        <v>1</v>
      </c>
    </row>
    <row r="16" spans="1:13" ht="15.75" thickBot="1" x14ac:dyDescent="0.3">
      <c r="A16" s="133" t="s">
        <v>170</v>
      </c>
      <c r="B16" s="138">
        <v>0</v>
      </c>
      <c r="C16" s="138">
        <v>0</v>
      </c>
      <c r="D16" s="138">
        <v>0</v>
      </c>
      <c r="E16" s="137">
        <f>+C20</f>
        <v>0</v>
      </c>
      <c r="F16" s="138">
        <v>0</v>
      </c>
      <c r="G16" s="138">
        <v>0</v>
      </c>
      <c r="H16" s="136">
        <f t="shared" si="2"/>
        <v>0</v>
      </c>
      <c r="I16" s="153"/>
      <c r="J16" s="136">
        <f t="shared" si="3"/>
        <v>0</v>
      </c>
      <c r="L16" s="235">
        <f>L15*M16</f>
        <v>0</v>
      </c>
      <c r="M16" s="236">
        <v>0.8</v>
      </c>
    </row>
    <row r="17" spans="1:13" ht="15.75" thickBot="1" x14ac:dyDescent="0.3">
      <c r="A17" s="156" t="s">
        <v>171</v>
      </c>
      <c r="B17" s="157">
        <f>SUM(B11:B16)</f>
        <v>0</v>
      </c>
      <c r="C17" s="157">
        <f>SUM(C11:C16)</f>
        <v>0</v>
      </c>
      <c r="D17" s="157">
        <f>SUM(D10:D16)</f>
        <v>0</v>
      </c>
      <c r="E17" s="157">
        <f>SUM(E10:E16)</f>
        <v>0</v>
      </c>
      <c r="F17" s="157">
        <f>SUM(F10:F16)</f>
        <v>0</v>
      </c>
      <c r="G17" s="157">
        <f>SUM(G10:G16)</f>
        <v>0</v>
      </c>
      <c r="H17" s="157">
        <f>SUM(H10:H16)</f>
        <v>0</v>
      </c>
      <c r="J17" s="226">
        <f t="shared" si="3"/>
        <v>0</v>
      </c>
      <c r="L17" s="235">
        <f>L15*M17</f>
        <v>0</v>
      </c>
      <c r="M17" s="236">
        <v>0.2</v>
      </c>
    </row>
    <row r="18" spans="1:13" ht="15.75" thickBot="1" x14ac:dyDescent="0.3">
      <c r="A18" s="214"/>
      <c r="B18" s="215">
        <f>B17</f>
        <v>0</v>
      </c>
      <c r="C18" s="215">
        <f>C17</f>
        <v>0</v>
      </c>
      <c r="D18" s="215">
        <f>D17</f>
        <v>0</v>
      </c>
      <c r="E18" s="215">
        <f>E17-E15-E16</f>
        <v>0</v>
      </c>
      <c r="F18" s="215">
        <f>F17</f>
        <v>0</v>
      </c>
      <c r="G18" s="215">
        <f>G17</f>
        <v>0</v>
      </c>
      <c r="H18" s="215"/>
      <c r="I18" s="215">
        <f>E15+E16</f>
        <v>0</v>
      </c>
      <c r="J18" s="215"/>
      <c r="L18" s="233"/>
    </row>
    <row r="19" spans="1:13" ht="15.75" thickBot="1" x14ac:dyDescent="0.3">
      <c r="A19" s="155" t="s">
        <v>172</v>
      </c>
      <c r="B19" s="218" t="s">
        <v>173</v>
      </c>
      <c r="C19" s="218" t="s">
        <v>174</v>
      </c>
      <c r="D19" s="218" t="s">
        <v>175</v>
      </c>
      <c r="E19" s="152"/>
      <c r="F19" s="152"/>
      <c r="G19" s="152"/>
      <c r="H19" s="154"/>
      <c r="I19" s="152">
        <f>E16</f>
        <v>0</v>
      </c>
    </row>
    <row r="20" spans="1:13" ht="15.75" thickBot="1" x14ac:dyDescent="0.3">
      <c r="A20" s="216" t="s">
        <v>188</v>
      </c>
      <c r="B20" s="217">
        <f>Handling!C56</f>
        <v>0</v>
      </c>
      <c r="C20" s="217">
        <f>B20*'P&amp;L'!$R$10</f>
        <v>0</v>
      </c>
      <c r="D20" s="217">
        <f>SUM(B20:C20)</f>
        <v>0</v>
      </c>
      <c r="G20" s="175"/>
    </row>
    <row r="21" spans="1:13" ht="15.75" hidden="1" thickBot="1" x14ac:dyDescent="0.3">
      <c r="A21" s="156" t="s">
        <v>177</v>
      </c>
      <c r="B21" s="137" t="e">
        <f>Handling!#REF!</f>
        <v>#REF!</v>
      </c>
      <c r="C21" s="137" t="e">
        <f>Handling!#REF!</f>
        <v>#REF!</v>
      </c>
      <c r="D21" s="137" t="e">
        <f>Handling!#REF!</f>
        <v>#REF!</v>
      </c>
      <c r="G21" s="175"/>
    </row>
    <row r="22" spans="1:13" ht="15.75" hidden="1" thickBot="1" x14ac:dyDescent="0.3">
      <c r="A22" s="156" t="s">
        <v>178</v>
      </c>
      <c r="B22" s="137" t="e">
        <f>Handling!#REF!</f>
        <v>#REF!</v>
      </c>
      <c r="C22" s="137" t="e">
        <f>Handling!#REF!</f>
        <v>#REF!</v>
      </c>
      <c r="D22" s="137" t="e">
        <f>Handling!#REF!</f>
        <v>#REF!</v>
      </c>
    </row>
    <row r="23" spans="1:13" ht="15.75" thickBot="1" x14ac:dyDescent="0.3"/>
    <row r="24" spans="1:13" ht="15.75" thickBot="1" x14ac:dyDescent="0.3">
      <c r="A24" s="133" t="s">
        <v>179</v>
      </c>
      <c r="B24" s="137">
        <f>IFERROR(((B11+B12+B13+B14)/B8),0)</f>
        <v>0</v>
      </c>
      <c r="C24" s="137">
        <f>IFERROR(((C11+C12+C13+C14)/C8),0)</f>
        <v>0</v>
      </c>
      <c r="D24" s="137">
        <f>IFERROR(((D10+D11+D12+D13+D14)/D8),0)</f>
        <v>0</v>
      </c>
      <c r="E24" s="137">
        <f>IFERROR(((E10+E11+E12+E13+E14)/E8),0)</f>
        <v>0</v>
      </c>
      <c r="F24" s="137">
        <f>IFERROR(((F10+F11+F12+F13+F14)/F8),0)</f>
        <v>0</v>
      </c>
      <c r="G24" s="137">
        <f>IFERROR(((G10+G11+G12+G13+G14)/G8),0)</f>
        <v>0</v>
      </c>
    </row>
    <row r="25" spans="1:13" ht="15.75" thickBot="1" x14ac:dyDescent="0.3">
      <c r="A25" s="133" t="s">
        <v>180</v>
      </c>
      <c r="B25" s="137">
        <f t="shared" ref="B25:G25" si="4">IFERROR(((B13+B14)/B8),0)</f>
        <v>0</v>
      </c>
      <c r="C25" s="137">
        <f t="shared" si="4"/>
        <v>0</v>
      </c>
      <c r="D25" s="137">
        <f t="shared" si="4"/>
        <v>0</v>
      </c>
      <c r="E25" s="137">
        <f t="shared" si="4"/>
        <v>0</v>
      </c>
      <c r="F25" s="137">
        <f t="shared" si="4"/>
        <v>0</v>
      </c>
      <c r="G25" s="137">
        <f t="shared" si="4"/>
        <v>0</v>
      </c>
    </row>
    <row r="26" spans="1:13" ht="15.75" thickBot="1" x14ac:dyDescent="0.3">
      <c r="A26" s="133" t="s">
        <v>181</v>
      </c>
      <c r="B26" s="137">
        <f t="shared" ref="B26:G26" si="5">IFERROR((B10/B8),0)</f>
        <v>0</v>
      </c>
      <c r="C26" s="137">
        <f t="shared" si="5"/>
        <v>0</v>
      </c>
      <c r="D26" s="137">
        <f t="shared" si="5"/>
        <v>0</v>
      </c>
      <c r="E26" s="137">
        <f t="shared" si="5"/>
        <v>0</v>
      </c>
      <c r="F26" s="137">
        <f t="shared" si="5"/>
        <v>0</v>
      </c>
      <c r="G26" s="137">
        <f t="shared" si="5"/>
        <v>0</v>
      </c>
    </row>
    <row r="27" spans="1:13" s="230" customFormat="1" x14ac:dyDescent="0.25">
      <c r="A27" s="231"/>
      <c r="B27" s="232"/>
      <c r="C27" s="232"/>
      <c r="D27" s="232"/>
      <c r="E27" s="232"/>
      <c r="F27" s="232"/>
      <c r="G27" s="232"/>
    </row>
    <row r="28" spans="1:13" x14ac:dyDescent="0.25">
      <c r="B28" s="156" t="s">
        <v>182</v>
      </c>
      <c r="C28" s="156" t="s">
        <v>183</v>
      </c>
    </row>
    <row r="29" spans="1:13" ht="15.75" thickBot="1" x14ac:dyDescent="0.3">
      <c r="A29" s="156" t="s">
        <v>184</v>
      </c>
      <c r="B29" s="156">
        <f>'P&amp;L'!R5</f>
        <v>1</v>
      </c>
      <c r="C29" s="156">
        <v>2221</v>
      </c>
    </row>
    <row r="30" spans="1:13" ht="15.75" thickBot="1" x14ac:dyDescent="0.3">
      <c r="A30" s="133" t="s">
        <v>163</v>
      </c>
      <c r="B30" s="137">
        <f t="shared" ref="B30:G30" si="6">B37*B8</f>
        <v>0</v>
      </c>
      <c r="C30" s="137">
        <f t="shared" si="6"/>
        <v>0</v>
      </c>
      <c r="D30" s="137">
        <f t="shared" si="6"/>
        <v>0</v>
      </c>
      <c r="E30" s="137">
        <f t="shared" si="6"/>
        <v>0</v>
      </c>
      <c r="F30" s="137">
        <f t="shared" si="6"/>
        <v>0</v>
      </c>
      <c r="G30" s="137">
        <f t="shared" si="6"/>
        <v>0</v>
      </c>
    </row>
    <row r="31" spans="1:13" ht="15.75" thickBot="1" x14ac:dyDescent="0.3">
      <c r="A31" s="133" t="s">
        <v>164</v>
      </c>
      <c r="B31" s="137">
        <f>IFERROR(IF($B$29=$B$29,SUMIF(Food!$C:$C,B$9&amp;$B$29&amp;$C$29,Food!$X:$X),0),"")</f>
        <v>0</v>
      </c>
      <c r="C31" s="137">
        <f>IFERROR(IF($B$29=$B$29,SUMIF(Food!$C:$C,C$9&amp;$B$29&amp;$C$29,Food!$X:$X),0),"")</f>
        <v>0</v>
      </c>
      <c r="D31" s="137">
        <f>IFERROR(IF($B$29=$B$29,SUMIF(Food!$C:$C,D$9&amp;$B$29&amp;$C$29,Food!$X:$X),0),"")</f>
        <v>0</v>
      </c>
      <c r="E31" s="137">
        <f>IFERROR(IF($B$29=$B$29,SUMIF(Food!$C:$C,E$9&amp;$B$29&amp;$C$29,Food!$X:$X),0),"")</f>
        <v>0</v>
      </c>
      <c r="F31" s="137">
        <f>IFERROR(IF($B$29=$B$29,SUMIF(Food!$C:$C,F$9&amp;$B$29&amp;$C$29,Food!$X:$X),0),"")</f>
        <v>0</v>
      </c>
      <c r="G31" s="137">
        <f>IFERROR(IF($B$29=$B$29,SUMIF(Food!$C:$C,G$9&amp;$B$29&amp;$C$29,Food!$X:$X),0),"")</f>
        <v>0</v>
      </c>
    </row>
    <row r="32" spans="1:13" ht="15.75" thickBot="1" x14ac:dyDescent="0.3">
      <c r="A32" s="133" t="s">
        <v>165</v>
      </c>
      <c r="B32" s="137">
        <f>IFERROR(IF($B$29=$B$29,SUMIF(Food!$C:$C,B$9&amp;$B$29&amp;$C$29,Food!$Z:$Z),0),"")</f>
        <v>0</v>
      </c>
      <c r="C32" s="137">
        <f>IFERROR(IF($B$29=$B$29,SUMIF(Food!$C:$C,C$9&amp;$B$29&amp;$C$29,Food!$Z:$Z),0),"")</f>
        <v>0</v>
      </c>
      <c r="D32" s="137">
        <f>IFERROR(IF($B$29=$B$29,SUMIF(Food!$C:$C,D$9&amp;$B$29&amp;$C$29,Food!$Z:$Z),0),"")</f>
        <v>0</v>
      </c>
      <c r="E32" s="137">
        <f>IFERROR(IF($B$29=$B$29,SUMIF(Food!$C:$C,E$9&amp;$B$29&amp;$C$29,Food!$Z:$Z),0),"")</f>
        <v>0</v>
      </c>
      <c r="F32" s="137">
        <f>IFERROR(IF($B$29=$B$29,SUMIF(Food!$C:$C,F$9&amp;$B$29&amp;$C$29,Food!$Z:$Z),0),"")</f>
        <v>0</v>
      </c>
      <c r="G32" s="137">
        <f>IFERROR(IF($B$29=$B$29,SUMIF(Food!$C:$C,G$9&amp;$B$29&amp;$C$29,Food!$Z:$Z),0),"")</f>
        <v>0</v>
      </c>
    </row>
    <row r="33" spans="1:7" ht="15.75" thickBot="1" x14ac:dyDescent="0.3">
      <c r="A33" s="133" t="s">
        <v>185</v>
      </c>
      <c r="B33" s="137">
        <f>IFERROR(IF($B$29=$B$29,SUMIF(Food!$C:$C,B$9&amp;$B$29&amp;$C$29,Food!$AB:$AB),0),"")</f>
        <v>0</v>
      </c>
      <c r="C33" s="137">
        <f>IFERROR(IF($B$29=$B$29,SUMIF(Food!$C:$C,C$9&amp;$B$29&amp;$C$29,Food!$AB:$AB),0),"")</f>
        <v>0</v>
      </c>
      <c r="D33" s="137">
        <f>IFERROR(IF($B$29=$B$29,SUMIF(Food!$C:$C,D$9&amp;$B$29&amp;$C$29,Food!$AB:$AB),0),"")</f>
        <v>0</v>
      </c>
      <c r="E33" s="137">
        <f>IFERROR(IF($B$29=$B$29,SUMIF(Food!$C:$C,E$9&amp;$B$29&amp;$C$29,Food!$AB:$AB),0),"")</f>
        <v>0</v>
      </c>
      <c r="F33" s="137">
        <f>IFERROR(IF($B$29=$B$29,SUMIF(Food!$C:$C,F$9&amp;$B$29&amp;$C$29,Food!$AB:$AB),0),"")</f>
        <v>0</v>
      </c>
      <c r="G33" s="137">
        <f>IFERROR(IF($B$29=$B$29,SUMIF(Food!$C:$C,G$9&amp;$B$29&amp;$C$29,Food!$O:$O),0),"")</f>
        <v>0</v>
      </c>
    </row>
    <row r="34" spans="1:7" ht="15.75" thickBot="1" x14ac:dyDescent="0.3">
      <c r="A34" s="133" t="s">
        <v>186</v>
      </c>
      <c r="B34" s="137">
        <f>IFERROR(IF($B$29=$B$29,SUMIF(Food!$C:$C,B$9&amp;$B$29&amp;$C$29,Food!$AC:$AC),0),"")</f>
        <v>0</v>
      </c>
      <c r="C34" s="137">
        <f>IFERROR(IF($B$29=$B$29,SUMIF(Food!$C:$C,C$9&amp;$B$29&amp;$C$29,Food!$AC:$AC),0),"")</f>
        <v>0</v>
      </c>
      <c r="D34" s="137">
        <f>IFERROR(IF($B$29=$B$29,SUMIF(Food!$C:$C,D$9&amp;$B$29&amp;$C$29,Food!$AC:$AC),0),"")</f>
        <v>0</v>
      </c>
      <c r="E34" s="137">
        <f>IFERROR(IF($B$29=$B$29,SUMIF(Food!$C:$C,E$9&amp;$B$29&amp;$C$29,Food!$AC:$AC),0),"")</f>
        <v>0</v>
      </c>
      <c r="F34" s="137">
        <f>IFERROR(IF($B$29=$B$29,SUMIF(Food!$C:$C,F$9&amp;$B$29&amp;$C$29,Food!$AC:$AC),0),"")</f>
        <v>0</v>
      </c>
      <c r="G34" s="137">
        <f>IFERROR(IF($B$29=$B$29,SUMIF(Food!$C:$C,G$9&amp;$B$29&amp;$C$29,Food!$P:$P),0),"")</f>
        <v>0</v>
      </c>
    </row>
    <row r="35" spans="1:7" x14ac:dyDescent="0.25">
      <c r="A35" s="148"/>
      <c r="B35" s="149"/>
      <c r="C35" s="149"/>
      <c r="D35" s="149"/>
      <c r="E35" s="149"/>
      <c r="F35" s="149"/>
      <c r="G35" s="149"/>
    </row>
    <row r="36" spans="1:7" ht="15.75" thickBot="1" x14ac:dyDescent="0.3">
      <c r="A36" s="156" t="s">
        <v>187</v>
      </c>
    </row>
    <row r="37" spans="1:7" ht="15.75" thickBot="1" x14ac:dyDescent="0.3">
      <c r="A37" s="133" t="s">
        <v>163</v>
      </c>
      <c r="B37" s="137">
        <f>'P&amp;L'!$K$30</f>
        <v>0</v>
      </c>
      <c r="C37" s="137">
        <f>'P&amp;L'!$L$30</f>
        <v>0</v>
      </c>
      <c r="D37" s="137">
        <f>'P&amp;L'!$M$30</f>
        <v>0</v>
      </c>
      <c r="E37" s="137">
        <f>'P&amp;L'!$N$30</f>
        <v>0</v>
      </c>
      <c r="F37" s="137">
        <f>'P&amp;L'!$O$30</f>
        <v>0</v>
      </c>
      <c r="G37" s="137">
        <f>'P&amp;L'!$P$30</f>
        <v>0</v>
      </c>
    </row>
    <row r="38" spans="1:7" ht="15.75" thickBot="1" x14ac:dyDescent="0.3">
      <c r="A38" s="133" t="s">
        <v>164</v>
      </c>
      <c r="B38" s="137" t="str">
        <f t="shared" ref="B38:G38" si="7">IFERROR(B31/B7," ")</f>
        <v xml:space="preserve"> </v>
      </c>
      <c r="C38" s="137">
        <f t="shared" si="7"/>
        <v>0</v>
      </c>
      <c r="D38" s="137">
        <f t="shared" si="7"/>
        <v>0</v>
      </c>
      <c r="E38" s="137">
        <f t="shared" si="7"/>
        <v>0</v>
      </c>
      <c r="F38" s="137" t="str">
        <f t="shared" si="7"/>
        <v xml:space="preserve"> </v>
      </c>
      <c r="G38" s="137">
        <f t="shared" si="7"/>
        <v>0</v>
      </c>
    </row>
    <row r="39" spans="1:7" ht="15.75" thickBot="1" x14ac:dyDescent="0.3">
      <c r="A39" s="133" t="s">
        <v>165</v>
      </c>
      <c r="B39" s="137" t="str">
        <f t="shared" ref="B39:G39" si="8">IFERROR(B32/B7," ")</f>
        <v xml:space="preserve"> </v>
      </c>
      <c r="C39" s="137">
        <f t="shared" si="8"/>
        <v>0</v>
      </c>
      <c r="D39" s="137">
        <f t="shared" si="8"/>
        <v>0</v>
      </c>
      <c r="E39" s="137">
        <f t="shared" si="8"/>
        <v>0</v>
      </c>
      <c r="F39" s="137" t="str">
        <f t="shared" si="8"/>
        <v xml:space="preserve"> </v>
      </c>
      <c r="G39" s="137">
        <f t="shared" si="8"/>
        <v>0</v>
      </c>
    </row>
    <row r="40" spans="1:7" ht="15.75" thickBot="1" x14ac:dyDescent="0.3">
      <c r="A40" s="133" t="s">
        <v>185</v>
      </c>
      <c r="B40" s="137" t="str">
        <f>IFERROR(B33/B8," ")</f>
        <v xml:space="preserve"> </v>
      </c>
      <c r="C40" s="137">
        <f>IFERROR(C33/C7," ")</f>
        <v>0</v>
      </c>
      <c r="D40" s="137">
        <f>IFERROR(D33/D7," ")</f>
        <v>0</v>
      </c>
      <c r="E40" s="137">
        <f>IFERROR(E33/E7," ")</f>
        <v>0</v>
      </c>
      <c r="F40" s="137" t="str">
        <f>IFERROR(F33/F7," ")</f>
        <v xml:space="preserve"> </v>
      </c>
      <c r="G40" s="137">
        <f>IFERROR(G33/G7," ")</f>
        <v>0</v>
      </c>
    </row>
    <row r="41" spans="1:7" ht="15.75" thickBot="1" x14ac:dyDescent="0.3">
      <c r="A41" s="133" t="s">
        <v>186</v>
      </c>
      <c r="B41" s="137" t="str">
        <f t="shared" ref="B41:G41" si="9">IFERROR(B34/B7," ")</f>
        <v xml:space="preserve"> </v>
      </c>
      <c r="C41" s="137">
        <f t="shared" si="9"/>
        <v>0</v>
      </c>
      <c r="D41" s="137">
        <f t="shared" si="9"/>
        <v>0</v>
      </c>
      <c r="E41" s="137">
        <f t="shared" si="9"/>
        <v>0</v>
      </c>
      <c r="F41" s="137" t="str">
        <f t="shared" si="9"/>
        <v xml:space="preserve"> </v>
      </c>
      <c r="G41" s="137">
        <f t="shared" si="9"/>
        <v>0</v>
      </c>
    </row>
    <row r="42" spans="1:7" x14ac:dyDescent="0.25">
      <c r="B42" s="150"/>
      <c r="C42" s="150"/>
    </row>
    <row r="43" spans="1:7" x14ac:dyDescent="0.25">
      <c r="B43" s="150"/>
      <c r="C43" s="150"/>
    </row>
    <row r="108" spans="1:1" x14ac:dyDescent="0.25">
      <c r="A108" s="134">
        <v>388</v>
      </c>
    </row>
    <row r="109" spans="1:1" x14ac:dyDescent="0.25">
      <c r="A109" s="134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906E4-2588-4EBA-BD4A-0EDCF7600639}">
  <sheetPr>
    <tabColor theme="4" tint="0.79998168889431442"/>
  </sheetPr>
  <dimension ref="A1:M109"/>
  <sheetViews>
    <sheetView zoomScale="85" zoomScaleNormal="85" workbookViewId="0">
      <selection activeCell="H2" sqref="H2"/>
    </sheetView>
  </sheetViews>
  <sheetFormatPr defaultColWidth="10.7109375" defaultRowHeight="15" x14ac:dyDescent="0.25"/>
  <cols>
    <col min="1" max="1" width="24.28515625" style="134" bestFit="1" customWidth="1"/>
    <col min="2" max="2" width="10.7109375" style="134" bestFit="1" customWidth="1"/>
    <col min="3" max="3" width="15" style="134" bestFit="1" customWidth="1"/>
    <col min="4" max="5" width="12.5703125" style="134" bestFit="1" customWidth="1"/>
    <col min="6" max="6" width="10.7109375" style="134"/>
    <col min="7" max="7" width="15.7109375" style="134" customWidth="1"/>
    <col min="8" max="8" width="12.5703125" style="134" bestFit="1" customWidth="1"/>
    <col min="9" max="9" width="8.5703125" style="134" bestFit="1" customWidth="1"/>
    <col min="10" max="10" width="15.28515625" style="134" bestFit="1" customWidth="1"/>
    <col min="11" max="11" width="10.7109375" style="134"/>
    <col min="12" max="12" width="16.28515625" style="134" bestFit="1" customWidth="1"/>
    <col min="13" max="16384" width="10.7109375" style="134"/>
  </cols>
  <sheetData>
    <row r="1" spans="1:13" ht="15.75" thickBot="1" x14ac:dyDescent="0.3"/>
    <row r="2" spans="1:13" ht="15.75" thickBot="1" x14ac:dyDescent="0.3">
      <c r="A2" s="465" t="s">
        <v>142</v>
      </c>
      <c r="B2" s="28"/>
      <c r="C2" s="144"/>
      <c r="G2" s="139" t="s">
        <v>143</v>
      </c>
      <c r="H2" s="244">
        <v>0</v>
      </c>
      <c r="L2" s="241" t="s">
        <v>144</v>
      </c>
      <c r="M2" s="241" t="s">
        <v>7</v>
      </c>
    </row>
    <row r="3" spans="1:13" ht="15.75" thickBot="1" x14ac:dyDescent="0.3">
      <c r="A3" s="466"/>
      <c r="B3" s="167"/>
      <c r="C3" s="168"/>
      <c r="E3" s="139" t="s">
        <v>145</v>
      </c>
      <c r="F3" s="141">
        <v>738</v>
      </c>
      <c r="G3" s="139" t="s">
        <v>146</v>
      </c>
      <c r="H3" s="139">
        <f>H4/12</f>
        <v>0</v>
      </c>
      <c r="J3" s="227" t="s">
        <v>147</v>
      </c>
      <c r="L3" s="241">
        <v>737</v>
      </c>
      <c r="M3" s="241">
        <v>1</v>
      </c>
    </row>
    <row r="4" spans="1:13" ht="15.75" thickBot="1" x14ac:dyDescent="0.3">
      <c r="E4" s="139" t="s">
        <v>2</v>
      </c>
      <c r="F4" s="140">
        <f>'P&amp;L'!R4</f>
        <v>0.8</v>
      </c>
      <c r="G4" s="139" t="s">
        <v>148</v>
      </c>
      <c r="H4" s="139">
        <f>H2*52</f>
        <v>0</v>
      </c>
      <c r="J4" s="228">
        <f>H17*H4</f>
        <v>0</v>
      </c>
      <c r="L4" s="241"/>
      <c r="M4" s="241"/>
    </row>
    <row r="5" spans="1:13" ht="15.75" thickBot="1" x14ac:dyDescent="0.3">
      <c r="A5" s="135" t="s">
        <v>149</v>
      </c>
      <c r="L5" s="241"/>
      <c r="M5" s="241"/>
    </row>
    <row r="6" spans="1:13" ht="15.75" thickBot="1" x14ac:dyDescent="0.3">
      <c r="A6" s="155" t="s">
        <v>150</v>
      </c>
      <c r="B6" s="155" t="s">
        <v>43</v>
      </c>
      <c r="C6" s="155" t="s">
        <v>44</v>
      </c>
      <c r="D6" s="155" t="s">
        <v>45</v>
      </c>
      <c r="E6" s="155" t="s">
        <v>46</v>
      </c>
      <c r="F6" s="155" t="s">
        <v>47</v>
      </c>
      <c r="G6" s="155" t="s">
        <v>48</v>
      </c>
      <c r="H6" s="155" t="s">
        <v>151</v>
      </c>
      <c r="I6" s="154" t="s">
        <v>152</v>
      </c>
      <c r="L6" s="240"/>
      <c r="M6" s="240"/>
    </row>
    <row r="7" spans="1:13" ht="15.75" thickBot="1" x14ac:dyDescent="0.3">
      <c r="A7" s="133" t="s">
        <v>153</v>
      </c>
      <c r="B7" s="133">
        <f>+'FlightConfig '!B17</f>
        <v>0</v>
      </c>
      <c r="C7" s="133">
        <f>+'FlightConfig '!C17</f>
        <v>34</v>
      </c>
      <c r="D7" s="133">
        <f>+'FlightConfig '!D17</f>
        <v>48</v>
      </c>
      <c r="E7" s="133">
        <f>+'FlightConfig '!E17</f>
        <v>198</v>
      </c>
      <c r="F7" s="133">
        <f>+'FlightConfig '!F17</f>
        <v>0</v>
      </c>
      <c r="G7" s="133">
        <f>+'FlightConfig '!G17</f>
        <v>6</v>
      </c>
      <c r="H7" s="133">
        <f>SUM(B7:G7)</f>
        <v>286</v>
      </c>
      <c r="L7" s="240"/>
      <c r="M7" s="240"/>
    </row>
    <row r="8" spans="1:13" ht="15.75" thickBot="1" x14ac:dyDescent="0.3">
      <c r="A8" s="133" t="s">
        <v>154</v>
      </c>
      <c r="B8" s="133">
        <f t="shared" ref="B8:G8" si="0">ROUNDUP(B7*$F$4,0)</f>
        <v>0</v>
      </c>
      <c r="C8" s="133">
        <f t="shared" si="0"/>
        <v>28</v>
      </c>
      <c r="D8" s="133">
        <f t="shared" si="0"/>
        <v>39</v>
      </c>
      <c r="E8" s="133">
        <f t="shared" si="0"/>
        <v>159</v>
      </c>
      <c r="F8" s="133">
        <f t="shared" si="0"/>
        <v>0</v>
      </c>
      <c r="G8" s="133">
        <f t="shared" si="0"/>
        <v>5</v>
      </c>
      <c r="H8" s="133">
        <f>SUM(B8:G8)</f>
        <v>231</v>
      </c>
      <c r="L8" s="240"/>
      <c r="M8" s="240"/>
    </row>
    <row r="9" spans="1:13" ht="15.75" thickBot="1" x14ac:dyDescent="0.3">
      <c r="A9" s="275"/>
      <c r="B9" s="276" t="s">
        <v>155</v>
      </c>
      <c r="C9" s="276" t="s">
        <v>156</v>
      </c>
      <c r="D9" s="276" t="s">
        <v>157</v>
      </c>
      <c r="E9" s="276" t="s">
        <v>158</v>
      </c>
      <c r="F9" s="276" t="s">
        <v>159</v>
      </c>
      <c r="G9" s="276" t="s">
        <v>160</v>
      </c>
      <c r="H9" s="155" t="s">
        <v>161</v>
      </c>
      <c r="J9" s="155" t="s">
        <v>162</v>
      </c>
    </row>
    <row r="10" spans="1:13" ht="15.75" thickBot="1" x14ac:dyDescent="0.3">
      <c r="A10" s="133" t="s">
        <v>163</v>
      </c>
      <c r="B10" s="137">
        <f t="shared" ref="B10:G10" si="1">B37*B8</f>
        <v>0</v>
      </c>
      <c r="C10" s="137">
        <f t="shared" si="1"/>
        <v>0</v>
      </c>
      <c r="D10" s="137">
        <f t="shared" si="1"/>
        <v>0</v>
      </c>
      <c r="E10" s="137">
        <f t="shared" si="1"/>
        <v>0</v>
      </c>
      <c r="F10" s="137">
        <f t="shared" si="1"/>
        <v>0</v>
      </c>
      <c r="G10" s="137">
        <f t="shared" si="1"/>
        <v>0</v>
      </c>
      <c r="H10" s="136">
        <f t="shared" ref="H10:H16" si="2">SUM(B10:G10)</f>
        <v>0</v>
      </c>
      <c r="J10" s="136">
        <f>H10*$H$4</f>
        <v>0</v>
      </c>
    </row>
    <row r="11" spans="1:13" ht="15.75" thickBot="1" x14ac:dyDescent="0.3">
      <c r="A11" s="133" t="s">
        <v>164</v>
      </c>
      <c r="B11" s="137">
        <f>IFERROR(B38*B8,0)</f>
        <v>0</v>
      </c>
      <c r="C11" s="137">
        <f>IFERROR(C38*$C$8,0)</f>
        <v>0</v>
      </c>
      <c r="D11" s="137">
        <f>IFERROR(D38*$D$8,0)</f>
        <v>0</v>
      </c>
      <c r="E11" s="137">
        <f>IFERROR(E38*$E$8,0)</f>
        <v>0</v>
      </c>
      <c r="F11" s="137">
        <f>IFERROR(F38*$F$8,0)</f>
        <v>0</v>
      </c>
      <c r="G11" s="137">
        <f>IFERROR(G38*G8,0)</f>
        <v>0</v>
      </c>
      <c r="H11" s="136">
        <f t="shared" si="2"/>
        <v>0</v>
      </c>
      <c r="I11" s="175">
        <f>I12*45%</f>
        <v>0</v>
      </c>
      <c r="J11" s="136">
        <f>H11*$H$4</f>
        <v>0</v>
      </c>
    </row>
    <row r="12" spans="1:13" ht="15.75" thickBot="1" x14ac:dyDescent="0.3">
      <c r="A12" s="133" t="s">
        <v>165</v>
      </c>
      <c r="B12" s="137">
        <f>IFERROR(B39*B8,0)</f>
        <v>0</v>
      </c>
      <c r="C12" s="137">
        <f>IFERROR(C39*$C$8,0)</f>
        <v>0</v>
      </c>
      <c r="D12" s="137">
        <f>IFERROR(D39*$D$8,0)</f>
        <v>0</v>
      </c>
      <c r="E12" s="137">
        <f>IFERROR(E39*$E$8,0)</f>
        <v>0</v>
      </c>
      <c r="F12" s="137">
        <f>IFERROR(F39*$F$8,0)</f>
        <v>0</v>
      </c>
      <c r="G12" s="137">
        <f>IFERROR(G39*G8,0)</f>
        <v>0</v>
      </c>
      <c r="H12" s="136">
        <f t="shared" si="2"/>
        <v>0</v>
      </c>
      <c r="I12" s="246">
        <f>H11+H12</f>
        <v>0</v>
      </c>
      <c r="J12" s="136">
        <f t="shared" ref="J12:J17" si="3">H12*$H$4</f>
        <v>0</v>
      </c>
    </row>
    <row r="13" spans="1:13" ht="15.75" thickBot="1" x14ac:dyDescent="0.3">
      <c r="A13" s="133" t="s">
        <v>166</v>
      </c>
      <c r="B13" s="137" t="str">
        <f>IFERROR(B40*B8," ")</f>
        <v xml:space="preserve"> </v>
      </c>
      <c r="C13" s="137">
        <f>IFERROR(C40*$C$8,0)</f>
        <v>0</v>
      </c>
      <c r="D13" s="137">
        <f>IFERROR(D40*$D$8,0)</f>
        <v>0</v>
      </c>
      <c r="E13" s="137">
        <f>IFERROR(E40*$E$8,0)</f>
        <v>0</v>
      </c>
      <c r="F13" s="137">
        <f>IFERROR(F40*$F$8,0)</f>
        <v>0</v>
      </c>
      <c r="G13" s="137">
        <v>0</v>
      </c>
      <c r="H13" s="136">
        <f t="shared" si="2"/>
        <v>0</v>
      </c>
      <c r="J13" s="136">
        <f t="shared" si="3"/>
        <v>0</v>
      </c>
    </row>
    <row r="14" spans="1:13" ht="15.75" thickBot="1" x14ac:dyDescent="0.3">
      <c r="A14" s="133" t="s">
        <v>167</v>
      </c>
      <c r="B14" s="137" t="str">
        <f>IFERROR(B41*B8," ")</f>
        <v xml:space="preserve"> </v>
      </c>
      <c r="C14" s="137">
        <f>IFERROR(C41*$C$8,0)</f>
        <v>0</v>
      </c>
      <c r="D14" s="137">
        <f>IFERROR(D41*$D$8,0)</f>
        <v>0</v>
      </c>
      <c r="E14" s="137">
        <f>IFERROR(E41*$E$8,0)</f>
        <v>0</v>
      </c>
      <c r="F14" s="137">
        <f>IFERROR(F41*$F$8,0)</f>
        <v>0</v>
      </c>
      <c r="G14" s="137">
        <v>0</v>
      </c>
      <c r="H14" s="136">
        <f t="shared" si="2"/>
        <v>0</v>
      </c>
      <c r="J14" s="136">
        <f t="shared" si="3"/>
        <v>0</v>
      </c>
      <c r="L14" s="155" t="s">
        <v>168</v>
      </c>
      <c r="M14" s="155"/>
    </row>
    <row r="15" spans="1:13" ht="15.75" thickBot="1" x14ac:dyDescent="0.3">
      <c r="A15" s="133" t="s">
        <v>169</v>
      </c>
      <c r="B15" s="137">
        <v>0</v>
      </c>
      <c r="C15" s="137">
        <v>0</v>
      </c>
      <c r="D15" s="137">
        <v>0</v>
      </c>
      <c r="E15" s="137">
        <f>+B20</f>
        <v>0</v>
      </c>
      <c r="F15" s="137">
        <v>0</v>
      </c>
      <c r="G15" s="137">
        <v>0</v>
      </c>
      <c r="H15" s="136">
        <f t="shared" si="2"/>
        <v>0</v>
      </c>
      <c r="I15" s="175"/>
      <c r="J15" s="136">
        <f t="shared" si="3"/>
        <v>0</v>
      </c>
      <c r="L15" s="234">
        <f>J12+J15</f>
        <v>0</v>
      </c>
      <c r="M15" s="236">
        <v>1</v>
      </c>
    </row>
    <row r="16" spans="1:13" ht="15.75" thickBot="1" x14ac:dyDescent="0.3">
      <c r="A16" s="133" t="s">
        <v>170</v>
      </c>
      <c r="B16" s="138">
        <v>0</v>
      </c>
      <c r="C16" s="138">
        <v>0</v>
      </c>
      <c r="D16" s="138">
        <v>0</v>
      </c>
      <c r="E16" s="137">
        <f>+C20</f>
        <v>0</v>
      </c>
      <c r="F16" s="138">
        <v>0</v>
      </c>
      <c r="G16" s="138">
        <v>0</v>
      </c>
      <c r="H16" s="136">
        <f t="shared" si="2"/>
        <v>0</v>
      </c>
      <c r="I16" s="153"/>
      <c r="J16" s="136">
        <f t="shared" si="3"/>
        <v>0</v>
      </c>
      <c r="L16" s="235">
        <f>L15*M16</f>
        <v>0</v>
      </c>
      <c r="M16" s="236">
        <v>0.8</v>
      </c>
    </row>
    <row r="17" spans="1:13" ht="15.75" thickBot="1" x14ac:dyDescent="0.3">
      <c r="A17" s="156" t="s">
        <v>171</v>
      </c>
      <c r="B17" s="157">
        <f>SUM(B11:B16)</f>
        <v>0</v>
      </c>
      <c r="C17" s="157">
        <f>SUM(C11:C16)</f>
        <v>0</v>
      </c>
      <c r="D17" s="157">
        <f>SUM(D10:D16)</f>
        <v>0</v>
      </c>
      <c r="E17" s="157">
        <f>SUM(E10:E16)</f>
        <v>0</v>
      </c>
      <c r="F17" s="157">
        <f>SUM(F10:F16)</f>
        <v>0</v>
      </c>
      <c r="G17" s="157">
        <f>SUM(G10:G16)</f>
        <v>0</v>
      </c>
      <c r="H17" s="157">
        <f>SUM(H10:H16)</f>
        <v>0</v>
      </c>
      <c r="J17" s="226">
        <f t="shared" si="3"/>
        <v>0</v>
      </c>
      <c r="L17" s="235">
        <f>L15*M17</f>
        <v>0</v>
      </c>
      <c r="M17" s="236">
        <v>0.2</v>
      </c>
    </row>
    <row r="18" spans="1:13" ht="15.75" thickBot="1" x14ac:dyDescent="0.3">
      <c r="A18" s="214"/>
      <c r="B18" s="215">
        <f>B17</f>
        <v>0</v>
      </c>
      <c r="C18" s="215">
        <f>C17</f>
        <v>0</v>
      </c>
      <c r="D18" s="215">
        <f>D17</f>
        <v>0</v>
      </c>
      <c r="E18" s="215">
        <f>E17-E15-E16</f>
        <v>0</v>
      </c>
      <c r="F18" s="215">
        <f>F17</f>
        <v>0</v>
      </c>
      <c r="G18" s="215">
        <f>G17</f>
        <v>0</v>
      </c>
      <c r="H18" s="215"/>
      <c r="I18" s="215">
        <f>E15+E16</f>
        <v>0</v>
      </c>
      <c r="J18" s="215"/>
      <c r="L18" s="233"/>
    </row>
    <row r="19" spans="1:13" ht="15.75" thickBot="1" x14ac:dyDescent="0.3">
      <c r="A19" s="155" t="s">
        <v>172</v>
      </c>
      <c r="B19" s="218" t="s">
        <v>173</v>
      </c>
      <c r="C19" s="218" t="s">
        <v>174</v>
      </c>
      <c r="D19" s="218" t="s">
        <v>175</v>
      </c>
      <c r="E19" s="152"/>
      <c r="F19" s="152"/>
      <c r="G19" s="152"/>
      <c r="H19" s="154"/>
      <c r="I19" s="152">
        <f>E16</f>
        <v>0</v>
      </c>
    </row>
    <row r="20" spans="1:13" ht="15.75" thickBot="1" x14ac:dyDescent="0.3">
      <c r="A20" s="216" t="s">
        <v>188</v>
      </c>
      <c r="B20" s="217">
        <f>Handling!C56</f>
        <v>0</v>
      </c>
      <c r="C20" s="217">
        <f>B20*'P&amp;L'!$R$10</f>
        <v>0</v>
      </c>
      <c r="D20" s="217">
        <f>SUM(B20:C20)</f>
        <v>0</v>
      </c>
      <c r="G20" s="175"/>
    </row>
    <row r="21" spans="1:13" ht="15.75" hidden="1" thickBot="1" x14ac:dyDescent="0.3">
      <c r="A21" s="156" t="s">
        <v>177</v>
      </c>
      <c r="B21" s="137" t="e">
        <f>Handling!#REF!</f>
        <v>#REF!</v>
      </c>
      <c r="C21" s="137" t="e">
        <f>Handling!#REF!</f>
        <v>#REF!</v>
      </c>
      <c r="D21" s="137" t="e">
        <f>Handling!#REF!</f>
        <v>#REF!</v>
      </c>
      <c r="G21" s="175"/>
    </row>
    <row r="22" spans="1:13" ht="15.75" hidden="1" thickBot="1" x14ac:dyDescent="0.3">
      <c r="A22" s="156" t="s">
        <v>178</v>
      </c>
      <c r="B22" s="137" t="e">
        <f>Handling!#REF!</f>
        <v>#REF!</v>
      </c>
      <c r="C22" s="137" t="e">
        <f>Handling!#REF!</f>
        <v>#REF!</v>
      </c>
      <c r="D22" s="137" t="e">
        <f>Handling!#REF!</f>
        <v>#REF!</v>
      </c>
    </row>
    <row r="23" spans="1:13" ht="15.75" thickBot="1" x14ac:dyDescent="0.3"/>
    <row r="24" spans="1:13" ht="15.75" thickBot="1" x14ac:dyDescent="0.3">
      <c r="A24" s="133" t="s">
        <v>179</v>
      </c>
      <c r="B24" s="137">
        <f>IFERROR(((B11+B12+B13+B14)/B8),0)</f>
        <v>0</v>
      </c>
      <c r="C24" s="137">
        <f>IFERROR(((C11+C12+C13+C14)/C8),0)</f>
        <v>0</v>
      </c>
      <c r="D24" s="137">
        <f>IFERROR(((D10+D11+D12+D13+D14)/D8),0)</f>
        <v>0</v>
      </c>
      <c r="E24" s="137">
        <f>IFERROR(((E10+E11+E12+E13+E14)/E8),0)</f>
        <v>0</v>
      </c>
      <c r="F24" s="137">
        <f>IFERROR(((F10+F11+F12+F13+F14)/F8),0)</f>
        <v>0</v>
      </c>
      <c r="G24" s="137">
        <f>IFERROR(((G10+G11+G12+G13+G14)/G8),0)</f>
        <v>0</v>
      </c>
    </row>
    <row r="25" spans="1:13" ht="15.75" thickBot="1" x14ac:dyDescent="0.3">
      <c r="A25" s="133" t="s">
        <v>180</v>
      </c>
      <c r="B25" s="137">
        <f t="shared" ref="B25:G25" si="4">IFERROR(((B13+B14)/B8),0)</f>
        <v>0</v>
      </c>
      <c r="C25" s="137">
        <f t="shared" si="4"/>
        <v>0</v>
      </c>
      <c r="D25" s="137">
        <f t="shared" si="4"/>
        <v>0</v>
      </c>
      <c r="E25" s="137">
        <f t="shared" si="4"/>
        <v>0</v>
      </c>
      <c r="F25" s="137">
        <f t="shared" si="4"/>
        <v>0</v>
      </c>
      <c r="G25" s="137">
        <f t="shared" si="4"/>
        <v>0</v>
      </c>
    </row>
    <row r="26" spans="1:13" ht="15.75" thickBot="1" x14ac:dyDescent="0.3">
      <c r="A26" s="133" t="s">
        <v>181</v>
      </c>
      <c r="B26" s="137">
        <f t="shared" ref="B26:G26" si="5">IFERROR((B10/B8),0)</f>
        <v>0</v>
      </c>
      <c r="C26" s="137">
        <f t="shared" si="5"/>
        <v>0</v>
      </c>
      <c r="D26" s="137">
        <f t="shared" si="5"/>
        <v>0</v>
      </c>
      <c r="E26" s="137">
        <f t="shared" si="5"/>
        <v>0</v>
      </c>
      <c r="F26" s="137">
        <f t="shared" si="5"/>
        <v>0</v>
      </c>
      <c r="G26" s="137">
        <f t="shared" si="5"/>
        <v>0</v>
      </c>
    </row>
    <row r="27" spans="1:13" s="230" customFormat="1" x14ac:dyDescent="0.25">
      <c r="A27" s="231"/>
      <c r="B27" s="232"/>
      <c r="C27" s="232"/>
      <c r="D27" s="232"/>
      <c r="E27" s="232"/>
      <c r="F27" s="232"/>
      <c r="G27" s="232"/>
    </row>
    <row r="28" spans="1:13" x14ac:dyDescent="0.25">
      <c r="B28" s="156" t="s">
        <v>182</v>
      </c>
      <c r="C28" s="156" t="s">
        <v>183</v>
      </c>
    </row>
    <row r="29" spans="1:13" ht="15.75" thickBot="1" x14ac:dyDescent="0.3">
      <c r="A29" s="156" t="s">
        <v>184</v>
      </c>
      <c r="B29" s="156">
        <f>'P&amp;L'!R5</f>
        <v>1</v>
      </c>
      <c r="C29" s="156">
        <v>2439</v>
      </c>
    </row>
    <row r="30" spans="1:13" ht="15.75" thickBot="1" x14ac:dyDescent="0.3">
      <c r="A30" s="133" t="s">
        <v>163</v>
      </c>
      <c r="B30" s="137">
        <f t="shared" ref="B30:G30" si="6">B37*B8</f>
        <v>0</v>
      </c>
      <c r="C30" s="137">
        <f t="shared" si="6"/>
        <v>0</v>
      </c>
      <c r="D30" s="137">
        <f t="shared" si="6"/>
        <v>0</v>
      </c>
      <c r="E30" s="137">
        <f t="shared" si="6"/>
        <v>0</v>
      </c>
      <c r="F30" s="137">
        <f t="shared" si="6"/>
        <v>0</v>
      </c>
      <c r="G30" s="137">
        <f t="shared" si="6"/>
        <v>0</v>
      </c>
    </row>
    <row r="31" spans="1:13" ht="15.75" thickBot="1" x14ac:dyDescent="0.3">
      <c r="A31" s="133" t="s">
        <v>164</v>
      </c>
      <c r="B31" s="137">
        <f>IFERROR(IF($B$29=$B$29,SUMIF(Food!$C:$C,B$9&amp;$B$29&amp;$C$29,Food!$X:$X),0),"")</f>
        <v>0</v>
      </c>
      <c r="C31" s="137">
        <f>IFERROR(IF($B$29=$B$29,SUMIF(Food!$C:$C,C$9&amp;$B$29&amp;$C$29,Food!$X:$X),0),"")</f>
        <v>0</v>
      </c>
      <c r="D31" s="137">
        <f>IFERROR(IF($B$29=$B$29,SUMIF(Food!$C:$C,D$9&amp;$B$29&amp;$C$29,Food!$X:$X),0),"")</f>
        <v>0</v>
      </c>
      <c r="E31" s="137">
        <f>IFERROR(IF($B$29=$B$29,SUMIF(Food!$C:$C,E$9&amp;$B$29&amp;$C$29,Food!$X:$X),0),"")</f>
        <v>0</v>
      </c>
      <c r="F31" s="137">
        <f>IFERROR(IF($B$29=$B$29,SUMIF(Food!$C:$C,F$9&amp;$B$29&amp;$C$29,Food!$X:$X),0),"")</f>
        <v>0</v>
      </c>
      <c r="G31" s="137">
        <f>IFERROR(IF($B$29=$B$29,SUMIF(Food!$C:$C,G$9&amp;$B$29&amp;$C$29,Food!$X:$X),0),"")</f>
        <v>0</v>
      </c>
    </row>
    <row r="32" spans="1:13" ht="15.75" thickBot="1" x14ac:dyDescent="0.3">
      <c r="A32" s="133" t="s">
        <v>165</v>
      </c>
      <c r="B32" s="137">
        <f>IFERROR(IF($B$29=$B$29,SUMIF(Food!$C:$C,B$9&amp;$B$29&amp;$C$29,Food!$Z:$Z),0),"")</f>
        <v>0</v>
      </c>
      <c r="C32" s="137">
        <f>IFERROR(IF($B$29=$B$29,SUMIF(Food!$C:$C,C$9&amp;$B$29&amp;$C$29,Food!$Z:$Z),0),"")</f>
        <v>0</v>
      </c>
      <c r="D32" s="137">
        <f>IFERROR(IF($B$29=$B$29,SUMIF(Food!$C:$C,D$9&amp;$B$29&amp;$C$29,Food!$Z:$Z),0),"")</f>
        <v>0</v>
      </c>
      <c r="E32" s="137">
        <f>IFERROR(IF($B$29=$B$29,SUMIF(Food!$C:$C,E$9&amp;$B$29&amp;$C$29,Food!$Z:$Z),0),"")</f>
        <v>0</v>
      </c>
      <c r="F32" s="137">
        <f>IFERROR(IF($B$29=$B$29,SUMIF(Food!$C:$C,F$9&amp;$B$29&amp;$C$29,Food!$Z:$Z),0),"")</f>
        <v>0</v>
      </c>
      <c r="G32" s="137">
        <f>IFERROR(IF($B$29=$B$29,SUMIF(Food!$C:$C,G$9&amp;$B$29&amp;$C$29,Food!$Z:$Z),0),"")</f>
        <v>0</v>
      </c>
    </row>
    <row r="33" spans="1:7" ht="15.75" thickBot="1" x14ac:dyDescent="0.3">
      <c r="A33" s="133" t="s">
        <v>185</v>
      </c>
      <c r="B33" s="137">
        <f>IFERROR(IF($B$29=$B$29,SUMIF(Food!$C:$C,B$9&amp;$B$29&amp;$C$29,Food!$AB:$AB),0),"")</f>
        <v>0</v>
      </c>
      <c r="C33" s="137">
        <f>IFERROR(IF($B$29=$B$29,SUMIF(Food!$C:$C,C$9&amp;$B$29&amp;$C$29,Food!$AB:$AB),0),"")</f>
        <v>0</v>
      </c>
      <c r="D33" s="137">
        <f>IFERROR(IF($B$29=$B$29,SUMIF(Food!$C:$C,D$9&amp;$B$29&amp;$C$29,Food!$AB:$AB),0),"")</f>
        <v>0</v>
      </c>
      <c r="E33" s="137">
        <f>IFERROR(IF($B$29=$B$29,SUMIF(Food!$C:$C,E$9&amp;$B$29&amp;$C$29,Food!$AB:$AB),0),"")</f>
        <v>0</v>
      </c>
      <c r="F33" s="137">
        <f>IFERROR(IF($B$29=$B$29,SUMIF(Food!$C:$C,F$9&amp;$B$29&amp;$C$29,Food!$AB:$AB),0),"")</f>
        <v>0</v>
      </c>
      <c r="G33" s="137">
        <f>IFERROR(IF($B$29=$B$29,SUMIF(Food!$C:$C,G$9&amp;$B$29&amp;$C$29,Food!$O:$O),0),"")</f>
        <v>0</v>
      </c>
    </row>
    <row r="34" spans="1:7" ht="15.75" thickBot="1" x14ac:dyDescent="0.3">
      <c r="A34" s="133" t="s">
        <v>186</v>
      </c>
      <c r="B34" s="137">
        <f>IFERROR(IF($B$29=$B$29,SUMIF(Food!$C:$C,B$9&amp;$B$29&amp;$C$29,Food!$AC:$AC),0),"")</f>
        <v>0</v>
      </c>
      <c r="C34" s="137">
        <f>IFERROR(IF($B$29=$B$29,SUMIF(Food!$C:$C,C$9&amp;$B$29&amp;$C$29,Food!$AC:$AC),0),"")</f>
        <v>0</v>
      </c>
      <c r="D34" s="137">
        <f>IFERROR(IF($B$29=$B$29,SUMIF(Food!$C:$C,D$9&amp;$B$29&amp;$C$29,Food!$AC:$AC),0),"")</f>
        <v>0</v>
      </c>
      <c r="E34" s="137">
        <f>IFERROR(IF($B$29=$B$29,SUMIF(Food!$C:$C,E$9&amp;$B$29&amp;$C$29,Food!$AC:$AC),0),"")</f>
        <v>0</v>
      </c>
      <c r="F34" s="137">
        <f>IFERROR(IF($B$29=$B$29,SUMIF(Food!$C:$C,F$9&amp;$B$29&amp;$C$29,Food!$AC:$AC),0),"")</f>
        <v>0</v>
      </c>
      <c r="G34" s="137">
        <f>IFERROR(IF($B$29=$B$29,SUMIF(Food!$C:$C,G$9&amp;$B$29&amp;$C$29,Food!$P:$P),0),"")</f>
        <v>0</v>
      </c>
    </row>
    <row r="35" spans="1:7" x14ac:dyDescent="0.25">
      <c r="A35" s="148"/>
      <c r="B35" s="149"/>
      <c r="C35" s="149"/>
      <c r="D35" s="149"/>
      <c r="E35" s="149"/>
      <c r="F35" s="149"/>
      <c r="G35" s="149"/>
    </row>
    <row r="36" spans="1:7" ht="15.75" thickBot="1" x14ac:dyDescent="0.3">
      <c r="A36" s="156" t="s">
        <v>187</v>
      </c>
    </row>
    <row r="37" spans="1:7" ht="15.75" thickBot="1" x14ac:dyDescent="0.3">
      <c r="A37" s="133" t="s">
        <v>163</v>
      </c>
      <c r="B37" s="137">
        <f>'P&amp;L'!$K$30</f>
        <v>0</v>
      </c>
      <c r="C37" s="137">
        <f>'P&amp;L'!$L$30</f>
        <v>0</v>
      </c>
      <c r="D37" s="137">
        <f>'P&amp;L'!$M$30</f>
        <v>0</v>
      </c>
      <c r="E37" s="137">
        <f>'P&amp;L'!$N$30</f>
        <v>0</v>
      </c>
      <c r="F37" s="137">
        <f>'P&amp;L'!$O$30</f>
        <v>0</v>
      </c>
      <c r="G37" s="137">
        <f>'P&amp;L'!$P$30</f>
        <v>0</v>
      </c>
    </row>
    <row r="38" spans="1:7" ht="15.75" thickBot="1" x14ac:dyDescent="0.3">
      <c r="A38" s="133" t="s">
        <v>164</v>
      </c>
      <c r="B38" s="137" t="str">
        <f t="shared" ref="B38:G38" si="7">IFERROR(B31/B7," ")</f>
        <v xml:space="preserve"> </v>
      </c>
      <c r="C38" s="137">
        <f t="shared" si="7"/>
        <v>0</v>
      </c>
      <c r="D38" s="137">
        <f t="shared" si="7"/>
        <v>0</v>
      </c>
      <c r="E38" s="137">
        <f t="shared" si="7"/>
        <v>0</v>
      </c>
      <c r="F38" s="137" t="str">
        <f t="shared" si="7"/>
        <v xml:space="preserve"> </v>
      </c>
      <c r="G38" s="137">
        <f t="shared" si="7"/>
        <v>0</v>
      </c>
    </row>
    <row r="39" spans="1:7" ht="15.75" thickBot="1" x14ac:dyDescent="0.3">
      <c r="A39" s="133" t="s">
        <v>165</v>
      </c>
      <c r="B39" s="137" t="str">
        <f t="shared" ref="B39:G39" si="8">IFERROR(B32/B7," ")</f>
        <v xml:space="preserve"> </v>
      </c>
      <c r="C39" s="137">
        <f t="shared" si="8"/>
        <v>0</v>
      </c>
      <c r="D39" s="137">
        <f t="shared" si="8"/>
        <v>0</v>
      </c>
      <c r="E39" s="137">
        <f t="shared" si="8"/>
        <v>0</v>
      </c>
      <c r="F39" s="137" t="str">
        <f t="shared" si="8"/>
        <v xml:space="preserve"> </v>
      </c>
      <c r="G39" s="137">
        <f t="shared" si="8"/>
        <v>0</v>
      </c>
    </row>
    <row r="40" spans="1:7" ht="15.75" thickBot="1" x14ac:dyDescent="0.3">
      <c r="A40" s="133" t="s">
        <v>185</v>
      </c>
      <c r="B40" s="137" t="str">
        <f>IFERROR(B33/B8," ")</f>
        <v xml:space="preserve"> </v>
      </c>
      <c r="C40" s="137">
        <f>IFERROR(C33/C7," ")</f>
        <v>0</v>
      </c>
      <c r="D40" s="137">
        <f>IFERROR(D33/D7," ")</f>
        <v>0</v>
      </c>
      <c r="E40" s="137">
        <f>IFERROR(E33/E7," ")</f>
        <v>0</v>
      </c>
      <c r="F40" s="137" t="str">
        <f>IFERROR(F33/F7," ")</f>
        <v xml:space="preserve"> </v>
      </c>
      <c r="G40" s="137">
        <f>IFERROR(G33/G7," ")</f>
        <v>0</v>
      </c>
    </row>
    <row r="41" spans="1:7" ht="15.75" thickBot="1" x14ac:dyDescent="0.3">
      <c r="A41" s="133" t="s">
        <v>186</v>
      </c>
      <c r="B41" s="137" t="str">
        <f t="shared" ref="B41:G41" si="9">IFERROR(B34/B7," ")</f>
        <v xml:space="preserve"> </v>
      </c>
      <c r="C41" s="137">
        <f t="shared" si="9"/>
        <v>0</v>
      </c>
      <c r="D41" s="137">
        <f t="shared" si="9"/>
        <v>0</v>
      </c>
      <c r="E41" s="137">
        <f t="shared" si="9"/>
        <v>0</v>
      </c>
      <c r="F41" s="137" t="str">
        <f t="shared" si="9"/>
        <v xml:space="preserve"> </v>
      </c>
      <c r="G41" s="137">
        <f t="shared" si="9"/>
        <v>0</v>
      </c>
    </row>
    <row r="42" spans="1:7" x14ac:dyDescent="0.25">
      <c r="B42" s="150"/>
      <c r="C42" s="150"/>
    </row>
    <row r="43" spans="1:7" x14ac:dyDescent="0.25">
      <c r="B43" s="150"/>
      <c r="C43" s="150"/>
    </row>
    <row r="108" spans="1:1" x14ac:dyDescent="0.25">
      <c r="A108" s="134">
        <v>388</v>
      </c>
    </row>
    <row r="109" spans="1:1" x14ac:dyDescent="0.25">
      <c r="A109" s="134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D52AF-8104-4968-B21A-2891BF732178}">
  <sheetPr>
    <tabColor theme="4" tint="0.79998168889431442"/>
  </sheetPr>
  <dimension ref="A1:M109"/>
  <sheetViews>
    <sheetView zoomScale="85" zoomScaleNormal="85" workbookViewId="0">
      <selection activeCell="H2" sqref="H2"/>
    </sheetView>
  </sheetViews>
  <sheetFormatPr defaultColWidth="10.7109375" defaultRowHeight="15" x14ac:dyDescent="0.25"/>
  <cols>
    <col min="1" max="1" width="24.28515625" style="134" bestFit="1" customWidth="1"/>
    <col min="2" max="2" width="10.7109375" style="134" bestFit="1" customWidth="1"/>
    <col min="3" max="3" width="15" style="134" bestFit="1" customWidth="1"/>
    <col min="4" max="5" width="12.5703125" style="134" bestFit="1" customWidth="1"/>
    <col min="6" max="6" width="10.7109375" style="134"/>
    <col min="7" max="7" width="15.7109375" style="134" customWidth="1"/>
    <col min="8" max="8" width="12.5703125" style="134" bestFit="1" customWidth="1"/>
    <col min="9" max="9" width="8.5703125" style="134" bestFit="1" customWidth="1"/>
    <col min="10" max="10" width="15.28515625" style="134" bestFit="1" customWidth="1"/>
    <col min="11" max="11" width="10.7109375" style="134"/>
    <col min="12" max="12" width="16.28515625" style="134" bestFit="1" customWidth="1"/>
    <col min="13" max="16384" width="10.7109375" style="134"/>
  </cols>
  <sheetData>
    <row r="1" spans="1:13" ht="15.75" thickBot="1" x14ac:dyDescent="0.3"/>
    <row r="2" spans="1:13" ht="15.75" thickBot="1" x14ac:dyDescent="0.3">
      <c r="A2" s="465" t="s">
        <v>142</v>
      </c>
      <c r="B2" s="28"/>
      <c r="C2" s="144"/>
      <c r="G2" s="139" t="s">
        <v>143</v>
      </c>
      <c r="H2" s="244">
        <v>0</v>
      </c>
      <c r="L2" s="241" t="s">
        <v>144</v>
      </c>
      <c r="M2" s="241" t="s">
        <v>7</v>
      </c>
    </row>
    <row r="3" spans="1:13" ht="15.75" thickBot="1" x14ac:dyDescent="0.3">
      <c r="A3" s="466"/>
      <c r="B3" s="167"/>
      <c r="C3" s="168"/>
      <c r="E3" s="139" t="s">
        <v>145</v>
      </c>
      <c r="F3" s="141">
        <v>738</v>
      </c>
      <c r="G3" s="139" t="s">
        <v>146</v>
      </c>
      <c r="H3" s="139">
        <f>H4/12</f>
        <v>0</v>
      </c>
      <c r="J3" s="227" t="s">
        <v>147</v>
      </c>
      <c r="L3" s="241">
        <v>737</v>
      </c>
      <c r="M3" s="241">
        <v>1</v>
      </c>
    </row>
    <row r="4" spans="1:13" ht="15.75" thickBot="1" x14ac:dyDescent="0.3">
      <c r="E4" s="139" t="s">
        <v>2</v>
      </c>
      <c r="F4" s="140">
        <f>'P&amp;L'!R4</f>
        <v>0.8</v>
      </c>
      <c r="G4" s="139" t="s">
        <v>148</v>
      </c>
      <c r="H4" s="139">
        <f>H2*52</f>
        <v>0</v>
      </c>
      <c r="J4" s="228">
        <f>H17*H4</f>
        <v>0</v>
      </c>
      <c r="L4" s="241"/>
      <c r="M4" s="241"/>
    </row>
    <row r="5" spans="1:13" ht="15.75" thickBot="1" x14ac:dyDescent="0.3">
      <c r="A5" s="135" t="s">
        <v>149</v>
      </c>
      <c r="L5" s="241"/>
      <c r="M5" s="241"/>
    </row>
    <row r="6" spans="1:13" ht="15.75" thickBot="1" x14ac:dyDescent="0.3">
      <c r="A6" s="155" t="s">
        <v>150</v>
      </c>
      <c r="B6" s="155" t="s">
        <v>43</v>
      </c>
      <c r="C6" s="155" t="s">
        <v>44</v>
      </c>
      <c r="D6" s="155" t="s">
        <v>45</v>
      </c>
      <c r="E6" s="155" t="s">
        <v>46</v>
      </c>
      <c r="F6" s="155" t="s">
        <v>47</v>
      </c>
      <c r="G6" s="155" t="s">
        <v>48</v>
      </c>
      <c r="H6" s="155" t="s">
        <v>151</v>
      </c>
      <c r="I6" s="154" t="s">
        <v>152</v>
      </c>
      <c r="L6" s="240"/>
      <c r="M6" s="240"/>
    </row>
    <row r="7" spans="1:13" ht="15.75" thickBot="1" x14ac:dyDescent="0.3">
      <c r="A7" s="133" t="s">
        <v>153</v>
      </c>
      <c r="B7" s="133">
        <f>+'FlightConfig '!B17</f>
        <v>0</v>
      </c>
      <c r="C7" s="133">
        <f>+'FlightConfig '!C17</f>
        <v>34</v>
      </c>
      <c r="D7" s="133">
        <f>+'FlightConfig '!D17</f>
        <v>48</v>
      </c>
      <c r="E7" s="133">
        <f>+'FlightConfig '!E17</f>
        <v>198</v>
      </c>
      <c r="F7" s="133">
        <f>+'FlightConfig '!F17</f>
        <v>0</v>
      </c>
      <c r="G7" s="133">
        <f>+'FlightConfig '!G17</f>
        <v>6</v>
      </c>
      <c r="H7" s="133">
        <f>SUM(B7:G7)</f>
        <v>286</v>
      </c>
      <c r="L7" s="240"/>
      <c r="M7" s="240"/>
    </row>
    <row r="8" spans="1:13" ht="15.75" thickBot="1" x14ac:dyDescent="0.3">
      <c r="A8" s="133" t="s">
        <v>154</v>
      </c>
      <c r="B8" s="133">
        <f t="shared" ref="B8:G8" si="0">ROUNDUP(B7*$F$4,0)</f>
        <v>0</v>
      </c>
      <c r="C8" s="133">
        <f t="shared" si="0"/>
        <v>28</v>
      </c>
      <c r="D8" s="133">
        <f t="shared" si="0"/>
        <v>39</v>
      </c>
      <c r="E8" s="133">
        <f t="shared" si="0"/>
        <v>159</v>
      </c>
      <c r="F8" s="133">
        <f t="shared" si="0"/>
        <v>0</v>
      </c>
      <c r="G8" s="133">
        <f t="shared" si="0"/>
        <v>5</v>
      </c>
      <c r="H8" s="133">
        <f>SUM(B8:G8)</f>
        <v>231</v>
      </c>
      <c r="L8" s="240"/>
      <c r="M8" s="240"/>
    </row>
    <row r="9" spans="1:13" ht="15.75" thickBot="1" x14ac:dyDescent="0.3">
      <c r="A9" s="275"/>
      <c r="B9" s="276" t="s">
        <v>155</v>
      </c>
      <c r="C9" s="276" t="s">
        <v>156</v>
      </c>
      <c r="D9" s="276" t="s">
        <v>157</v>
      </c>
      <c r="E9" s="276" t="s">
        <v>158</v>
      </c>
      <c r="F9" s="276" t="s">
        <v>159</v>
      </c>
      <c r="G9" s="276" t="s">
        <v>160</v>
      </c>
      <c r="H9" s="155" t="s">
        <v>161</v>
      </c>
      <c r="J9" s="155" t="s">
        <v>162</v>
      </c>
    </row>
    <row r="10" spans="1:13" ht="15.75" thickBot="1" x14ac:dyDescent="0.3">
      <c r="A10" s="133" t="s">
        <v>163</v>
      </c>
      <c r="B10" s="137">
        <f t="shared" ref="B10:G10" si="1">B37*B8</f>
        <v>0</v>
      </c>
      <c r="C10" s="137">
        <f t="shared" si="1"/>
        <v>0</v>
      </c>
      <c r="D10" s="137">
        <f t="shared" si="1"/>
        <v>0</v>
      </c>
      <c r="E10" s="137">
        <f t="shared" si="1"/>
        <v>0</v>
      </c>
      <c r="F10" s="137">
        <f t="shared" si="1"/>
        <v>0</v>
      </c>
      <c r="G10" s="137">
        <f t="shared" si="1"/>
        <v>0</v>
      </c>
      <c r="H10" s="136">
        <f t="shared" ref="H10:H16" si="2">SUM(B10:G10)</f>
        <v>0</v>
      </c>
      <c r="J10" s="136">
        <f>H10*$H$4</f>
        <v>0</v>
      </c>
    </row>
    <row r="11" spans="1:13" ht="15.75" thickBot="1" x14ac:dyDescent="0.3">
      <c r="A11" s="133" t="s">
        <v>164</v>
      </c>
      <c r="B11" s="137">
        <f>IFERROR(B38*B8,0)</f>
        <v>0</v>
      </c>
      <c r="C11" s="137">
        <f>IFERROR(C38*$C$8,0)</f>
        <v>0</v>
      </c>
      <c r="D11" s="137">
        <f>IFERROR(D38*$D$8,0)</f>
        <v>0</v>
      </c>
      <c r="E11" s="137">
        <f>IFERROR(E38*$E$8,0)</f>
        <v>0</v>
      </c>
      <c r="F11" s="137">
        <f>IFERROR(F38*$F$8,0)</f>
        <v>0</v>
      </c>
      <c r="G11" s="137">
        <f>IFERROR(G38*G8,0)</f>
        <v>0</v>
      </c>
      <c r="H11" s="136">
        <f t="shared" si="2"/>
        <v>0</v>
      </c>
      <c r="I11" s="175">
        <f>I12*45%</f>
        <v>0</v>
      </c>
      <c r="J11" s="136">
        <f>H11*$H$4</f>
        <v>0</v>
      </c>
    </row>
    <row r="12" spans="1:13" ht="15.75" thickBot="1" x14ac:dyDescent="0.3">
      <c r="A12" s="133" t="s">
        <v>165</v>
      </c>
      <c r="B12" s="137">
        <f>IFERROR(B39*B8,0)</f>
        <v>0</v>
      </c>
      <c r="C12" s="137">
        <f>IFERROR(C39*$C$8,0)</f>
        <v>0</v>
      </c>
      <c r="D12" s="137">
        <f>IFERROR(D39*$D$8,0)</f>
        <v>0</v>
      </c>
      <c r="E12" s="137">
        <f>IFERROR(E39*$E$8,0)</f>
        <v>0</v>
      </c>
      <c r="F12" s="137">
        <f>IFERROR(F39*$F$8,0)</f>
        <v>0</v>
      </c>
      <c r="G12" s="137">
        <f>IFERROR(G39*G8,0)</f>
        <v>0</v>
      </c>
      <c r="H12" s="136">
        <f t="shared" si="2"/>
        <v>0</v>
      </c>
      <c r="I12" s="246">
        <f>H11+H12</f>
        <v>0</v>
      </c>
      <c r="J12" s="136">
        <f t="shared" ref="J12:J17" si="3">H12*$H$4</f>
        <v>0</v>
      </c>
    </row>
    <row r="13" spans="1:13" ht="15.75" thickBot="1" x14ac:dyDescent="0.3">
      <c r="A13" s="133" t="s">
        <v>166</v>
      </c>
      <c r="B13" s="137" t="str">
        <f>IFERROR(B40*B8," ")</f>
        <v xml:space="preserve"> </v>
      </c>
      <c r="C13" s="137">
        <f>IFERROR(C40*$C$8,0)</f>
        <v>0</v>
      </c>
      <c r="D13" s="137">
        <f>IFERROR(D40*$D$8,0)</f>
        <v>0</v>
      </c>
      <c r="E13" s="137">
        <f>IFERROR(E40*$E$8,0)</f>
        <v>0</v>
      </c>
      <c r="F13" s="137">
        <f>IFERROR(F40*$F$8,0)</f>
        <v>0</v>
      </c>
      <c r="G13" s="137">
        <v>0</v>
      </c>
      <c r="H13" s="136">
        <f t="shared" si="2"/>
        <v>0</v>
      </c>
      <c r="J13" s="136">
        <f t="shared" si="3"/>
        <v>0</v>
      </c>
    </row>
    <row r="14" spans="1:13" ht="15.75" thickBot="1" x14ac:dyDescent="0.3">
      <c r="A14" s="133" t="s">
        <v>167</v>
      </c>
      <c r="B14" s="137" t="str">
        <f>IFERROR(B41*B8," ")</f>
        <v xml:space="preserve"> </v>
      </c>
      <c r="C14" s="137">
        <f>IFERROR(C41*$C$8,0)</f>
        <v>0</v>
      </c>
      <c r="D14" s="137">
        <f>IFERROR(D41*$D$8,0)</f>
        <v>0</v>
      </c>
      <c r="E14" s="137">
        <f>IFERROR(E41*$E$8,0)</f>
        <v>0</v>
      </c>
      <c r="F14" s="137">
        <f>IFERROR(F41*$F$8,0)</f>
        <v>0</v>
      </c>
      <c r="G14" s="137">
        <v>0</v>
      </c>
      <c r="H14" s="136">
        <f t="shared" si="2"/>
        <v>0</v>
      </c>
      <c r="J14" s="136">
        <f t="shared" si="3"/>
        <v>0</v>
      </c>
      <c r="L14" s="155" t="s">
        <v>168</v>
      </c>
      <c r="M14" s="155"/>
    </row>
    <row r="15" spans="1:13" ht="15.75" thickBot="1" x14ac:dyDescent="0.3">
      <c r="A15" s="133" t="s">
        <v>169</v>
      </c>
      <c r="B15" s="137">
        <v>0</v>
      </c>
      <c r="C15" s="137">
        <v>0</v>
      </c>
      <c r="D15" s="137">
        <v>0</v>
      </c>
      <c r="E15" s="137">
        <f>+B20</f>
        <v>0</v>
      </c>
      <c r="F15" s="137">
        <v>0</v>
      </c>
      <c r="G15" s="137">
        <v>0</v>
      </c>
      <c r="H15" s="136">
        <f t="shared" si="2"/>
        <v>0</v>
      </c>
      <c r="I15" s="175"/>
      <c r="J15" s="136">
        <f t="shared" si="3"/>
        <v>0</v>
      </c>
      <c r="L15" s="234">
        <f>J12+J15</f>
        <v>0</v>
      </c>
      <c r="M15" s="236">
        <v>1</v>
      </c>
    </row>
    <row r="16" spans="1:13" ht="15.75" thickBot="1" x14ac:dyDescent="0.3">
      <c r="A16" s="133" t="s">
        <v>170</v>
      </c>
      <c r="B16" s="138">
        <v>0</v>
      </c>
      <c r="C16" s="138">
        <v>0</v>
      </c>
      <c r="D16" s="138">
        <v>0</v>
      </c>
      <c r="E16" s="137">
        <f>+C20</f>
        <v>0</v>
      </c>
      <c r="F16" s="138">
        <v>0</v>
      </c>
      <c r="G16" s="138">
        <v>0</v>
      </c>
      <c r="H16" s="136">
        <f t="shared" si="2"/>
        <v>0</v>
      </c>
      <c r="I16" s="153"/>
      <c r="J16" s="136">
        <f t="shared" si="3"/>
        <v>0</v>
      </c>
      <c r="L16" s="235">
        <f>L15*M16</f>
        <v>0</v>
      </c>
      <c r="M16" s="236">
        <v>0.8</v>
      </c>
    </row>
    <row r="17" spans="1:13" ht="15.75" thickBot="1" x14ac:dyDescent="0.3">
      <c r="A17" s="156" t="s">
        <v>171</v>
      </c>
      <c r="B17" s="157">
        <f>SUM(B11:B16)</f>
        <v>0</v>
      </c>
      <c r="C17" s="157">
        <f>SUM(C11:C16)</f>
        <v>0</v>
      </c>
      <c r="D17" s="157">
        <f>SUM(D10:D16)</f>
        <v>0</v>
      </c>
      <c r="E17" s="157">
        <f>SUM(E10:E16)</f>
        <v>0</v>
      </c>
      <c r="F17" s="157">
        <f>SUM(F10:F16)</f>
        <v>0</v>
      </c>
      <c r="G17" s="157">
        <f>SUM(G10:G16)</f>
        <v>0</v>
      </c>
      <c r="H17" s="157">
        <f>SUM(H10:H16)</f>
        <v>0</v>
      </c>
      <c r="J17" s="226">
        <f t="shared" si="3"/>
        <v>0</v>
      </c>
      <c r="L17" s="235">
        <f>L15*M17</f>
        <v>0</v>
      </c>
      <c r="M17" s="236">
        <v>0.2</v>
      </c>
    </row>
    <row r="18" spans="1:13" ht="15.75" thickBot="1" x14ac:dyDescent="0.3">
      <c r="A18" s="214"/>
      <c r="B18" s="215">
        <f>B17</f>
        <v>0</v>
      </c>
      <c r="C18" s="215">
        <f>C17</f>
        <v>0</v>
      </c>
      <c r="D18" s="215">
        <f>D17</f>
        <v>0</v>
      </c>
      <c r="E18" s="215">
        <f>E17-E15-E16</f>
        <v>0</v>
      </c>
      <c r="F18" s="215">
        <f>F17</f>
        <v>0</v>
      </c>
      <c r="G18" s="215">
        <f>G17</f>
        <v>0</v>
      </c>
      <c r="H18" s="215"/>
      <c r="I18" s="215">
        <f>E15+E16</f>
        <v>0</v>
      </c>
      <c r="J18" s="215"/>
      <c r="L18" s="233"/>
    </row>
    <row r="19" spans="1:13" ht="15.75" thickBot="1" x14ac:dyDescent="0.3">
      <c r="A19" s="155" t="s">
        <v>172</v>
      </c>
      <c r="B19" s="218" t="s">
        <v>173</v>
      </c>
      <c r="C19" s="218" t="s">
        <v>174</v>
      </c>
      <c r="D19" s="218" t="s">
        <v>175</v>
      </c>
      <c r="E19" s="152"/>
      <c r="F19" s="152"/>
      <c r="G19" s="152"/>
      <c r="H19" s="154"/>
      <c r="I19" s="152">
        <f>E16</f>
        <v>0</v>
      </c>
    </row>
    <row r="20" spans="1:13" ht="15.75" thickBot="1" x14ac:dyDescent="0.3">
      <c r="A20" s="216" t="s">
        <v>188</v>
      </c>
      <c r="B20" s="217">
        <f>Handling!C56</f>
        <v>0</v>
      </c>
      <c r="C20" s="217">
        <f>B20*'P&amp;L'!$R$10</f>
        <v>0</v>
      </c>
      <c r="D20" s="217">
        <f>SUM(B20:C20)</f>
        <v>0</v>
      </c>
      <c r="G20" s="175"/>
    </row>
    <row r="21" spans="1:13" ht="15.75" hidden="1" thickBot="1" x14ac:dyDescent="0.3">
      <c r="A21" s="156" t="s">
        <v>177</v>
      </c>
      <c r="B21" s="137" t="e">
        <f>Handling!#REF!</f>
        <v>#REF!</v>
      </c>
      <c r="C21" s="137" t="e">
        <f>Handling!#REF!</f>
        <v>#REF!</v>
      </c>
      <c r="D21" s="137" t="e">
        <f>Handling!#REF!</f>
        <v>#REF!</v>
      </c>
      <c r="G21" s="175"/>
    </row>
    <row r="22" spans="1:13" ht="15.75" hidden="1" thickBot="1" x14ac:dyDescent="0.3">
      <c r="A22" s="156" t="s">
        <v>178</v>
      </c>
      <c r="B22" s="137" t="e">
        <f>Handling!#REF!</f>
        <v>#REF!</v>
      </c>
      <c r="C22" s="137" t="e">
        <f>Handling!#REF!</f>
        <v>#REF!</v>
      </c>
      <c r="D22" s="137" t="e">
        <f>Handling!#REF!</f>
        <v>#REF!</v>
      </c>
    </row>
    <row r="23" spans="1:13" ht="15.75" thickBot="1" x14ac:dyDescent="0.3"/>
    <row r="24" spans="1:13" ht="15.75" thickBot="1" x14ac:dyDescent="0.3">
      <c r="A24" s="133" t="s">
        <v>179</v>
      </c>
      <c r="B24" s="137">
        <f>IFERROR(((B11+B12+B13+B14)/B8),0)</f>
        <v>0</v>
      </c>
      <c r="C24" s="137">
        <f>IFERROR(((C11+C12+C13+C14)/C8),0)</f>
        <v>0</v>
      </c>
      <c r="D24" s="137">
        <f>IFERROR(((D10+D11+D12+D13+D14)/D8),0)</f>
        <v>0</v>
      </c>
      <c r="E24" s="137">
        <f>IFERROR(((E10+E11+E12+E13+E14)/E8),0)</f>
        <v>0</v>
      </c>
      <c r="F24" s="137">
        <f>IFERROR(((F10+F11+F12+F13+F14)/F8),0)</f>
        <v>0</v>
      </c>
      <c r="G24" s="137">
        <f>IFERROR(((G10+G11+G12+G13+G14)/G8),0)</f>
        <v>0</v>
      </c>
    </row>
    <row r="25" spans="1:13" ht="15.75" thickBot="1" x14ac:dyDescent="0.3">
      <c r="A25" s="133" t="s">
        <v>180</v>
      </c>
      <c r="B25" s="137">
        <f t="shared" ref="B25:G25" si="4">IFERROR(((B13+B14)/B8),0)</f>
        <v>0</v>
      </c>
      <c r="C25" s="137">
        <f t="shared" si="4"/>
        <v>0</v>
      </c>
      <c r="D25" s="137">
        <f t="shared" si="4"/>
        <v>0</v>
      </c>
      <c r="E25" s="137">
        <f t="shared" si="4"/>
        <v>0</v>
      </c>
      <c r="F25" s="137">
        <f t="shared" si="4"/>
        <v>0</v>
      </c>
      <c r="G25" s="137">
        <f t="shared" si="4"/>
        <v>0</v>
      </c>
    </row>
    <row r="26" spans="1:13" ht="15.75" thickBot="1" x14ac:dyDescent="0.3">
      <c r="A26" s="133" t="s">
        <v>181</v>
      </c>
      <c r="B26" s="137">
        <f t="shared" ref="B26:G26" si="5">IFERROR((B10/B8),0)</f>
        <v>0</v>
      </c>
      <c r="C26" s="137">
        <f t="shared" si="5"/>
        <v>0</v>
      </c>
      <c r="D26" s="137">
        <f t="shared" si="5"/>
        <v>0</v>
      </c>
      <c r="E26" s="137">
        <f t="shared" si="5"/>
        <v>0</v>
      </c>
      <c r="F26" s="137">
        <f t="shared" si="5"/>
        <v>0</v>
      </c>
      <c r="G26" s="137">
        <f t="shared" si="5"/>
        <v>0</v>
      </c>
    </row>
    <row r="27" spans="1:13" s="230" customFormat="1" x14ac:dyDescent="0.25">
      <c r="A27" s="231"/>
      <c r="B27" s="232"/>
      <c r="C27" s="232"/>
      <c r="D27" s="232"/>
      <c r="E27" s="232"/>
      <c r="F27" s="232"/>
      <c r="G27" s="232"/>
    </row>
    <row r="28" spans="1:13" x14ac:dyDescent="0.25">
      <c r="B28" s="156" t="s">
        <v>182</v>
      </c>
      <c r="C28" s="156" t="s">
        <v>183</v>
      </c>
    </row>
    <row r="29" spans="1:13" ht="15.75" thickBot="1" x14ac:dyDescent="0.3">
      <c r="A29" s="156" t="s">
        <v>184</v>
      </c>
      <c r="B29" s="156">
        <f>'P&amp;L'!R5</f>
        <v>1</v>
      </c>
      <c r="C29" s="156">
        <v>2682</v>
      </c>
    </row>
    <row r="30" spans="1:13" ht="15.75" thickBot="1" x14ac:dyDescent="0.3">
      <c r="A30" s="133" t="s">
        <v>163</v>
      </c>
      <c r="B30" s="137">
        <f t="shared" ref="B30:G30" si="6">B37*B8</f>
        <v>0</v>
      </c>
      <c r="C30" s="137">
        <f t="shared" si="6"/>
        <v>0</v>
      </c>
      <c r="D30" s="137">
        <f t="shared" si="6"/>
        <v>0</v>
      </c>
      <c r="E30" s="137">
        <f t="shared" si="6"/>
        <v>0</v>
      </c>
      <c r="F30" s="137">
        <f t="shared" si="6"/>
        <v>0</v>
      </c>
      <c r="G30" s="137">
        <f t="shared" si="6"/>
        <v>0</v>
      </c>
    </row>
    <row r="31" spans="1:13" ht="15.75" thickBot="1" x14ac:dyDescent="0.3">
      <c r="A31" s="133" t="s">
        <v>164</v>
      </c>
      <c r="B31" s="137">
        <f>IFERROR(IF($B$29=$B$29,SUMIF(Food!$C:$C,B$9&amp;$B$29&amp;$C$29,Food!$X:$X),0),"")</f>
        <v>0</v>
      </c>
      <c r="C31" s="137">
        <f>IFERROR(IF($B$29=$B$29,SUMIF(Food!$C:$C,C$9&amp;$B$29&amp;$C$29,Food!$X:$X),0),"")</f>
        <v>0</v>
      </c>
      <c r="D31" s="137">
        <f>IFERROR(IF($B$29=$B$29,SUMIF(Food!$C:$C,D$9&amp;$B$29&amp;$C$29,Food!$X:$X),0),"")</f>
        <v>0</v>
      </c>
      <c r="E31" s="137">
        <f>IFERROR(IF($B$29=$B$29,SUMIF(Food!$C:$C,E$9&amp;$B$29&amp;$C$29,Food!$X:$X),0),"")</f>
        <v>0</v>
      </c>
      <c r="F31" s="137">
        <f>IFERROR(IF($B$29=$B$29,SUMIF(Food!$C:$C,F$9&amp;$B$29&amp;$C$29,Food!$X:$X),0),"")</f>
        <v>0</v>
      </c>
      <c r="G31" s="137">
        <f>IFERROR(IF($B$29=$B$29,SUMIF(Food!$C:$C,G$9&amp;$B$29&amp;$C$29,Food!$X:$X),0),"")</f>
        <v>0</v>
      </c>
    </row>
    <row r="32" spans="1:13" ht="15.75" thickBot="1" x14ac:dyDescent="0.3">
      <c r="A32" s="133" t="s">
        <v>165</v>
      </c>
      <c r="B32" s="137">
        <f>IFERROR(IF($B$29=$B$29,SUMIF(Food!$C:$C,B$9&amp;$B$29&amp;$C$29,Food!$Z:$Z),0),"")</f>
        <v>0</v>
      </c>
      <c r="C32" s="137">
        <f>IFERROR(IF($B$29=$B$29,SUMIF(Food!$C:$C,C$9&amp;$B$29&amp;$C$29,Food!$Z:$Z),0),"")</f>
        <v>0</v>
      </c>
      <c r="D32" s="137">
        <f>IFERROR(IF($B$29=$B$29,SUMIF(Food!$C:$C,D$9&amp;$B$29&amp;$C$29,Food!$Z:$Z),0),"")</f>
        <v>0</v>
      </c>
      <c r="E32" s="137">
        <f>IFERROR(IF($B$29=$B$29,SUMIF(Food!$C:$C,E$9&amp;$B$29&amp;$C$29,Food!$Z:$Z),0),"")</f>
        <v>0</v>
      </c>
      <c r="F32" s="137">
        <f>IFERROR(IF($B$29=$B$29,SUMIF(Food!$C:$C,F$9&amp;$B$29&amp;$C$29,Food!$Z:$Z),0),"")</f>
        <v>0</v>
      </c>
      <c r="G32" s="137">
        <f>IFERROR(IF($B$29=$B$29,SUMIF(Food!$C:$C,G$9&amp;$B$29&amp;$C$29,Food!$Z:$Z),0),"")</f>
        <v>0</v>
      </c>
    </row>
    <row r="33" spans="1:7" ht="15.75" thickBot="1" x14ac:dyDescent="0.3">
      <c r="A33" s="133" t="s">
        <v>185</v>
      </c>
      <c r="B33" s="137">
        <f>IFERROR(IF($B$29=$B$29,SUMIF(Food!$C:$C,B$9&amp;$B$29&amp;$C$29,Food!$AB:$AB),0),"")</f>
        <v>0</v>
      </c>
      <c r="C33" s="137">
        <f>IFERROR(IF($B$29=$B$29,SUMIF(Food!$C:$C,C$9&amp;$B$29&amp;$C$29,Food!$AB:$AB),0),"")</f>
        <v>0</v>
      </c>
      <c r="D33" s="137">
        <f>IFERROR(IF($B$29=$B$29,SUMIF(Food!$C:$C,D$9&amp;$B$29&amp;$C$29,Food!$AB:$AB),0),"")</f>
        <v>0</v>
      </c>
      <c r="E33" s="137">
        <f>IFERROR(IF($B$29=$B$29,SUMIF(Food!$C:$C,E$9&amp;$B$29&amp;$C$29,Food!$AB:$AB),0),"")</f>
        <v>0</v>
      </c>
      <c r="F33" s="137">
        <f>IFERROR(IF($B$29=$B$29,SUMIF(Food!$C:$C,F$9&amp;$B$29&amp;$C$29,Food!$AB:$AB),0),"")</f>
        <v>0</v>
      </c>
      <c r="G33" s="137">
        <f>IFERROR(IF($B$29=$B$29,SUMIF(Food!$C:$C,G$9&amp;$B$29&amp;$C$29,Food!$O:$O),0),"")</f>
        <v>0</v>
      </c>
    </row>
    <row r="34" spans="1:7" ht="15.75" thickBot="1" x14ac:dyDescent="0.3">
      <c r="A34" s="133" t="s">
        <v>186</v>
      </c>
      <c r="B34" s="137">
        <f>IFERROR(IF($B$29=$B$29,SUMIF(Food!$C:$C,B$9&amp;$B$29&amp;$C$29,Food!$AC:$AC),0),"")</f>
        <v>0</v>
      </c>
      <c r="C34" s="137">
        <f>IFERROR(IF($B$29=$B$29,SUMIF(Food!$C:$C,C$9&amp;$B$29&amp;$C$29,Food!$AC:$AC),0),"")</f>
        <v>0</v>
      </c>
      <c r="D34" s="137">
        <f>IFERROR(IF($B$29=$B$29,SUMIF(Food!$C:$C,D$9&amp;$B$29&amp;$C$29,Food!$AC:$AC),0),"")</f>
        <v>0</v>
      </c>
      <c r="E34" s="137">
        <f>IFERROR(IF($B$29=$B$29,SUMIF(Food!$C:$C,E$9&amp;$B$29&amp;$C$29,Food!$AC:$AC),0),"")</f>
        <v>0</v>
      </c>
      <c r="F34" s="137">
        <f>IFERROR(IF($B$29=$B$29,SUMIF(Food!$C:$C,F$9&amp;$B$29&amp;$C$29,Food!$AC:$AC),0),"")</f>
        <v>0</v>
      </c>
      <c r="G34" s="137">
        <f>IFERROR(IF($B$29=$B$29,SUMIF(Food!$C:$C,G$9&amp;$B$29&amp;$C$29,Food!$P:$P),0),"")</f>
        <v>0</v>
      </c>
    </row>
    <row r="35" spans="1:7" x14ac:dyDescent="0.25">
      <c r="A35" s="148"/>
      <c r="B35" s="149"/>
      <c r="C35" s="149"/>
      <c r="D35" s="149"/>
      <c r="E35" s="149"/>
      <c r="F35" s="149"/>
      <c r="G35" s="149"/>
    </row>
    <row r="36" spans="1:7" ht="15.75" thickBot="1" x14ac:dyDescent="0.3">
      <c r="A36" s="156" t="s">
        <v>187</v>
      </c>
    </row>
    <row r="37" spans="1:7" ht="15.75" thickBot="1" x14ac:dyDescent="0.3">
      <c r="A37" s="133" t="s">
        <v>163</v>
      </c>
      <c r="B37" s="137">
        <f>'P&amp;L'!$K$30</f>
        <v>0</v>
      </c>
      <c r="C37" s="137">
        <f>'P&amp;L'!$L$30</f>
        <v>0</v>
      </c>
      <c r="D37" s="137">
        <f>'P&amp;L'!$M$30</f>
        <v>0</v>
      </c>
      <c r="E37" s="137">
        <f>'P&amp;L'!$N$30</f>
        <v>0</v>
      </c>
      <c r="F37" s="137">
        <f>'P&amp;L'!$O$30</f>
        <v>0</v>
      </c>
      <c r="G37" s="137">
        <f>'P&amp;L'!$P$30</f>
        <v>0</v>
      </c>
    </row>
    <row r="38" spans="1:7" ht="15.75" thickBot="1" x14ac:dyDescent="0.3">
      <c r="A38" s="133" t="s">
        <v>164</v>
      </c>
      <c r="B38" s="137" t="str">
        <f t="shared" ref="B38:G38" si="7">IFERROR(B31/B7," ")</f>
        <v xml:space="preserve"> </v>
      </c>
      <c r="C38" s="137">
        <f t="shared" si="7"/>
        <v>0</v>
      </c>
      <c r="D38" s="137">
        <f t="shared" si="7"/>
        <v>0</v>
      </c>
      <c r="E38" s="137">
        <f t="shared" si="7"/>
        <v>0</v>
      </c>
      <c r="F38" s="137" t="str">
        <f t="shared" si="7"/>
        <v xml:space="preserve"> </v>
      </c>
      <c r="G38" s="137">
        <f t="shared" si="7"/>
        <v>0</v>
      </c>
    </row>
    <row r="39" spans="1:7" ht="15.75" thickBot="1" x14ac:dyDescent="0.3">
      <c r="A39" s="133" t="s">
        <v>165</v>
      </c>
      <c r="B39" s="137" t="str">
        <f t="shared" ref="B39:G39" si="8">IFERROR(B32/B7," ")</f>
        <v xml:space="preserve"> </v>
      </c>
      <c r="C39" s="137">
        <f t="shared" si="8"/>
        <v>0</v>
      </c>
      <c r="D39" s="137">
        <f t="shared" si="8"/>
        <v>0</v>
      </c>
      <c r="E39" s="137">
        <f t="shared" si="8"/>
        <v>0</v>
      </c>
      <c r="F39" s="137" t="str">
        <f t="shared" si="8"/>
        <v xml:space="preserve"> </v>
      </c>
      <c r="G39" s="137">
        <f t="shared" si="8"/>
        <v>0</v>
      </c>
    </row>
    <row r="40" spans="1:7" ht="15.75" thickBot="1" x14ac:dyDescent="0.3">
      <c r="A40" s="133" t="s">
        <v>185</v>
      </c>
      <c r="B40" s="137" t="str">
        <f>IFERROR(B33/B8," ")</f>
        <v xml:space="preserve"> </v>
      </c>
      <c r="C40" s="137">
        <f>IFERROR(C33/C7," ")</f>
        <v>0</v>
      </c>
      <c r="D40" s="137">
        <f>IFERROR(D33/D7," ")</f>
        <v>0</v>
      </c>
      <c r="E40" s="137">
        <f>IFERROR(E33/E7," ")</f>
        <v>0</v>
      </c>
      <c r="F40" s="137" t="str">
        <f>IFERROR(F33/F7," ")</f>
        <v xml:space="preserve"> </v>
      </c>
      <c r="G40" s="137">
        <f>IFERROR(G33/G7," ")</f>
        <v>0</v>
      </c>
    </row>
    <row r="41" spans="1:7" ht="15.75" thickBot="1" x14ac:dyDescent="0.3">
      <c r="A41" s="133" t="s">
        <v>186</v>
      </c>
      <c r="B41" s="137" t="str">
        <f t="shared" ref="B41:G41" si="9">IFERROR(B34/B7," ")</f>
        <v xml:space="preserve"> </v>
      </c>
      <c r="C41" s="137">
        <f t="shared" si="9"/>
        <v>0</v>
      </c>
      <c r="D41" s="137">
        <f t="shared" si="9"/>
        <v>0</v>
      </c>
      <c r="E41" s="137">
        <f t="shared" si="9"/>
        <v>0</v>
      </c>
      <c r="F41" s="137" t="str">
        <f t="shared" si="9"/>
        <v xml:space="preserve"> </v>
      </c>
      <c r="G41" s="137">
        <f t="shared" si="9"/>
        <v>0</v>
      </c>
    </row>
    <row r="42" spans="1:7" x14ac:dyDescent="0.25">
      <c r="B42" s="150"/>
      <c r="C42" s="150"/>
    </row>
    <row r="43" spans="1:7" x14ac:dyDescent="0.25">
      <c r="B43" s="150"/>
      <c r="C43" s="150"/>
    </row>
    <row r="108" spans="1:1" x14ac:dyDescent="0.25">
      <c r="A108" s="134">
        <v>388</v>
      </c>
    </row>
    <row r="109" spans="1:1" x14ac:dyDescent="0.25">
      <c r="A109" s="134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7C853-B964-4AEF-B269-762CC6D17930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 x14ac:dyDescent="0.25"/>
  <cols>
    <col min="1" max="1" width="24.28515625" style="134" bestFit="1" customWidth="1"/>
    <col min="2" max="2" width="10.7109375" style="134" bestFit="1" customWidth="1"/>
    <col min="3" max="3" width="15" style="134" bestFit="1" customWidth="1"/>
    <col min="4" max="5" width="12.5703125" style="134" bestFit="1" customWidth="1"/>
    <col min="6" max="6" width="10.7109375" style="134"/>
    <col min="7" max="7" width="15.7109375" style="134" customWidth="1"/>
    <col min="8" max="8" width="12.5703125" style="134" bestFit="1" customWidth="1"/>
    <col min="9" max="9" width="8.5703125" style="134" bestFit="1" customWidth="1"/>
    <col min="10" max="10" width="15.28515625" style="134" bestFit="1" customWidth="1"/>
    <col min="11" max="11" width="10.7109375" style="134"/>
    <col min="12" max="12" width="16.28515625" style="134" bestFit="1" customWidth="1"/>
    <col min="13" max="16384" width="10.7109375" style="134"/>
  </cols>
  <sheetData>
    <row r="1" spans="1:13" ht="15.75" thickBot="1" x14ac:dyDescent="0.3"/>
    <row r="2" spans="1:13" ht="15.75" thickBot="1" x14ac:dyDescent="0.3">
      <c r="A2" s="465" t="s">
        <v>142</v>
      </c>
      <c r="B2" s="28"/>
      <c r="C2" s="144"/>
      <c r="G2" s="139" t="s">
        <v>143</v>
      </c>
      <c r="H2" s="244">
        <v>0</v>
      </c>
      <c r="L2" s="241" t="s">
        <v>144</v>
      </c>
      <c r="M2" s="241" t="s">
        <v>7</v>
      </c>
    </row>
    <row r="3" spans="1:13" ht="15.75" thickBot="1" x14ac:dyDescent="0.3">
      <c r="A3" s="466"/>
      <c r="B3" s="167"/>
      <c r="C3" s="168"/>
      <c r="E3" s="139" t="s">
        <v>145</v>
      </c>
      <c r="F3" s="141">
        <v>738</v>
      </c>
      <c r="G3" s="139" t="s">
        <v>146</v>
      </c>
      <c r="H3" s="139">
        <f>H4/12</f>
        <v>0</v>
      </c>
      <c r="J3" s="227" t="s">
        <v>147</v>
      </c>
      <c r="L3" s="241">
        <v>737</v>
      </c>
      <c r="M3" s="241">
        <v>1</v>
      </c>
    </row>
    <row r="4" spans="1:13" ht="15.75" thickBot="1" x14ac:dyDescent="0.3">
      <c r="E4" s="139" t="s">
        <v>2</v>
      </c>
      <c r="F4" s="140">
        <f>'P&amp;L'!R4</f>
        <v>0.8</v>
      </c>
      <c r="G4" s="139" t="s">
        <v>148</v>
      </c>
      <c r="H4" s="139">
        <f>H2*52</f>
        <v>0</v>
      </c>
      <c r="J4" s="228">
        <f>H17*H4</f>
        <v>0</v>
      </c>
      <c r="L4" s="241"/>
      <c r="M4" s="241"/>
    </row>
    <row r="5" spans="1:13" ht="15.75" thickBot="1" x14ac:dyDescent="0.3">
      <c r="A5" s="135" t="s">
        <v>149</v>
      </c>
      <c r="L5" s="241"/>
      <c r="M5" s="241"/>
    </row>
    <row r="6" spans="1:13" ht="15.75" thickBot="1" x14ac:dyDescent="0.3">
      <c r="A6" s="155" t="s">
        <v>150</v>
      </c>
      <c r="B6" s="155" t="s">
        <v>43</v>
      </c>
      <c r="C6" s="155" t="s">
        <v>44</v>
      </c>
      <c r="D6" s="155" t="s">
        <v>45</v>
      </c>
      <c r="E6" s="155" t="s">
        <v>46</v>
      </c>
      <c r="F6" s="155" t="s">
        <v>47</v>
      </c>
      <c r="G6" s="155" t="s">
        <v>48</v>
      </c>
      <c r="H6" s="155" t="s">
        <v>151</v>
      </c>
      <c r="I6" s="154" t="s">
        <v>152</v>
      </c>
      <c r="L6" s="240"/>
      <c r="M6" s="240"/>
    </row>
    <row r="7" spans="1:13" ht="15.75" thickBot="1" x14ac:dyDescent="0.3">
      <c r="A7" s="133" t="s">
        <v>153</v>
      </c>
      <c r="B7" s="133">
        <f>+'FlightConfig '!B17</f>
        <v>0</v>
      </c>
      <c r="C7" s="133">
        <f>+'FlightConfig '!C17</f>
        <v>34</v>
      </c>
      <c r="D7" s="133">
        <f>+'FlightConfig '!D17</f>
        <v>48</v>
      </c>
      <c r="E7" s="133">
        <f>+'FlightConfig '!E17</f>
        <v>198</v>
      </c>
      <c r="F7" s="133">
        <f>+'FlightConfig '!F17</f>
        <v>0</v>
      </c>
      <c r="G7" s="133">
        <f>+'FlightConfig '!G17</f>
        <v>6</v>
      </c>
      <c r="H7" s="133">
        <f>SUM(B7:G7)</f>
        <v>286</v>
      </c>
      <c r="L7" s="240"/>
      <c r="M7" s="240"/>
    </row>
    <row r="8" spans="1:13" ht="15.75" thickBot="1" x14ac:dyDescent="0.3">
      <c r="A8" s="133" t="s">
        <v>154</v>
      </c>
      <c r="B8" s="133">
        <f t="shared" ref="B8:G8" si="0">ROUNDUP(B7*$F$4,0)</f>
        <v>0</v>
      </c>
      <c r="C8" s="133">
        <f t="shared" si="0"/>
        <v>28</v>
      </c>
      <c r="D8" s="133">
        <f t="shared" si="0"/>
        <v>39</v>
      </c>
      <c r="E8" s="133">
        <f t="shared" si="0"/>
        <v>159</v>
      </c>
      <c r="F8" s="133">
        <f t="shared" si="0"/>
        <v>0</v>
      </c>
      <c r="G8" s="133">
        <f t="shared" si="0"/>
        <v>5</v>
      </c>
      <c r="H8" s="133">
        <f>SUM(B8:G8)</f>
        <v>231</v>
      </c>
      <c r="L8" s="240"/>
      <c r="M8" s="240"/>
    </row>
    <row r="9" spans="1:13" ht="15.75" thickBot="1" x14ac:dyDescent="0.3">
      <c r="A9" s="275"/>
      <c r="B9" s="276" t="s">
        <v>155</v>
      </c>
      <c r="C9" s="276" t="s">
        <v>156</v>
      </c>
      <c r="D9" s="276" t="s">
        <v>157</v>
      </c>
      <c r="E9" s="276" t="s">
        <v>158</v>
      </c>
      <c r="F9" s="276" t="s">
        <v>159</v>
      </c>
      <c r="G9" s="276" t="s">
        <v>160</v>
      </c>
      <c r="H9" s="155" t="s">
        <v>161</v>
      </c>
      <c r="J9" s="155" t="s">
        <v>162</v>
      </c>
    </row>
    <row r="10" spans="1:13" ht="15.75" thickBot="1" x14ac:dyDescent="0.3">
      <c r="A10" s="133" t="s">
        <v>163</v>
      </c>
      <c r="B10" s="137">
        <f t="shared" ref="B10:G10" si="1">B37*B8</f>
        <v>0</v>
      </c>
      <c r="C10" s="137">
        <f t="shared" si="1"/>
        <v>0</v>
      </c>
      <c r="D10" s="137">
        <f t="shared" si="1"/>
        <v>0</v>
      </c>
      <c r="E10" s="137">
        <f t="shared" si="1"/>
        <v>0</v>
      </c>
      <c r="F10" s="137">
        <f t="shared" si="1"/>
        <v>0</v>
      </c>
      <c r="G10" s="137">
        <f t="shared" si="1"/>
        <v>0</v>
      </c>
      <c r="H10" s="136">
        <f t="shared" ref="H10:H16" si="2">SUM(B10:G10)</f>
        <v>0</v>
      </c>
      <c r="J10" s="136">
        <f>H10*$H$4</f>
        <v>0</v>
      </c>
    </row>
    <row r="11" spans="1:13" ht="15.75" thickBot="1" x14ac:dyDescent="0.3">
      <c r="A11" s="133" t="s">
        <v>164</v>
      </c>
      <c r="B11" s="137">
        <f>IFERROR(B38*B8,0)</f>
        <v>0</v>
      </c>
      <c r="C11" s="137">
        <f>IFERROR(C38*$C$8,0)</f>
        <v>0</v>
      </c>
      <c r="D11" s="137">
        <f>IFERROR(D38*$D$8,0)</f>
        <v>0</v>
      </c>
      <c r="E11" s="137">
        <f>IFERROR(E38*$E$8,0)</f>
        <v>0</v>
      </c>
      <c r="F11" s="137">
        <f>IFERROR(F38*$F$8,0)</f>
        <v>0</v>
      </c>
      <c r="G11" s="137">
        <f>IFERROR(G38*G8,0)</f>
        <v>0</v>
      </c>
      <c r="H11" s="136">
        <f t="shared" si="2"/>
        <v>0</v>
      </c>
      <c r="I11" s="175">
        <f>I12*45%</f>
        <v>0</v>
      </c>
      <c r="J11" s="136">
        <f>H11*$H$4</f>
        <v>0</v>
      </c>
    </row>
    <row r="12" spans="1:13" ht="15.75" thickBot="1" x14ac:dyDescent="0.3">
      <c r="A12" s="133" t="s">
        <v>165</v>
      </c>
      <c r="B12" s="137">
        <f>IFERROR(B39*B8,0)</f>
        <v>0</v>
      </c>
      <c r="C12" s="137">
        <f>IFERROR(C39*$C$8,0)</f>
        <v>0</v>
      </c>
      <c r="D12" s="137">
        <f>IFERROR(D39*$D$8,0)</f>
        <v>0</v>
      </c>
      <c r="E12" s="137">
        <f>IFERROR(E39*$E$8,0)</f>
        <v>0</v>
      </c>
      <c r="F12" s="137">
        <f>IFERROR(F39*$F$8,0)</f>
        <v>0</v>
      </c>
      <c r="G12" s="137">
        <f>IFERROR(G39*G8,0)</f>
        <v>0</v>
      </c>
      <c r="H12" s="136">
        <f t="shared" si="2"/>
        <v>0</v>
      </c>
      <c r="I12" s="246">
        <f>H11+H12</f>
        <v>0</v>
      </c>
      <c r="J12" s="136">
        <f t="shared" ref="J12:J17" si="3">H12*$H$4</f>
        <v>0</v>
      </c>
    </row>
    <row r="13" spans="1:13" ht="15.75" thickBot="1" x14ac:dyDescent="0.3">
      <c r="A13" s="133" t="s">
        <v>166</v>
      </c>
      <c r="B13" s="137" t="str">
        <f>IFERROR(B40*B8," ")</f>
        <v xml:space="preserve"> </v>
      </c>
      <c r="C13" s="137">
        <f>IFERROR(C40*$C$8,0)</f>
        <v>0</v>
      </c>
      <c r="D13" s="137">
        <f>IFERROR(D40*$D$8,0)</f>
        <v>0</v>
      </c>
      <c r="E13" s="137">
        <f>IFERROR(E40*$E$8,0)</f>
        <v>0</v>
      </c>
      <c r="F13" s="137">
        <f>IFERROR(F40*$F$8,0)</f>
        <v>0</v>
      </c>
      <c r="G13" s="137">
        <v>0</v>
      </c>
      <c r="H13" s="136">
        <f t="shared" si="2"/>
        <v>0</v>
      </c>
      <c r="J13" s="136">
        <f t="shared" si="3"/>
        <v>0</v>
      </c>
    </row>
    <row r="14" spans="1:13" ht="15.75" thickBot="1" x14ac:dyDescent="0.3">
      <c r="A14" s="133" t="s">
        <v>167</v>
      </c>
      <c r="B14" s="137" t="str">
        <f>IFERROR(B41*B8," ")</f>
        <v xml:space="preserve"> </v>
      </c>
      <c r="C14" s="137">
        <f>IFERROR(C41*$C$8,0)</f>
        <v>0</v>
      </c>
      <c r="D14" s="137">
        <f>IFERROR(D41*$D$8,0)</f>
        <v>0</v>
      </c>
      <c r="E14" s="137">
        <f>IFERROR(E41*$E$8,0)</f>
        <v>0</v>
      </c>
      <c r="F14" s="137">
        <f>IFERROR(F41*$F$8,0)</f>
        <v>0</v>
      </c>
      <c r="G14" s="137">
        <v>0</v>
      </c>
      <c r="H14" s="136">
        <f t="shared" si="2"/>
        <v>0</v>
      </c>
      <c r="J14" s="136">
        <f t="shared" si="3"/>
        <v>0</v>
      </c>
      <c r="L14" s="155" t="s">
        <v>168</v>
      </c>
      <c r="M14" s="155"/>
    </row>
    <row r="15" spans="1:13" ht="15.75" thickBot="1" x14ac:dyDescent="0.3">
      <c r="A15" s="133" t="s">
        <v>169</v>
      </c>
      <c r="B15" s="137">
        <v>0</v>
      </c>
      <c r="C15" s="137">
        <v>0</v>
      </c>
      <c r="D15" s="137">
        <v>0</v>
      </c>
      <c r="E15" s="137">
        <f>+B20</f>
        <v>0</v>
      </c>
      <c r="F15" s="137">
        <v>0</v>
      </c>
      <c r="G15" s="137">
        <v>0</v>
      </c>
      <c r="H15" s="136">
        <f t="shared" si="2"/>
        <v>0</v>
      </c>
      <c r="I15" s="175"/>
      <c r="J15" s="136">
        <f t="shared" si="3"/>
        <v>0</v>
      </c>
      <c r="L15" s="234">
        <f>J12+J15</f>
        <v>0</v>
      </c>
      <c r="M15" s="236">
        <v>1</v>
      </c>
    </row>
    <row r="16" spans="1:13" ht="15.75" thickBot="1" x14ac:dyDescent="0.3">
      <c r="A16" s="133" t="s">
        <v>170</v>
      </c>
      <c r="B16" s="138">
        <v>0</v>
      </c>
      <c r="C16" s="138">
        <v>0</v>
      </c>
      <c r="D16" s="138">
        <v>0</v>
      </c>
      <c r="E16" s="137">
        <f>+C20</f>
        <v>0</v>
      </c>
      <c r="F16" s="138">
        <v>0</v>
      </c>
      <c r="G16" s="138">
        <v>0</v>
      </c>
      <c r="H16" s="136">
        <f t="shared" si="2"/>
        <v>0</v>
      </c>
      <c r="I16" s="153"/>
      <c r="J16" s="136">
        <f t="shared" si="3"/>
        <v>0</v>
      </c>
      <c r="L16" s="235">
        <f>L15*M16</f>
        <v>0</v>
      </c>
      <c r="M16" s="236">
        <v>0.8</v>
      </c>
    </row>
    <row r="17" spans="1:13" ht="15.75" thickBot="1" x14ac:dyDescent="0.3">
      <c r="A17" s="156" t="s">
        <v>171</v>
      </c>
      <c r="B17" s="157">
        <f>SUM(B11:B16)</f>
        <v>0</v>
      </c>
      <c r="C17" s="157">
        <f>SUM(C11:C16)</f>
        <v>0</v>
      </c>
      <c r="D17" s="157">
        <f>SUM(D10:D16)</f>
        <v>0</v>
      </c>
      <c r="E17" s="157">
        <f>SUM(E10:E16)</f>
        <v>0</v>
      </c>
      <c r="F17" s="157">
        <f>SUM(F10:F16)</f>
        <v>0</v>
      </c>
      <c r="G17" s="157">
        <f>SUM(G10:G16)</f>
        <v>0</v>
      </c>
      <c r="H17" s="157">
        <f>SUM(H10:H16)</f>
        <v>0</v>
      </c>
      <c r="J17" s="226">
        <f t="shared" si="3"/>
        <v>0</v>
      </c>
      <c r="L17" s="235">
        <f>L15*M17</f>
        <v>0</v>
      </c>
      <c r="M17" s="236">
        <v>0.2</v>
      </c>
    </row>
    <row r="18" spans="1:13" ht="15.75" thickBot="1" x14ac:dyDescent="0.3">
      <c r="A18" s="214"/>
      <c r="B18" s="215">
        <f>B17</f>
        <v>0</v>
      </c>
      <c r="C18" s="215">
        <f>C17</f>
        <v>0</v>
      </c>
      <c r="D18" s="215">
        <f>D17</f>
        <v>0</v>
      </c>
      <c r="E18" s="215">
        <f>E17-E15-E16</f>
        <v>0</v>
      </c>
      <c r="F18" s="215">
        <f>F17</f>
        <v>0</v>
      </c>
      <c r="G18" s="215">
        <f>G17</f>
        <v>0</v>
      </c>
      <c r="H18" s="215"/>
      <c r="I18" s="215">
        <f>E15+E16</f>
        <v>0</v>
      </c>
      <c r="J18" s="215"/>
      <c r="L18" s="233"/>
    </row>
    <row r="19" spans="1:13" ht="15.75" thickBot="1" x14ac:dyDescent="0.3">
      <c r="A19" s="155" t="s">
        <v>172</v>
      </c>
      <c r="B19" s="218" t="s">
        <v>173</v>
      </c>
      <c r="C19" s="218" t="s">
        <v>174</v>
      </c>
      <c r="D19" s="218" t="s">
        <v>175</v>
      </c>
      <c r="E19" s="152"/>
      <c r="F19" s="152"/>
      <c r="G19" s="152"/>
      <c r="H19" s="154"/>
      <c r="I19" s="152">
        <f>E16</f>
        <v>0</v>
      </c>
    </row>
    <row r="20" spans="1:13" ht="15.75" thickBot="1" x14ac:dyDescent="0.3">
      <c r="A20" s="216" t="s">
        <v>188</v>
      </c>
      <c r="B20" s="217">
        <f>Handling!C56</f>
        <v>0</v>
      </c>
      <c r="C20" s="217">
        <f>B20*'P&amp;L'!$R$10</f>
        <v>0</v>
      </c>
      <c r="D20" s="217">
        <f>SUM(B20:C20)</f>
        <v>0</v>
      </c>
      <c r="G20" s="175"/>
    </row>
    <row r="21" spans="1:13" ht="15.75" hidden="1" thickBot="1" x14ac:dyDescent="0.3">
      <c r="A21" s="156" t="s">
        <v>177</v>
      </c>
      <c r="B21" s="137" t="e">
        <f>Handling!#REF!</f>
        <v>#REF!</v>
      </c>
      <c r="C21" s="137" t="e">
        <f>Handling!#REF!</f>
        <v>#REF!</v>
      </c>
      <c r="D21" s="137" t="e">
        <f>Handling!#REF!</f>
        <v>#REF!</v>
      </c>
      <c r="G21" s="175"/>
    </row>
    <row r="22" spans="1:13" ht="15.75" hidden="1" thickBot="1" x14ac:dyDescent="0.3">
      <c r="A22" s="156" t="s">
        <v>178</v>
      </c>
      <c r="B22" s="137" t="e">
        <f>Handling!#REF!</f>
        <v>#REF!</v>
      </c>
      <c r="C22" s="137" t="e">
        <f>Handling!#REF!</f>
        <v>#REF!</v>
      </c>
      <c r="D22" s="137" t="e">
        <f>Handling!#REF!</f>
        <v>#REF!</v>
      </c>
    </row>
    <row r="23" spans="1:13" ht="15.75" thickBot="1" x14ac:dyDescent="0.3"/>
    <row r="24" spans="1:13" ht="15.75" thickBot="1" x14ac:dyDescent="0.3">
      <c r="A24" s="133" t="s">
        <v>179</v>
      </c>
      <c r="B24" s="137">
        <f>IFERROR(((B11+B12+B13+B14)/B8),0)</f>
        <v>0</v>
      </c>
      <c r="C24" s="137">
        <f>IFERROR(((C11+C12+C13+C14)/C8),0)</f>
        <v>0</v>
      </c>
      <c r="D24" s="137">
        <f>IFERROR(((D10+D11+D12+D13+D14)/D8),0)</f>
        <v>0</v>
      </c>
      <c r="E24" s="137">
        <f>IFERROR(((E10+E11+E12+E13+E14)/E8),0)</f>
        <v>0</v>
      </c>
      <c r="F24" s="137">
        <f>IFERROR(((F10+F11+F12+F13+F14)/F8),0)</f>
        <v>0</v>
      </c>
      <c r="G24" s="137">
        <f>IFERROR(((G10+G11+G12+G13+G14)/G8),0)</f>
        <v>0</v>
      </c>
    </row>
    <row r="25" spans="1:13" ht="15.75" thickBot="1" x14ac:dyDescent="0.3">
      <c r="A25" s="133" t="s">
        <v>180</v>
      </c>
      <c r="B25" s="137">
        <f t="shared" ref="B25:G25" si="4">IFERROR(((B13+B14)/B8),0)</f>
        <v>0</v>
      </c>
      <c r="C25" s="137">
        <f t="shared" si="4"/>
        <v>0</v>
      </c>
      <c r="D25" s="137">
        <f t="shared" si="4"/>
        <v>0</v>
      </c>
      <c r="E25" s="137">
        <f t="shared" si="4"/>
        <v>0</v>
      </c>
      <c r="F25" s="137">
        <f t="shared" si="4"/>
        <v>0</v>
      </c>
      <c r="G25" s="137">
        <f t="shared" si="4"/>
        <v>0</v>
      </c>
    </row>
    <row r="26" spans="1:13" ht="15.75" thickBot="1" x14ac:dyDescent="0.3">
      <c r="A26" s="133" t="s">
        <v>181</v>
      </c>
      <c r="B26" s="137">
        <f t="shared" ref="B26:G26" si="5">IFERROR((B10/B8),0)</f>
        <v>0</v>
      </c>
      <c r="C26" s="137">
        <f t="shared" si="5"/>
        <v>0</v>
      </c>
      <c r="D26" s="137">
        <f t="shared" si="5"/>
        <v>0</v>
      </c>
      <c r="E26" s="137">
        <f t="shared" si="5"/>
        <v>0</v>
      </c>
      <c r="F26" s="137">
        <f t="shared" si="5"/>
        <v>0</v>
      </c>
      <c r="G26" s="137">
        <f t="shared" si="5"/>
        <v>0</v>
      </c>
    </row>
    <row r="27" spans="1:13" s="230" customFormat="1" x14ac:dyDescent="0.25">
      <c r="A27" s="231"/>
      <c r="B27" s="232"/>
      <c r="C27" s="232"/>
      <c r="D27" s="232"/>
      <c r="E27" s="232"/>
      <c r="F27" s="232"/>
      <c r="G27" s="232"/>
    </row>
    <row r="28" spans="1:13" x14ac:dyDescent="0.25">
      <c r="B28" s="156" t="s">
        <v>182</v>
      </c>
      <c r="C28" s="156" t="s">
        <v>183</v>
      </c>
    </row>
    <row r="29" spans="1:13" ht="15.75" thickBot="1" x14ac:dyDescent="0.3">
      <c r="A29" s="156" t="s">
        <v>184</v>
      </c>
      <c r="B29" s="156">
        <f>'P&amp;L'!R5</f>
        <v>1</v>
      </c>
      <c r="C29" s="156">
        <v>2855</v>
      </c>
    </row>
    <row r="30" spans="1:13" ht="15.75" thickBot="1" x14ac:dyDescent="0.3">
      <c r="A30" s="133" t="s">
        <v>163</v>
      </c>
      <c r="B30" s="137">
        <f t="shared" ref="B30:G30" si="6">B37*B8</f>
        <v>0</v>
      </c>
      <c r="C30" s="137">
        <f>C37*C8</f>
        <v>0</v>
      </c>
      <c r="D30" s="137">
        <f t="shared" si="6"/>
        <v>0</v>
      </c>
      <c r="E30" s="137">
        <f t="shared" si="6"/>
        <v>0</v>
      </c>
      <c r="F30" s="137">
        <f t="shared" si="6"/>
        <v>0</v>
      </c>
      <c r="G30" s="137">
        <f t="shared" si="6"/>
        <v>0</v>
      </c>
    </row>
    <row r="31" spans="1:13" ht="15.75" thickBot="1" x14ac:dyDescent="0.3">
      <c r="A31" s="133" t="s">
        <v>164</v>
      </c>
      <c r="B31" s="137">
        <f>IFERROR(IF($B$29=$B$29,SUMIF(Food!$C:$C,B$9&amp;$B$29&amp;$C$29,Food!$X:$X),0),"")</f>
        <v>0</v>
      </c>
      <c r="C31" s="137">
        <f>IFERROR(IF($B$29=$B$29,SUMIF(Food!$C:$C,C$9&amp;$B$29&amp;$C$29,Food!$X:$X),0),"")</f>
        <v>0</v>
      </c>
      <c r="D31" s="137">
        <f>IFERROR(IF($B$29=$B$29,SUMIF(Food!$C:$C,D$9&amp;$B$29&amp;$C$29,Food!$X:$X),0),"")</f>
        <v>0</v>
      </c>
      <c r="E31" s="137">
        <f>IFERROR(IF($B$29=$B$29,SUMIF(Food!$C:$C,E$9&amp;$B$29&amp;$C$29,Food!$X:$X),0),"")</f>
        <v>0</v>
      </c>
      <c r="F31" s="137">
        <f>IFERROR(IF($B$29=$B$29,SUMIF(Food!$C:$C,F$9&amp;$B$29&amp;$C$29,Food!$X:$X),0),"")</f>
        <v>0</v>
      </c>
      <c r="G31" s="137">
        <f>IFERROR(IF($B$29=$B$29,SUMIF(Food!$C:$C,G$9&amp;$B$29&amp;$C$29,Food!$X:$X),0),"")</f>
        <v>0</v>
      </c>
    </row>
    <row r="32" spans="1:13" ht="15.75" thickBot="1" x14ac:dyDescent="0.3">
      <c r="A32" s="133" t="s">
        <v>165</v>
      </c>
      <c r="B32" s="137">
        <f>IFERROR(IF($B$29=$B$29,SUMIF(Food!$C:$C,B$9&amp;$B$29&amp;$C$29,Food!$Z:$Z),0),"")</f>
        <v>0</v>
      </c>
      <c r="C32" s="137">
        <f>IFERROR(IF($B$29=$B$29,SUMIF(Food!$C:$C,C$9&amp;$B$29&amp;$C$29,Food!$Z:$Z),0),"")</f>
        <v>0</v>
      </c>
      <c r="D32" s="137">
        <f>IFERROR(IF($B$29=$B$29,SUMIF(Food!$C:$C,D$9&amp;$B$29&amp;$C$29,Food!$Z:$Z),0),"")</f>
        <v>0</v>
      </c>
      <c r="E32" s="137">
        <f>IFERROR(IF($B$29=$B$29,SUMIF(Food!$C:$C,E$9&amp;$B$29&amp;$C$29,Food!$Z:$Z),0),"")</f>
        <v>0</v>
      </c>
      <c r="F32" s="137">
        <f>IFERROR(IF($B$29=$B$29,SUMIF(Food!$C:$C,F$9&amp;$B$29&amp;$C$29,Food!$Z:$Z),0),"")</f>
        <v>0</v>
      </c>
      <c r="G32" s="137">
        <f>IFERROR(IF($B$29=$B$29,SUMIF(Food!$C:$C,G$9&amp;$B$29&amp;$C$29,Food!$Z:$Z),0),"")</f>
        <v>0</v>
      </c>
    </row>
    <row r="33" spans="1:7" ht="15.75" thickBot="1" x14ac:dyDescent="0.3">
      <c r="A33" s="133" t="s">
        <v>185</v>
      </c>
      <c r="B33" s="137">
        <f>IFERROR(IF($B$29=$B$29,SUMIF(Food!$C:$C,B$9&amp;$B$29&amp;$C$29,Food!$AB:$AB),0),"")</f>
        <v>0</v>
      </c>
      <c r="C33" s="137">
        <f>IFERROR(IF($B$29=$B$29,SUMIF(Food!$C:$C,C$9&amp;$B$29&amp;$C$29,Food!$AB:$AB),0),"")</f>
        <v>0</v>
      </c>
      <c r="D33" s="137">
        <f>IFERROR(IF($B$29=$B$29,SUMIF(Food!$C:$C,D$9&amp;$B$29&amp;$C$29,Food!$AB:$AB),0),"")</f>
        <v>0</v>
      </c>
      <c r="E33" s="137">
        <f>IFERROR(IF($B$29=$B$29,SUMIF(Food!$C:$C,E$9&amp;$B$29&amp;$C$29,Food!$AB:$AB),0),"")</f>
        <v>0</v>
      </c>
      <c r="F33" s="137">
        <f>IFERROR(IF($B$29=$B$29,SUMIF(Food!$C:$C,F$9&amp;$B$29&amp;$C$29,Food!$AB:$AB),0),"")</f>
        <v>0</v>
      </c>
      <c r="G33" s="137">
        <f>IFERROR(IF($B$29=$B$29,SUMIF(Food!$C:$C,G$9&amp;$B$29&amp;$C$29,Food!$O:$O),0),"")</f>
        <v>0</v>
      </c>
    </row>
    <row r="34" spans="1:7" ht="15.75" thickBot="1" x14ac:dyDescent="0.3">
      <c r="A34" s="133" t="s">
        <v>186</v>
      </c>
      <c r="B34" s="137">
        <f>IFERROR(IF($B$29=$B$29,SUMIF(Food!$C:$C,B$9&amp;$B$29&amp;$C$29,Food!$AC:$AC),0),"")</f>
        <v>0</v>
      </c>
      <c r="C34" s="137">
        <f>IFERROR(IF($B$29=$B$29,SUMIF(Food!$C:$C,C$9&amp;$B$29&amp;$C$29,Food!$AC:$AC),0),"")</f>
        <v>0</v>
      </c>
      <c r="D34" s="137">
        <f>IFERROR(IF($B$29=$B$29,SUMIF(Food!$C:$C,D$9&amp;$B$29&amp;$C$29,Food!$AC:$AC),0),"")</f>
        <v>0</v>
      </c>
      <c r="E34" s="137">
        <f>IFERROR(IF($B$29=$B$29,SUMIF(Food!$C:$C,E$9&amp;$B$29&amp;$C$29,Food!$AC:$AC),0),"")</f>
        <v>0</v>
      </c>
      <c r="F34" s="137">
        <f>IFERROR(IF($B$29=$B$29,SUMIF(Food!$C:$C,F$9&amp;$B$29&amp;$C$29,Food!$AC:$AC),0),"")</f>
        <v>0</v>
      </c>
      <c r="G34" s="137">
        <f>IFERROR(IF($B$29=$B$29,SUMIF(Food!$C:$C,G$9&amp;$B$29&amp;$C$29,Food!$P:$P),0),"")</f>
        <v>0</v>
      </c>
    </row>
    <row r="35" spans="1:7" x14ac:dyDescent="0.25">
      <c r="A35" s="148"/>
      <c r="B35" s="149"/>
      <c r="C35" s="149"/>
      <c r="D35" s="149"/>
      <c r="E35" s="149"/>
      <c r="F35" s="149"/>
      <c r="G35" s="149"/>
    </row>
    <row r="36" spans="1:7" ht="15.75" thickBot="1" x14ac:dyDescent="0.3">
      <c r="A36" s="156" t="s">
        <v>187</v>
      </c>
    </row>
    <row r="37" spans="1:7" ht="15.75" thickBot="1" x14ac:dyDescent="0.3">
      <c r="A37" s="133" t="s">
        <v>163</v>
      </c>
      <c r="B37" s="137">
        <f>'P&amp;L'!$K$30</f>
        <v>0</v>
      </c>
      <c r="C37" s="137">
        <f>'P&amp;L'!$L$30</f>
        <v>0</v>
      </c>
      <c r="D37" s="137">
        <f>'P&amp;L'!$M$30</f>
        <v>0</v>
      </c>
      <c r="E37" s="137">
        <f>'P&amp;L'!$N$30</f>
        <v>0</v>
      </c>
      <c r="F37" s="137">
        <f>'P&amp;L'!$O$30</f>
        <v>0</v>
      </c>
      <c r="G37" s="137">
        <f>'P&amp;L'!$P$30</f>
        <v>0</v>
      </c>
    </row>
    <row r="38" spans="1:7" ht="15.75" thickBot="1" x14ac:dyDescent="0.3">
      <c r="A38" s="133" t="s">
        <v>164</v>
      </c>
      <c r="B38" s="137" t="str">
        <f t="shared" ref="B38:G38" si="7">IFERROR(B31/B7," ")</f>
        <v xml:space="preserve"> </v>
      </c>
      <c r="C38" s="137">
        <f t="shared" si="7"/>
        <v>0</v>
      </c>
      <c r="D38" s="137">
        <f t="shared" si="7"/>
        <v>0</v>
      </c>
      <c r="E38" s="137">
        <f t="shared" si="7"/>
        <v>0</v>
      </c>
      <c r="F38" s="137" t="str">
        <f t="shared" si="7"/>
        <v xml:space="preserve"> </v>
      </c>
      <c r="G38" s="137">
        <f t="shared" si="7"/>
        <v>0</v>
      </c>
    </row>
    <row r="39" spans="1:7" ht="15.75" thickBot="1" x14ac:dyDescent="0.3">
      <c r="A39" s="133" t="s">
        <v>165</v>
      </c>
      <c r="B39" s="137" t="str">
        <f t="shared" ref="B39:G39" si="8">IFERROR(B32/B7," ")</f>
        <v xml:space="preserve"> </v>
      </c>
      <c r="C39" s="137">
        <f t="shared" si="8"/>
        <v>0</v>
      </c>
      <c r="D39" s="137">
        <f t="shared" si="8"/>
        <v>0</v>
      </c>
      <c r="E39" s="137">
        <f t="shared" si="8"/>
        <v>0</v>
      </c>
      <c r="F39" s="137" t="str">
        <f t="shared" si="8"/>
        <v xml:space="preserve"> </v>
      </c>
      <c r="G39" s="137">
        <f t="shared" si="8"/>
        <v>0</v>
      </c>
    </row>
    <row r="40" spans="1:7" ht="15.75" thickBot="1" x14ac:dyDescent="0.3">
      <c r="A40" s="133" t="s">
        <v>185</v>
      </c>
      <c r="B40" s="137" t="str">
        <f>IFERROR(B33/B8," ")</f>
        <v xml:space="preserve"> </v>
      </c>
      <c r="C40" s="137">
        <f>IFERROR(C33/C7," ")</f>
        <v>0</v>
      </c>
      <c r="D40" s="137">
        <f>IFERROR(D33/D7," ")</f>
        <v>0</v>
      </c>
      <c r="E40" s="137">
        <f>IFERROR(E33/E7," ")</f>
        <v>0</v>
      </c>
      <c r="F40" s="137" t="str">
        <f>IFERROR(F33/F7," ")</f>
        <v xml:space="preserve"> </v>
      </c>
      <c r="G40" s="137">
        <f>IFERROR(G33/G7," ")</f>
        <v>0</v>
      </c>
    </row>
    <row r="41" spans="1:7" ht="15.75" thickBot="1" x14ac:dyDescent="0.3">
      <c r="A41" s="133" t="s">
        <v>186</v>
      </c>
      <c r="B41" s="137" t="str">
        <f t="shared" ref="B41:G41" si="9">IFERROR(B34/B7," ")</f>
        <v xml:space="preserve"> </v>
      </c>
      <c r="C41" s="137">
        <f t="shared" si="9"/>
        <v>0</v>
      </c>
      <c r="D41" s="137">
        <f t="shared" si="9"/>
        <v>0</v>
      </c>
      <c r="E41" s="137">
        <f t="shared" si="9"/>
        <v>0</v>
      </c>
      <c r="F41" s="137" t="str">
        <f t="shared" si="9"/>
        <v xml:space="preserve"> </v>
      </c>
      <c r="G41" s="137">
        <f t="shared" si="9"/>
        <v>0</v>
      </c>
    </row>
    <row r="42" spans="1:7" x14ac:dyDescent="0.25">
      <c r="B42" s="150"/>
      <c r="C42" s="150"/>
    </row>
    <row r="43" spans="1:7" x14ac:dyDescent="0.25">
      <c r="B43" s="150"/>
      <c r="C43" s="150"/>
    </row>
    <row r="108" spans="1:1" x14ac:dyDescent="0.25">
      <c r="A108" s="134">
        <v>388</v>
      </c>
    </row>
    <row r="109" spans="1:1" x14ac:dyDescent="0.25">
      <c r="A109" s="134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51CF-04A3-46AE-A581-DD8334778DA3}">
  <sheetPr>
    <tabColor theme="5" tint="0.79998168889431442"/>
  </sheetPr>
  <dimension ref="A1:M109"/>
  <sheetViews>
    <sheetView zoomScale="85" zoomScaleNormal="85" workbookViewId="0">
      <selection activeCell="B23" sqref="B23"/>
    </sheetView>
  </sheetViews>
  <sheetFormatPr defaultColWidth="10.7109375" defaultRowHeight="15" x14ac:dyDescent="0.25"/>
  <cols>
    <col min="1" max="1" width="24.28515625" style="134" bestFit="1" customWidth="1"/>
    <col min="2" max="2" width="10.7109375" style="134" bestFit="1" customWidth="1"/>
    <col min="3" max="3" width="15" style="134" bestFit="1" customWidth="1"/>
    <col min="4" max="5" width="12.5703125" style="134" bestFit="1" customWidth="1"/>
    <col min="6" max="6" width="10.7109375" style="134"/>
    <col min="7" max="7" width="15.7109375" style="134" customWidth="1"/>
    <col min="8" max="8" width="12.5703125" style="134" bestFit="1" customWidth="1"/>
    <col min="9" max="9" width="8.5703125" style="134" bestFit="1" customWidth="1"/>
    <col min="10" max="10" width="15.28515625" style="134" bestFit="1" customWidth="1"/>
    <col min="11" max="11" width="10.7109375" style="134"/>
    <col min="12" max="12" width="16.28515625" style="134" bestFit="1" customWidth="1"/>
    <col min="13" max="16384" width="10.7109375" style="134"/>
  </cols>
  <sheetData>
    <row r="1" spans="1:13" ht="15.75" thickBot="1" x14ac:dyDescent="0.3"/>
    <row r="2" spans="1:13" ht="15.75" thickBot="1" x14ac:dyDescent="0.3">
      <c r="A2" s="465" t="s">
        <v>142</v>
      </c>
      <c r="B2" s="28"/>
      <c r="C2" s="144"/>
      <c r="G2" s="139" t="s">
        <v>143</v>
      </c>
      <c r="H2" s="244">
        <v>7</v>
      </c>
      <c r="L2" s="241" t="s">
        <v>144</v>
      </c>
      <c r="M2" s="241" t="s">
        <v>7</v>
      </c>
    </row>
    <row r="3" spans="1:13" ht="15.75" thickBot="1" x14ac:dyDescent="0.3">
      <c r="A3" s="466"/>
      <c r="B3" s="167"/>
      <c r="C3" s="168"/>
      <c r="E3" s="139" t="s">
        <v>145</v>
      </c>
      <c r="F3" s="141">
        <v>738</v>
      </c>
      <c r="G3" s="139" t="s">
        <v>146</v>
      </c>
      <c r="H3" s="139">
        <f>H4/12</f>
        <v>30.333333333333332</v>
      </c>
      <c r="J3" s="227" t="s">
        <v>147</v>
      </c>
      <c r="L3" s="241">
        <v>737</v>
      </c>
      <c r="M3" s="241">
        <v>1</v>
      </c>
    </row>
    <row r="4" spans="1:13" ht="15.75" thickBot="1" x14ac:dyDescent="0.3">
      <c r="E4" s="139" t="s">
        <v>2</v>
      </c>
      <c r="F4" s="140">
        <f>'P&amp;L'!R4</f>
        <v>0.8</v>
      </c>
      <c r="G4" s="139" t="s">
        <v>148</v>
      </c>
      <c r="H4" s="139">
        <f>H2*52</f>
        <v>364</v>
      </c>
      <c r="J4" s="228">
        <f>H17*H4</f>
        <v>1760549.8034415641</v>
      </c>
      <c r="L4" s="241"/>
      <c r="M4" s="241"/>
    </row>
    <row r="5" spans="1:13" ht="15.75" thickBot="1" x14ac:dyDescent="0.3">
      <c r="A5" s="135" t="s">
        <v>149</v>
      </c>
      <c r="L5" s="241"/>
      <c r="M5" s="241"/>
    </row>
    <row r="6" spans="1:13" ht="15.75" thickBot="1" x14ac:dyDescent="0.3">
      <c r="A6" s="155" t="s">
        <v>150</v>
      </c>
      <c r="B6" s="155" t="s">
        <v>43</v>
      </c>
      <c r="C6" s="155" t="s">
        <v>44</v>
      </c>
      <c r="D6" s="155" t="s">
        <v>45</v>
      </c>
      <c r="E6" s="155" t="s">
        <v>46</v>
      </c>
      <c r="F6" s="155" t="s">
        <v>47</v>
      </c>
      <c r="G6" s="155" t="s">
        <v>48</v>
      </c>
      <c r="H6" s="155" t="s">
        <v>151</v>
      </c>
      <c r="I6" s="154" t="s">
        <v>152</v>
      </c>
      <c r="L6" s="240"/>
      <c r="M6" s="240"/>
    </row>
    <row r="7" spans="1:13" ht="15.75" thickBot="1" x14ac:dyDescent="0.3">
      <c r="A7" s="133" t="s">
        <v>153</v>
      </c>
      <c r="B7" s="133">
        <f>+'FlightConfig '!B17</f>
        <v>0</v>
      </c>
      <c r="C7" s="133">
        <f>+'FlightConfig '!C17</f>
        <v>34</v>
      </c>
      <c r="D7" s="133">
        <f>+'FlightConfig '!D17</f>
        <v>48</v>
      </c>
      <c r="E7" s="133">
        <f>+'FlightConfig '!E17</f>
        <v>198</v>
      </c>
      <c r="F7" s="133">
        <f>+'FlightConfig '!F17</f>
        <v>0</v>
      </c>
      <c r="G7" s="133">
        <f>+'FlightConfig '!G17</f>
        <v>6</v>
      </c>
      <c r="H7" s="133">
        <f>SUM(B7:G7)</f>
        <v>286</v>
      </c>
      <c r="L7" s="240"/>
      <c r="M7" s="240"/>
    </row>
    <row r="8" spans="1:13" ht="15.75" thickBot="1" x14ac:dyDescent="0.3">
      <c r="A8" s="133" t="s">
        <v>154</v>
      </c>
      <c r="B8" s="133">
        <f t="shared" ref="B8:G8" si="0">ROUNDUP(B7*$F$4,0)</f>
        <v>0</v>
      </c>
      <c r="C8" s="133">
        <f t="shared" si="0"/>
        <v>28</v>
      </c>
      <c r="D8" s="133">
        <f t="shared" si="0"/>
        <v>39</v>
      </c>
      <c r="E8" s="133">
        <f t="shared" si="0"/>
        <v>159</v>
      </c>
      <c r="F8" s="133">
        <f t="shared" si="0"/>
        <v>0</v>
      </c>
      <c r="G8" s="133">
        <f t="shared" si="0"/>
        <v>5</v>
      </c>
      <c r="H8" s="133">
        <f>SUM(B8:G8)</f>
        <v>231</v>
      </c>
      <c r="L8" s="240"/>
      <c r="M8" s="240"/>
    </row>
    <row r="9" spans="1:13" ht="15.75" thickBot="1" x14ac:dyDescent="0.3">
      <c r="A9" s="275"/>
      <c r="B9" s="276" t="s">
        <v>155</v>
      </c>
      <c r="C9" s="276" t="s">
        <v>156</v>
      </c>
      <c r="D9" s="276" t="s">
        <v>157</v>
      </c>
      <c r="E9" s="276" t="s">
        <v>158</v>
      </c>
      <c r="F9" s="276" t="s">
        <v>159</v>
      </c>
      <c r="G9" s="276" t="s">
        <v>189</v>
      </c>
      <c r="H9" s="155" t="s">
        <v>161</v>
      </c>
      <c r="J9" s="155" t="s">
        <v>162</v>
      </c>
    </row>
    <row r="10" spans="1:13" ht="15.75" thickBot="1" x14ac:dyDescent="0.3">
      <c r="A10" s="133" t="s">
        <v>163</v>
      </c>
      <c r="B10" s="137">
        <f t="shared" ref="B10:G10" si="1">B37*B8</f>
        <v>0</v>
      </c>
      <c r="C10" s="137">
        <f t="shared" si="1"/>
        <v>0</v>
      </c>
      <c r="D10" s="137">
        <f t="shared" si="1"/>
        <v>0</v>
      </c>
      <c r="E10" s="137">
        <f t="shared" si="1"/>
        <v>0</v>
      </c>
      <c r="F10" s="137">
        <f t="shared" si="1"/>
        <v>0</v>
      </c>
      <c r="G10" s="137">
        <f t="shared" si="1"/>
        <v>0</v>
      </c>
      <c r="H10" s="136">
        <f t="shared" ref="H10:H16" si="2">SUM(B10:G10)</f>
        <v>0</v>
      </c>
      <c r="J10" s="136">
        <f>H10*$H$4</f>
        <v>0</v>
      </c>
    </row>
    <row r="11" spans="1:13" ht="15.75" thickBot="1" x14ac:dyDescent="0.3">
      <c r="A11" s="133" t="s">
        <v>164</v>
      </c>
      <c r="B11" s="137">
        <f>IFERROR(B38*B8,0)</f>
        <v>0</v>
      </c>
      <c r="C11" s="137">
        <f>IFERROR(C38*$C$8,0)</f>
        <v>471.18639831932768</v>
      </c>
      <c r="D11" s="137">
        <f>IFERROR(D38*$D$8,0)</f>
        <v>303.66526666666664</v>
      </c>
      <c r="E11" s="137">
        <f>IFERROR(E38*$E$8,0)</f>
        <v>879.39891313131318</v>
      </c>
      <c r="F11" s="137">
        <f>IFERROR(F38*$F$8,0)</f>
        <v>0</v>
      </c>
      <c r="G11" s="137">
        <f>IFERROR(G38*G8,0)</f>
        <v>62.05749999999999</v>
      </c>
      <c r="H11" s="136">
        <f t="shared" si="2"/>
        <v>1716.3080781173076</v>
      </c>
      <c r="I11" s="175">
        <f>I12*45%</f>
        <v>1167.5628159816654</v>
      </c>
      <c r="J11" s="136">
        <f>H11*$H$4</f>
        <v>624736.14043469995</v>
      </c>
    </row>
    <row r="12" spans="1:13" ht="15.75" thickBot="1" x14ac:dyDescent="0.3">
      <c r="A12" s="133" t="s">
        <v>165</v>
      </c>
      <c r="B12" s="137">
        <f>IFERROR(B39*B8,0)</f>
        <v>0</v>
      </c>
      <c r="C12" s="137">
        <f>IFERROR(C39*$C$8,0)</f>
        <v>200.95270588235297</v>
      </c>
      <c r="D12" s="137">
        <f>IFERROR(D39*$D$8,0)</f>
        <v>214.14250000000001</v>
      </c>
      <c r="E12" s="137">
        <f>IFERROR(E39*$E$8,0)</f>
        <v>441.79515151515147</v>
      </c>
      <c r="F12" s="137">
        <f>IFERROR(F39*$F$8,0)</f>
        <v>0</v>
      </c>
      <c r="G12" s="137">
        <f>IFERROR(G39*G8,0)</f>
        <v>21.385599999999997</v>
      </c>
      <c r="H12" s="136">
        <f t="shared" si="2"/>
        <v>878.27595739750438</v>
      </c>
      <c r="I12" s="246">
        <f>H11+H12</f>
        <v>2594.5840355148121</v>
      </c>
      <c r="J12" s="136">
        <f t="shared" ref="J12:J17" si="3">H12*$H$4</f>
        <v>319692.44849269162</v>
      </c>
    </row>
    <row r="13" spans="1:13" ht="15.75" thickBot="1" x14ac:dyDescent="0.3">
      <c r="A13" s="133" t="s">
        <v>166</v>
      </c>
      <c r="B13" s="137">
        <f t="shared" ref="B13:B14" si="4">IFERROR(B40*B9,0)</f>
        <v>0</v>
      </c>
      <c r="C13" s="137">
        <f>IFERROR(C40*$C$8,0)</f>
        <v>103.6610076302521</v>
      </c>
      <c r="D13" s="137">
        <f>IFERROR(D40*$D$8,0)</f>
        <v>66.806358666666668</v>
      </c>
      <c r="E13" s="137">
        <f>IFERROR(E40*$E$8,0)</f>
        <v>193.4677608888889</v>
      </c>
      <c r="F13" s="137">
        <f>IFERROR(F40*$F$8,0)</f>
        <v>0</v>
      </c>
      <c r="G13" s="137">
        <f>IFERROR(G40*$G$8,0)</f>
        <v>13.65265</v>
      </c>
      <c r="H13" s="136">
        <f>SUM(B13:G13)</f>
        <v>377.58777718580768</v>
      </c>
      <c r="J13" s="136">
        <f t="shared" si="3"/>
        <v>137441.95089563399</v>
      </c>
    </row>
    <row r="14" spans="1:13" ht="15.75" thickBot="1" x14ac:dyDescent="0.3">
      <c r="A14" s="133" t="s">
        <v>167</v>
      </c>
      <c r="B14" s="137">
        <f t="shared" si="4"/>
        <v>0</v>
      </c>
      <c r="C14" s="137">
        <f>IFERROR(C41*$C$8,0)</f>
        <v>40.190541176470589</v>
      </c>
      <c r="D14" s="137">
        <f>IFERROR(D41*$D$8,0)</f>
        <v>42.828499999999991</v>
      </c>
      <c r="E14" s="137">
        <f>IFERROR(E41*$E$8,0)</f>
        <v>88.359030303030281</v>
      </c>
      <c r="F14" s="137">
        <f>IFERROR(F41*$F$8,0)</f>
        <v>0</v>
      </c>
      <c r="G14" s="137">
        <f>IFERROR(G41*$G$8,0)</f>
        <v>4.2771199999999983</v>
      </c>
      <c r="H14" s="136">
        <f t="shared" si="2"/>
        <v>175.65519147950087</v>
      </c>
      <c r="J14" s="136">
        <f t="shared" si="3"/>
        <v>63938.489698538317</v>
      </c>
      <c r="L14" s="155" t="s">
        <v>168</v>
      </c>
      <c r="M14" s="155"/>
    </row>
    <row r="15" spans="1:13" ht="15.75" thickBot="1" x14ac:dyDescent="0.3">
      <c r="A15" s="133" t="s">
        <v>169</v>
      </c>
      <c r="B15" s="137">
        <v>0</v>
      </c>
      <c r="C15" s="137">
        <v>0</v>
      </c>
      <c r="D15" s="137">
        <v>0</v>
      </c>
      <c r="E15" s="137">
        <f>+B20</f>
        <v>1494.556</v>
      </c>
      <c r="F15" s="137">
        <v>0</v>
      </c>
      <c r="G15" s="137">
        <f>IFERROR(G42*$G$8,0)</f>
        <v>0</v>
      </c>
      <c r="H15" s="136">
        <f t="shared" si="2"/>
        <v>1494.556</v>
      </c>
      <c r="I15" s="175"/>
      <c r="J15" s="136">
        <f t="shared" si="3"/>
        <v>544018.38399999996</v>
      </c>
      <c r="L15" s="234">
        <f>J12+J15</f>
        <v>863710.83249269158</v>
      </c>
      <c r="M15" s="236">
        <v>1</v>
      </c>
    </row>
    <row r="16" spans="1:13" ht="15.75" thickBot="1" x14ac:dyDescent="0.3">
      <c r="A16" s="133" t="s">
        <v>170</v>
      </c>
      <c r="B16" s="138">
        <v>0</v>
      </c>
      <c r="C16" s="138">
        <v>0</v>
      </c>
      <c r="D16" s="138">
        <v>0</v>
      </c>
      <c r="E16" s="137">
        <f>+C20</f>
        <v>194.29228000000001</v>
      </c>
      <c r="F16" s="138">
        <v>0</v>
      </c>
      <c r="G16" s="137">
        <f>IFERROR(G43*$G$8,0)</f>
        <v>0</v>
      </c>
      <c r="H16" s="136">
        <f t="shared" si="2"/>
        <v>194.29228000000001</v>
      </c>
      <c r="I16" s="153"/>
      <c r="J16" s="136">
        <f t="shared" si="3"/>
        <v>70722.389920000001</v>
      </c>
      <c r="L16" s="235">
        <f>L15*M16</f>
        <v>690968.66599415336</v>
      </c>
      <c r="M16" s="236">
        <v>0.8</v>
      </c>
    </row>
    <row r="17" spans="1:13" ht="15.75" thickBot="1" x14ac:dyDescent="0.3">
      <c r="A17" s="156" t="s">
        <v>171</v>
      </c>
      <c r="B17" s="157">
        <f>SUM(B11:B16)</f>
        <v>0</v>
      </c>
      <c r="C17" s="157">
        <f>SUM(C11:C16)</f>
        <v>815.99065300840334</v>
      </c>
      <c r="D17" s="157">
        <f>SUM(D10:D16)</f>
        <v>627.44262533333335</v>
      </c>
      <c r="E17" s="157">
        <f>SUM(E10:E16)</f>
        <v>3291.869135838384</v>
      </c>
      <c r="F17" s="157">
        <f>SUM(F10:F16)</f>
        <v>0</v>
      </c>
      <c r="G17" s="157">
        <f>SUM(G10:G16)</f>
        <v>101.37286999999998</v>
      </c>
      <c r="H17" s="157">
        <f>SUM(H10:H16)</f>
        <v>4836.6752841801208</v>
      </c>
      <c r="J17" s="226">
        <f t="shared" si="3"/>
        <v>1760549.8034415641</v>
      </c>
      <c r="L17" s="235">
        <f>L15*M17</f>
        <v>172742.16649853834</v>
      </c>
      <c r="M17" s="236">
        <v>0.2</v>
      </c>
    </row>
    <row r="18" spans="1:13" ht="15.75" thickBot="1" x14ac:dyDescent="0.3">
      <c r="A18" s="214"/>
      <c r="B18" s="215">
        <f>B17</f>
        <v>0</v>
      </c>
      <c r="C18" s="215">
        <f>C17</f>
        <v>815.99065300840334</v>
      </c>
      <c r="D18" s="215">
        <f>D17</f>
        <v>627.44262533333335</v>
      </c>
      <c r="E18" s="215">
        <f>E17-E15-E16</f>
        <v>1603.0208558383838</v>
      </c>
      <c r="F18" s="215">
        <f>F17</f>
        <v>0</v>
      </c>
      <c r="G18" s="215">
        <f>G17</f>
        <v>101.37286999999998</v>
      </c>
      <c r="H18" s="215"/>
      <c r="I18" s="215">
        <f>E15+E16</f>
        <v>1688.8482800000002</v>
      </c>
      <c r="J18" s="215"/>
      <c r="L18" s="233"/>
    </row>
    <row r="19" spans="1:13" ht="15.75" thickBot="1" x14ac:dyDescent="0.3">
      <c r="A19" s="155" t="s">
        <v>172</v>
      </c>
      <c r="B19" s="218" t="s">
        <v>173</v>
      </c>
      <c r="C19" s="218" t="s">
        <v>174</v>
      </c>
      <c r="D19" s="218" t="s">
        <v>175</v>
      </c>
      <c r="E19" s="152"/>
      <c r="F19" s="152"/>
      <c r="G19" s="152"/>
      <c r="H19" s="154"/>
      <c r="I19" s="152">
        <f>E16</f>
        <v>194.29228000000001</v>
      </c>
      <c r="J19" s="246">
        <f>H11+H12+H15</f>
        <v>4089.1400355148121</v>
      </c>
    </row>
    <row r="20" spans="1:13" ht="15.75" thickBot="1" x14ac:dyDescent="0.3">
      <c r="A20" s="216" t="s">
        <v>188</v>
      </c>
      <c r="B20" s="375">
        <f>Handling!C83+Handling!S39+Handling!S45+Handling!V53+Handling!AD39</f>
        <v>1494.556</v>
      </c>
      <c r="C20" s="217">
        <f>B20*'P&amp;L'!$R$10</f>
        <v>194.29228000000001</v>
      </c>
      <c r="D20" s="217">
        <f>SUM(B20:C20)</f>
        <v>1688.8482800000002</v>
      </c>
      <c r="G20" s="175"/>
      <c r="J20" s="246">
        <f>H13+H14+H16</f>
        <v>747.53524866530859</v>
      </c>
    </row>
    <row r="21" spans="1:13" ht="15.75" hidden="1" thickBot="1" x14ac:dyDescent="0.3">
      <c r="A21" s="156" t="s">
        <v>177</v>
      </c>
      <c r="B21" s="137" t="e">
        <f>Handling!#REF!</f>
        <v>#REF!</v>
      </c>
      <c r="C21" s="137" t="e">
        <f>Handling!#REF!</f>
        <v>#REF!</v>
      </c>
      <c r="D21" s="137" t="e">
        <f>Handling!#REF!</f>
        <v>#REF!</v>
      </c>
      <c r="G21" s="175"/>
    </row>
    <row r="22" spans="1:13" ht="15.75" hidden="1" thickBot="1" x14ac:dyDescent="0.3">
      <c r="A22" s="156" t="s">
        <v>178</v>
      </c>
      <c r="B22" s="137" t="e">
        <f>Handling!#REF!</f>
        <v>#REF!</v>
      </c>
      <c r="C22" s="137" t="e">
        <f>Handling!#REF!</f>
        <v>#REF!</v>
      </c>
      <c r="D22" s="137" t="e">
        <f>Handling!#REF!</f>
        <v>#REF!</v>
      </c>
    </row>
    <row r="23" spans="1:13" ht="15.75" thickBot="1" x14ac:dyDescent="0.3"/>
    <row r="24" spans="1:13" ht="15.75" thickBot="1" x14ac:dyDescent="0.3">
      <c r="A24" s="133" t="s">
        <v>179</v>
      </c>
      <c r="B24" s="137">
        <f>IFERROR(((B11+B12+B13+B14)/B8),0)</f>
        <v>0</v>
      </c>
      <c r="C24" s="137">
        <f>IFERROR(((C11+C12+C13+C14)/C8),0)</f>
        <v>29.142523321728692</v>
      </c>
      <c r="D24" s="137">
        <f>IFERROR(((D10+D11+D12+D13+D14)/D8),0)</f>
        <v>16.088272444444446</v>
      </c>
      <c r="E24" s="137">
        <f>IFERROR(((E10+E11+E12+E13+E14)/E8),0)</f>
        <v>10.081892175084175</v>
      </c>
      <c r="F24" s="137">
        <f>IFERROR(((F10+F11+F12+F13+F14)/F8),0)</f>
        <v>0</v>
      </c>
      <c r="G24" s="137">
        <f>IFERROR(((G10+G11+G12+G13+G14)/G8),0)</f>
        <v>20.274573999999994</v>
      </c>
    </row>
    <row r="25" spans="1:13" ht="15.75" thickBot="1" x14ac:dyDescent="0.3">
      <c r="A25" s="133" t="s">
        <v>180</v>
      </c>
      <c r="B25" s="137">
        <f t="shared" ref="B25:G25" si="5">IFERROR(((B13+B14)/B8),0)</f>
        <v>0</v>
      </c>
      <c r="C25" s="137">
        <f>IFERROR(((C13+C14)/C8),0)</f>
        <v>5.1375553145258106</v>
      </c>
      <c r="D25" s="137">
        <f t="shared" si="5"/>
        <v>2.811150222222222</v>
      </c>
      <c r="E25" s="137">
        <f>IFERROR(((E13+E14)/E8),0)</f>
        <v>1.7724955420875421</v>
      </c>
      <c r="F25" s="137">
        <f t="shared" si="5"/>
        <v>0</v>
      </c>
      <c r="G25" s="137">
        <f t="shared" si="5"/>
        <v>3.5859539999999996</v>
      </c>
    </row>
    <row r="26" spans="1:13" ht="15.75" thickBot="1" x14ac:dyDescent="0.3">
      <c r="A26" s="133" t="s">
        <v>181</v>
      </c>
      <c r="B26" s="137">
        <f t="shared" ref="B26:G26" si="6">IFERROR((B10/B8),0)</f>
        <v>0</v>
      </c>
      <c r="C26" s="137">
        <f t="shared" si="6"/>
        <v>0</v>
      </c>
      <c r="D26" s="137">
        <f t="shared" si="6"/>
        <v>0</v>
      </c>
      <c r="E26" s="137">
        <f t="shared" si="6"/>
        <v>0</v>
      </c>
      <c r="F26" s="137">
        <f t="shared" si="6"/>
        <v>0</v>
      </c>
      <c r="G26" s="137">
        <f t="shared" si="6"/>
        <v>0</v>
      </c>
    </row>
    <row r="27" spans="1:13" s="230" customFormat="1" x14ac:dyDescent="0.25">
      <c r="A27" s="231"/>
      <c r="B27" s="232"/>
      <c r="C27" s="232"/>
      <c r="D27" s="232"/>
      <c r="E27" s="232"/>
      <c r="F27" s="232"/>
      <c r="G27" s="232"/>
    </row>
    <row r="28" spans="1:13" x14ac:dyDescent="0.25">
      <c r="B28" s="156" t="s">
        <v>182</v>
      </c>
      <c r="C28" s="156" t="s">
        <v>183</v>
      </c>
    </row>
    <row r="29" spans="1:13" ht="15.75" thickBot="1" x14ac:dyDescent="0.3">
      <c r="A29" s="156" t="s">
        <v>184</v>
      </c>
      <c r="B29" s="156">
        <f>'P&amp;L'!R5</f>
        <v>1</v>
      </c>
      <c r="C29" s="156">
        <v>104</v>
      </c>
    </row>
    <row r="30" spans="1:13" ht="15.75" thickBot="1" x14ac:dyDescent="0.3">
      <c r="A30" s="133" t="s">
        <v>163</v>
      </c>
      <c r="B30" s="137">
        <f t="shared" ref="B30:G30" si="7">B37*B8</f>
        <v>0</v>
      </c>
      <c r="C30" s="137">
        <f t="shared" si="7"/>
        <v>0</v>
      </c>
      <c r="D30" s="137">
        <f t="shared" si="7"/>
        <v>0</v>
      </c>
      <c r="E30" s="137">
        <f t="shared" si="7"/>
        <v>0</v>
      </c>
      <c r="F30" s="137">
        <f t="shared" si="7"/>
        <v>0</v>
      </c>
      <c r="G30" s="137">
        <f t="shared" si="7"/>
        <v>0</v>
      </c>
    </row>
    <row r="31" spans="1:13" ht="15.75" thickBot="1" x14ac:dyDescent="0.3">
      <c r="A31" s="133" t="s">
        <v>164</v>
      </c>
      <c r="B31" s="316">
        <f>IFERROR(IF($B$29=$B$29,SUMIF(Food!$C:$C,B$9&amp;$B$29&amp;$C$29,Food!$X:$X),0),"")+IFERROR(IF($B$29=$B$29,SUMIF(Food!$C:$C,B$9&amp;$B$29&amp;$C$29,Food!$W:$W),0),"")</f>
        <v>0</v>
      </c>
      <c r="C31" s="137">
        <f>IFERROR(IF($B$29=$B$29,SUMIF(Food!$C:$C,C$9&amp;$B$29&amp;$C$29,Food!$X:$X),0),"")</f>
        <v>572.1549122448979</v>
      </c>
      <c r="D31" s="137">
        <f>IFERROR(IF($B$29=$B$29,SUMIF(Food!$C:$C,D$9&amp;$B$29&amp;$C$29,Food!$X:$X),0),"")</f>
        <v>373.74186666666662</v>
      </c>
      <c r="E31" s="137">
        <f>IFERROR(IF($B$29=$B$29,SUMIF(Food!$C:$C,E$9&amp;$B$29&amp;$C$29,Food!$X:$X),0),"")</f>
        <v>1095.1005333333333</v>
      </c>
      <c r="F31" s="137">
        <f>IFERROR(IF($B$29=$B$29,SUMIF(Food!$C:$C,F$9&amp;$B$29&amp;$C$29,Food!$X:$X),0),"")</f>
        <v>0</v>
      </c>
      <c r="G31" s="137">
        <f>IFERROR(IF($B$29=$B$29,SUMIF(Food!$C:$C,G$9&amp;$B$29&amp;$C$29,Food!$X:$X),0),"")</f>
        <v>74.468999999999994</v>
      </c>
      <c r="H31" s="300"/>
    </row>
    <row r="32" spans="1:13" ht="15.75" thickBot="1" x14ac:dyDescent="0.3">
      <c r="A32" s="133" t="s">
        <v>165</v>
      </c>
      <c r="B32" s="137">
        <f>IFERROR(IF($B$29=$B$29,SUMIF(Food!$C:$C,B$9&amp;$B$29&amp;$C$29,Food!$Z:$Z),0),"")</f>
        <v>0</v>
      </c>
      <c r="C32" s="137">
        <f>IFERROR(IF($B$29=$B$29,SUMIF(Food!$C:$C,C$9&amp;$B$29&amp;$C$29,Food!$Z:$Z),0),"")</f>
        <v>244.01400000000004</v>
      </c>
      <c r="D32" s="137">
        <f>IFERROR(IF($B$29=$B$29,SUMIF(Food!$C:$C,D$9&amp;$B$29&amp;$C$29,Food!$Z:$Z),0),"")</f>
        <v>263.56</v>
      </c>
      <c r="E32" s="137">
        <f>IFERROR(IF($B$29=$B$29,SUMIF(Food!$C:$C,E$9&amp;$B$29&amp;$C$29,Food!$Z:$Z),0),"")</f>
        <v>550.16</v>
      </c>
      <c r="F32" s="137">
        <f>IFERROR(IF($B$29=$B$29,SUMIF(Food!$C:$C,F$9&amp;$B$29&amp;$C$29,Food!$Z:$Z),0),"")</f>
        <v>0</v>
      </c>
      <c r="G32" s="137">
        <f>IFERROR(IF($B$29=$B$29,SUMIF(Food!$C:$C,G$9&amp;$B$29&amp;$C$29,Food!$Z:$Z),0),"")</f>
        <v>25.662719999999993</v>
      </c>
    </row>
    <row r="33" spans="1:7" ht="15.75" thickBot="1" x14ac:dyDescent="0.3">
      <c r="A33" s="133" t="s">
        <v>185</v>
      </c>
      <c r="B33" s="137">
        <f>IFERROR(IF($B$29=$B$29,SUMIF(Food!$C:$C,B$9&amp;$B$29&amp;$C$29,Food!$AB:$AB),0),"")</f>
        <v>0</v>
      </c>
      <c r="C33" s="137">
        <f>IFERROR(IF($B$29=$B$29,SUMIF(Food!$C:$C,C$9&amp;$B$29&amp;$C$29,Food!$AB:$AB),0),"")</f>
        <v>125.87408069387754</v>
      </c>
      <c r="D33" s="137">
        <f>IFERROR(IF($B$29=$B$29,SUMIF(Food!$C:$C,D$9&amp;$B$29&amp;$C$29,Food!$AB:$AB),0),"")</f>
        <v>82.22321066666666</v>
      </c>
      <c r="E33" s="137">
        <f>IFERROR(IF($B$29=$B$29,SUMIF(Food!$C:$C,E$9&amp;$B$29&amp;$C$29,Food!$AB:$AB),0),"")</f>
        <v>240.92211733333335</v>
      </c>
      <c r="F33" s="137">
        <f>IFERROR(IF($B$29=$B$29,SUMIF(Food!$C:$C,F$9&amp;$B$29&amp;$C$29,Food!$AB:$AB),0),"")</f>
        <v>0</v>
      </c>
      <c r="G33" s="137">
        <f>IFERROR(IF($B$29=$B$29,SUMIF(Food!$C:$C,G$9&amp;$B$29&amp;$C$29,Food!$AB:$AB),0),"")</f>
        <v>16.383179999999999</v>
      </c>
    </row>
    <row r="34" spans="1:7" ht="15.75" thickBot="1" x14ac:dyDescent="0.3">
      <c r="A34" s="133" t="s">
        <v>186</v>
      </c>
      <c r="B34" s="137">
        <f>IFERROR(IF($B$29=$B$29,SUMIF(Food!$C:$C,B$9&amp;$B$29&amp;$C$29,Food!$AC:$AC),0),"")</f>
        <v>0</v>
      </c>
      <c r="C34" s="137">
        <f>IFERROR(IF($B$29=$B$29,SUMIF(Food!$C:$C,C$9&amp;$B$29&amp;$C$29,Food!$AC:$AC),0),"")</f>
        <v>48.802799999999998</v>
      </c>
      <c r="D34" s="137">
        <f>IFERROR(IF($B$29=$B$29,SUMIF(Food!$C:$C,D$9&amp;$B$29&amp;$C$29,Food!$AC:$AC),0),"")</f>
        <v>52.711999999999989</v>
      </c>
      <c r="E34" s="137">
        <f>IFERROR(IF($B$29=$B$29,SUMIF(Food!$C:$C,E$9&amp;$B$29&amp;$C$29,Food!$AC:$AC),0),"")</f>
        <v>110.03199999999998</v>
      </c>
      <c r="F34" s="137">
        <f>IFERROR(IF($B$29=$B$29,SUMIF(Food!$C:$C,F$9&amp;$B$29&amp;$C$29,Food!$AC:$AC),0),"")</f>
        <v>0</v>
      </c>
      <c r="G34" s="137">
        <f>IFERROR(IF($B$29=$B$29,SUMIF(Food!$C:$C,G$9&amp;$B$29&amp;$C$29,Food!$AC:$AC),0),"")</f>
        <v>5.1325439999999976</v>
      </c>
    </row>
    <row r="35" spans="1:7" x14ac:dyDescent="0.25">
      <c r="A35" s="148"/>
      <c r="B35" s="149"/>
      <c r="C35" s="149"/>
      <c r="D35" s="149"/>
      <c r="E35" s="149"/>
      <c r="F35" s="149"/>
      <c r="G35" s="149"/>
    </row>
    <row r="36" spans="1:7" ht="15.75" thickBot="1" x14ac:dyDescent="0.3">
      <c r="A36" s="156" t="s">
        <v>187</v>
      </c>
    </row>
    <row r="37" spans="1:7" ht="15.75" thickBot="1" x14ac:dyDescent="0.3">
      <c r="A37" s="133" t="s">
        <v>163</v>
      </c>
      <c r="B37" s="137">
        <f>'P&amp;L'!$K$30</f>
        <v>0</v>
      </c>
      <c r="C37" s="137">
        <f>'P&amp;L'!$L$30</f>
        <v>0</v>
      </c>
      <c r="D37" s="137">
        <f>'P&amp;L'!$M$30</f>
        <v>0</v>
      </c>
      <c r="E37" s="137">
        <f>'P&amp;L'!$N$30</f>
        <v>0</v>
      </c>
      <c r="F37" s="137">
        <f>'P&amp;L'!$O$30</f>
        <v>0</v>
      </c>
      <c r="G37" s="137">
        <f>'P&amp;L'!$P$30</f>
        <v>0</v>
      </c>
    </row>
    <row r="38" spans="1:7" ht="15.75" thickBot="1" x14ac:dyDescent="0.3">
      <c r="A38" s="133" t="s">
        <v>164</v>
      </c>
      <c r="B38" s="137" t="str">
        <f t="shared" ref="B38:G38" si="8">IFERROR(B31/B7," ")</f>
        <v xml:space="preserve"> </v>
      </c>
      <c r="C38" s="137">
        <f t="shared" si="8"/>
        <v>16.828085654261702</v>
      </c>
      <c r="D38" s="137">
        <f t="shared" si="8"/>
        <v>7.7862888888888877</v>
      </c>
      <c r="E38" s="137">
        <f t="shared" si="8"/>
        <v>5.5308107744107744</v>
      </c>
      <c r="F38" s="137" t="str">
        <f t="shared" si="8"/>
        <v xml:space="preserve"> </v>
      </c>
      <c r="G38" s="137">
        <f t="shared" si="8"/>
        <v>12.411499999999998</v>
      </c>
    </row>
    <row r="39" spans="1:7" ht="15.75" thickBot="1" x14ac:dyDescent="0.3">
      <c r="A39" s="133" t="s">
        <v>165</v>
      </c>
      <c r="B39" s="137" t="str">
        <f t="shared" ref="B39:G39" si="9">IFERROR(B32/B7," ")</f>
        <v xml:space="preserve"> </v>
      </c>
      <c r="C39" s="137">
        <f>IFERROR(C32/C7," ")</f>
        <v>7.1768823529411776</v>
      </c>
      <c r="D39" s="137">
        <f t="shared" si="9"/>
        <v>5.4908333333333337</v>
      </c>
      <c r="E39" s="137">
        <f t="shared" si="9"/>
        <v>2.7785858585858585</v>
      </c>
      <c r="F39" s="137" t="str">
        <f t="shared" si="9"/>
        <v xml:space="preserve"> </v>
      </c>
      <c r="G39" s="137">
        <f t="shared" si="9"/>
        <v>4.2771199999999991</v>
      </c>
    </row>
    <row r="40" spans="1:7" ht="15.75" thickBot="1" x14ac:dyDescent="0.3">
      <c r="A40" s="133" t="s">
        <v>185</v>
      </c>
      <c r="B40" s="137" t="str">
        <f>IFERROR(B33/B8," ")</f>
        <v xml:space="preserve"> </v>
      </c>
      <c r="C40" s="137">
        <f>IFERROR(C33/C7," ")</f>
        <v>3.7021788439375749</v>
      </c>
      <c r="D40" s="137">
        <f>IFERROR(D33/D7," ")</f>
        <v>1.7129835555555555</v>
      </c>
      <c r="E40" s="137">
        <f>IFERROR(E33/E7," ")</f>
        <v>1.2167783703703705</v>
      </c>
      <c r="F40" s="137" t="str">
        <f>IFERROR(F33/F7," ")</f>
        <v xml:space="preserve"> </v>
      </c>
      <c r="G40" s="137">
        <f>IFERROR(G33/G7," ")</f>
        <v>2.7305299999999999</v>
      </c>
    </row>
    <row r="41" spans="1:7" ht="15.75" thickBot="1" x14ac:dyDescent="0.3">
      <c r="A41" s="133" t="s">
        <v>186</v>
      </c>
      <c r="B41" s="137" t="str">
        <f t="shared" ref="B41:G41" si="10">IFERROR(B34/B7," ")</f>
        <v xml:space="preserve"> </v>
      </c>
      <c r="C41" s="137">
        <f t="shared" si="10"/>
        <v>1.4353764705882353</v>
      </c>
      <c r="D41" s="137">
        <f t="shared" si="10"/>
        <v>1.0981666666666665</v>
      </c>
      <c r="E41" s="137">
        <f t="shared" si="10"/>
        <v>0.55571717171717161</v>
      </c>
      <c r="F41" s="137" t="str">
        <f t="shared" si="10"/>
        <v xml:space="preserve"> </v>
      </c>
      <c r="G41" s="137">
        <f t="shared" si="10"/>
        <v>0.85542399999999963</v>
      </c>
    </row>
    <row r="42" spans="1:7" x14ac:dyDescent="0.25">
      <c r="B42" s="150"/>
      <c r="C42" s="150"/>
    </row>
    <row r="43" spans="1:7" x14ac:dyDescent="0.25">
      <c r="B43" s="150"/>
      <c r="C43" s="150"/>
    </row>
    <row r="108" spans="1:1" x14ac:dyDescent="0.25">
      <c r="A108" s="134">
        <v>388</v>
      </c>
    </row>
    <row r="109" spans="1:1" x14ac:dyDescent="0.25">
      <c r="A109" s="134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F78F3-52BB-44A3-8DC2-E39CD94F9501}">
  <sheetPr>
    <tabColor theme="5" tint="0.79998168889431442"/>
  </sheetPr>
  <dimension ref="A1:M109"/>
  <sheetViews>
    <sheetView zoomScale="85" zoomScaleNormal="85" workbookViewId="0">
      <selection activeCell="B18" sqref="B18"/>
    </sheetView>
  </sheetViews>
  <sheetFormatPr defaultColWidth="10.7109375" defaultRowHeight="15" x14ac:dyDescent="0.25"/>
  <cols>
    <col min="1" max="1" width="24.28515625" style="134" bestFit="1" customWidth="1"/>
    <col min="2" max="2" width="10.7109375" style="134" bestFit="1" customWidth="1"/>
    <col min="3" max="3" width="15" style="134" bestFit="1" customWidth="1"/>
    <col min="4" max="5" width="12.5703125" style="134" bestFit="1" customWidth="1"/>
    <col min="6" max="6" width="10.7109375" style="134"/>
    <col min="7" max="7" width="15.7109375" style="134" customWidth="1"/>
    <col min="8" max="8" width="12.5703125" style="134" bestFit="1" customWidth="1"/>
    <col min="9" max="9" width="8.5703125" style="134" bestFit="1" customWidth="1"/>
    <col min="10" max="10" width="15.28515625" style="134" bestFit="1" customWidth="1"/>
    <col min="11" max="11" width="10.7109375" style="134"/>
    <col min="12" max="12" width="16.28515625" style="134" bestFit="1" customWidth="1"/>
    <col min="13" max="16384" width="10.7109375" style="134"/>
  </cols>
  <sheetData>
    <row r="1" spans="1:13" ht="15.75" thickBot="1" x14ac:dyDescent="0.3"/>
    <row r="2" spans="1:13" ht="15.75" thickBot="1" x14ac:dyDescent="0.3">
      <c r="A2" s="465" t="s">
        <v>142</v>
      </c>
      <c r="B2" s="28"/>
      <c r="C2" s="144"/>
      <c r="G2" s="139" t="s">
        <v>143</v>
      </c>
      <c r="H2" s="244">
        <v>7</v>
      </c>
      <c r="L2" s="241" t="s">
        <v>144</v>
      </c>
      <c r="M2" s="241" t="s">
        <v>7</v>
      </c>
    </row>
    <row r="3" spans="1:13" ht="15.75" thickBot="1" x14ac:dyDescent="0.3">
      <c r="A3" s="466"/>
      <c r="B3" s="167"/>
      <c r="C3" s="168"/>
      <c r="E3" s="139" t="s">
        <v>145</v>
      </c>
      <c r="F3" s="141">
        <v>738</v>
      </c>
      <c r="G3" s="139" t="s">
        <v>146</v>
      </c>
      <c r="H3" s="139">
        <f>H4/12</f>
        <v>30.333333333333332</v>
      </c>
      <c r="J3" s="227" t="s">
        <v>147</v>
      </c>
      <c r="L3" s="241">
        <v>330</v>
      </c>
      <c r="M3" s="241">
        <v>1</v>
      </c>
    </row>
    <row r="4" spans="1:13" ht="15.75" thickBot="1" x14ac:dyDescent="0.3">
      <c r="E4" s="139" t="s">
        <v>2</v>
      </c>
      <c r="F4" s="140">
        <f>'P&amp;L'!R4</f>
        <v>0.8</v>
      </c>
      <c r="G4" s="139" t="s">
        <v>148</v>
      </c>
      <c r="H4" s="139">
        <f>H2*52</f>
        <v>364</v>
      </c>
      <c r="J4" s="228">
        <f>H17*H4</f>
        <v>1705025.6882632379</v>
      </c>
      <c r="L4" s="241"/>
      <c r="M4" s="241"/>
    </row>
    <row r="5" spans="1:13" ht="15.75" thickBot="1" x14ac:dyDescent="0.3">
      <c r="A5" s="135" t="s">
        <v>149</v>
      </c>
      <c r="L5" s="241"/>
      <c r="M5" s="241"/>
    </row>
    <row r="6" spans="1:13" ht="15.75" thickBot="1" x14ac:dyDescent="0.3">
      <c r="A6" s="155" t="s">
        <v>150</v>
      </c>
      <c r="B6" s="155" t="s">
        <v>43</v>
      </c>
      <c r="C6" s="155" t="s">
        <v>44</v>
      </c>
      <c r="D6" s="155" t="s">
        <v>45</v>
      </c>
      <c r="E6" s="155" t="s">
        <v>46</v>
      </c>
      <c r="F6" s="155" t="s">
        <v>47</v>
      </c>
      <c r="G6" s="155" t="s">
        <v>48</v>
      </c>
      <c r="H6" s="155" t="s">
        <v>151</v>
      </c>
      <c r="I6" s="154" t="s">
        <v>152</v>
      </c>
      <c r="L6" s="240"/>
      <c r="M6" s="240"/>
    </row>
    <row r="7" spans="1:13" ht="15.75" thickBot="1" x14ac:dyDescent="0.3">
      <c r="A7" s="133" t="s">
        <v>153</v>
      </c>
      <c r="B7" s="133">
        <f>+'FlightConfig '!B17</f>
        <v>0</v>
      </c>
      <c r="C7" s="333">
        <f>+'FlightConfig '!C23</f>
        <v>30</v>
      </c>
      <c r="D7" s="333">
        <f>+'FlightConfig '!D23</f>
        <v>44</v>
      </c>
      <c r="E7" s="333">
        <f>+'FlightConfig '!E23</f>
        <v>184</v>
      </c>
      <c r="F7" s="333">
        <f>+'FlightConfig '!F23</f>
        <v>0</v>
      </c>
      <c r="G7" s="333">
        <f>+'FlightConfig '!G23</f>
        <v>6</v>
      </c>
      <c r="H7" s="333">
        <f>+'FlightConfig '!H23</f>
        <v>264</v>
      </c>
      <c r="L7" s="240"/>
      <c r="M7" s="240"/>
    </row>
    <row r="8" spans="1:13" ht="15.75" thickBot="1" x14ac:dyDescent="0.3">
      <c r="A8" s="133" t="s">
        <v>154</v>
      </c>
      <c r="B8" s="133">
        <f t="shared" ref="B8:G8" si="0">ROUNDUP(B7*$F$4,0)</f>
        <v>0</v>
      </c>
      <c r="C8" s="133">
        <f t="shared" si="0"/>
        <v>24</v>
      </c>
      <c r="D8" s="133">
        <f t="shared" si="0"/>
        <v>36</v>
      </c>
      <c r="E8" s="133">
        <f t="shared" si="0"/>
        <v>148</v>
      </c>
      <c r="F8" s="133">
        <f t="shared" si="0"/>
        <v>0</v>
      </c>
      <c r="G8" s="133">
        <f t="shared" si="0"/>
        <v>5</v>
      </c>
      <c r="H8" s="133">
        <f>SUM(B8:G8)</f>
        <v>213</v>
      </c>
      <c r="L8" s="240"/>
      <c r="M8" s="240"/>
    </row>
    <row r="9" spans="1:13" ht="15.75" thickBot="1" x14ac:dyDescent="0.3">
      <c r="A9" s="275"/>
      <c r="B9" s="276" t="s">
        <v>155</v>
      </c>
      <c r="C9" s="276" t="s">
        <v>156</v>
      </c>
      <c r="D9" s="276" t="s">
        <v>157</v>
      </c>
      <c r="E9" s="276" t="s">
        <v>158</v>
      </c>
      <c r="F9" s="276" t="s">
        <v>159</v>
      </c>
      <c r="G9" s="276" t="s">
        <v>160</v>
      </c>
      <c r="H9" s="155" t="s">
        <v>161</v>
      </c>
      <c r="J9" s="155" t="s">
        <v>162</v>
      </c>
    </row>
    <row r="10" spans="1:13" ht="15.75" thickBot="1" x14ac:dyDescent="0.3">
      <c r="A10" s="133" t="s">
        <v>163</v>
      </c>
      <c r="B10" s="137">
        <f t="shared" ref="B10:G10" si="1">B37*B8</f>
        <v>0</v>
      </c>
      <c r="C10" s="137">
        <f t="shared" si="1"/>
        <v>0</v>
      </c>
      <c r="D10" s="137">
        <f t="shared" si="1"/>
        <v>0</v>
      </c>
      <c r="E10" s="137">
        <f t="shared" si="1"/>
        <v>0</v>
      </c>
      <c r="F10" s="137">
        <f t="shared" si="1"/>
        <v>0</v>
      </c>
      <c r="G10" s="137">
        <f t="shared" si="1"/>
        <v>0</v>
      </c>
      <c r="H10" s="136">
        <f t="shared" ref="H10:H16" si="2">SUM(B10:G10)</f>
        <v>0</v>
      </c>
      <c r="J10" s="136">
        <f>H10*$H$4</f>
        <v>0</v>
      </c>
    </row>
    <row r="11" spans="1:13" ht="15.75" thickBot="1" x14ac:dyDescent="0.3">
      <c r="A11" s="133" t="s">
        <v>164</v>
      </c>
      <c r="B11" s="137">
        <f>IFERROR(B38*B8,0)</f>
        <v>0</v>
      </c>
      <c r="C11" s="137">
        <f>IFERROR(C38*$C$8,0)</f>
        <v>441.69588979591833</v>
      </c>
      <c r="D11" s="137">
        <f>IFERROR(D38*$D$8,0)</f>
        <v>332.78879999999992</v>
      </c>
      <c r="E11" s="137">
        <f>IFERROR(E38*$E$8,0)</f>
        <v>861.00973333333332</v>
      </c>
      <c r="F11" s="137">
        <f>IFERROR(F38*$F$8,0)</f>
        <v>0</v>
      </c>
      <c r="G11" s="137">
        <f>IFERROR(G38*$G$8,0)</f>
        <v>62.05749999999999</v>
      </c>
      <c r="H11" s="136">
        <f t="shared" si="2"/>
        <v>1697.5519231292515</v>
      </c>
      <c r="I11" s="175"/>
      <c r="J11" s="136">
        <f>H11*$H$4</f>
        <v>617908.90001904755</v>
      </c>
    </row>
    <row r="12" spans="1:13" ht="15.75" thickBot="1" x14ac:dyDescent="0.3">
      <c r="A12" s="133" t="s">
        <v>165</v>
      </c>
      <c r="B12" s="137">
        <f>IFERROR(B39*B8,0)</f>
        <v>0</v>
      </c>
      <c r="C12" s="137">
        <f>IFERROR(C39*$C$8,0)</f>
        <v>178.65119999999999</v>
      </c>
      <c r="D12" s="137">
        <f>IFERROR(D39*$D$8,0)</f>
        <v>223.56</v>
      </c>
      <c r="E12" s="137">
        <f>IFERROR(E39*$E$8,0)</f>
        <v>441.03999999999991</v>
      </c>
      <c r="F12" s="137">
        <f>IFERROR(F39*$F$8,0)</f>
        <v>0</v>
      </c>
      <c r="G12" s="137">
        <f>IFERROR(G39*$G$8,0)</f>
        <v>21.385599999999997</v>
      </c>
      <c r="H12" s="136">
        <f t="shared" si="2"/>
        <v>864.63679999999988</v>
      </c>
      <c r="I12" s="246"/>
      <c r="J12" s="136">
        <f t="shared" ref="J12:J17" si="3">H12*$H$4</f>
        <v>314727.79519999993</v>
      </c>
    </row>
    <row r="13" spans="1:13" ht="15.75" thickBot="1" x14ac:dyDescent="0.3">
      <c r="A13" s="133" t="s">
        <v>166</v>
      </c>
      <c r="B13" s="137">
        <f t="shared" ref="B13:B14" si="4">IFERROR(B40*B9,0)</f>
        <v>0</v>
      </c>
      <c r="C13" s="137">
        <f>IFERROR(C40*$C$8,0)</f>
        <v>97.173095755102054</v>
      </c>
      <c r="D13" s="137">
        <f>IFERROR(D40*$D$8,0)</f>
        <v>73.213536000000005</v>
      </c>
      <c r="E13" s="137">
        <f>IFERROR(E40*$E$8,0)</f>
        <v>189.42214133333337</v>
      </c>
      <c r="F13" s="137">
        <f>IFERROR(F40*$F$8,0)</f>
        <v>0</v>
      </c>
      <c r="G13" s="137">
        <f>IFERROR(G40*$G$8,0)</f>
        <v>13.65265</v>
      </c>
      <c r="H13" s="136">
        <f t="shared" si="2"/>
        <v>373.46142308843542</v>
      </c>
      <c r="J13" s="136">
        <f t="shared" si="3"/>
        <v>135939.9580041905</v>
      </c>
    </row>
    <row r="14" spans="1:13" ht="15.75" thickBot="1" x14ac:dyDescent="0.3">
      <c r="A14" s="133" t="s">
        <v>167</v>
      </c>
      <c r="B14" s="137">
        <f t="shared" si="4"/>
        <v>0</v>
      </c>
      <c r="C14" s="137">
        <f>IFERROR(C41*$C$8,0)</f>
        <v>35.730239999999995</v>
      </c>
      <c r="D14" s="137">
        <f>IFERROR(D41*$D$8,0)</f>
        <v>44.711999999999989</v>
      </c>
      <c r="E14" s="137">
        <f>IFERROR(E41*$E$8,0)</f>
        <v>88.207999999999998</v>
      </c>
      <c r="F14" s="137">
        <f>IFERROR(F41*$F$8,0)</f>
        <v>0</v>
      </c>
      <c r="G14" s="137">
        <f>IFERROR(G41*$G$8,0)</f>
        <v>4.2771199999999983</v>
      </c>
      <c r="H14" s="136">
        <f t="shared" si="2"/>
        <v>172.92735999999999</v>
      </c>
      <c r="J14" s="136">
        <f t="shared" si="3"/>
        <v>62945.55904</v>
      </c>
      <c r="L14" s="155" t="s">
        <v>168</v>
      </c>
      <c r="M14" s="155"/>
    </row>
    <row r="15" spans="1:13" ht="15.75" thickBot="1" x14ac:dyDescent="0.3">
      <c r="A15" s="133" t="s">
        <v>169</v>
      </c>
      <c r="B15" s="137">
        <v>0</v>
      </c>
      <c r="C15" s="137">
        <v>0</v>
      </c>
      <c r="D15" s="137">
        <v>0</v>
      </c>
      <c r="E15" s="137">
        <f>+B20</f>
        <v>1394.3000000000002</v>
      </c>
      <c r="F15" s="137">
        <v>0</v>
      </c>
      <c r="G15" s="137">
        <v>0</v>
      </c>
      <c r="H15" s="136">
        <f t="shared" si="2"/>
        <v>1394.3000000000002</v>
      </c>
      <c r="I15" s="175"/>
      <c r="J15" s="136">
        <f t="shared" si="3"/>
        <v>507525.20000000007</v>
      </c>
      <c r="L15" s="234">
        <f>J12+J15</f>
        <v>822252.9952</v>
      </c>
      <c r="M15" s="236">
        <v>1</v>
      </c>
    </row>
    <row r="16" spans="1:13" ht="15.75" thickBot="1" x14ac:dyDescent="0.3">
      <c r="A16" s="133" t="s">
        <v>170</v>
      </c>
      <c r="B16" s="138">
        <v>0</v>
      </c>
      <c r="C16" s="138">
        <v>0</v>
      </c>
      <c r="D16" s="138">
        <v>0</v>
      </c>
      <c r="E16" s="137">
        <f>+C20</f>
        <v>181.25900000000004</v>
      </c>
      <c r="F16" s="138">
        <v>0</v>
      </c>
      <c r="G16" s="137">
        <v>0</v>
      </c>
      <c r="H16" s="136">
        <f t="shared" si="2"/>
        <v>181.25900000000004</v>
      </c>
      <c r="I16" s="153"/>
      <c r="J16" s="136">
        <f t="shared" si="3"/>
        <v>65978.276000000013</v>
      </c>
      <c r="L16" s="235">
        <f>L15*M16</f>
        <v>657802.39616</v>
      </c>
      <c r="M16" s="236">
        <v>0.8</v>
      </c>
    </row>
    <row r="17" spans="1:13" ht="15.75" thickBot="1" x14ac:dyDescent="0.3">
      <c r="A17" s="156" t="s">
        <v>171</v>
      </c>
      <c r="B17" s="157">
        <f>SUM(B11:B16)</f>
        <v>0</v>
      </c>
      <c r="C17" s="157">
        <f>SUM(C11:C16)</f>
        <v>753.25042555102038</v>
      </c>
      <c r="D17" s="157">
        <f>SUM(D10:D16)</f>
        <v>674.27433599999995</v>
      </c>
      <c r="E17" s="157">
        <f>SUM(E10:E16)</f>
        <v>3155.238874666667</v>
      </c>
      <c r="F17" s="157">
        <f>SUM(F10:F16)</f>
        <v>0</v>
      </c>
      <c r="G17" s="157">
        <f>SUM(G10:G16)</f>
        <v>101.37286999999998</v>
      </c>
      <c r="H17" s="157">
        <f>SUM(H10:H16)</f>
        <v>4684.1365062176865</v>
      </c>
      <c r="J17" s="226">
        <f t="shared" si="3"/>
        <v>1705025.6882632379</v>
      </c>
      <c r="L17" s="235">
        <f>L15*M17</f>
        <v>164450.59904</v>
      </c>
      <c r="M17" s="236">
        <v>0.2</v>
      </c>
    </row>
    <row r="18" spans="1:13" ht="15.75" thickBot="1" x14ac:dyDescent="0.3">
      <c r="A18" s="214"/>
      <c r="B18" s="215">
        <f>B17</f>
        <v>0</v>
      </c>
      <c r="C18" s="215">
        <f>C17</f>
        <v>753.25042555102038</v>
      </c>
      <c r="D18" s="215">
        <f>D17</f>
        <v>674.27433599999995</v>
      </c>
      <c r="E18" s="215">
        <f>E17-E15-E16</f>
        <v>1579.6798746666668</v>
      </c>
      <c r="F18" s="215">
        <f>F17</f>
        <v>0</v>
      </c>
      <c r="G18" s="215">
        <f>G17</f>
        <v>101.37286999999998</v>
      </c>
      <c r="H18" s="215"/>
      <c r="I18" s="215">
        <f>E15+E16</f>
        <v>1575.5590000000002</v>
      </c>
      <c r="J18" s="215"/>
      <c r="L18" s="233"/>
    </row>
    <row r="19" spans="1:13" ht="15.75" thickBot="1" x14ac:dyDescent="0.3">
      <c r="A19" s="155" t="s">
        <v>172</v>
      </c>
      <c r="B19" s="218" t="s">
        <v>173</v>
      </c>
      <c r="C19" s="218" t="s">
        <v>174</v>
      </c>
      <c r="D19" s="218" t="s">
        <v>175</v>
      </c>
      <c r="E19" s="152"/>
      <c r="F19" s="152"/>
      <c r="G19" s="152"/>
      <c r="H19" s="154"/>
      <c r="I19" s="152">
        <f>E16</f>
        <v>181.25900000000004</v>
      </c>
      <c r="J19" s="246">
        <f>H11+H12+H15</f>
        <v>3956.4887231292514</v>
      </c>
    </row>
    <row r="20" spans="1:13" ht="15.75" thickBot="1" x14ac:dyDescent="0.3">
      <c r="A20" s="216" t="s">
        <v>188</v>
      </c>
      <c r="B20" s="375">
        <f>Handling!C83+Handling!R39+Handling!R45+Handling!V52+Handling!AC39</f>
        <v>1394.3000000000002</v>
      </c>
      <c r="C20" s="217">
        <f>B20*'P&amp;L'!$R$10</f>
        <v>181.25900000000004</v>
      </c>
      <c r="D20" s="217">
        <f>SUM(B20:C20)</f>
        <v>1575.5590000000002</v>
      </c>
      <c r="G20" s="175"/>
      <c r="J20" s="246">
        <f>H13+H14+H16</f>
        <v>727.6477830884354</v>
      </c>
    </row>
    <row r="21" spans="1:13" ht="15.75" hidden="1" thickBot="1" x14ac:dyDescent="0.3">
      <c r="A21" s="156" t="s">
        <v>177</v>
      </c>
      <c r="B21" s="137" t="e">
        <f>Handling!#REF!</f>
        <v>#REF!</v>
      </c>
      <c r="C21" s="137" t="e">
        <f>Handling!#REF!</f>
        <v>#REF!</v>
      </c>
      <c r="D21" s="137" t="e">
        <f>Handling!#REF!</f>
        <v>#REF!</v>
      </c>
      <c r="G21" s="175"/>
    </row>
    <row r="22" spans="1:13" ht="15.75" hidden="1" thickBot="1" x14ac:dyDescent="0.3">
      <c r="A22" s="156" t="s">
        <v>178</v>
      </c>
      <c r="B22" s="137" t="e">
        <f>Handling!#REF!</f>
        <v>#REF!</v>
      </c>
      <c r="C22" s="137" t="e">
        <f>Handling!#REF!</f>
        <v>#REF!</v>
      </c>
      <c r="D22" s="137" t="e">
        <f>Handling!#REF!</f>
        <v>#REF!</v>
      </c>
    </row>
    <row r="23" spans="1:13" ht="15.75" thickBot="1" x14ac:dyDescent="0.3"/>
    <row r="24" spans="1:13" ht="15.75" thickBot="1" x14ac:dyDescent="0.3">
      <c r="A24" s="133" t="s">
        <v>179</v>
      </c>
      <c r="B24" s="137">
        <f>IFERROR(((B11+B12+B13+B14)/B8),0)</f>
        <v>0</v>
      </c>
      <c r="C24" s="137">
        <f>IFERROR(((C11+C12+C13+C14)/C8),0)</f>
        <v>31.385434397959184</v>
      </c>
      <c r="D24" s="137">
        <f>IFERROR(((D10+D11+D12+D13+D14)/D8),0)</f>
        <v>18.729842666666666</v>
      </c>
      <c r="E24" s="137">
        <f>IFERROR(((E10+E11+E12+E13+E14)/E8),0)</f>
        <v>10.673512666666667</v>
      </c>
      <c r="F24" s="137">
        <f>IFERROR(((F10+F11+F12+F13+F14)/F8),0)</f>
        <v>0</v>
      </c>
      <c r="G24" s="137">
        <f>IFERROR(((G10+G11+G12+G13+G14)/G8),0)</f>
        <v>20.274573999999994</v>
      </c>
    </row>
    <row r="25" spans="1:13" ht="15.75" thickBot="1" x14ac:dyDescent="0.3">
      <c r="A25" s="133" t="s">
        <v>180</v>
      </c>
      <c r="B25" s="137">
        <f t="shared" ref="B25:F25" si="5">IFERROR(((B13+B14)/B8),0)</f>
        <v>0</v>
      </c>
      <c r="C25" s="137">
        <f t="shared" si="5"/>
        <v>5.5376389897959184</v>
      </c>
      <c r="D25" s="137">
        <f t="shared" si="5"/>
        <v>3.2757093333333334</v>
      </c>
      <c r="E25" s="137">
        <f t="shared" si="5"/>
        <v>1.8758793333333337</v>
      </c>
      <c r="F25" s="137">
        <f t="shared" si="5"/>
        <v>0</v>
      </c>
      <c r="G25" s="137">
        <f>IFERROR(((G13+G14)/G8),0)</f>
        <v>3.5859539999999996</v>
      </c>
    </row>
    <row r="26" spans="1:13" ht="15.75" thickBot="1" x14ac:dyDescent="0.3">
      <c r="A26" s="133" t="s">
        <v>181</v>
      </c>
      <c r="B26" s="137">
        <f t="shared" ref="B26:G26" si="6">IFERROR((B10/B8),0)</f>
        <v>0</v>
      </c>
      <c r="C26" s="137">
        <f t="shared" si="6"/>
        <v>0</v>
      </c>
      <c r="D26" s="137">
        <f t="shared" si="6"/>
        <v>0</v>
      </c>
      <c r="E26" s="137">
        <f t="shared" si="6"/>
        <v>0</v>
      </c>
      <c r="F26" s="137">
        <f t="shared" si="6"/>
        <v>0</v>
      </c>
      <c r="G26" s="137">
        <f t="shared" si="6"/>
        <v>0</v>
      </c>
    </row>
    <row r="27" spans="1:13" s="230" customFormat="1" x14ac:dyDescent="0.25">
      <c r="A27" s="231"/>
      <c r="B27" s="232"/>
      <c r="C27" s="232"/>
      <c r="D27" s="232"/>
      <c r="E27" s="232"/>
      <c r="F27" s="232"/>
      <c r="G27" s="232"/>
    </row>
    <row r="28" spans="1:13" x14ac:dyDescent="0.25">
      <c r="B28" s="156" t="s">
        <v>182</v>
      </c>
      <c r="C28" s="156" t="s">
        <v>183</v>
      </c>
    </row>
    <row r="29" spans="1:13" ht="15.75" thickBot="1" x14ac:dyDescent="0.3">
      <c r="A29" s="156" t="s">
        <v>184</v>
      </c>
      <c r="B29" s="156">
        <f>'P&amp;L'!R5</f>
        <v>1</v>
      </c>
      <c r="C29" s="156">
        <v>110</v>
      </c>
    </row>
    <row r="30" spans="1:13" ht="15.75" thickBot="1" x14ac:dyDescent="0.3">
      <c r="A30" s="133" t="s">
        <v>163</v>
      </c>
      <c r="B30" s="137">
        <f t="shared" ref="B30:G30" si="7">B37*B8</f>
        <v>0</v>
      </c>
      <c r="C30" s="137">
        <f t="shared" si="7"/>
        <v>0</v>
      </c>
      <c r="D30" s="137">
        <f t="shared" si="7"/>
        <v>0</v>
      </c>
      <c r="E30" s="137">
        <f t="shared" si="7"/>
        <v>0</v>
      </c>
      <c r="F30" s="137">
        <f t="shared" si="7"/>
        <v>0</v>
      </c>
      <c r="G30" s="137">
        <f t="shared" si="7"/>
        <v>0</v>
      </c>
    </row>
    <row r="31" spans="1:13" ht="15.75" thickBot="1" x14ac:dyDescent="0.3">
      <c r="A31" s="133" t="s">
        <v>164</v>
      </c>
      <c r="B31" s="316">
        <f>IFERROR(IF($B$29=$B$29,SUMIF(Food!$C:$C,B$9&amp;$B$29&amp;$C$29,Food!$X:$X),0),"")+IFERROR(IF($B$29=$B$29,SUMIF(Food!$C:$C,B$9&amp;$B$29&amp;$C$29,Food!$W:$W),0),"")</f>
        <v>0</v>
      </c>
      <c r="C31" s="137">
        <f>IFERROR(IF($B$29=$B$29,SUMIF(Food!$C:$C,C$9&amp;$B$29&amp;$C$29,Food!$X:$X),0),"")</f>
        <v>552.11986224489794</v>
      </c>
      <c r="D31" s="137">
        <f>IFERROR(IF($B$29=$B$29,SUMIF(Food!$C:$C,D$9&amp;$B$29&amp;$C$29,Food!$X:$X),0),"")</f>
        <v>406.74186666666657</v>
      </c>
      <c r="E31" s="137">
        <f>IFERROR(IF($B$29=$B$29,SUMIF(Food!$C:$C,E$9&amp;$B$29&amp;$C$29,Food!$X:$X),0),"")</f>
        <v>1070.4445333333333</v>
      </c>
      <c r="F31" s="137">
        <f>IFERROR(IF($B$29=$B$29,SUMIF(Food!$C:$C,F$9&amp;$B$29&amp;$C$29,Food!$X:$X),0),"")</f>
        <v>0</v>
      </c>
      <c r="G31" s="137">
        <f>IFERROR(IF($B$29=$B$29,SUMIF(Food!$C:$C,G$9&amp;$B$29&amp;$C$29,Food!$X:$X),0),"")</f>
        <v>74.468999999999994</v>
      </c>
      <c r="H31" s="300" t="s">
        <v>190</v>
      </c>
    </row>
    <row r="32" spans="1:13" ht="15.75" thickBot="1" x14ac:dyDescent="0.3">
      <c r="A32" s="133" t="s">
        <v>165</v>
      </c>
      <c r="B32" s="137">
        <f>IFERROR(IF($B$29=$B$29,SUMIF(Food!$C:$C,B$9&amp;$B$29&amp;$C$29,Food!$Z:$Z),0),"")</f>
        <v>0</v>
      </c>
      <c r="C32" s="137">
        <f>IFERROR(IF($B$29=$B$29,SUMIF(Food!$C:$C,C$9&amp;$B$29&amp;$C$29,Food!$Z:$Z),0),"")</f>
        <v>223.31399999999999</v>
      </c>
      <c r="D32" s="137">
        <f>IFERROR(IF($B$29=$B$29,SUMIF(Food!$C:$C,D$9&amp;$B$29&amp;$C$29,Food!$Z:$Z),0),"")</f>
        <v>273.24</v>
      </c>
      <c r="E32" s="137">
        <f>IFERROR(IF($B$29=$B$29,SUMIF(Food!$C:$C,E$9&amp;$B$29&amp;$C$29,Food!$Z:$Z),0),"")</f>
        <v>548.31999999999994</v>
      </c>
      <c r="F32" s="137">
        <f>IFERROR(IF($B$29=$B$29,SUMIF(Food!$C:$C,F$9&amp;$B$29&amp;$C$29,Food!$Z:$Z),0),"")</f>
        <v>0</v>
      </c>
      <c r="G32" s="137">
        <f>IFERROR(IF($B$29=$B$29,SUMIF(Food!$C:$C,G$9&amp;$B$29&amp;$C$29,Food!$Z:$Z),0),"")</f>
        <v>25.662719999999993</v>
      </c>
    </row>
    <row r="33" spans="1:7" ht="15.75" thickBot="1" x14ac:dyDescent="0.3">
      <c r="A33" s="133" t="s">
        <v>185</v>
      </c>
      <c r="B33" s="137">
        <f>IFERROR(IF($B$29=$B$29,SUMIF(Food!$C:$C,B$9&amp;$B$29&amp;$C$29,Food!$AB:$AB),0),"")</f>
        <v>0</v>
      </c>
      <c r="C33" s="137">
        <f>IFERROR(IF($B$29=$B$29,SUMIF(Food!$C:$C,C$9&amp;$B$29&amp;$C$29,Food!$AB:$AB),0),"")</f>
        <v>121.46636969387757</v>
      </c>
      <c r="D33" s="137">
        <f>IFERROR(IF($B$29=$B$29,SUMIF(Food!$C:$C,D$9&amp;$B$29&amp;$C$29,Food!$AB:$AB),0),"")</f>
        <v>89.483210666666665</v>
      </c>
      <c r="E33" s="137">
        <f>IFERROR(IF($B$29=$B$29,SUMIF(Food!$C:$C,E$9&amp;$B$29&amp;$C$29,Food!$AB:$AB),0),"")</f>
        <v>235.49779733333338</v>
      </c>
      <c r="F33" s="137">
        <f>IFERROR(IF($B$29=$B$29,SUMIF(Food!$C:$C,F$9&amp;$B$29&amp;$C$29,Food!$AB:$AB),0),"")</f>
        <v>0</v>
      </c>
      <c r="G33" s="137">
        <f>IFERROR(IF($B$29=$B$29,SUMIF(Food!$C:$C,G$9&amp;$B$29&amp;$C$29,Food!$AB:$AB),0),"")</f>
        <v>16.383179999999999</v>
      </c>
    </row>
    <row r="34" spans="1:7" ht="15.75" thickBot="1" x14ac:dyDescent="0.3">
      <c r="A34" s="133" t="s">
        <v>186</v>
      </c>
      <c r="B34" s="137">
        <f>IFERROR(IF($B$29=$B$29,SUMIF(Food!$C:$C,B$9&amp;$B$29&amp;$C$29,Food!$AC:$AC),0),"")</f>
        <v>0</v>
      </c>
      <c r="C34" s="137">
        <f>IFERROR(IF($B$29=$B$29,SUMIF(Food!$C:$C,C$9&amp;$B$29&amp;$C$29,Food!$AC:$AC),0),"")</f>
        <v>44.662799999999997</v>
      </c>
      <c r="D34" s="137">
        <f>IFERROR(IF($B$29=$B$29,SUMIF(Food!$C:$C,D$9&amp;$B$29&amp;$C$29,Food!$AC:$AC),0),"")</f>
        <v>54.647999999999989</v>
      </c>
      <c r="E34" s="137">
        <f>IFERROR(IF($B$29=$B$29,SUMIF(Food!$C:$C,E$9&amp;$B$29&amp;$C$29,Food!$AC:$AC),0),"")</f>
        <v>109.66399999999999</v>
      </c>
      <c r="F34" s="137">
        <f>IFERROR(IF($B$29=$B$29,SUMIF(Food!$C:$C,F$9&amp;$B$29&amp;$C$29,Food!$AC:$AC),0),"")</f>
        <v>0</v>
      </c>
      <c r="G34" s="137">
        <f>IFERROR(IF($B$29=$B$29,SUMIF(Food!$C:$C,G$9&amp;$B$29&amp;$C$29,Food!$AC:$AC),0),"")</f>
        <v>5.1325439999999976</v>
      </c>
    </row>
    <row r="35" spans="1:7" x14ac:dyDescent="0.25">
      <c r="A35" s="148"/>
      <c r="B35" s="149"/>
      <c r="C35" s="149"/>
      <c r="D35" s="149"/>
      <c r="E35" s="149"/>
      <c r="F35" s="149"/>
      <c r="G35" s="149"/>
    </row>
    <row r="36" spans="1:7" ht="15.75" thickBot="1" x14ac:dyDescent="0.3">
      <c r="A36" s="156" t="s">
        <v>187</v>
      </c>
    </row>
    <row r="37" spans="1:7" ht="15.75" thickBot="1" x14ac:dyDescent="0.3">
      <c r="A37" s="133" t="s">
        <v>163</v>
      </c>
      <c r="B37" s="137">
        <f>'P&amp;L'!$K$30</f>
        <v>0</v>
      </c>
      <c r="C37" s="137">
        <f>'P&amp;L'!$L$30</f>
        <v>0</v>
      </c>
      <c r="D37" s="137">
        <f>'P&amp;L'!$M$30</f>
        <v>0</v>
      </c>
      <c r="E37" s="137">
        <f>'P&amp;L'!$N$30</f>
        <v>0</v>
      </c>
      <c r="F37" s="137">
        <f>'P&amp;L'!$O$30</f>
        <v>0</v>
      </c>
      <c r="G37" s="137">
        <f>'P&amp;L'!$P$30</f>
        <v>0</v>
      </c>
    </row>
    <row r="38" spans="1:7" ht="15.75" thickBot="1" x14ac:dyDescent="0.3">
      <c r="A38" s="133" t="s">
        <v>164</v>
      </c>
      <c r="B38" s="137" t="str">
        <f t="shared" ref="B38:G38" si="8">IFERROR(B31/B7," ")</f>
        <v xml:space="preserve"> </v>
      </c>
      <c r="C38" s="137">
        <f t="shared" si="8"/>
        <v>18.403995408163265</v>
      </c>
      <c r="D38" s="137">
        <f t="shared" si="8"/>
        <v>9.2441333333333304</v>
      </c>
      <c r="E38" s="137">
        <f t="shared" si="8"/>
        <v>5.8176333333333332</v>
      </c>
      <c r="F38" s="137" t="str">
        <f t="shared" si="8"/>
        <v xml:space="preserve"> </v>
      </c>
      <c r="G38" s="137">
        <f t="shared" si="8"/>
        <v>12.411499999999998</v>
      </c>
    </row>
    <row r="39" spans="1:7" ht="15.75" thickBot="1" x14ac:dyDescent="0.3">
      <c r="A39" s="133" t="s">
        <v>165</v>
      </c>
      <c r="B39" s="137" t="str">
        <f t="shared" ref="B39:G39" si="9">IFERROR(B32/B7," ")</f>
        <v xml:space="preserve"> </v>
      </c>
      <c r="C39" s="137">
        <f t="shared" si="9"/>
        <v>7.4437999999999995</v>
      </c>
      <c r="D39" s="137">
        <f t="shared" si="9"/>
        <v>6.21</v>
      </c>
      <c r="E39" s="137">
        <f t="shared" si="9"/>
        <v>2.9799999999999995</v>
      </c>
      <c r="F39" s="137" t="str">
        <f t="shared" si="9"/>
        <v xml:space="preserve"> </v>
      </c>
      <c r="G39" s="137">
        <f t="shared" si="9"/>
        <v>4.2771199999999991</v>
      </c>
    </row>
    <row r="40" spans="1:7" ht="15.75" thickBot="1" x14ac:dyDescent="0.3">
      <c r="A40" s="133" t="s">
        <v>185</v>
      </c>
      <c r="B40" s="137" t="str">
        <f>IFERROR(B33/B8," ")</f>
        <v xml:space="preserve"> </v>
      </c>
      <c r="C40" s="137">
        <f>IFERROR(C33/C7," ")</f>
        <v>4.0488789897959192</v>
      </c>
      <c r="D40" s="137">
        <f>IFERROR(D33/D7," ")</f>
        <v>2.0337093333333334</v>
      </c>
      <c r="E40" s="137">
        <f>IFERROR(E33/E7," ")</f>
        <v>1.2798793333333336</v>
      </c>
      <c r="F40" s="137" t="str">
        <f>IFERROR(F33/F7," ")</f>
        <v xml:space="preserve"> </v>
      </c>
      <c r="G40" s="137">
        <f>IFERROR(G33/G7," ")</f>
        <v>2.7305299999999999</v>
      </c>
    </row>
    <row r="41" spans="1:7" ht="15.75" thickBot="1" x14ac:dyDescent="0.3">
      <c r="A41" s="133" t="s">
        <v>186</v>
      </c>
      <c r="B41" s="137" t="str">
        <f t="shared" ref="B41:G41" si="10">IFERROR(B34/B7," ")</f>
        <v xml:space="preserve"> </v>
      </c>
      <c r="C41" s="137">
        <f t="shared" si="10"/>
        <v>1.4887599999999999</v>
      </c>
      <c r="D41" s="137">
        <f t="shared" si="10"/>
        <v>1.2419999999999998</v>
      </c>
      <c r="E41" s="137">
        <f t="shared" si="10"/>
        <v>0.59599999999999997</v>
      </c>
      <c r="F41" s="137" t="str">
        <f t="shared" si="10"/>
        <v xml:space="preserve"> </v>
      </c>
      <c r="G41" s="137">
        <f t="shared" si="10"/>
        <v>0.85542399999999963</v>
      </c>
    </row>
    <row r="42" spans="1:7" x14ac:dyDescent="0.25">
      <c r="B42" s="150"/>
      <c r="C42" s="150"/>
    </row>
    <row r="43" spans="1:7" x14ac:dyDescent="0.25">
      <c r="B43" s="150"/>
      <c r="C43" s="150"/>
    </row>
    <row r="108" spans="1:1" x14ac:dyDescent="0.25">
      <c r="A108" s="134">
        <v>388</v>
      </c>
    </row>
    <row r="109" spans="1:1" x14ac:dyDescent="0.25">
      <c r="A109" s="134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18372-CA23-4106-9F90-EBFF6BF0D77E}">
  <sheetPr>
    <tabColor theme="5" tint="0.79998168889431442"/>
  </sheetPr>
  <dimension ref="A1:M109"/>
  <sheetViews>
    <sheetView zoomScale="85" zoomScaleNormal="85" workbookViewId="0">
      <selection activeCell="G44" sqref="G44"/>
    </sheetView>
  </sheetViews>
  <sheetFormatPr defaultColWidth="10.7109375" defaultRowHeight="15" x14ac:dyDescent="0.25"/>
  <cols>
    <col min="1" max="1" width="24.28515625" style="134" bestFit="1" customWidth="1"/>
    <col min="2" max="2" width="10.7109375" style="134" bestFit="1" customWidth="1"/>
    <col min="3" max="3" width="15" style="134" bestFit="1" customWidth="1"/>
    <col min="4" max="5" width="12.5703125" style="134" bestFit="1" customWidth="1"/>
    <col min="6" max="6" width="10.7109375" style="134"/>
    <col min="7" max="7" width="15.7109375" style="134" customWidth="1"/>
    <col min="8" max="8" width="12.5703125" style="134" bestFit="1" customWidth="1"/>
    <col min="9" max="9" width="8.5703125" style="134" bestFit="1" customWidth="1"/>
    <col min="10" max="10" width="15.28515625" style="134" bestFit="1" customWidth="1"/>
    <col min="11" max="11" width="10.7109375" style="134"/>
    <col min="12" max="12" width="16.28515625" style="134" bestFit="1" customWidth="1"/>
    <col min="13" max="16384" width="10.7109375" style="134"/>
  </cols>
  <sheetData>
    <row r="1" spans="1:13" ht="15.75" thickBot="1" x14ac:dyDescent="0.3"/>
    <row r="2" spans="1:13" ht="15.75" thickBot="1" x14ac:dyDescent="0.3">
      <c r="A2" s="465" t="s">
        <v>142</v>
      </c>
      <c r="B2" s="28"/>
      <c r="C2" s="144"/>
      <c r="G2" s="139" t="s">
        <v>143</v>
      </c>
      <c r="H2" s="244">
        <v>0</v>
      </c>
      <c r="L2" s="241" t="s">
        <v>144</v>
      </c>
      <c r="M2" s="241" t="s">
        <v>7</v>
      </c>
    </row>
    <row r="3" spans="1:13" ht="15.75" thickBot="1" x14ac:dyDescent="0.3">
      <c r="A3" s="466"/>
      <c r="B3" s="167"/>
      <c r="C3" s="168"/>
      <c r="E3" s="139" t="s">
        <v>145</v>
      </c>
      <c r="F3" s="141">
        <v>738</v>
      </c>
      <c r="G3" s="139" t="s">
        <v>146</v>
      </c>
      <c r="H3" s="139">
        <f>H4/12</f>
        <v>0</v>
      </c>
      <c r="J3" s="227" t="s">
        <v>147</v>
      </c>
      <c r="L3" s="241">
        <v>737</v>
      </c>
      <c r="M3" s="241">
        <v>1</v>
      </c>
    </row>
    <row r="4" spans="1:13" ht="15.75" thickBot="1" x14ac:dyDescent="0.3">
      <c r="E4" s="139" t="s">
        <v>2</v>
      </c>
      <c r="F4" s="140">
        <f>'P&amp;L'!R4</f>
        <v>0.8</v>
      </c>
      <c r="G4" s="139" t="s">
        <v>148</v>
      </c>
      <c r="H4" s="139">
        <f>H2*52</f>
        <v>0</v>
      </c>
      <c r="J4" s="228" t="e">
        <f>H17*H4</f>
        <v>#REF!</v>
      </c>
      <c r="L4" s="241"/>
      <c r="M4" s="241"/>
    </row>
    <row r="5" spans="1:13" ht="15.75" thickBot="1" x14ac:dyDescent="0.3">
      <c r="A5" s="135" t="s">
        <v>149</v>
      </c>
      <c r="L5" s="241"/>
      <c r="M5" s="241"/>
    </row>
    <row r="6" spans="1:13" ht="15.75" thickBot="1" x14ac:dyDescent="0.3">
      <c r="A6" s="155" t="s">
        <v>150</v>
      </c>
      <c r="B6" s="155" t="s">
        <v>43</v>
      </c>
      <c r="C6" s="155" t="s">
        <v>44</v>
      </c>
      <c r="D6" s="155" t="s">
        <v>45</v>
      </c>
      <c r="E6" s="155" t="s">
        <v>46</v>
      </c>
      <c r="F6" s="155" t="s">
        <v>47</v>
      </c>
      <c r="G6" s="155" t="s">
        <v>48</v>
      </c>
      <c r="H6" s="155" t="s">
        <v>151</v>
      </c>
      <c r="I6" s="154" t="s">
        <v>152</v>
      </c>
      <c r="L6" s="240"/>
      <c r="M6" s="240"/>
    </row>
    <row r="7" spans="1:13" ht="15.75" thickBot="1" x14ac:dyDescent="0.3">
      <c r="A7" s="133" t="s">
        <v>153</v>
      </c>
      <c r="B7" s="133">
        <f>+'FlightConfig '!B17</f>
        <v>0</v>
      </c>
      <c r="C7" s="133">
        <f>+'FlightConfig '!C17</f>
        <v>34</v>
      </c>
      <c r="D7" s="133">
        <f>+'FlightConfig '!D17</f>
        <v>48</v>
      </c>
      <c r="E7" s="133">
        <f>+'FlightConfig '!E17</f>
        <v>198</v>
      </c>
      <c r="F7" s="133">
        <f>+'FlightConfig '!F17</f>
        <v>0</v>
      </c>
      <c r="G7" s="133">
        <f>+'FlightConfig '!G17</f>
        <v>6</v>
      </c>
      <c r="H7" s="133">
        <f>SUM(B7:G7)</f>
        <v>286</v>
      </c>
      <c r="L7" s="240"/>
      <c r="M7" s="240"/>
    </row>
    <row r="8" spans="1:13" ht="15.75" thickBot="1" x14ac:dyDescent="0.3">
      <c r="A8" s="133" t="s">
        <v>154</v>
      </c>
      <c r="B8" s="133">
        <f t="shared" ref="B8:G8" si="0">ROUNDUP(B7*$F$4,0)</f>
        <v>0</v>
      </c>
      <c r="C8" s="133">
        <f t="shared" si="0"/>
        <v>28</v>
      </c>
      <c r="D8" s="133">
        <f t="shared" si="0"/>
        <v>39</v>
      </c>
      <c r="E8" s="133">
        <f t="shared" si="0"/>
        <v>159</v>
      </c>
      <c r="F8" s="133">
        <f t="shared" si="0"/>
        <v>0</v>
      </c>
      <c r="G8" s="133">
        <f t="shared" si="0"/>
        <v>5</v>
      </c>
      <c r="H8" s="133">
        <f>SUM(B8:G8)</f>
        <v>231</v>
      </c>
      <c r="L8" s="240"/>
      <c r="M8" s="240"/>
    </row>
    <row r="9" spans="1:13" ht="15.75" thickBot="1" x14ac:dyDescent="0.3">
      <c r="A9" s="275"/>
      <c r="B9" s="276" t="s">
        <v>155</v>
      </c>
      <c r="C9" s="276" t="s">
        <v>156</v>
      </c>
      <c r="D9" s="276" t="s">
        <v>157</v>
      </c>
      <c r="E9" s="276" t="s">
        <v>158</v>
      </c>
      <c r="F9" s="276" t="s">
        <v>159</v>
      </c>
      <c r="G9" s="276" t="s">
        <v>160</v>
      </c>
      <c r="H9" s="155" t="s">
        <v>161</v>
      </c>
      <c r="J9" s="155" t="s">
        <v>162</v>
      </c>
    </row>
    <row r="10" spans="1:13" ht="15.75" thickBot="1" x14ac:dyDescent="0.3">
      <c r="A10" s="133" t="s">
        <v>163</v>
      </c>
      <c r="B10" s="137">
        <f t="shared" ref="B10:G10" si="1">B37*B8</f>
        <v>0</v>
      </c>
      <c r="C10" s="137">
        <f t="shared" si="1"/>
        <v>0</v>
      </c>
      <c r="D10" s="137">
        <f t="shared" si="1"/>
        <v>0</v>
      </c>
      <c r="E10" s="137">
        <f t="shared" si="1"/>
        <v>0</v>
      </c>
      <c r="F10" s="137">
        <f t="shared" si="1"/>
        <v>0</v>
      </c>
      <c r="G10" s="137">
        <f t="shared" si="1"/>
        <v>0</v>
      </c>
      <c r="H10" s="136">
        <f t="shared" ref="H10:H16" si="2">SUM(B10:G10)</f>
        <v>0</v>
      </c>
      <c r="J10" s="136">
        <f>H10*$H$4</f>
        <v>0</v>
      </c>
    </row>
    <row r="11" spans="1:13" ht="15.75" thickBot="1" x14ac:dyDescent="0.3">
      <c r="A11" s="133" t="s">
        <v>164</v>
      </c>
      <c r="B11" s="137">
        <f>IFERROR(B38*B8,0)</f>
        <v>0</v>
      </c>
      <c r="C11" s="137">
        <f>IFERROR(C38*$C$8,0)</f>
        <v>0</v>
      </c>
      <c r="D11" s="137">
        <f>IFERROR(D38*$D$8,0)</f>
        <v>0</v>
      </c>
      <c r="E11" s="137">
        <f>IFERROR(E38*$E$8,0)</f>
        <v>0</v>
      </c>
      <c r="F11" s="137">
        <f>IFERROR(F38*$F$8,0)</f>
        <v>0</v>
      </c>
      <c r="G11" s="137">
        <f>IFERROR(G38*G8,0)</f>
        <v>0</v>
      </c>
      <c r="H11" s="136">
        <f t="shared" si="2"/>
        <v>0</v>
      </c>
      <c r="I11" s="175">
        <f>I12*45%</f>
        <v>0</v>
      </c>
      <c r="J11" s="136">
        <f>H11*$H$4</f>
        <v>0</v>
      </c>
    </row>
    <row r="12" spans="1:13" ht="15.75" thickBot="1" x14ac:dyDescent="0.3">
      <c r="A12" s="133" t="s">
        <v>165</v>
      </c>
      <c r="B12" s="137">
        <f>IFERROR(B39*B8,0)</f>
        <v>0</v>
      </c>
      <c r="C12" s="137">
        <f>IFERROR(C39*$C$8,0)</f>
        <v>0</v>
      </c>
      <c r="D12" s="137">
        <f>IFERROR(D39*$D$8,0)</f>
        <v>0</v>
      </c>
      <c r="E12" s="137">
        <f>IFERROR(E39*$E$8,0)</f>
        <v>0</v>
      </c>
      <c r="F12" s="137">
        <f>IFERROR(F39*$F$8,0)</f>
        <v>0</v>
      </c>
      <c r="G12" s="137">
        <f>IFERROR(G39*G8,0)</f>
        <v>0</v>
      </c>
      <c r="H12" s="136">
        <f t="shared" si="2"/>
        <v>0</v>
      </c>
      <c r="I12" s="246">
        <f>H11+H12</f>
        <v>0</v>
      </c>
      <c r="J12" s="136">
        <f t="shared" ref="J12:J17" si="3">H12*$H$4</f>
        <v>0</v>
      </c>
    </row>
    <row r="13" spans="1:13" ht="15.75" thickBot="1" x14ac:dyDescent="0.3">
      <c r="A13" s="133" t="s">
        <v>166</v>
      </c>
      <c r="B13" s="137" t="str">
        <f>IFERROR(B40*B8," ")</f>
        <v xml:space="preserve"> </v>
      </c>
      <c r="C13" s="137">
        <f>IFERROR(C40*$C$8,0)</f>
        <v>0</v>
      </c>
      <c r="D13" s="137">
        <f>IFERROR(D40*$D$8,0)</f>
        <v>0</v>
      </c>
      <c r="E13" s="137">
        <f>IFERROR(E40*$E$8,0)</f>
        <v>0</v>
      </c>
      <c r="F13" s="137">
        <f>IFERROR(F40*$F$8,0)</f>
        <v>0</v>
      </c>
      <c r="G13" s="137">
        <v>0</v>
      </c>
      <c r="H13" s="136">
        <f t="shared" si="2"/>
        <v>0</v>
      </c>
      <c r="J13" s="136">
        <f t="shared" si="3"/>
        <v>0</v>
      </c>
    </row>
    <row r="14" spans="1:13" ht="15.75" thickBot="1" x14ac:dyDescent="0.3">
      <c r="A14" s="133" t="s">
        <v>167</v>
      </c>
      <c r="B14" s="137" t="str">
        <f>IFERROR(B41*B8," ")</f>
        <v xml:space="preserve"> </v>
      </c>
      <c r="C14" s="137">
        <f>IFERROR(C41*$C$8,0)</f>
        <v>0</v>
      </c>
      <c r="D14" s="137">
        <f>IFERROR(D41*$D$8,0)</f>
        <v>0</v>
      </c>
      <c r="E14" s="137">
        <f>IFERROR(E41*$E$8,0)</f>
        <v>0</v>
      </c>
      <c r="F14" s="137">
        <f>IFERROR(F41*$F$8,0)</f>
        <v>0</v>
      </c>
      <c r="G14" s="137">
        <v>0</v>
      </c>
      <c r="H14" s="136">
        <f t="shared" si="2"/>
        <v>0</v>
      </c>
      <c r="J14" s="136">
        <f t="shared" si="3"/>
        <v>0</v>
      </c>
      <c r="L14" s="155" t="s">
        <v>168</v>
      </c>
      <c r="M14" s="155"/>
    </row>
    <row r="15" spans="1:13" ht="15.75" thickBot="1" x14ac:dyDescent="0.3">
      <c r="A15" s="133" t="s">
        <v>169</v>
      </c>
      <c r="B15" s="137">
        <v>0</v>
      </c>
      <c r="C15" s="137">
        <v>0</v>
      </c>
      <c r="D15" s="137">
        <v>0</v>
      </c>
      <c r="E15" s="137" t="e">
        <f>+B20</f>
        <v>#REF!</v>
      </c>
      <c r="F15" s="137">
        <v>0</v>
      </c>
      <c r="G15" s="137">
        <v>0</v>
      </c>
      <c r="H15" s="136" t="e">
        <f t="shared" si="2"/>
        <v>#REF!</v>
      </c>
      <c r="I15" s="175"/>
      <c r="J15" s="136" t="e">
        <f t="shared" si="3"/>
        <v>#REF!</v>
      </c>
      <c r="L15" s="234" t="e">
        <f>J12+J15</f>
        <v>#REF!</v>
      </c>
      <c r="M15" s="236">
        <v>1</v>
      </c>
    </row>
    <row r="16" spans="1:13" ht="15.75" thickBot="1" x14ac:dyDescent="0.3">
      <c r="A16" s="133" t="s">
        <v>170</v>
      </c>
      <c r="B16" s="138">
        <v>0</v>
      </c>
      <c r="C16" s="138">
        <v>0</v>
      </c>
      <c r="D16" s="138">
        <v>0</v>
      </c>
      <c r="E16" s="137" t="e">
        <f>+C20</f>
        <v>#REF!</v>
      </c>
      <c r="F16" s="138">
        <v>0</v>
      </c>
      <c r="G16" s="138">
        <v>0</v>
      </c>
      <c r="H16" s="136" t="e">
        <f t="shared" si="2"/>
        <v>#REF!</v>
      </c>
      <c r="I16" s="153"/>
      <c r="J16" s="136" t="e">
        <f t="shared" si="3"/>
        <v>#REF!</v>
      </c>
      <c r="L16" s="235" t="e">
        <f>L15*M16</f>
        <v>#REF!</v>
      </c>
      <c r="M16" s="236">
        <v>0.8</v>
      </c>
    </row>
    <row r="17" spans="1:13" ht="15.75" thickBot="1" x14ac:dyDescent="0.3">
      <c r="A17" s="156" t="s">
        <v>171</v>
      </c>
      <c r="B17" s="157">
        <f>SUM(B11:B16)</f>
        <v>0</v>
      </c>
      <c r="C17" s="157">
        <f>SUM(C11:C16)</f>
        <v>0</v>
      </c>
      <c r="D17" s="157">
        <f>SUM(D10:D16)</f>
        <v>0</v>
      </c>
      <c r="E17" s="157" t="e">
        <f>SUM(E10:E16)</f>
        <v>#REF!</v>
      </c>
      <c r="F17" s="157">
        <f>SUM(F10:F16)</f>
        <v>0</v>
      </c>
      <c r="G17" s="157">
        <f>SUM(G10:G16)</f>
        <v>0</v>
      </c>
      <c r="H17" s="157" t="e">
        <f>SUM(H10:H16)</f>
        <v>#REF!</v>
      </c>
      <c r="J17" s="226" t="e">
        <f t="shared" si="3"/>
        <v>#REF!</v>
      </c>
      <c r="L17" s="235" t="e">
        <f>L15*M17</f>
        <v>#REF!</v>
      </c>
      <c r="M17" s="236">
        <v>0.2</v>
      </c>
    </row>
    <row r="18" spans="1:13" ht="15.75" thickBot="1" x14ac:dyDescent="0.3">
      <c r="A18" s="214"/>
      <c r="B18" s="215">
        <f>B17</f>
        <v>0</v>
      </c>
      <c r="C18" s="215">
        <f>C17</f>
        <v>0</v>
      </c>
      <c r="D18" s="215">
        <f>D17</f>
        <v>0</v>
      </c>
      <c r="E18" s="215" t="e">
        <f>E17-E15-E16</f>
        <v>#REF!</v>
      </c>
      <c r="F18" s="215">
        <f>F17</f>
        <v>0</v>
      </c>
      <c r="G18" s="215">
        <f>G17</f>
        <v>0</v>
      </c>
      <c r="H18" s="215"/>
      <c r="I18" s="215" t="e">
        <f>E15+E16</f>
        <v>#REF!</v>
      </c>
      <c r="J18" s="215"/>
      <c r="L18" s="233"/>
    </row>
    <row r="19" spans="1:13" ht="15.75" thickBot="1" x14ac:dyDescent="0.3">
      <c r="A19" s="155" t="s">
        <v>172</v>
      </c>
      <c r="B19" s="218" t="s">
        <v>173</v>
      </c>
      <c r="C19" s="218" t="s">
        <v>174</v>
      </c>
      <c r="D19" s="218" t="s">
        <v>175</v>
      </c>
      <c r="E19" s="152"/>
      <c r="F19" s="152"/>
      <c r="G19" s="152"/>
      <c r="H19" s="154"/>
      <c r="I19" s="152" t="e">
        <f>E16</f>
        <v>#REF!</v>
      </c>
    </row>
    <row r="20" spans="1:13" ht="15.75" thickBot="1" x14ac:dyDescent="0.3">
      <c r="A20" s="216" t="s">
        <v>188</v>
      </c>
      <c r="B20" s="217" t="e">
        <f>Handling!C22</f>
        <v>#REF!</v>
      </c>
      <c r="C20" s="217" t="e">
        <f>B20*'P&amp;L'!$R$10</f>
        <v>#REF!</v>
      </c>
      <c r="D20" s="217" t="e">
        <f>SUM(B20:C20)</f>
        <v>#REF!</v>
      </c>
      <c r="G20" s="175"/>
    </row>
    <row r="21" spans="1:13" ht="15.75" hidden="1" thickBot="1" x14ac:dyDescent="0.3">
      <c r="A21" s="156" t="s">
        <v>177</v>
      </c>
      <c r="B21" s="137" t="e">
        <f>Handling!#REF!</f>
        <v>#REF!</v>
      </c>
      <c r="C21" s="137" t="e">
        <f>Handling!#REF!</f>
        <v>#REF!</v>
      </c>
      <c r="D21" s="137" t="e">
        <f>Handling!#REF!</f>
        <v>#REF!</v>
      </c>
      <c r="G21" s="175"/>
    </row>
    <row r="22" spans="1:13" ht="15.75" hidden="1" thickBot="1" x14ac:dyDescent="0.3">
      <c r="A22" s="156" t="s">
        <v>178</v>
      </c>
      <c r="B22" s="137" t="e">
        <f>Handling!#REF!</f>
        <v>#REF!</v>
      </c>
      <c r="C22" s="137" t="e">
        <f>Handling!#REF!</f>
        <v>#REF!</v>
      </c>
      <c r="D22" s="137" t="e">
        <f>Handling!#REF!</f>
        <v>#REF!</v>
      </c>
    </row>
    <row r="23" spans="1:13" ht="15.75" thickBot="1" x14ac:dyDescent="0.3"/>
    <row r="24" spans="1:13" ht="15.75" thickBot="1" x14ac:dyDescent="0.3">
      <c r="A24" s="133" t="s">
        <v>179</v>
      </c>
      <c r="B24" s="137">
        <f>IFERROR(((B11+B12+B13+B14)/B8),0)</f>
        <v>0</v>
      </c>
      <c r="C24" s="137">
        <f>IFERROR(((C11+C12+C13+C14)/C8),0)</f>
        <v>0</v>
      </c>
      <c r="D24" s="137">
        <f>IFERROR(((D10+D11+D12+D13+D14)/D8),0)</f>
        <v>0</v>
      </c>
      <c r="E24" s="137">
        <f>IFERROR(((E10+E11+E12+E13+E14)/E8),0)</f>
        <v>0</v>
      </c>
      <c r="F24" s="137">
        <f>IFERROR(((F10+F11+F12+F13+F14)/F8),0)</f>
        <v>0</v>
      </c>
      <c r="G24" s="137">
        <f>IFERROR(((G10+G11+G12+G13+G14)/G8),0)</f>
        <v>0</v>
      </c>
    </row>
    <row r="25" spans="1:13" ht="15.75" thickBot="1" x14ac:dyDescent="0.3">
      <c r="A25" s="133" t="s">
        <v>180</v>
      </c>
      <c r="B25" s="137">
        <f t="shared" ref="B25:G25" si="4">IFERROR(((B13+B14)/B8),0)</f>
        <v>0</v>
      </c>
      <c r="C25" s="137">
        <f t="shared" si="4"/>
        <v>0</v>
      </c>
      <c r="D25" s="137">
        <f t="shared" si="4"/>
        <v>0</v>
      </c>
      <c r="E25" s="137">
        <f t="shared" si="4"/>
        <v>0</v>
      </c>
      <c r="F25" s="137">
        <f t="shared" si="4"/>
        <v>0</v>
      </c>
      <c r="G25" s="137">
        <f t="shared" si="4"/>
        <v>0</v>
      </c>
    </row>
    <row r="26" spans="1:13" ht="15.75" thickBot="1" x14ac:dyDescent="0.3">
      <c r="A26" s="133" t="s">
        <v>181</v>
      </c>
      <c r="B26" s="137">
        <f t="shared" ref="B26:G26" si="5">IFERROR((B10/B8),0)</f>
        <v>0</v>
      </c>
      <c r="C26" s="137">
        <f t="shared" si="5"/>
        <v>0</v>
      </c>
      <c r="D26" s="137">
        <f t="shared" si="5"/>
        <v>0</v>
      </c>
      <c r="E26" s="137">
        <f t="shared" si="5"/>
        <v>0</v>
      </c>
      <c r="F26" s="137">
        <f t="shared" si="5"/>
        <v>0</v>
      </c>
      <c r="G26" s="137">
        <f t="shared" si="5"/>
        <v>0</v>
      </c>
    </row>
    <row r="27" spans="1:13" s="230" customFormat="1" x14ac:dyDescent="0.25">
      <c r="A27" s="231"/>
      <c r="B27" s="232"/>
      <c r="C27" s="232"/>
      <c r="D27" s="232"/>
      <c r="E27" s="232"/>
      <c r="F27" s="232"/>
      <c r="G27" s="232"/>
    </row>
    <row r="28" spans="1:13" x14ac:dyDescent="0.25">
      <c r="B28" s="156" t="s">
        <v>182</v>
      </c>
      <c r="C28" s="156" t="s">
        <v>183</v>
      </c>
    </row>
    <row r="29" spans="1:13" ht="15.75" thickBot="1" x14ac:dyDescent="0.3">
      <c r="A29" s="156" t="s">
        <v>184</v>
      </c>
      <c r="B29" s="156">
        <f>'P&amp;L'!R5</f>
        <v>1</v>
      </c>
      <c r="C29" s="156">
        <v>2037</v>
      </c>
    </row>
    <row r="30" spans="1:13" ht="15.75" thickBot="1" x14ac:dyDescent="0.3">
      <c r="A30" s="133" t="s">
        <v>163</v>
      </c>
      <c r="B30" s="137">
        <f t="shared" ref="B30:G30" si="6">B37*B8</f>
        <v>0</v>
      </c>
      <c r="C30" s="137">
        <f t="shared" si="6"/>
        <v>0</v>
      </c>
      <c r="D30" s="137">
        <f t="shared" si="6"/>
        <v>0</v>
      </c>
      <c r="E30" s="137">
        <f t="shared" si="6"/>
        <v>0</v>
      </c>
      <c r="F30" s="137">
        <f t="shared" si="6"/>
        <v>0</v>
      </c>
      <c r="G30" s="137">
        <f t="shared" si="6"/>
        <v>0</v>
      </c>
    </row>
    <row r="31" spans="1:13" ht="15.75" thickBot="1" x14ac:dyDescent="0.3">
      <c r="A31" s="133" t="s">
        <v>164</v>
      </c>
      <c r="B31" s="137">
        <f>IFERROR(IF($B$29=$B$29,SUMIF(Food!$C:$C,B$9&amp;$B$29&amp;$C$29,Food!$X:$X),0),"")</f>
        <v>0</v>
      </c>
      <c r="C31" s="137">
        <f>IFERROR(IF($B$29=$B$29,SUMIF(Food!$C:$C,C$9&amp;$B$29&amp;$C$29,Food!$X:$X),0),"")</f>
        <v>0</v>
      </c>
      <c r="D31" s="137">
        <f>IFERROR(IF($B$29=$B$29,SUMIF(Food!$C:$C,D$9&amp;$B$29&amp;$C$29,Food!$X:$X),0),"")</f>
        <v>0</v>
      </c>
      <c r="E31" s="137">
        <f>IFERROR(IF($B$29=$B$29,SUMIF(Food!$C:$C,E$9&amp;$B$29&amp;$C$29,Food!$X:$X),0),"")</f>
        <v>0</v>
      </c>
      <c r="F31" s="137">
        <f>IFERROR(IF($B$29=$B$29,SUMIF(Food!$C:$C,F$9&amp;$B$29&amp;$C$29,Food!$X:$X),0),"")</f>
        <v>0</v>
      </c>
      <c r="G31" s="137">
        <f>IFERROR(IF($B$29=$B$29,SUMIF(Food!$C:$C,G$9&amp;$B$29&amp;$C$29,Food!$X:$X),0),"")</f>
        <v>0</v>
      </c>
    </row>
    <row r="32" spans="1:13" ht="15.75" thickBot="1" x14ac:dyDescent="0.3">
      <c r="A32" s="133" t="s">
        <v>165</v>
      </c>
      <c r="B32" s="137">
        <f>IFERROR(IF($B$29=$B$29,SUMIF(Food!$C:$C,B$9&amp;$B$29&amp;$C$29,Food!$Z:$Z),0),"")</f>
        <v>0</v>
      </c>
      <c r="C32" s="137">
        <f>IFERROR(IF($B$29=$B$29,SUMIF(Food!$C:$C,C$9&amp;$B$29&amp;$C$29,Food!$Z:$Z),0),"")</f>
        <v>0</v>
      </c>
      <c r="D32" s="137">
        <f>IFERROR(IF($B$29=$B$29,SUMIF(Food!$C:$C,D$9&amp;$B$29&amp;$C$29,Food!$Z:$Z),0),"")</f>
        <v>0</v>
      </c>
      <c r="E32" s="137">
        <f>IFERROR(IF($B$29=$B$29,SUMIF(Food!$C:$C,E$9&amp;$B$29&amp;$C$29,Food!$Z:$Z),0),"")</f>
        <v>0</v>
      </c>
      <c r="F32" s="137">
        <f>IFERROR(IF($B$29=$B$29,SUMIF(Food!$C:$C,F$9&amp;$B$29&amp;$C$29,Food!$Z:$Z),0),"")</f>
        <v>0</v>
      </c>
      <c r="G32" s="137">
        <f>IFERROR(IF($B$29=$B$29,SUMIF(Food!$C:$C,G$9&amp;$B$29&amp;$C$29,Food!$Z:$Z),0),"")</f>
        <v>0</v>
      </c>
    </row>
    <row r="33" spans="1:7" ht="15.75" thickBot="1" x14ac:dyDescent="0.3">
      <c r="A33" s="133" t="s">
        <v>185</v>
      </c>
      <c r="B33" s="137">
        <f>IFERROR(IF($B$29=$B$29,SUMIF(Food!$C:$C,B$9&amp;$B$29&amp;$C$29,Food!$AB:$AB),0),"")</f>
        <v>0</v>
      </c>
      <c r="C33" s="137">
        <f>IFERROR(IF($B$29=$B$29,SUMIF(Food!$C:$C,C$9&amp;$B$29&amp;$C$29,Food!$AB:$AB),0),"")</f>
        <v>0</v>
      </c>
      <c r="D33" s="137">
        <f>IFERROR(IF($B$29=$B$29,SUMIF(Food!$C:$C,D$9&amp;$B$29&amp;$C$29,Food!$AB:$AB),0),"")</f>
        <v>0</v>
      </c>
      <c r="E33" s="137">
        <f>IFERROR(IF($B$29=$B$29,SUMIF(Food!$C:$C,E$9&amp;$B$29&amp;$C$29,Food!$AB:$AB),0),"")</f>
        <v>0</v>
      </c>
      <c r="F33" s="137">
        <f>IFERROR(IF($B$29=$B$29,SUMIF(Food!$C:$C,F$9&amp;$B$29&amp;$C$29,Food!$AB:$AB),0),"")</f>
        <v>0</v>
      </c>
      <c r="G33" s="137">
        <f>IFERROR(IF($B$29=$B$29,SUMIF(Food!$C:$C,G$9&amp;$B$29&amp;$C$29,Food!$O:$O),0),"")</f>
        <v>0</v>
      </c>
    </row>
    <row r="34" spans="1:7" ht="15.75" thickBot="1" x14ac:dyDescent="0.3">
      <c r="A34" s="133" t="s">
        <v>186</v>
      </c>
      <c r="B34" s="137">
        <f>IFERROR(IF($B$29=$B$29,SUMIF(Food!$C:$C,B$9&amp;$B$29&amp;$C$29,Food!$AC:$AC),0),"")</f>
        <v>0</v>
      </c>
      <c r="C34" s="137">
        <f>IFERROR(IF($B$29=$B$29,SUMIF(Food!$C:$C,C$9&amp;$B$29&amp;$C$29,Food!$AC:$AC),0),"")</f>
        <v>0</v>
      </c>
      <c r="D34" s="137">
        <f>IFERROR(IF($B$29=$B$29,SUMIF(Food!$C:$C,D$9&amp;$B$29&amp;$C$29,Food!$AC:$AC),0),"")</f>
        <v>0</v>
      </c>
      <c r="E34" s="137">
        <f>IFERROR(IF($B$29=$B$29,SUMIF(Food!$C:$C,E$9&amp;$B$29&amp;$C$29,Food!$AC:$AC),0),"")</f>
        <v>0</v>
      </c>
      <c r="F34" s="137">
        <f>IFERROR(IF($B$29=$B$29,SUMIF(Food!$C:$C,F$9&amp;$B$29&amp;$C$29,Food!$AC:$AC),0),"")</f>
        <v>0</v>
      </c>
      <c r="G34" s="137">
        <f>IFERROR(IF($B$29=$B$29,SUMIF(Food!$C:$C,G$9&amp;$B$29&amp;$C$29,Food!$P:$P),0),"")</f>
        <v>0</v>
      </c>
    </row>
    <row r="35" spans="1:7" x14ac:dyDescent="0.25">
      <c r="A35" s="148"/>
      <c r="B35" s="149"/>
      <c r="C35" s="149"/>
      <c r="D35" s="149"/>
      <c r="E35" s="149"/>
      <c r="F35" s="149"/>
      <c r="G35" s="149"/>
    </row>
    <row r="36" spans="1:7" ht="15.75" thickBot="1" x14ac:dyDescent="0.3">
      <c r="A36" s="156" t="s">
        <v>187</v>
      </c>
    </row>
    <row r="37" spans="1:7" ht="15.75" thickBot="1" x14ac:dyDescent="0.3">
      <c r="A37" s="133" t="s">
        <v>163</v>
      </c>
      <c r="B37" s="137">
        <f>'P&amp;L'!$K$30</f>
        <v>0</v>
      </c>
      <c r="C37" s="137">
        <f>'P&amp;L'!$L$30</f>
        <v>0</v>
      </c>
      <c r="D37" s="137">
        <f>'P&amp;L'!$M$30</f>
        <v>0</v>
      </c>
      <c r="E37" s="137">
        <f>'P&amp;L'!$N$30</f>
        <v>0</v>
      </c>
      <c r="F37" s="137">
        <f>'P&amp;L'!$O$30</f>
        <v>0</v>
      </c>
      <c r="G37" s="137">
        <f>'P&amp;L'!$P$30</f>
        <v>0</v>
      </c>
    </row>
    <row r="38" spans="1:7" ht="15.75" thickBot="1" x14ac:dyDescent="0.3">
      <c r="A38" s="133" t="s">
        <v>164</v>
      </c>
      <c r="B38" s="137" t="str">
        <f t="shared" ref="B38:G38" si="7">IFERROR(B31/B7," ")</f>
        <v xml:space="preserve"> </v>
      </c>
      <c r="C38" s="137">
        <f t="shared" si="7"/>
        <v>0</v>
      </c>
      <c r="D38" s="137">
        <f t="shared" si="7"/>
        <v>0</v>
      </c>
      <c r="E38" s="137">
        <f t="shared" si="7"/>
        <v>0</v>
      </c>
      <c r="F38" s="137" t="str">
        <f t="shared" si="7"/>
        <v xml:space="preserve"> </v>
      </c>
      <c r="G38" s="137">
        <f t="shared" si="7"/>
        <v>0</v>
      </c>
    </row>
    <row r="39" spans="1:7" ht="15.75" thickBot="1" x14ac:dyDescent="0.3">
      <c r="A39" s="133" t="s">
        <v>165</v>
      </c>
      <c r="B39" s="137" t="str">
        <f t="shared" ref="B39:G39" si="8">IFERROR(B32/B7," ")</f>
        <v xml:space="preserve"> </v>
      </c>
      <c r="C39" s="137">
        <f t="shared" si="8"/>
        <v>0</v>
      </c>
      <c r="D39" s="137">
        <f t="shared" si="8"/>
        <v>0</v>
      </c>
      <c r="E39" s="137">
        <f t="shared" si="8"/>
        <v>0</v>
      </c>
      <c r="F39" s="137" t="str">
        <f t="shared" si="8"/>
        <v xml:space="preserve"> </v>
      </c>
      <c r="G39" s="137">
        <f t="shared" si="8"/>
        <v>0</v>
      </c>
    </row>
    <row r="40" spans="1:7" ht="15.75" thickBot="1" x14ac:dyDescent="0.3">
      <c r="A40" s="133" t="s">
        <v>185</v>
      </c>
      <c r="B40" s="137" t="str">
        <f>IFERROR(B33/B8," ")</f>
        <v xml:space="preserve"> </v>
      </c>
      <c r="C40" s="137">
        <f>IFERROR(C33/C7," ")</f>
        <v>0</v>
      </c>
      <c r="D40" s="137">
        <f>IFERROR(D33/D7," ")</f>
        <v>0</v>
      </c>
      <c r="E40" s="137">
        <f>IFERROR(E33/E7," ")</f>
        <v>0</v>
      </c>
      <c r="F40" s="137" t="str">
        <f>IFERROR(F33/F7," ")</f>
        <v xml:space="preserve"> </v>
      </c>
      <c r="G40" s="137">
        <f>IFERROR(G33/G7," ")</f>
        <v>0</v>
      </c>
    </row>
    <row r="41" spans="1:7" ht="15.75" thickBot="1" x14ac:dyDescent="0.3">
      <c r="A41" s="133" t="s">
        <v>186</v>
      </c>
      <c r="B41" s="137" t="str">
        <f t="shared" ref="B41:G41" si="9">IFERROR(B34/B7," ")</f>
        <v xml:space="preserve"> </v>
      </c>
      <c r="C41" s="137">
        <f t="shared" si="9"/>
        <v>0</v>
      </c>
      <c r="D41" s="137">
        <f t="shared" si="9"/>
        <v>0</v>
      </c>
      <c r="E41" s="137">
        <f t="shared" si="9"/>
        <v>0</v>
      </c>
      <c r="F41" s="137" t="str">
        <f t="shared" si="9"/>
        <v xml:space="preserve"> </v>
      </c>
      <c r="G41" s="137">
        <f t="shared" si="9"/>
        <v>0</v>
      </c>
    </row>
    <row r="42" spans="1:7" x14ac:dyDescent="0.25">
      <c r="B42" s="150"/>
      <c r="C42" s="150"/>
    </row>
    <row r="43" spans="1:7" x14ac:dyDescent="0.25">
      <c r="B43" s="150"/>
      <c r="C43" s="150"/>
    </row>
    <row r="108" spans="1:1" x14ac:dyDescent="0.25">
      <c r="A108" s="134">
        <v>388</v>
      </c>
    </row>
    <row r="109" spans="1:1" x14ac:dyDescent="0.25">
      <c r="A109" s="134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F65A-A115-4189-8B02-6D23F4032951}">
  <sheetPr>
    <tabColor theme="5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 x14ac:dyDescent="0.25"/>
  <cols>
    <col min="1" max="1" width="24.28515625" style="134" bestFit="1" customWidth="1"/>
    <col min="2" max="2" width="10.7109375" style="134" bestFit="1" customWidth="1"/>
    <col min="3" max="3" width="15" style="134" bestFit="1" customWidth="1"/>
    <col min="4" max="5" width="12.5703125" style="134" bestFit="1" customWidth="1"/>
    <col min="6" max="6" width="10.7109375" style="134"/>
    <col min="7" max="7" width="15.7109375" style="134" customWidth="1"/>
    <col min="8" max="8" width="12.5703125" style="134" bestFit="1" customWidth="1"/>
    <col min="9" max="9" width="8.5703125" style="134" bestFit="1" customWidth="1"/>
    <col min="10" max="10" width="15.28515625" style="134" bestFit="1" customWidth="1"/>
    <col min="11" max="11" width="10.7109375" style="134"/>
    <col min="12" max="12" width="16.28515625" style="134" bestFit="1" customWidth="1"/>
    <col min="13" max="16384" width="10.7109375" style="134"/>
  </cols>
  <sheetData>
    <row r="1" spans="1:13" ht="15.75" thickBot="1" x14ac:dyDescent="0.3"/>
    <row r="2" spans="1:13" ht="15.75" thickBot="1" x14ac:dyDescent="0.3">
      <c r="A2" s="465" t="s">
        <v>142</v>
      </c>
      <c r="B2" s="28"/>
      <c r="C2" s="144"/>
      <c r="G2" s="139" t="s">
        <v>143</v>
      </c>
      <c r="H2" s="244">
        <v>0</v>
      </c>
      <c r="L2" s="241" t="s">
        <v>144</v>
      </c>
      <c r="M2" s="241" t="s">
        <v>7</v>
      </c>
    </row>
    <row r="3" spans="1:13" ht="15.75" thickBot="1" x14ac:dyDescent="0.3">
      <c r="A3" s="466"/>
      <c r="B3" s="167"/>
      <c r="C3" s="168"/>
      <c r="E3" s="139" t="s">
        <v>145</v>
      </c>
      <c r="F3" s="141">
        <v>738</v>
      </c>
      <c r="G3" s="139" t="s">
        <v>146</v>
      </c>
      <c r="H3" s="139">
        <f>H4/12</f>
        <v>0</v>
      </c>
      <c r="J3" s="227" t="s">
        <v>147</v>
      </c>
      <c r="L3" s="241">
        <v>737</v>
      </c>
      <c r="M3" s="241">
        <v>1</v>
      </c>
    </row>
    <row r="4" spans="1:13" ht="15.75" thickBot="1" x14ac:dyDescent="0.3">
      <c r="E4" s="139" t="s">
        <v>2</v>
      </c>
      <c r="F4" s="140">
        <f>'P&amp;L'!R4</f>
        <v>0.8</v>
      </c>
      <c r="G4" s="139" t="s">
        <v>148</v>
      </c>
      <c r="H4" s="139">
        <f>H2*52</f>
        <v>0</v>
      </c>
      <c r="J4" s="228" t="e">
        <f>H17*H4</f>
        <v>#REF!</v>
      </c>
      <c r="L4" s="241"/>
      <c r="M4" s="241"/>
    </row>
    <row r="5" spans="1:13" ht="15.75" thickBot="1" x14ac:dyDescent="0.3">
      <c r="A5" s="135" t="s">
        <v>149</v>
      </c>
      <c r="L5" s="241"/>
      <c r="M5" s="241"/>
    </row>
    <row r="6" spans="1:13" ht="15.75" thickBot="1" x14ac:dyDescent="0.3">
      <c r="A6" s="155" t="s">
        <v>150</v>
      </c>
      <c r="B6" s="155" t="s">
        <v>43</v>
      </c>
      <c r="C6" s="155" t="s">
        <v>44</v>
      </c>
      <c r="D6" s="155" t="s">
        <v>45</v>
      </c>
      <c r="E6" s="155" t="s">
        <v>46</v>
      </c>
      <c r="F6" s="155" t="s">
        <v>47</v>
      </c>
      <c r="G6" s="155" t="s">
        <v>48</v>
      </c>
      <c r="H6" s="155" t="s">
        <v>151</v>
      </c>
      <c r="I6" s="154" t="s">
        <v>152</v>
      </c>
      <c r="L6" s="240"/>
      <c r="M6" s="240"/>
    </row>
    <row r="7" spans="1:13" ht="15.75" thickBot="1" x14ac:dyDescent="0.3">
      <c r="A7" s="133" t="s">
        <v>153</v>
      </c>
      <c r="B7" s="133">
        <f>+'FlightConfig '!B17</f>
        <v>0</v>
      </c>
      <c r="C7" s="133">
        <f>+'FlightConfig '!C17</f>
        <v>34</v>
      </c>
      <c r="D7" s="133">
        <f>+'FlightConfig '!D17</f>
        <v>48</v>
      </c>
      <c r="E7" s="133">
        <f>+'FlightConfig '!E17</f>
        <v>198</v>
      </c>
      <c r="F7" s="133">
        <f>+'FlightConfig '!F17</f>
        <v>0</v>
      </c>
      <c r="G7" s="133">
        <f>+'FlightConfig '!G17</f>
        <v>6</v>
      </c>
      <c r="H7" s="133">
        <f>SUM(B7:G7)</f>
        <v>286</v>
      </c>
      <c r="L7" s="240"/>
      <c r="M7" s="240"/>
    </row>
    <row r="8" spans="1:13" ht="15.75" thickBot="1" x14ac:dyDescent="0.3">
      <c r="A8" s="133" t="s">
        <v>154</v>
      </c>
      <c r="B8" s="133">
        <f t="shared" ref="B8:G8" si="0">ROUNDUP(B7*$F$4,0)</f>
        <v>0</v>
      </c>
      <c r="C8" s="133">
        <f t="shared" si="0"/>
        <v>28</v>
      </c>
      <c r="D8" s="133">
        <f t="shared" si="0"/>
        <v>39</v>
      </c>
      <c r="E8" s="133">
        <f t="shared" si="0"/>
        <v>159</v>
      </c>
      <c r="F8" s="133">
        <f t="shared" si="0"/>
        <v>0</v>
      </c>
      <c r="G8" s="133">
        <f t="shared" si="0"/>
        <v>5</v>
      </c>
      <c r="H8" s="133">
        <f>SUM(B8:G8)</f>
        <v>231</v>
      </c>
      <c r="L8" s="240"/>
      <c r="M8" s="240"/>
    </row>
    <row r="9" spans="1:13" ht="15.75" thickBot="1" x14ac:dyDescent="0.3">
      <c r="A9" s="275"/>
      <c r="B9" s="276" t="s">
        <v>155</v>
      </c>
      <c r="C9" s="276" t="s">
        <v>156</v>
      </c>
      <c r="D9" s="276" t="s">
        <v>157</v>
      </c>
      <c r="E9" s="276" t="s">
        <v>158</v>
      </c>
      <c r="F9" s="276" t="s">
        <v>159</v>
      </c>
      <c r="G9" s="276" t="s">
        <v>160</v>
      </c>
      <c r="H9" s="155" t="s">
        <v>161</v>
      </c>
      <c r="J9" s="155" t="s">
        <v>162</v>
      </c>
    </row>
    <row r="10" spans="1:13" ht="15.75" thickBot="1" x14ac:dyDescent="0.3">
      <c r="A10" s="133" t="s">
        <v>163</v>
      </c>
      <c r="B10" s="137">
        <f t="shared" ref="B10:G10" si="1">B37*B8</f>
        <v>0</v>
      </c>
      <c r="C10" s="137">
        <f t="shared" si="1"/>
        <v>0</v>
      </c>
      <c r="D10" s="137">
        <f t="shared" si="1"/>
        <v>0</v>
      </c>
      <c r="E10" s="137">
        <f t="shared" si="1"/>
        <v>0</v>
      </c>
      <c r="F10" s="137">
        <f t="shared" si="1"/>
        <v>0</v>
      </c>
      <c r="G10" s="137">
        <f t="shared" si="1"/>
        <v>0</v>
      </c>
      <c r="H10" s="136">
        <f t="shared" ref="H10:H16" si="2">SUM(B10:G10)</f>
        <v>0</v>
      </c>
      <c r="J10" s="136">
        <f>H10*$H$4</f>
        <v>0</v>
      </c>
    </row>
    <row r="11" spans="1:13" ht="15.75" thickBot="1" x14ac:dyDescent="0.3">
      <c r="A11" s="133" t="s">
        <v>164</v>
      </c>
      <c r="B11" s="137">
        <f>IFERROR(B38*B8,0)</f>
        <v>0</v>
      </c>
      <c r="C11" s="137">
        <f>IFERROR(C38*$C$8,0)</f>
        <v>0</v>
      </c>
      <c r="D11" s="137">
        <f>IFERROR(D38*$D$8,0)</f>
        <v>0</v>
      </c>
      <c r="E11" s="137">
        <f>IFERROR(E38*$E$8,0)</f>
        <v>0</v>
      </c>
      <c r="F11" s="137">
        <f>IFERROR(F38*$F$8,0)</f>
        <v>0</v>
      </c>
      <c r="G11" s="137">
        <f>IFERROR(G38*G8,0)</f>
        <v>0</v>
      </c>
      <c r="H11" s="136">
        <f t="shared" si="2"/>
        <v>0</v>
      </c>
      <c r="I11" s="175">
        <f>I12*45%</f>
        <v>0</v>
      </c>
      <c r="J11" s="136">
        <f>H11*$H$4</f>
        <v>0</v>
      </c>
    </row>
    <row r="12" spans="1:13" ht="15.75" thickBot="1" x14ac:dyDescent="0.3">
      <c r="A12" s="133" t="s">
        <v>165</v>
      </c>
      <c r="B12" s="137">
        <f>IFERROR(B39*B8,0)</f>
        <v>0</v>
      </c>
      <c r="C12" s="137">
        <f>IFERROR(C39*$C$8,0)</f>
        <v>0</v>
      </c>
      <c r="D12" s="137">
        <f>IFERROR(D39*$D$8,0)</f>
        <v>0</v>
      </c>
      <c r="E12" s="137">
        <f>IFERROR(E39*$E$8,0)</f>
        <v>0</v>
      </c>
      <c r="F12" s="137">
        <f>IFERROR(F39*$F$8,0)</f>
        <v>0</v>
      </c>
      <c r="G12" s="137">
        <f>IFERROR(G39*G8,0)</f>
        <v>0</v>
      </c>
      <c r="H12" s="136">
        <f t="shared" si="2"/>
        <v>0</v>
      </c>
      <c r="I12" s="246">
        <f>H11+H12</f>
        <v>0</v>
      </c>
      <c r="J12" s="136">
        <f t="shared" ref="J12:J17" si="3">H12*$H$4</f>
        <v>0</v>
      </c>
    </row>
    <row r="13" spans="1:13" ht="15.75" thickBot="1" x14ac:dyDescent="0.3">
      <c r="A13" s="133" t="s">
        <v>166</v>
      </c>
      <c r="B13" s="137" t="str">
        <f>IFERROR(B40*B8," ")</f>
        <v xml:space="preserve"> </v>
      </c>
      <c r="C13" s="137">
        <f>IFERROR(C40*$C$8,0)</f>
        <v>0</v>
      </c>
      <c r="D13" s="137">
        <f>IFERROR(D40*$D$8,0)</f>
        <v>0</v>
      </c>
      <c r="E13" s="137">
        <f>IFERROR(E40*$E$8,0)</f>
        <v>0</v>
      </c>
      <c r="F13" s="137">
        <f>IFERROR(F40*$F$8,0)</f>
        <v>0</v>
      </c>
      <c r="G13" s="137">
        <v>0</v>
      </c>
      <c r="H13" s="136">
        <f t="shared" si="2"/>
        <v>0</v>
      </c>
      <c r="J13" s="136">
        <f t="shared" si="3"/>
        <v>0</v>
      </c>
    </row>
    <row r="14" spans="1:13" ht="15.75" thickBot="1" x14ac:dyDescent="0.3">
      <c r="A14" s="133" t="s">
        <v>167</v>
      </c>
      <c r="B14" s="137" t="str">
        <f>IFERROR(B41*B8," ")</f>
        <v xml:space="preserve"> </v>
      </c>
      <c r="C14" s="137">
        <f>IFERROR(C41*$C$8,0)</f>
        <v>0</v>
      </c>
      <c r="D14" s="137">
        <f>IFERROR(D41*$D$8,0)</f>
        <v>0</v>
      </c>
      <c r="E14" s="137">
        <f>IFERROR(E41*$E$8,0)</f>
        <v>0</v>
      </c>
      <c r="F14" s="137">
        <f>IFERROR(F41*$F$8,0)</f>
        <v>0</v>
      </c>
      <c r="G14" s="137">
        <v>0</v>
      </c>
      <c r="H14" s="136">
        <f>SUM(B14:G14)</f>
        <v>0</v>
      </c>
      <c r="J14" s="136">
        <f t="shared" si="3"/>
        <v>0</v>
      </c>
      <c r="L14" s="155" t="s">
        <v>168</v>
      </c>
      <c r="M14" s="155"/>
    </row>
    <row r="15" spans="1:13" ht="15.75" thickBot="1" x14ac:dyDescent="0.3">
      <c r="A15" s="133" t="s">
        <v>169</v>
      </c>
      <c r="B15" s="137">
        <v>0</v>
      </c>
      <c r="C15" s="137">
        <v>0</v>
      </c>
      <c r="D15" s="137">
        <v>0</v>
      </c>
      <c r="E15" s="137" t="e">
        <f>+B20</f>
        <v>#REF!</v>
      </c>
      <c r="F15" s="137">
        <v>0</v>
      </c>
      <c r="G15" s="137">
        <v>0</v>
      </c>
      <c r="H15" s="136" t="e">
        <f t="shared" si="2"/>
        <v>#REF!</v>
      </c>
      <c r="I15" s="175"/>
      <c r="J15" s="136" t="e">
        <f t="shared" si="3"/>
        <v>#REF!</v>
      </c>
      <c r="L15" s="234" t="e">
        <f>J12+J15</f>
        <v>#REF!</v>
      </c>
      <c r="M15" s="236">
        <v>1</v>
      </c>
    </row>
    <row r="16" spans="1:13" ht="15.75" thickBot="1" x14ac:dyDescent="0.3">
      <c r="A16" s="133" t="s">
        <v>170</v>
      </c>
      <c r="B16" s="138">
        <v>0</v>
      </c>
      <c r="C16" s="138">
        <v>0</v>
      </c>
      <c r="D16" s="138">
        <v>0</v>
      </c>
      <c r="E16" s="137" t="e">
        <f>+C20</f>
        <v>#REF!</v>
      </c>
      <c r="F16" s="138">
        <v>0</v>
      </c>
      <c r="G16" s="138">
        <v>0</v>
      </c>
      <c r="H16" s="136" t="e">
        <f t="shared" si="2"/>
        <v>#REF!</v>
      </c>
      <c r="I16" s="153"/>
      <c r="J16" s="136" t="e">
        <f t="shared" si="3"/>
        <v>#REF!</v>
      </c>
      <c r="L16" s="235" t="e">
        <f>L15*M16</f>
        <v>#REF!</v>
      </c>
      <c r="M16" s="236">
        <v>0.8</v>
      </c>
    </row>
    <row r="17" spans="1:13" ht="15.75" thickBot="1" x14ac:dyDescent="0.3">
      <c r="A17" s="156" t="s">
        <v>171</v>
      </c>
      <c r="B17" s="157">
        <f>SUM(B11:B16)</f>
        <v>0</v>
      </c>
      <c r="C17" s="157">
        <f>SUM(C11:C16)</f>
        <v>0</v>
      </c>
      <c r="D17" s="157">
        <f>SUM(D10:D16)</f>
        <v>0</v>
      </c>
      <c r="E17" s="157" t="e">
        <f>SUM(E10:E16)</f>
        <v>#REF!</v>
      </c>
      <c r="F17" s="157">
        <f>SUM(F10:F16)</f>
        <v>0</v>
      </c>
      <c r="G17" s="157">
        <f>SUM(G10:G16)</f>
        <v>0</v>
      </c>
      <c r="H17" s="157" t="e">
        <f>SUM(H10:H16)</f>
        <v>#REF!</v>
      </c>
      <c r="J17" s="226" t="e">
        <f t="shared" si="3"/>
        <v>#REF!</v>
      </c>
      <c r="L17" s="235" t="e">
        <f>L15*M17</f>
        <v>#REF!</v>
      </c>
      <c r="M17" s="236">
        <v>0.2</v>
      </c>
    </row>
    <row r="18" spans="1:13" ht="15.75" thickBot="1" x14ac:dyDescent="0.3">
      <c r="A18" s="214"/>
      <c r="B18" s="215">
        <f>B17</f>
        <v>0</v>
      </c>
      <c r="C18" s="215">
        <f>C17</f>
        <v>0</v>
      </c>
      <c r="D18" s="215">
        <f>D17</f>
        <v>0</v>
      </c>
      <c r="E18" s="215" t="e">
        <f>E17-E15-E16</f>
        <v>#REF!</v>
      </c>
      <c r="F18" s="215">
        <f>F17</f>
        <v>0</v>
      </c>
      <c r="G18" s="215">
        <f>G17</f>
        <v>0</v>
      </c>
      <c r="H18" s="215"/>
      <c r="I18" s="215" t="e">
        <f>E15+E16</f>
        <v>#REF!</v>
      </c>
      <c r="J18" s="215"/>
      <c r="L18" s="233"/>
    </row>
    <row r="19" spans="1:13" ht="15.75" thickBot="1" x14ac:dyDescent="0.3">
      <c r="A19" s="155" t="s">
        <v>172</v>
      </c>
      <c r="B19" s="218" t="s">
        <v>173</v>
      </c>
      <c r="C19" s="218" t="s">
        <v>174</v>
      </c>
      <c r="D19" s="218" t="s">
        <v>175</v>
      </c>
      <c r="E19" s="152"/>
      <c r="F19" s="152"/>
      <c r="G19" s="152"/>
      <c r="H19" s="154"/>
      <c r="I19" s="152" t="e">
        <f>E16</f>
        <v>#REF!</v>
      </c>
    </row>
    <row r="20" spans="1:13" ht="15.75" thickBot="1" x14ac:dyDescent="0.3">
      <c r="A20" s="216" t="s">
        <v>188</v>
      </c>
      <c r="B20" s="217" t="e">
        <f>Handling!C22</f>
        <v>#REF!</v>
      </c>
      <c r="C20" s="217" t="e">
        <f>B20*'P&amp;L'!$R$10</f>
        <v>#REF!</v>
      </c>
      <c r="D20" s="217" t="e">
        <f>SUM(B20:C20)</f>
        <v>#REF!</v>
      </c>
      <c r="G20" s="175"/>
    </row>
    <row r="21" spans="1:13" ht="15.75" hidden="1" thickBot="1" x14ac:dyDescent="0.3">
      <c r="A21" s="156" t="s">
        <v>177</v>
      </c>
      <c r="B21" s="137" t="e">
        <f>Handling!#REF!</f>
        <v>#REF!</v>
      </c>
      <c r="C21" s="137" t="e">
        <f>Handling!#REF!</f>
        <v>#REF!</v>
      </c>
      <c r="D21" s="137" t="e">
        <f>Handling!#REF!</f>
        <v>#REF!</v>
      </c>
      <c r="G21" s="175"/>
    </row>
    <row r="22" spans="1:13" ht="15.75" hidden="1" thickBot="1" x14ac:dyDescent="0.3">
      <c r="A22" s="156" t="s">
        <v>178</v>
      </c>
      <c r="B22" s="137" t="e">
        <f>Handling!#REF!</f>
        <v>#REF!</v>
      </c>
      <c r="C22" s="137" t="e">
        <f>Handling!#REF!</f>
        <v>#REF!</v>
      </c>
      <c r="D22" s="137" t="e">
        <f>Handling!#REF!</f>
        <v>#REF!</v>
      </c>
    </row>
    <row r="23" spans="1:13" ht="15.75" thickBot="1" x14ac:dyDescent="0.3"/>
    <row r="24" spans="1:13" ht="15.75" thickBot="1" x14ac:dyDescent="0.3">
      <c r="A24" s="133" t="s">
        <v>179</v>
      </c>
      <c r="B24" s="137">
        <f>IFERROR(((B11+B12+B13+B14)/B8),0)</f>
        <v>0</v>
      </c>
      <c r="C24" s="137">
        <f>IFERROR(((C11+C12+C13+C14)/C8),0)</f>
        <v>0</v>
      </c>
      <c r="D24" s="137">
        <f>IFERROR(((D10+D11+D12+D13+D14)/D8),0)</f>
        <v>0</v>
      </c>
      <c r="E24" s="137">
        <f>IFERROR(((E10+E11+E12+E13+E14)/E8),0)</f>
        <v>0</v>
      </c>
      <c r="F24" s="137">
        <f>IFERROR(((F10+F11+F12+F13+F14)/F8),0)</f>
        <v>0</v>
      </c>
      <c r="G24" s="137">
        <f>IFERROR(((G10+G11+G12+G13+G14)/G8),0)</f>
        <v>0</v>
      </c>
    </row>
    <row r="25" spans="1:13" ht="15.75" thickBot="1" x14ac:dyDescent="0.3">
      <c r="A25" s="133" t="s">
        <v>180</v>
      </c>
      <c r="B25" s="137">
        <f t="shared" ref="B25:G25" si="4">IFERROR(((B13+B14)/B8),0)</f>
        <v>0</v>
      </c>
      <c r="C25" s="137">
        <f t="shared" si="4"/>
        <v>0</v>
      </c>
      <c r="D25" s="137">
        <f t="shared" si="4"/>
        <v>0</v>
      </c>
      <c r="E25" s="137">
        <f t="shared" si="4"/>
        <v>0</v>
      </c>
      <c r="F25" s="137">
        <f t="shared" si="4"/>
        <v>0</v>
      </c>
      <c r="G25" s="137">
        <f t="shared" si="4"/>
        <v>0</v>
      </c>
    </row>
    <row r="26" spans="1:13" ht="15.75" thickBot="1" x14ac:dyDescent="0.3">
      <c r="A26" s="133" t="s">
        <v>181</v>
      </c>
      <c r="B26" s="137">
        <f t="shared" ref="B26:G26" si="5">IFERROR((B10/B8),0)</f>
        <v>0</v>
      </c>
      <c r="C26" s="137">
        <f t="shared" si="5"/>
        <v>0</v>
      </c>
      <c r="D26" s="137">
        <f t="shared" si="5"/>
        <v>0</v>
      </c>
      <c r="E26" s="137">
        <f t="shared" si="5"/>
        <v>0</v>
      </c>
      <c r="F26" s="137">
        <f t="shared" si="5"/>
        <v>0</v>
      </c>
      <c r="G26" s="137">
        <f t="shared" si="5"/>
        <v>0</v>
      </c>
    </row>
    <row r="27" spans="1:13" s="230" customFormat="1" x14ac:dyDescent="0.25">
      <c r="A27" s="231"/>
      <c r="B27" s="232"/>
      <c r="C27" s="232"/>
      <c r="D27" s="232"/>
      <c r="E27" s="232"/>
      <c r="F27" s="232"/>
      <c r="G27" s="232"/>
    </row>
    <row r="28" spans="1:13" x14ac:dyDescent="0.25">
      <c r="B28" s="156" t="s">
        <v>182</v>
      </c>
      <c r="C28" s="156" t="s">
        <v>183</v>
      </c>
    </row>
    <row r="29" spans="1:13" ht="15.75" thickBot="1" x14ac:dyDescent="0.3">
      <c r="A29" s="156" t="s">
        <v>184</v>
      </c>
      <c r="B29" s="156">
        <f>'P&amp;L'!R5</f>
        <v>1</v>
      </c>
      <c r="C29" s="156">
        <v>2817</v>
      </c>
    </row>
    <row r="30" spans="1:13" ht="15.75" thickBot="1" x14ac:dyDescent="0.3">
      <c r="A30" s="133" t="s">
        <v>163</v>
      </c>
      <c r="B30" s="137">
        <f t="shared" ref="B30:G30" si="6">B37*B8</f>
        <v>0</v>
      </c>
      <c r="C30" s="137">
        <f t="shared" si="6"/>
        <v>0</v>
      </c>
      <c r="D30" s="137">
        <f t="shared" si="6"/>
        <v>0</v>
      </c>
      <c r="E30" s="137">
        <f t="shared" si="6"/>
        <v>0</v>
      </c>
      <c r="F30" s="137">
        <f t="shared" si="6"/>
        <v>0</v>
      </c>
      <c r="G30" s="137">
        <f t="shared" si="6"/>
        <v>0</v>
      </c>
    </row>
    <row r="31" spans="1:13" ht="15.75" thickBot="1" x14ac:dyDescent="0.3">
      <c r="A31" s="133" t="s">
        <v>164</v>
      </c>
      <c r="B31" s="137">
        <f>IFERROR(IF($B$29=$B$29,SUMIF(Food!$C:$C,B$9&amp;$B$29&amp;$C$29,Food!$X:$X),0),"")</f>
        <v>0</v>
      </c>
      <c r="C31" s="137">
        <f>IFERROR(IF($B$29=$B$29,SUMIF(Food!$C:$C,C$9&amp;$B$29&amp;$C$29,Food!$X:$X),0),"")</f>
        <v>0</v>
      </c>
      <c r="D31" s="137">
        <f>IFERROR(IF($B$29=$B$29,SUMIF(Food!$C:$C,D$9&amp;$B$29&amp;$C$29,Food!$X:$X),0),"")</f>
        <v>0</v>
      </c>
      <c r="E31" s="137">
        <f>IFERROR(IF($B$29=$B$29,SUMIF(Food!$C:$C,E$9&amp;$B$29&amp;$C$29,Food!$X:$X),0),"")</f>
        <v>0</v>
      </c>
      <c r="F31" s="137">
        <f>IFERROR(IF($B$29=$B$29,SUMIF(Food!$C:$C,F$9&amp;$B$29&amp;$C$29,Food!$X:$X),0),"")</f>
        <v>0</v>
      </c>
      <c r="G31" s="137">
        <f>IFERROR(IF($B$29=$B$29,SUMIF(Food!$C:$C,G$9&amp;$B$29&amp;$C$29,Food!$X:$X),0),"")</f>
        <v>0</v>
      </c>
    </row>
    <row r="32" spans="1:13" ht="15.75" thickBot="1" x14ac:dyDescent="0.3">
      <c r="A32" s="133" t="s">
        <v>165</v>
      </c>
      <c r="B32" s="137">
        <f>IFERROR(IF($B$29=$B$29,SUMIF(Food!$C:$C,B$9&amp;$B$29&amp;$C$29,Food!$Z:$Z),0),"")</f>
        <v>0</v>
      </c>
      <c r="C32" s="137">
        <f>IFERROR(IF($B$29=$B$29,SUMIF(Food!$C:$C,C$9&amp;$B$29&amp;$C$29,Food!$Z:$Z),0),"")</f>
        <v>0</v>
      </c>
      <c r="D32" s="137">
        <f>IFERROR(IF($B$29=$B$29,SUMIF(Food!$C:$C,D$9&amp;$B$29&amp;$C$29,Food!$Z:$Z),0),"")</f>
        <v>0</v>
      </c>
      <c r="E32" s="137">
        <f>IFERROR(IF($B$29=$B$29,SUMIF(Food!$C:$C,E$9&amp;$B$29&amp;$C$29,Food!$Z:$Z),0),"")</f>
        <v>0</v>
      </c>
      <c r="F32" s="137">
        <f>IFERROR(IF($B$29=$B$29,SUMIF(Food!$C:$C,F$9&amp;$B$29&amp;$C$29,Food!$Z:$Z),0),"")</f>
        <v>0</v>
      </c>
      <c r="G32" s="137">
        <f>IFERROR(IF($B$29=$B$29,SUMIF(Food!$C:$C,G$9&amp;$B$29&amp;$C$29,Food!$Z:$Z),0),"")</f>
        <v>0</v>
      </c>
    </row>
    <row r="33" spans="1:7" ht="15.75" thickBot="1" x14ac:dyDescent="0.3">
      <c r="A33" s="133" t="s">
        <v>185</v>
      </c>
      <c r="B33" s="137">
        <f>IFERROR(IF($B$29=$B$29,SUMIF(Food!$C:$C,B$9&amp;$B$29&amp;$C$29,Food!$AB:$AB),0),"")</f>
        <v>0</v>
      </c>
      <c r="C33" s="137">
        <f>IFERROR(IF($B$29=$B$29,SUMIF(Food!$C:$C,C$9&amp;$B$29&amp;$C$29,Food!$AB:$AB),0),"")</f>
        <v>0</v>
      </c>
      <c r="D33" s="137">
        <f>IFERROR(IF($B$29=$B$29,SUMIF(Food!$C:$C,D$9&amp;$B$29&amp;$C$29,Food!$AB:$AB),0),"")</f>
        <v>0</v>
      </c>
      <c r="E33" s="137">
        <f>IFERROR(IF($B$29=$B$29,SUMIF(Food!$C:$C,E$9&amp;$B$29&amp;$C$29,Food!$AB:$AB),0),"")</f>
        <v>0</v>
      </c>
      <c r="F33" s="137">
        <f>IFERROR(IF($B$29=$B$29,SUMIF(Food!$C:$C,F$9&amp;$B$29&amp;$C$29,Food!$AB:$AB),0),"")</f>
        <v>0</v>
      </c>
      <c r="G33" s="137">
        <f>IFERROR(IF($B$29=$B$29,SUMIF(Food!$C:$C,G$9&amp;$B$29&amp;$C$29,Food!$O:$O),0),"")</f>
        <v>0</v>
      </c>
    </row>
    <row r="34" spans="1:7" ht="15.75" thickBot="1" x14ac:dyDescent="0.3">
      <c r="A34" s="133" t="s">
        <v>186</v>
      </c>
      <c r="B34" s="137">
        <f>IFERROR(IF($B$29=$B$29,SUMIF(Food!$C:$C,B$9&amp;$B$29&amp;$C$29,Food!$AC:$AC),0),"")</f>
        <v>0</v>
      </c>
      <c r="C34" s="137">
        <f>IFERROR(IF($B$29=$B$29,SUMIF(Food!$C:$C,C$9&amp;$B$29&amp;$C$29,Food!$AC:$AC),0),"")</f>
        <v>0</v>
      </c>
      <c r="D34" s="137">
        <f>IFERROR(IF($B$29=$B$29,SUMIF(Food!$C:$C,D$9&amp;$B$29&amp;$C$29,Food!$AC:$AC),0),"")</f>
        <v>0</v>
      </c>
      <c r="E34" s="137">
        <f>IFERROR(IF($B$29=$B$29,SUMIF(Food!$C:$C,E$9&amp;$B$29&amp;$C$29,Food!$AC:$AC),0),"")</f>
        <v>0</v>
      </c>
      <c r="F34" s="137">
        <f>IFERROR(IF($B$29=$B$29,SUMIF(Food!$C:$C,F$9&amp;$B$29&amp;$C$29,Food!$AC:$AC),0),"")</f>
        <v>0</v>
      </c>
      <c r="G34" s="137">
        <f>IFERROR(IF($B$29=$B$29,SUMIF(Food!$C:$C,G$9&amp;$B$29&amp;$C$29,Food!$P:$P),0),"")</f>
        <v>0</v>
      </c>
    </row>
    <row r="35" spans="1:7" x14ac:dyDescent="0.25">
      <c r="A35" s="148"/>
      <c r="B35" s="149"/>
      <c r="C35" s="149"/>
      <c r="D35" s="149"/>
      <c r="E35" s="149"/>
      <c r="F35" s="149"/>
      <c r="G35" s="149"/>
    </row>
    <row r="36" spans="1:7" ht="15.75" thickBot="1" x14ac:dyDescent="0.3">
      <c r="A36" s="156" t="s">
        <v>187</v>
      </c>
    </row>
    <row r="37" spans="1:7" ht="15.75" thickBot="1" x14ac:dyDescent="0.3">
      <c r="A37" s="133" t="s">
        <v>163</v>
      </c>
      <c r="B37" s="137">
        <f>'P&amp;L'!$K$30</f>
        <v>0</v>
      </c>
      <c r="C37" s="137">
        <f>'P&amp;L'!$L$30</f>
        <v>0</v>
      </c>
      <c r="D37" s="137">
        <f>'P&amp;L'!$M$30</f>
        <v>0</v>
      </c>
      <c r="E37" s="137">
        <f>'P&amp;L'!$N$30</f>
        <v>0</v>
      </c>
      <c r="F37" s="137">
        <f>'P&amp;L'!$O$30</f>
        <v>0</v>
      </c>
      <c r="G37" s="137">
        <f>'P&amp;L'!$P$30</f>
        <v>0</v>
      </c>
    </row>
    <row r="38" spans="1:7" ht="15.75" thickBot="1" x14ac:dyDescent="0.3">
      <c r="A38" s="133" t="s">
        <v>164</v>
      </c>
      <c r="B38" s="137" t="str">
        <f t="shared" ref="B38:G38" si="7">IFERROR(B31/B7," ")</f>
        <v xml:space="preserve"> </v>
      </c>
      <c r="C38" s="137">
        <f t="shared" si="7"/>
        <v>0</v>
      </c>
      <c r="D38" s="137">
        <f t="shared" si="7"/>
        <v>0</v>
      </c>
      <c r="E38" s="137">
        <f t="shared" si="7"/>
        <v>0</v>
      </c>
      <c r="F38" s="137" t="str">
        <f t="shared" si="7"/>
        <v xml:space="preserve"> </v>
      </c>
      <c r="G38" s="137">
        <f t="shared" si="7"/>
        <v>0</v>
      </c>
    </row>
    <row r="39" spans="1:7" ht="15.75" thickBot="1" x14ac:dyDescent="0.3">
      <c r="A39" s="133" t="s">
        <v>165</v>
      </c>
      <c r="B39" s="137" t="str">
        <f t="shared" ref="B39:G39" si="8">IFERROR(B32/B7," ")</f>
        <v xml:space="preserve"> </v>
      </c>
      <c r="C39" s="137">
        <f t="shared" si="8"/>
        <v>0</v>
      </c>
      <c r="D39" s="137">
        <f t="shared" si="8"/>
        <v>0</v>
      </c>
      <c r="E39" s="137">
        <f t="shared" si="8"/>
        <v>0</v>
      </c>
      <c r="F39" s="137" t="str">
        <f t="shared" si="8"/>
        <v xml:space="preserve"> </v>
      </c>
      <c r="G39" s="137">
        <f t="shared" si="8"/>
        <v>0</v>
      </c>
    </row>
    <row r="40" spans="1:7" ht="15.75" thickBot="1" x14ac:dyDescent="0.3">
      <c r="A40" s="133" t="s">
        <v>185</v>
      </c>
      <c r="B40" s="137" t="str">
        <f>IFERROR(B33/B8," ")</f>
        <v xml:space="preserve"> </v>
      </c>
      <c r="C40" s="137">
        <f>IFERROR(C33/C7," ")</f>
        <v>0</v>
      </c>
      <c r="D40" s="137">
        <f>IFERROR(D33/D7," ")</f>
        <v>0</v>
      </c>
      <c r="E40" s="137">
        <f>IFERROR(E33/E7," ")</f>
        <v>0</v>
      </c>
      <c r="F40" s="137" t="str">
        <f>IFERROR(F33/F7," ")</f>
        <v xml:space="preserve"> </v>
      </c>
      <c r="G40" s="137">
        <f>IFERROR(G33/G7," ")</f>
        <v>0</v>
      </c>
    </row>
    <row r="41" spans="1:7" ht="15.75" thickBot="1" x14ac:dyDescent="0.3">
      <c r="A41" s="133" t="s">
        <v>186</v>
      </c>
      <c r="B41" s="137" t="str">
        <f t="shared" ref="B41:G41" si="9">IFERROR(B34/B7," ")</f>
        <v xml:space="preserve"> </v>
      </c>
      <c r="C41" s="137">
        <f t="shared" si="9"/>
        <v>0</v>
      </c>
      <c r="D41" s="137">
        <f t="shared" si="9"/>
        <v>0</v>
      </c>
      <c r="E41" s="137">
        <f t="shared" si="9"/>
        <v>0</v>
      </c>
      <c r="F41" s="137" t="str">
        <f t="shared" si="9"/>
        <v xml:space="preserve"> </v>
      </c>
      <c r="G41" s="137">
        <f t="shared" si="9"/>
        <v>0</v>
      </c>
    </row>
    <row r="42" spans="1:7" x14ac:dyDescent="0.25">
      <c r="B42" s="150"/>
      <c r="C42" s="150"/>
    </row>
    <row r="43" spans="1:7" x14ac:dyDescent="0.25">
      <c r="B43" s="150"/>
      <c r="C43" s="150"/>
    </row>
    <row r="108" spans="1:1" x14ac:dyDescent="0.25">
      <c r="A108" s="134">
        <v>388</v>
      </c>
    </row>
    <row r="109" spans="1:1" x14ac:dyDescent="0.25">
      <c r="A109" s="134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E7BAF-6FA8-460C-A616-6ED76DBB8C43}">
  <sheetPr>
    <tabColor theme="7" tint="0.59999389629810485"/>
  </sheetPr>
  <dimension ref="A1:AD104"/>
  <sheetViews>
    <sheetView topLeftCell="B61" zoomScale="149" zoomScaleNormal="85" workbookViewId="0">
      <selection activeCell="AE40" sqref="AE40"/>
    </sheetView>
  </sheetViews>
  <sheetFormatPr defaultColWidth="8.7109375" defaultRowHeight="15" x14ac:dyDescent="0.25"/>
  <cols>
    <col min="1" max="1" width="21.42578125" style="35" bestFit="1" customWidth="1"/>
    <col min="2" max="2" width="13.42578125" style="35" customWidth="1"/>
    <col min="3" max="3" width="22.85546875" style="35" customWidth="1"/>
    <col min="4" max="4" width="13.5703125" style="35" bestFit="1" customWidth="1"/>
    <col min="5" max="5" width="14.28515625" style="35" bestFit="1" customWidth="1"/>
    <col min="6" max="6" width="14.7109375" style="35" bestFit="1" customWidth="1"/>
    <col min="7" max="7" width="9.42578125" style="35" bestFit="1" customWidth="1"/>
    <col min="8" max="13" width="9.42578125" style="35" customWidth="1"/>
    <col min="14" max="14" width="10.7109375" style="35" customWidth="1"/>
    <col min="15" max="15" width="29.7109375" style="35" bestFit="1" customWidth="1"/>
    <col min="16" max="16" width="14.7109375" style="35" customWidth="1"/>
    <col min="17" max="18" width="11" style="35" bestFit="1" customWidth="1"/>
    <col min="19" max="19" width="11" style="35" customWidth="1"/>
    <col min="20" max="20" width="11.28515625" style="35" customWidth="1"/>
    <col min="21" max="21" width="43.28515625" style="35" bestFit="1" customWidth="1"/>
    <col min="22" max="22" width="9.85546875" style="35" bestFit="1" customWidth="1"/>
    <col min="23" max="27" width="8.7109375" style="35"/>
    <col min="28" max="28" width="14.5703125" style="35" bestFit="1" customWidth="1"/>
    <col min="29" max="29" width="15.7109375" style="35" bestFit="1" customWidth="1"/>
    <col min="30" max="16384" width="8.7109375" style="35"/>
  </cols>
  <sheetData>
    <row r="1" spans="1:21" hidden="1" x14ac:dyDescent="0.25">
      <c r="A1" s="34" t="s">
        <v>191</v>
      </c>
    </row>
    <row r="2" spans="1:21" hidden="1" x14ac:dyDescent="0.25">
      <c r="A2" s="34"/>
      <c r="B2" s="277" t="s">
        <v>192</v>
      </c>
    </row>
    <row r="3" spans="1:21" ht="15.75" hidden="1" thickBot="1" x14ac:dyDescent="0.3">
      <c r="A3" s="36" t="s">
        <v>193</v>
      </c>
      <c r="B3" s="37" t="s">
        <v>150</v>
      </c>
      <c r="D3" s="6" t="s">
        <v>194</v>
      </c>
      <c r="E3" s="6">
        <f>'FlightConfig '!B1</f>
        <v>350</v>
      </c>
      <c r="F3" s="38"/>
      <c r="G3" s="38"/>
      <c r="H3" s="38"/>
      <c r="I3" s="38"/>
      <c r="J3" s="38"/>
      <c r="K3" s="38"/>
      <c r="L3" s="38"/>
      <c r="M3" s="38"/>
      <c r="N3" s="38"/>
      <c r="O3" s="39"/>
    </row>
    <row r="4" spans="1:21" hidden="1" x14ac:dyDescent="0.25">
      <c r="A4" s="40" t="s">
        <v>195</v>
      </c>
      <c r="B4" s="41">
        <f>+E3</f>
        <v>350</v>
      </c>
      <c r="C4" s="291" t="s">
        <v>196</v>
      </c>
      <c r="D4" s="11" t="s">
        <v>150</v>
      </c>
      <c r="E4" s="42" t="s">
        <v>43</v>
      </c>
      <c r="F4" s="42" t="s">
        <v>44</v>
      </c>
      <c r="G4" s="42" t="s">
        <v>197</v>
      </c>
      <c r="H4" s="42"/>
      <c r="I4" s="42"/>
      <c r="J4" s="42"/>
      <c r="K4" s="42"/>
      <c r="L4" s="42"/>
      <c r="M4" s="42"/>
      <c r="N4" s="42" t="s">
        <v>48</v>
      </c>
      <c r="O4" s="42" t="s">
        <v>151</v>
      </c>
    </row>
    <row r="5" spans="1:21" ht="15.75" hidden="1" thickBot="1" x14ac:dyDescent="0.3">
      <c r="A5" s="43" t="s">
        <v>198</v>
      </c>
      <c r="B5" s="121">
        <f>+'FlightConfig '!K2</f>
        <v>0</v>
      </c>
      <c r="D5" s="14" t="s">
        <v>153</v>
      </c>
      <c r="E5" s="44">
        <f>'FlightConfig '!B3</f>
        <v>0</v>
      </c>
      <c r="F5" s="44">
        <f>'FlightConfig '!C3</f>
        <v>34</v>
      </c>
      <c r="G5" s="44">
        <f>'FlightConfig '!D3</f>
        <v>48</v>
      </c>
      <c r="H5" s="44"/>
      <c r="I5" s="44"/>
      <c r="J5" s="44"/>
      <c r="K5" s="44"/>
      <c r="L5" s="44"/>
      <c r="M5" s="44"/>
      <c r="N5" s="44">
        <f>'FlightConfig '!G3+'FlightConfig '!F11</f>
        <v>7</v>
      </c>
      <c r="O5" s="44">
        <f>SUM(E5:N5)</f>
        <v>89</v>
      </c>
    </row>
    <row r="6" spans="1:21" hidden="1" x14ac:dyDescent="0.25"/>
    <row r="7" spans="1:21" hidden="1" x14ac:dyDescent="0.25">
      <c r="A7" s="34" t="s">
        <v>199</v>
      </c>
    </row>
    <row r="8" spans="1:21" hidden="1" x14ac:dyDescent="0.25">
      <c r="A8" s="259" t="s">
        <v>200</v>
      </c>
      <c r="B8" s="260" t="s">
        <v>201</v>
      </c>
      <c r="C8" s="260" t="s">
        <v>202</v>
      </c>
      <c r="D8" s="260" t="s">
        <v>203</v>
      </c>
      <c r="E8" s="260" t="s">
        <v>204</v>
      </c>
      <c r="F8" s="260" t="s">
        <v>205</v>
      </c>
      <c r="G8" s="260" t="s">
        <v>206</v>
      </c>
      <c r="H8" s="260"/>
      <c r="I8" s="260"/>
      <c r="J8" s="260"/>
      <c r="K8" s="260"/>
      <c r="L8" s="260"/>
      <c r="M8" s="260"/>
      <c r="N8" s="260" t="s">
        <v>207</v>
      </c>
      <c r="O8" s="261" t="s">
        <v>208</v>
      </c>
      <c r="Q8" s="34"/>
    </row>
    <row r="9" spans="1:21" hidden="1" x14ac:dyDescent="0.25">
      <c r="A9" s="262" t="s">
        <v>209</v>
      </c>
      <c r="B9" s="263">
        <v>1</v>
      </c>
      <c r="C9" s="263">
        <v>1</v>
      </c>
      <c r="D9" s="263">
        <f>$B$5*B9</f>
        <v>0</v>
      </c>
      <c r="E9" s="263">
        <f>C9*D9*52</f>
        <v>0</v>
      </c>
      <c r="F9" s="264">
        <v>18</v>
      </c>
      <c r="G9" s="265" t="e">
        <f>F9*#REF!</f>
        <v>#REF!</v>
      </c>
      <c r="H9" s="265"/>
      <c r="I9" s="265"/>
      <c r="J9" s="265"/>
      <c r="K9" s="265"/>
      <c r="L9" s="265"/>
      <c r="M9" s="265"/>
      <c r="N9" s="265" t="e">
        <f>E9*#REF!</f>
        <v>#REF!</v>
      </c>
      <c r="O9" s="271" t="e">
        <f>(B9*#REF!)*C9</f>
        <v>#REF!</v>
      </c>
      <c r="P9" s="277"/>
      <c r="Q9" s="50" t="s">
        <v>210</v>
      </c>
      <c r="R9" s="49"/>
      <c r="S9" s="49"/>
      <c r="T9" s="49"/>
      <c r="U9" s="50"/>
    </row>
    <row r="10" spans="1:21" hidden="1" x14ac:dyDescent="0.25">
      <c r="A10" s="48" t="s">
        <v>211</v>
      </c>
      <c r="B10" s="49">
        <v>2</v>
      </c>
      <c r="C10" s="49">
        <v>2</v>
      </c>
      <c r="D10" s="49">
        <f>$B$5*B10</f>
        <v>0</v>
      </c>
      <c r="E10" s="49">
        <f>C10*D10*52</f>
        <v>0</v>
      </c>
      <c r="F10" s="266">
        <v>17</v>
      </c>
      <c r="G10" s="50" t="e">
        <f>F10*#REF!</f>
        <v>#REF!</v>
      </c>
      <c r="H10" s="50"/>
      <c r="I10" s="50"/>
      <c r="J10" s="50"/>
      <c r="K10" s="50"/>
      <c r="L10" s="50"/>
      <c r="M10" s="50"/>
      <c r="N10" s="50" t="e">
        <f>E10*#REF!</f>
        <v>#REF!</v>
      </c>
      <c r="O10" s="272" t="e">
        <f>(B10*#REF!)*C10</f>
        <v>#REF!</v>
      </c>
      <c r="P10" s="277"/>
      <c r="Q10" s="50" t="s">
        <v>212</v>
      </c>
      <c r="R10" s="49"/>
      <c r="S10" s="49"/>
      <c r="T10" s="49"/>
      <c r="U10" s="50"/>
    </row>
    <row r="11" spans="1:21" hidden="1" x14ac:dyDescent="0.25">
      <c r="A11" s="48" t="s">
        <v>213</v>
      </c>
      <c r="B11" s="49">
        <v>1</v>
      </c>
      <c r="C11" s="292">
        <v>2</v>
      </c>
      <c r="D11" s="49">
        <f>$B$5*B11</f>
        <v>0</v>
      </c>
      <c r="E11" s="49">
        <f>C11*D11*52</f>
        <v>0</v>
      </c>
      <c r="F11" s="266">
        <v>18</v>
      </c>
      <c r="G11" s="50" t="e">
        <f>F11*#REF!</f>
        <v>#REF!</v>
      </c>
      <c r="H11" s="50"/>
      <c r="I11" s="50"/>
      <c r="J11" s="50"/>
      <c r="K11" s="50"/>
      <c r="L11" s="50"/>
      <c r="M11" s="50"/>
      <c r="N11" s="50" t="e">
        <f>E11*#REF!</f>
        <v>#REF!</v>
      </c>
      <c r="O11" s="272" t="e">
        <f>(B11*#REF!)*C11</f>
        <v>#REF!</v>
      </c>
      <c r="P11" s="51"/>
      <c r="Q11" s="308" t="s">
        <v>214</v>
      </c>
      <c r="R11" s="308" t="s">
        <v>215</v>
      </c>
      <c r="S11" s="308"/>
      <c r="T11" s="308" t="s">
        <v>216</v>
      </c>
      <c r="U11" s="308" t="s">
        <v>217</v>
      </c>
    </row>
    <row r="12" spans="1:21" hidden="1" x14ac:dyDescent="0.25">
      <c r="A12" s="48" t="s">
        <v>218</v>
      </c>
      <c r="B12" s="49">
        <v>1</v>
      </c>
      <c r="C12" s="49">
        <v>0.5</v>
      </c>
      <c r="D12" s="49">
        <f>$B$5*B12</f>
        <v>0</v>
      </c>
      <c r="E12" s="49">
        <f>C12*D12*52</f>
        <v>0</v>
      </c>
      <c r="F12" s="266">
        <v>19</v>
      </c>
      <c r="G12" s="50" t="e">
        <f>F12*#REF!</f>
        <v>#REF!</v>
      </c>
      <c r="H12" s="50"/>
      <c r="I12" s="50"/>
      <c r="J12" s="50"/>
      <c r="K12" s="50"/>
      <c r="L12" s="50"/>
      <c r="M12" s="50"/>
      <c r="N12" s="50" t="e">
        <f>E12*#REF!</f>
        <v>#REF!</v>
      </c>
      <c r="O12" s="272" t="e">
        <f>(B12*#REF!)*C12</f>
        <v>#REF!</v>
      </c>
      <c r="P12" s="277"/>
      <c r="Q12" s="308" t="e">
        <f>#REF!/2</f>
        <v>#REF!</v>
      </c>
      <c r="R12" s="308">
        <v>12</v>
      </c>
      <c r="S12" s="308"/>
      <c r="T12" s="308" t="e">
        <f>Q12+R12</f>
        <v>#REF!</v>
      </c>
      <c r="U12" s="309" t="e">
        <f>T12+#REF!</f>
        <v>#REF!</v>
      </c>
    </row>
    <row r="13" spans="1:21" ht="15.75" hidden="1" thickBot="1" x14ac:dyDescent="0.3">
      <c r="A13" s="59" t="s">
        <v>219</v>
      </c>
      <c r="B13" s="60">
        <v>1</v>
      </c>
      <c r="C13" s="60">
        <v>2</v>
      </c>
      <c r="D13" s="60">
        <f>$B$5*B13</f>
        <v>0</v>
      </c>
      <c r="E13" s="60">
        <f>C13*D13*52</f>
        <v>0</v>
      </c>
      <c r="F13" s="273">
        <v>22</v>
      </c>
      <c r="G13" s="61" t="e">
        <f>F13*#REF!</f>
        <v>#REF!</v>
      </c>
      <c r="H13" s="61"/>
      <c r="I13" s="61"/>
      <c r="J13" s="61"/>
      <c r="K13" s="61"/>
      <c r="L13" s="61"/>
      <c r="M13" s="61"/>
      <c r="N13" s="61" t="e">
        <f>E13*#REF!</f>
        <v>#REF!</v>
      </c>
      <c r="O13" s="274" t="e">
        <f>(B13*#REF!)*C13</f>
        <v>#REF!</v>
      </c>
      <c r="Q13" s="51"/>
      <c r="R13" s="51"/>
      <c r="S13" s="51"/>
    </row>
    <row r="14" spans="1:21" ht="15.75" hidden="1" thickBot="1" x14ac:dyDescent="0.3">
      <c r="A14" s="267" t="s">
        <v>220</v>
      </c>
      <c r="B14" s="268"/>
      <c r="C14" s="268"/>
      <c r="D14" s="268"/>
      <c r="E14" s="268"/>
      <c r="F14" s="268"/>
      <c r="G14" s="268"/>
      <c r="H14" s="268"/>
      <c r="I14" s="268"/>
      <c r="J14" s="268"/>
      <c r="K14" s="268"/>
      <c r="L14" s="268"/>
      <c r="M14" s="268"/>
      <c r="N14" s="269" t="e">
        <f>SUM(N9:N13)</f>
        <v>#REF!</v>
      </c>
      <c r="O14" s="270" t="e">
        <f>SUM(O9:O13)</f>
        <v>#REF!</v>
      </c>
    </row>
    <row r="15" spans="1:21" hidden="1" x14ac:dyDescent="0.25"/>
    <row r="16" spans="1:21" hidden="1" x14ac:dyDescent="0.25"/>
    <row r="17" spans="1:20" hidden="1" x14ac:dyDescent="0.25">
      <c r="A17" s="45" t="s">
        <v>221</v>
      </c>
      <c r="B17" s="46" t="s">
        <v>222</v>
      </c>
      <c r="C17" s="46" t="s">
        <v>223</v>
      </c>
      <c r="D17" s="46" t="s">
        <v>224</v>
      </c>
      <c r="E17" s="46" t="s">
        <v>225</v>
      </c>
      <c r="F17" s="46" t="s">
        <v>226</v>
      </c>
      <c r="G17" s="56" t="s">
        <v>227</v>
      </c>
      <c r="H17" s="56"/>
      <c r="I17" s="56"/>
      <c r="J17" s="56"/>
      <c r="K17" s="56"/>
      <c r="L17" s="56"/>
      <c r="M17" s="56"/>
      <c r="N17" s="46" t="s">
        <v>228</v>
      </c>
      <c r="O17" s="57"/>
      <c r="P17" s="56" t="s">
        <v>229</v>
      </c>
      <c r="Q17" s="47" t="s">
        <v>230</v>
      </c>
      <c r="T17" s="328" t="s">
        <v>231</v>
      </c>
    </row>
    <row r="18" spans="1:20" hidden="1" x14ac:dyDescent="0.25">
      <c r="A18" s="48" t="s">
        <v>232</v>
      </c>
      <c r="B18" s="49">
        <v>0</v>
      </c>
      <c r="C18" s="49">
        <v>0</v>
      </c>
      <c r="D18" s="49">
        <f>B18*C18</f>
        <v>0</v>
      </c>
      <c r="E18" s="50">
        <f>500000/10/365</f>
        <v>136.98630136986301</v>
      </c>
      <c r="F18" s="49">
        <f>24/3</f>
        <v>8</v>
      </c>
      <c r="G18" s="55">
        <f>(E18/24)*F18*$B18</f>
        <v>0</v>
      </c>
      <c r="H18" s="55"/>
      <c r="I18" s="55"/>
      <c r="J18" s="55"/>
      <c r="K18" s="55"/>
      <c r="L18" s="55"/>
      <c r="M18" s="55"/>
      <c r="N18" s="50">
        <f>8000/365</f>
        <v>21.917808219178081</v>
      </c>
      <c r="O18" s="49"/>
      <c r="P18" s="55">
        <f>(N18/24)*$G18*$C18</f>
        <v>0</v>
      </c>
      <c r="Q18" s="58" t="e">
        <f>G18+#REF!+P18</f>
        <v>#REF!</v>
      </c>
      <c r="T18" s="52" t="s">
        <v>233</v>
      </c>
    </row>
    <row r="19" spans="1:20" ht="15.75" hidden="1" thickBot="1" x14ac:dyDescent="0.3">
      <c r="A19" s="59" t="s">
        <v>234</v>
      </c>
      <c r="B19" s="60">
        <v>1</v>
      </c>
      <c r="C19" s="60">
        <v>2</v>
      </c>
      <c r="D19" s="60">
        <f>B19*C19</f>
        <v>2</v>
      </c>
      <c r="E19" s="61">
        <f>100000/365</f>
        <v>273.97260273972603</v>
      </c>
      <c r="F19" s="60">
        <v>1</v>
      </c>
      <c r="G19" s="62">
        <f>E19*F19/'[1]P&amp;L'!$P$2</f>
        <v>7.2098053352559477</v>
      </c>
      <c r="H19" s="62"/>
      <c r="I19" s="62"/>
      <c r="J19" s="62"/>
      <c r="K19" s="62"/>
      <c r="L19" s="62"/>
      <c r="M19" s="62"/>
      <c r="N19" s="61">
        <f>5000/365</f>
        <v>13.698630136986301</v>
      </c>
      <c r="O19" s="60"/>
      <c r="P19" s="62">
        <f>(N19/24)*$F19*$B19</f>
        <v>0.57077625570776258</v>
      </c>
      <c r="Q19" s="63" t="e">
        <f>G19+#REF!+P19</f>
        <v>#REF!</v>
      </c>
      <c r="T19" s="53" t="s">
        <v>235</v>
      </c>
    </row>
    <row r="20" spans="1:20" hidden="1" x14ac:dyDescent="0.25">
      <c r="T20" s="53" t="s">
        <v>236</v>
      </c>
    </row>
    <row r="21" spans="1:20" hidden="1" x14ac:dyDescent="0.25">
      <c r="T21" s="53" t="s">
        <v>237</v>
      </c>
    </row>
    <row r="22" spans="1:20" hidden="1" x14ac:dyDescent="0.25">
      <c r="A22" s="36" t="s">
        <v>238</v>
      </c>
      <c r="B22" s="65"/>
      <c r="C22" s="66" t="e">
        <f>SUM(O14,Q18,Q19)</f>
        <v>#REF!</v>
      </c>
      <c r="Q22" s="51"/>
      <c r="T22" s="53" t="s">
        <v>239</v>
      </c>
    </row>
    <row r="23" spans="1:20" hidden="1" x14ac:dyDescent="0.25">
      <c r="A23" s="40" t="s">
        <v>240</v>
      </c>
      <c r="B23" s="64">
        <f>+'P&amp;L'!$R$10</f>
        <v>0.13</v>
      </c>
      <c r="C23" s="58" t="e">
        <f>C22*B23</f>
        <v>#REF!</v>
      </c>
      <c r="E23" s="35" t="s">
        <v>241</v>
      </c>
      <c r="F23" s="35" t="s">
        <v>242</v>
      </c>
      <c r="T23" s="54" t="s">
        <v>243</v>
      </c>
    </row>
    <row r="24" spans="1:20" ht="15.75" hidden="1" thickBot="1" x14ac:dyDescent="0.3">
      <c r="A24" s="67" t="s">
        <v>244</v>
      </c>
      <c r="B24" s="68"/>
      <c r="C24" s="69" t="e">
        <f>C22+C23</f>
        <v>#REF!</v>
      </c>
      <c r="D24" s="35" t="s">
        <v>245</v>
      </c>
      <c r="E24" s="293">
        <v>544.68493150684924</v>
      </c>
      <c r="F24" s="293">
        <v>399.93493150684935</v>
      </c>
    </row>
    <row r="25" spans="1:20" hidden="1" x14ac:dyDescent="0.25"/>
    <row r="26" spans="1:20" hidden="1" x14ac:dyDescent="0.25"/>
    <row r="27" spans="1:20" hidden="1" x14ac:dyDescent="0.25"/>
    <row r="28" spans="1:20" ht="15.75" hidden="1" thickBot="1" x14ac:dyDescent="0.3">
      <c r="A28" s="70" t="s">
        <v>246</v>
      </c>
    </row>
    <row r="29" spans="1:20" hidden="1" x14ac:dyDescent="0.25">
      <c r="A29" s="35" t="s">
        <v>247</v>
      </c>
    </row>
    <row r="30" spans="1:20" hidden="1" x14ac:dyDescent="0.25">
      <c r="A30" s="35" t="s">
        <v>248</v>
      </c>
    </row>
    <row r="31" spans="1:20" hidden="1" x14ac:dyDescent="0.25">
      <c r="A31" s="35" t="s">
        <v>249</v>
      </c>
    </row>
    <row r="32" spans="1:20" ht="33" hidden="1" customHeight="1" x14ac:dyDescent="0.25"/>
    <row r="33" spans="1:30" customFormat="1" hidden="1" x14ac:dyDescent="0.25"/>
    <row r="34" spans="1:30" customFormat="1" hidden="1" x14ac:dyDescent="0.25"/>
    <row r="35" spans="1:30" customFormat="1" hidden="1" x14ac:dyDescent="0.25"/>
    <row r="36" spans="1:30" customFormat="1" ht="60" customHeight="1" x14ac:dyDescent="0.5">
      <c r="A36" s="471" t="s">
        <v>250</v>
      </c>
      <c r="B36" s="471"/>
      <c r="C36" s="471"/>
      <c r="D36" s="471"/>
      <c r="E36" s="471"/>
      <c r="F36" s="471"/>
      <c r="G36" s="471"/>
      <c r="H36" s="380"/>
      <c r="I36" s="380"/>
      <c r="J36" s="380"/>
      <c r="K36" s="380"/>
      <c r="L36" s="380"/>
      <c r="M36" s="380"/>
      <c r="O36" s="471" t="s">
        <v>251</v>
      </c>
      <c r="P36" s="471"/>
      <c r="Q36" s="471"/>
      <c r="R36" s="471"/>
      <c r="S36" s="380"/>
      <c r="U36" s="474" t="s">
        <v>252</v>
      </c>
      <c r="V36" s="474"/>
      <c r="W36" s="474"/>
      <c r="X36" s="474"/>
      <c r="Y36" s="474"/>
      <c r="Z36" s="474"/>
      <c r="AB36" s="470" t="s">
        <v>253</v>
      </c>
      <c r="AC36" s="470"/>
    </row>
    <row r="37" spans="1:30" customFormat="1" ht="87" customHeight="1" x14ac:dyDescent="0.4">
      <c r="A37" s="475" t="s">
        <v>254</v>
      </c>
      <c r="B37" s="476"/>
      <c r="C37" s="481" t="s">
        <v>255</v>
      </c>
      <c r="D37" s="482"/>
      <c r="E37" s="482"/>
      <c r="F37" s="482"/>
      <c r="G37" s="482"/>
      <c r="H37" s="382"/>
      <c r="I37" s="382"/>
      <c r="J37" s="382"/>
      <c r="K37" s="382"/>
      <c r="L37" s="382"/>
      <c r="M37" s="382"/>
      <c r="O37" s="347" t="s">
        <v>256</v>
      </c>
      <c r="P37" s="347" t="s">
        <v>257</v>
      </c>
      <c r="Q37" s="347" t="s">
        <v>258</v>
      </c>
      <c r="R37" s="354" t="s">
        <v>259</v>
      </c>
      <c r="S37" s="381"/>
      <c r="U37" s="472" t="s">
        <v>260</v>
      </c>
      <c r="V37" s="473"/>
      <c r="W37" s="473"/>
      <c r="X37" s="473"/>
      <c r="Y37" s="473"/>
      <c r="Z37" s="473"/>
      <c r="AB37" s="472" t="s">
        <v>260</v>
      </c>
      <c r="AC37" s="473"/>
    </row>
    <row r="38" spans="1:30" customFormat="1" ht="15.6" customHeight="1" x14ac:dyDescent="0.25">
      <c r="A38" s="477"/>
      <c r="B38" s="478"/>
      <c r="C38" s="483" t="s">
        <v>261</v>
      </c>
      <c r="D38" s="483" t="s">
        <v>262</v>
      </c>
      <c r="E38" s="483" t="s">
        <v>263</v>
      </c>
      <c r="F38" s="483" t="s">
        <v>264</v>
      </c>
      <c r="G38" s="483" t="s">
        <v>265</v>
      </c>
      <c r="H38" s="383"/>
      <c r="I38" s="383"/>
      <c r="J38" s="383"/>
      <c r="K38" s="383"/>
      <c r="L38" s="383"/>
      <c r="M38" s="383"/>
      <c r="O38" s="348" t="s">
        <v>266</v>
      </c>
      <c r="P38" s="349"/>
      <c r="Q38" s="349"/>
      <c r="R38" s="349"/>
      <c r="S38" s="377">
        <f>'P&amp;L'!$R$10</f>
        <v>0.13</v>
      </c>
      <c r="U38" s="355" t="s">
        <v>267</v>
      </c>
      <c r="V38" s="356" t="s">
        <v>261</v>
      </c>
      <c r="W38" s="356" t="s">
        <v>262</v>
      </c>
      <c r="X38" s="356" t="s">
        <v>263</v>
      </c>
      <c r="Y38" s="356" t="s">
        <v>264</v>
      </c>
      <c r="Z38" s="356" t="s">
        <v>265</v>
      </c>
      <c r="AB38" s="374" t="s">
        <v>194</v>
      </c>
      <c r="AC38" s="374" t="s">
        <v>268</v>
      </c>
      <c r="AD38" s="377">
        <f>'P&amp;L'!$R$10</f>
        <v>0.13</v>
      </c>
    </row>
    <row r="39" spans="1:30" customFormat="1" x14ac:dyDescent="0.25">
      <c r="A39" s="479"/>
      <c r="B39" s="480"/>
      <c r="C39" s="484"/>
      <c r="D39" s="484"/>
      <c r="E39" s="484"/>
      <c r="F39" s="484"/>
      <c r="G39" s="485"/>
      <c r="H39" s="383"/>
      <c r="I39" s="383"/>
      <c r="J39" s="383"/>
      <c r="K39" s="383"/>
      <c r="L39" s="383"/>
      <c r="M39" s="383"/>
      <c r="O39" s="350" t="s">
        <v>261</v>
      </c>
      <c r="P39" s="351">
        <v>335</v>
      </c>
      <c r="Q39" s="351">
        <v>0.4</v>
      </c>
      <c r="R39" s="353">
        <v>134</v>
      </c>
      <c r="S39" s="376">
        <f>R39*(1+$S$38)</f>
        <v>151.41999999999999</v>
      </c>
      <c r="U39" s="357" t="s">
        <v>269</v>
      </c>
      <c r="V39" s="358"/>
      <c r="W39" s="358"/>
      <c r="X39" s="358"/>
      <c r="Y39" s="358"/>
      <c r="Z39" s="359"/>
      <c r="AB39" s="356" t="s">
        <v>261</v>
      </c>
      <c r="AC39" s="351">
        <v>300</v>
      </c>
      <c r="AD39" s="376">
        <f>AC39*(1+$S$38)</f>
        <v>338.99999999999994</v>
      </c>
    </row>
    <row r="40" spans="1:30" customFormat="1" ht="17.45" customHeight="1" x14ac:dyDescent="0.25">
      <c r="A40" s="467" t="s">
        <v>270</v>
      </c>
      <c r="B40" s="467"/>
      <c r="C40" s="467"/>
      <c r="D40" s="467"/>
      <c r="E40" s="467"/>
      <c r="F40" s="467"/>
      <c r="G40" s="467"/>
      <c r="H40" s="384"/>
      <c r="I40" s="384"/>
      <c r="J40" s="384"/>
      <c r="K40" s="384"/>
      <c r="L40" s="384"/>
      <c r="M40" s="384"/>
      <c r="O40" s="350" t="s">
        <v>262</v>
      </c>
      <c r="P40" s="351">
        <v>335</v>
      </c>
      <c r="Q40" s="351">
        <v>0.4</v>
      </c>
      <c r="R40" s="353">
        <v>134</v>
      </c>
      <c r="S40" s="376">
        <f t="shared" ref="S40:S43" si="0">R40*(1+$S$38)</f>
        <v>151.41999999999999</v>
      </c>
      <c r="U40" s="360" t="s">
        <v>271</v>
      </c>
      <c r="V40" s="361">
        <v>480</v>
      </c>
      <c r="W40" s="361">
        <v>480</v>
      </c>
      <c r="X40" s="361">
        <v>560</v>
      </c>
      <c r="Y40" s="361">
        <v>560</v>
      </c>
      <c r="Z40" s="361">
        <v>480</v>
      </c>
      <c r="AA40">
        <f>V40/60</f>
        <v>8</v>
      </c>
      <c r="AB40" s="356" t="s">
        <v>262</v>
      </c>
      <c r="AC40" s="351">
        <v>300</v>
      </c>
      <c r="AD40" s="376">
        <f t="shared" ref="AD40:AD43" si="1">AC40*(1+$S$38)</f>
        <v>338.99999999999994</v>
      </c>
    </row>
    <row r="41" spans="1:30" customFormat="1" ht="17.25" x14ac:dyDescent="0.3">
      <c r="A41" s="468" t="s">
        <v>272</v>
      </c>
      <c r="B41" s="469"/>
      <c r="C41" s="468" t="s">
        <v>273</v>
      </c>
      <c r="D41" s="486"/>
      <c r="E41" s="486"/>
      <c r="F41" s="486"/>
      <c r="G41" s="486"/>
      <c r="H41" s="389"/>
      <c r="I41" s="390" t="s">
        <v>274</v>
      </c>
      <c r="J41" s="390" t="s">
        <v>274</v>
      </c>
      <c r="K41" s="390" t="s">
        <v>274</v>
      </c>
      <c r="L41" s="390" t="s">
        <v>274</v>
      </c>
      <c r="M41" s="390" t="s">
        <v>274</v>
      </c>
      <c r="O41" s="350" t="s">
        <v>263</v>
      </c>
      <c r="P41" s="351">
        <v>455</v>
      </c>
      <c r="Q41" s="351">
        <v>0.4</v>
      </c>
      <c r="R41" s="353">
        <v>182</v>
      </c>
      <c r="S41" s="376">
        <f t="shared" si="0"/>
        <v>205.65999999999997</v>
      </c>
      <c r="U41" s="360" t="s">
        <v>275</v>
      </c>
      <c r="V41" s="361">
        <v>0.55000000000000004</v>
      </c>
      <c r="W41" s="361">
        <v>0.55000000000000004</v>
      </c>
      <c r="X41" s="361">
        <v>0.55000000000000004</v>
      </c>
      <c r="Y41" s="361">
        <v>0.55000000000000004</v>
      </c>
      <c r="Z41" s="361">
        <v>0.55000000000000004</v>
      </c>
      <c r="AB41" s="356" t="s">
        <v>263</v>
      </c>
      <c r="AC41" s="351">
        <v>350</v>
      </c>
      <c r="AD41" s="376">
        <f t="shared" si="1"/>
        <v>395.49999999999994</v>
      </c>
    </row>
    <row r="42" spans="1:30" customFormat="1" x14ac:dyDescent="0.25">
      <c r="A42" s="493" t="s">
        <v>276</v>
      </c>
      <c r="B42" s="494"/>
      <c r="C42" s="335">
        <v>496</v>
      </c>
      <c r="D42" s="335">
        <v>480</v>
      </c>
      <c r="E42" s="335">
        <v>648</v>
      </c>
      <c r="F42" s="335">
        <v>340</v>
      </c>
      <c r="G42" s="335">
        <v>485</v>
      </c>
      <c r="H42" s="391">
        <v>0.3</v>
      </c>
      <c r="I42" s="392">
        <f>C42*$H$42</f>
        <v>148.79999999999998</v>
      </c>
      <c r="J42" s="392">
        <f>D42*$H$42</f>
        <v>144</v>
      </c>
      <c r="K42" s="392">
        <f>E42*$H$42</f>
        <v>194.4</v>
      </c>
      <c r="L42" s="392">
        <f>F42*$H$42</f>
        <v>102</v>
      </c>
      <c r="M42" s="392">
        <f>G42*$H$42</f>
        <v>145.5</v>
      </c>
      <c r="O42" s="350" t="s">
        <v>264</v>
      </c>
      <c r="P42" s="351">
        <v>395</v>
      </c>
      <c r="Q42" s="351">
        <v>0.4</v>
      </c>
      <c r="R42" s="353">
        <v>158</v>
      </c>
      <c r="S42" s="376">
        <f t="shared" si="0"/>
        <v>178.54</v>
      </c>
      <c r="U42" s="362" t="s">
        <v>277</v>
      </c>
      <c r="V42" s="363">
        <f>V40*V41</f>
        <v>264</v>
      </c>
      <c r="W42" s="363">
        <f t="shared" ref="W42:Z42" si="2">W40*W41</f>
        <v>264</v>
      </c>
      <c r="X42" s="363">
        <f t="shared" si="2"/>
        <v>308</v>
      </c>
      <c r="Y42" s="363">
        <f t="shared" si="2"/>
        <v>308</v>
      </c>
      <c r="Z42" s="363">
        <f t="shared" si="2"/>
        <v>264</v>
      </c>
      <c r="AB42" s="356" t="s">
        <v>264</v>
      </c>
      <c r="AC42" s="351">
        <v>350</v>
      </c>
      <c r="AD42" s="376">
        <f t="shared" si="1"/>
        <v>395.49999999999994</v>
      </c>
    </row>
    <row r="43" spans="1:30" customFormat="1" x14ac:dyDescent="0.25">
      <c r="A43" s="493" t="s">
        <v>278</v>
      </c>
      <c r="B43" s="494"/>
      <c r="C43" s="335">
        <v>276</v>
      </c>
      <c r="D43" s="335">
        <v>284</v>
      </c>
      <c r="E43" s="335">
        <v>380</v>
      </c>
      <c r="F43" s="335">
        <v>326</v>
      </c>
      <c r="G43" s="335">
        <v>302</v>
      </c>
      <c r="H43" s="391">
        <v>1</v>
      </c>
      <c r="I43" s="392">
        <f>C43*$H$43</f>
        <v>276</v>
      </c>
      <c r="J43" s="392">
        <f>D43*$H$43</f>
        <v>284</v>
      </c>
      <c r="K43" s="392">
        <f>E43*$H$43</f>
        <v>380</v>
      </c>
      <c r="L43" s="392">
        <f>F43*$H$43</f>
        <v>326</v>
      </c>
      <c r="M43" s="392">
        <f>G43*$H$43</f>
        <v>302</v>
      </c>
      <c r="O43" s="350" t="s">
        <v>265</v>
      </c>
      <c r="P43" s="351">
        <v>345</v>
      </c>
      <c r="Q43" s="351">
        <v>0.4</v>
      </c>
      <c r="R43" s="353">
        <v>138</v>
      </c>
      <c r="S43" s="376">
        <f t="shared" si="0"/>
        <v>155.94</v>
      </c>
      <c r="U43" s="360" t="s">
        <v>279</v>
      </c>
      <c r="V43" s="361">
        <v>0</v>
      </c>
      <c r="W43" s="361">
        <v>0</v>
      </c>
      <c r="X43" s="361">
        <v>0</v>
      </c>
      <c r="Y43" s="361">
        <v>0</v>
      </c>
      <c r="Z43" s="361">
        <v>0</v>
      </c>
      <c r="AB43" s="356" t="s">
        <v>265</v>
      </c>
      <c r="AC43" s="351">
        <v>300</v>
      </c>
      <c r="AD43" s="376">
        <f t="shared" si="1"/>
        <v>338.99999999999994</v>
      </c>
    </row>
    <row r="44" spans="1:30" customFormat="1" x14ac:dyDescent="0.25">
      <c r="A44" s="493" t="s">
        <v>280</v>
      </c>
      <c r="B44" s="494"/>
      <c r="C44" s="335">
        <v>414</v>
      </c>
      <c r="D44" s="335">
        <v>420</v>
      </c>
      <c r="E44" s="335">
        <v>492</v>
      </c>
      <c r="F44" s="335">
        <v>258</v>
      </c>
      <c r="G44" s="335">
        <v>414</v>
      </c>
      <c r="H44" s="391">
        <v>0.75</v>
      </c>
      <c r="I44" s="392">
        <f>C44*$H$44</f>
        <v>310.5</v>
      </c>
      <c r="J44" s="392">
        <f>D44*$H$44</f>
        <v>315</v>
      </c>
      <c r="K44" s="392">
        <f>E44*$H$44</f>
        <v>369</v>
      </c>
      <c r="L44" s="392">
        <f>F44*$H$44</f>
        <v>193.5</v>
      </c>
      <c r="M44" s="392">
        <f>G44*$H$44</f>
        <v>310.5</v>
      </c>
      <c r="O44" s="348" t="s">
        <v>281</v>
      </c>
      <c r="P44" s="352"/>
      <c r="Q44" s="352"/>
      <c r="R44" s="352"/>
      <c r="S44" s="377">
        <f>'P&amp;L'!$R$10</f>
        <v>0.13</v>
      </c>
      <c r="U44" s="360" t="s">
        <v>275</v>
      </c>
      <c r="V44" s="361">
        <v>0</v>
      </c>
      <c r="W44" s="361">
        <v>0</v>
      </c>
      <c r="X44" s="361">
        <v>0</v>
      </c>
      <c r="Y44" s="361">
        <v>0</v>
      </c>
      <c r="Z44" s="361">
        <v>0</v>
      </c>
      <c r="AB44" s="491"/>
      <c r="AC44" s="492"/>
    </row>
    <row r="45" spans="1:30" customFormat="1" x14ac:dyDescent="0.25">
      <c r="A45" s="493" t="s">
        <v>282</v>
      </c>
      <c r="B45" s="494"/>
      <c r="C45" s="335">
        <v>60</v>
      </c>
      <c r="D45" s="335">
        <v>60</v>
      </c>
      <c r="E45" s="335">
        <v>82</v>
      </c>
      <c r="F45" s="335">
        <v>34</v>
      </c>
      <c r="G45" s="335">
        <v>59</v>
      </c>
      <c r="H45" s="391">
        <v>0.3</v>
      </c>
      <c r="I45" s="392">
        <f>C45*$H$45</f>
        <v>18</v>
      </c>
      <c r="J45" s="392">
        <f>D45*$H$45</f>
        <v>18</v>
      </c>
      <c r="K45" s="392">
        <f>E45*$H$45</f>
        <v>24.599999999999998</v>
      </c>
      <c r="L45" s="392">
        <f>F45*$H$45</f>
        <v>10.199999999999999</v>
      </c>
      <c r="M45" s="392">
        <f>G45*$H$45</f>
        <v>17.7</v>
      </c>
      <c r="O45" s="350" t="s">
        <v>261</v>
      </c>
      <c r="P45" s="351">
        <v>150</v>
      </c>
      <c r="Q45" s="351">
        <v>0.4</v>
      </c>
      <c r="R45" s="353">
        <v>60</v>
      </c>
      <c r="S45" s="376">
        <f t="shared" ref="S45:S50" si="3">R45*(1+$S$38)</f>
        <v>67.8</v>
      </c>
      <c r="U45" s="362" t="s">
        <v>283</v>
      </c>
      <c r="V45" s="363">
        <v>0</v>
      </c>
      <c r="W45" s="363">
        <v>0</v>
      </c>
      <c r="X45" s="363">
        <v>0</v>
      </c>
      <c r="Y45" s="363">
        <v>0</v>
      </c>
      <c r="Z45" s="363">
        <v>0</v>
      </c>
    </row>
    <row r="46" spans="1:30" customFormat="1" x14ac:dyDescent="0.25">
      <c r="A46" s="493" t="s">
        <v>284</v>
      </c>
      <c r="B46" s="494"/>
      <c r="C46" s="335">
        <v>0</v>
      </c>
      <c r="D46" s="335">
        <v>0</v>
      </c>
      <c r="E46" s="335">
        <v>0</v>
      </c>
      <c r="F46" s="335">
        <v>0</v>
      </c>
      <c r="G46" s="335">
        <v>0</v>
      </c>
      <c r="H46" s="391"/>
      <c r="I46" s="392">
        <f>C46*$H$46</f>
        <v>0</v>
      </c>
      <c r="J46" s="392">
        <f>D46*$H$46</f>
        <v>0</v>
      </c>
      <c r="K46" s="392">
        <f>E46*$H$46</f>
        <v>0</v>
      </c>
      <c r="L46" s="392">
        <f>F46*$H$46</f>
        <v>0</v>
      </c>
      <c r="M46" s="392">
        <f>G46*$H$46</f>
        <v>0</v>
      </c>
      <c r="O46" s="350" t="s">
        <v>262</v>
      </c>
      <c r="P46" s="351">
        <v>150</v>
      </c>
      <c r="Q46" s="351">
        <v>0.4</v>
      </c>
      <c r="R46" s="353">
        <v>60</v>
      </c>
      <c r="S46" s="376">
        <f t="shared" si="3"/>
        <v>67.8</v>
      </c>
      <c r="U46" s="360" t="s">
        <v>285</v>
      </c>
      <c r="V46" s="361">
        <v>30</v>
      </c>
      <c r="W46" s="361">
        <v>30</v>
      </c>
      <c r="X46" s="361">
        <v>30</v>
      </c>
      <c r="Y46" s="361">
        <v>30</v>
      </c>
      <c r="Z46" s="361">
        <v>30</v>
      </c>
    </row>
    <row r="47" spans="1:30" customFormat="1" x14ac:dyDescent="0.25">
      <c r="A47" s="487" t="s">
        <v>286</v>
      </c>
      <c r="B47" s="488"/>
      <c r="C47" s="336">
        <v>1246</v>
      </c>
      <c r="D47" s="336">
        <v>1244</v>
      </c>
      <c r="E47" s="336">
        <v>1602</v>
      </c>
      <c r="F47" s="337">
        <v>958</v>
      </c>
      <c r="G47" s="336">
        <v>1260</v>
      </c>
      <c r="H47" s="391"/>
      <c r="I47" s="393">
        <f t="shared" ref="I47:J47" si="4">SUM(I42:I46)</f>
        <v>753.3</v>
      </c>
      <c r="J47" s="393">
        <f t="shared" si="4"/>
        <v>761</v>
      </c>
      <c r="K47" s="393">
        <f t="shared" ref="K47:M47" si="5">SUM(K42:K46)</f>
        <v>968</v>
      </c>
      <c r="L47" s="393">
        <f t="shared" ref="L47" si="6">SUM(L42:L46)</f>
        <v>631.70000000000005</v>
      </c>
      <c r="M47" s="393">
        <f t="shared" si="5"/>
        <v>775.7</v>
      </c>
      <c r="O47" s="350" t="s">
        <v>263</v>
      </c>
      <c r="P47" s="351">
        <v>200</v>
      </c>
      <c r="Q47" s="351">
        <v>0.4</v>
      </c>
      <c r="R47" s="353">
        <v>80</v>
      </c>
      <c r="S47" s="376">
        <f t="shared" si="3"/>
        <v>90.399999999999991</v>
      </c>
      <c r="U47" s="360" t="s">
        <v>275</v>
      </c>
      <c r="V47" s="361">
        <v>0.44</v>
      </c>
      <c r="W47" s="361">
        <v>0.44</v>
      </c>
      <c r="X47" s="361">
        <v>0.44</v>
      </c>
      <c r="Y47" s="361">
        <v>0.44</v>
      </c>
      <c r="Z47" s="361">
        <v>0.44</v>
      </c>
    </row>
    <row r="48" spans="1:30" customFormat="1" x14ac:dyDescent="0.25">
      <c r="A48" s="487" t="s">
        <v>257</v>
      </c>
      <c r="B48" s="488"/>
      <c r="C48" s="338">
        <f>I47</f>
        <v>753.3</v>
      </c>
      <c r="D48" s="338">
        <f t="shared" ref="D48:G48" si="7">J47</f>
        <v>761</v>
      </c>
      <c r="E48" s="338">
        <f t="shared" si="7"/>
        <v>968</v>
      </c>
      <c r="F48" s="338">
        <f t="shared" si="7"/>
        <v>631.70000000000005</v>
      </c>
      <c r="G48" s="338">
        <f t="shared" si="7"/>
        <v>775.7</v>
      </c>
      <c r="H48" s="385"/>
      <c r="I48" s="385"/>
      <c r="J48" s="385"/>
      <c r="K48" s="385"/>
      <c r="L48" s="385"/>
      <c r="M48" s="385"/>
      <c r="O48" s="350" t="s">
        <v>264</v>
      </c>
      <c r="P48" s="351">
        <v>250</v>
      </c>
      <c r="Q48" s="351">
        <v>0.4</v>
      </c>
      <c r="R48" s="353">
        <v>100</v>
      </c>
      <c r="S48" s="376">
        <f t="shared" si="3"/>
        <v>112.99999999999999</v>
      </c>
      <c r="U48" s="362" t="s">
        <v>287</v>
      </c>
      <c r="V48" s="363">
        <f t="shared" ref="V48:Z48" si="8">V46*V47</f>
        <v>13.2</v>
      </c>
      <c r="W48" s="363">
        <f t="shared" si="8"/>
        <v>13.2</v>
      </c>
      <c r="X48" s="363">
        <f t="shared" si="8"/>
        <v>13.2</v>
      </c>
      <c r="Y48" s="363">
        <f t="shared" si="8"/>
        <v>13.2</v>
      </c>
      <c r="Z48" s="363">
        <f t="shared" si="8"/>
        <v>13.2</v>
      </c>
    </row>
    <row r="49" spans="1:26" customFormat="1" x14ac:dyDescent="0.25">
      <c r="A49" s="487" t="s">
        <v>288</v>
      </c>
      <c r="B49" s="488"/>
      <c r="C49" s="338">
        <v>0.4</v>
      </c>
      <c r="D49" s="338">
        <v>0.4</v>
      </c>
      <c r="E49" s="338">
        <v>0.4</v>
      </c>
      <c r="F49" s="338">
        <v>0.4</v>
      </c>
      <c r="G49" s="338">
        <v>0.4</v>
      </c>
      <c r="H49" s="385"/>
      <c r="I49" s="385"/>
      <c r="J49" s="385"/>
      <c r="K49" s="385"/>
      <c r="L49" s="385"/>
      <c r="M49" s="385"/>
      <c r="O49" s="350" t="s">
        <v>265</v>
      </c>
      <c r="P49" s="351">
        <v>150</v>
      </c>
      <c r="Q49" s="351">
        <v>0.4</v>
      </c>
      <c r="R49" s="353">
        <v>60</v>
      </c>
      <c r="S49" s="376">
        <f t="shared" si="3"/>
        <v>67.8</v>
      </c>
      <c r="U49" s="364" t="s">
        <v>289</v>
      </c>
      <c r="V49" s="361">
        <v>0</v>
      </c>
      <c r="W49" s="361">
        <v>0</v>
      </c>
      <c r="X49" s="361">
        <v>0</v>
      </c>
      <c r="Y49" s="361">
        <v>0</v>
      </c>
      <c r="Z49" s="361">
        <v>0</v>
      </c>
    </row>
    <row r="50" spans="1:26" customFormat="1" x14ac:dyDescent="0.25">
      <c r="A50" s="489" t="s">
        <v>290</v>
      </c>
      <c r="B50" s="490"/>
      <c r="C50" s="339">
        <f>C48*C49</f>
        <v>301.32</v>
      </c>
      <c r="D50" s="339">
        <f t="shared" ref="D50:G50" si="9">D48*D49</f>
        <v>304.40000000000003</v>
      </c>
      <c r="E50" s="339">
        <f t="shared" si="9"/>
        <v>387.20000000000005</v>
      </c>
      <c r="F50" s="339">
        <f t="shared" si="9"/>
        <v>252.68000000000004</v>
      </c>
      <c r="G50" s="339">
        <f t="shared" si="9"/>
        <v>310.28000000000003</v>
      </c>
      <c r="H50" s="386"/>
      <c r="I50" s="386"/>
      <c r="J50" s="386"/>
      <c r="K50" s="386"/>
      <c r="L50" s="386"/>
      <c r="M50" s="386"/>
      <c r="O50" s="350" t="s">
        <v>291</v>
      </c>
      <c r="P50" s="351">
        <v>150</v>
      </c>
      <c r="Q50" s="351">
        <v>0.4</v>
      </c>
      <c r="R50" s="353">
        <v>60</v>
      </c>
      <c r="S50" s="376">
        <f t="shared" si="3"/>
        <v>67.8</v>
      </c>
      <c r="U50" s="364" t="s">
        <v>292</v>
      </c>
      <c r="V50" s="361">
        <v>0</v>
      </c>
      <c r="W50" s="361">
        <v>0</v>
      </c>
      <c r="X50" s="361">
        <v>0</v>
      </c>
      <c r="Y50" s="361">
        <v>0</v>
      </c>
      <c r="Z50" s="361">
        <v>0</v>
      </c>
    </row>
    <row r="51" spans="1:26" customFormat="1" ht="17.25" x14ac:dyDescent="0.3">
      <c r="A51" s="468" t="s">
        <v>293</v>
      </c>
      <c r="B51" s="469"/>
      <c r="C51" s="468" t="s">
        <v>273</v>
      </c>
      <c r="D51" s="486"/>
      <c r="E51" s="486"/>
      <c r="F51" s="486"/>
      <c r="G51" s="486"/>
      <c r="H51" s="389"/>
      <c r="I51" s="390" t="s">
        <v>274</v>
      </c>
      <c r="J51" s="390" t="s">
        <v>274</v>
      </c>
      <c r="K51" s="390" t="s">
        <v>274</v>
      </c>
      <c r="L51" s="390" t="s">
        <v>274</v>
      </c>
      <c r="M51" s="390" t="s">
        <v>274</v>
      </c>
      <c r="U51" s="362" t="s">
        <v>294</v>
      </c>
      <c r="V51" s="363">
        <v>0</v>
      </c>
      <c r="W51" s="363">
        <v>0</v>
      </c>
      <c r="X51" s="363">
        <v>0</v>
      </c>
      <c r="Y51" s="363">
        <v>0</v>
      </c>
      <c r="Z51" s="363">
        <v>0</v>
      </c>
    </row>
    <row r="52" spans="1:26" customFormat="1" x14ac:dyDescent="0.25">
      <c r="A52" s="493" t="s">
        <v>276</v>
      </c>
      <c r="B52" s="494"/>
      <c r="C52" s="335">
        <v>374</v>
      </c>
      <c r="D52" s="335">
        <v>363</v>
      </c>
      <c r="E52" s="335">
        <v>444</v>
      </c>
      <c r="F52" s="335">
        <v>416</v>
      </c>
      <c r="G52" s="335">
        <v>283</v>
      </c>
      <c r="H52" s="391">
        <v>0.3</v>
      </c>
      <c r="I52" s="392">
        <f>$H$52*C52</f>
        <v>112.2</v>
      </c>
      <c r="J52" s="392">
        <f t="shared" ref="J52:M52" si="10">$H$52*D52</f>
        <v>108.89999999999999</v>
      </c>
      <c r="K52" s="392">
        <f t="shared" si="10"/>
        <v>133.19999999999999</v>
      </c>
      <c r="L52" s="392">
        <f t="shared" si="10"/>
        <v>124.8</v>
      </c>
      <c r="M52" s="392">
        <f t="shared" si="10"/>
        <v>84.899999999999991</v>
      </c>
      <c r="P52">
        <f>P39/60</f>
        <v>5.583333333333333</v>
      </c>
      <c r="U52" s="365" t="s">
        <v>295</v>
      </c>
      <c r="V52" s="366">
        <f>V42+V45+V48+V51</f>
        <v>277.2</v>
      </c>
      <c r="W52" s="366">
        <f t="shared" ref="W52:Z52" si="11">W42+W45+W48+W51</f>
        <v>277.2</v>
      </c>
      <c r="X52" s="366">
        <f t="shared" si="11"/>
        <v>321.2</v>
      </c>
      <c r="Y52" s="366">
        <f t="shared" si="11"/>
        <v>321.2</v>
      </c>
      <c r="Z52" s="366">
        <f t="shared" si="11"/>
        <v>277.2</v>
      </c>
    </row>
    <row r="53" spans="1:26" customFormat="1" x14ac:dyDescent="0.25">
      <c r="A53" s="493" t="s">
        <v>278</v>
      </c>
      <c r="B53" s="494"/>
      <c r="C53" s="335">
        <v>192</v>
      </c>
      <c r="D53" s="335">
        <v>184</v>
      </c>
      <c r="E53" s="335">
        <v>224</v>
      </c>
      <c r="F53" s="335">
        <v>224</v>
      </c>
      <c r="G53" s="335">
        <v>140</v>
      </c>
      <c r="H53" s="391">
        <v>1</v>
      </c>
      <c r="I53" s="392">
        <f>$H$53*C53</f>
        <v>192</v>
      </c>
      <c r="J53" s="392">
        <f t="shared" ref="J53:M53" si="12">$H$53*D53</f>
        <v>184</v>
      </c>
      <c r="K53" s="392">
        <f t="shared" si="12"/>
        <v>224</v>
      </c>
      <c r="L53" s="392">
        <f t="shared" si="12"/>
        <v>224</v>
      </c>
      <c r="M53" s="392">
        <f t="shared" si="12"/>
        <v>140</v>
      </c>
      <c r="U53" s="377">
        <f>'P&amp;L'!$R$10</f>
        <v>0.13</v>
      </c>
      <c r="V53" s="376">
        <f>V52*(1+$U$53)</f>
        <v>313.23599999999993</v>
      </c>
      <c r="W53" s="376">
        <f t="shared" ref="W53:Z53" si="13">W52*(1+$U$53)</f>
        <v>313.23599999999993</v>
      </c>
      <c r="X53" s="376">
        <f t="shared" si="13"/>
        <v>362.95599999999996</v>
      </c>
      <c r="Y53" s="376">
        <f t="shared" si="13"/>
        <v>362.95599999999996</v>
      </c>
      <c r="Z53" s="376">
        <f t="shared" si="13"/>
        <v>313.23599999999993</v>
      </c>
    </row>
    <row r="54" spans="1:26" customFormat="1" x14ac:dyDescent="0.25">
      <c r="A54" s="493" t="s">
        <v>280</v>
      </c>
      <c r="B54" s="494"/>
      <c r="C54" s="335">
        <v>288</v>
      </c>
      <c r="D54" s="335">
        <v>276</v>
      </c>
      <c r="E54" s="335">
        <v>336</v>
      </c>
      <c r="F54" s="335">
        <v>336</v>
      </c>
      <c r="G54" s="335">
        <v>210</v>
      </c>
      <c r="H54" s="391">
        <v>0.75</v>
      </c>
      <c r="I54" s="392">
        <f>$H$54*C54</f>
        <v>216</v>
      </c>
      <c r="J54" s="392">
        <f t="shared" ref="J54:M54" si="14">$H$54*D54</f>
        <v>207</v>
      </c>
      <c r="K54" s="392">
        <f t="shared" si="14"/>
        <v>252</v>
      </c>
      <c r="L54" s="392">
        <f t="shared" si="14"/>
        <v>252</v>
      </c>
      <c r="M54" s="392">
        <f t="shared" si="14"/>
        <v>157.5</v>
      </c>
      <c r="U54" s="357" t="s">
        <v>296</v>
      </c>
      <c r="V54" s="358"/>
      <c r="W54" s="358"/>
      <c r="X54" s="358"/>
      <c r="Y54" s="358"/>
      <c r="Z54" s="359"/>
    </row>
    <row r="55" spans="1:26" customFormat="1" x14ac:dyDescent="0.25">
      <c r="A55" s="493" t="s">
        <v>297</v>
      </c>
      <c r="B55" s="494"/>
      <c r="C55" s="335">
        <v>96</v>
      </c>
      <c r="D55" s="335">
        <v>92</v>
      </c>
      <c r="E55" s="335">
        <v>112</v>
      </c>
      <c r="F55" s="335">
        <v>112</v>
      </c>
      <c r="G55" s="335">
        <v>70</v>
      </c>
      <c r="H55" s="391">
        <v>0.3</v>
      </c>
      <c r="I55" s="392">
        <f>$H$55*C55</f>
        <v>28.799999999999997</v>
      </c>
      <c r="J55" s="392">
        <f t="shared" ref="J55:M55" si="15">$H$55*D55</f>
        <v>27.599999999999998</v>
      </c>
      <c r="K55" s="392">
        <f t="shared" si="15"/>
        <v>33.6</v>
      </c>
      <c r="L55" s="392">
        <f t="shared" si="15"/>
        <v>33.6</v>
      </c>
      <c r="M55" s="392">
        <f t="shared" si="15"/>
        <v>21</v>
      </c>
      <c r="U55" s="360" t="s">
        <v>271</v>
      </c>
      <c r="V55" s="361">
        <v>360</v>
      </c>
      <c r="W55" s="361">
        <v>360</v>
      </c>
      <c r="X55" s="361">
        <v>420</v>
      </c>
      <c r="Y55" s="361">
        <v>420</v>
      </c>
      <c r="Z55" s="361">
        <v>360</v>
      </c>
    </row>
    <row r="56" spans="1:26" customFormat="1" x14ac:dyDescent="0.25">
      <c r="A56" s="493" t="s">
        <v>284</v>
      </c>
      <c r="B56" s="494"/>
      <c r="C56" s="335">
        <v>0</v>
      </c>
      <c r="D56" s="335">
        <v>0</v>
      </c>
      <c r="E56" s="335">
        <v>0</v>
      </c>
      <c r="F56" s="335">
        <v>0</v>
      </c>
      <c r="G56" s="335">
        <v>0</v>
      </c>
      <c r="H56" s="391"/>
      <c r="I56" s="392">
        <f t="shared" ref="I56" si="16">H56*C56</f>
        <v>0</v>
      </c>
      <c r="J56" s="392">
        <f t="shared" ref="J56" si="17">I56*D56</f>
        <v>0</v>
      </c>
      <c r="K56" s="392">
        <f t="shared" ref="K56" si="18">J56*E56</f>
        <v>0</v>
      </c>
      <c r="L56" s="392">
        <f t="shared" ref="L56" si="19">K56*F56</f>
        <v>0</v>
      </c>
      <c r="M56" s="392">
        <f t="shared" ref="M56" si="20">L56*G56</f>
        <v>0</v>
      </c>
      <c r="U56" s="360" t="s">
        <v>275</v>
      </c>
      <c r="V56" s="361">
        <v>0.55000000000000004</v>
      </c>
      <c r="W56" s="361">
        <v>0.55000000000000004</v>
      </c>
      <c r="X56" s="361">
        <v>0.55000000000000004</v>
      </c>
      <c r="Y56" s="361">
        <v>0.55000000000000004</v>
      </c>
      <c r="Z56" s="361">
        <v>0.55000000000000004</v>
      </c>
    </row>
    <row r="57" spans="1:26" customFormat="1" x14ac:dyDescent="0.25">
      <c r="A57" s="487" t="s">
        <v>286</v>
      </c>
      <c r="B57" s="488"/>
      <c r="C57" s="337">
        <v>950</v>
      </c>
      <c r="D57" s="337">
        <v>915</v>
      </c>
      <c r="E57" s="336">
        <v>1116</v>
      </c>
      <c r="F57" s="336">
        <v>1088</v>
      </c>
      <c r="G57" s="337">
        <v>703</v>
      </c>
      <c r="H57" s="391"/>
      <c r="I57" s="393">
        <f t="shared" ref="I57:M57" si="21">SUM(I52:I56)</f>
        <v>549</v>
      </c>
      <c r="J57" s="393">
        <f t="shared" si="21"/>
        <v>527.5</v>
      </c>
      <c r="K57" s="393">
        <f t="shared" si="21"/>
        <v>642.80000000000007</v>
      </c>
      <c r="L57" s="393">
        <f t="shared" si="21"/>
        <v>634.4</v>
      </c>
      <c r="M57" s="393">
        <f t="shared" si="21"/>
        <v>403.4</v>
      </c>
      <c r="U57" s="362" t="s">
        <v>277</v>
      </c>
      <c r="V57" s="363">
        <f t="shared" ref="V57:Z57" si="22">V55*V56</f>
        <v>198.00000000000003</v>
      </c>
      <c r="W57" s="363">
        <f t="shared" si="22"/>
        <v>198.00000000000003</v>
      </c>
      <c r="X57" s="363">
        <f t="shared" si="22"/>
        <v>231.00000000000003</v>
      </c>
      <c r="Y57" s="363">
        <f t="shared" si="22"/>
        <v>231.00000000000003</v>
      </c>
      <c r="Z57" s="363">
        <f t="shared" si="22"/>
        <v>198.00000000000003</v>
      </c>
    </row>
    <row r="58" spans="1:26" customFormat="1" x14ac:dyDescent="0.25">
      <c r="A58" s="487" t="s">
        <v>257</v>
      </c>
      <c r="B58" s="488"/>
      <c r="C58" s="338">
        <f>I57</f>
        <v>549</v>
      </c>
      <c r="D58" s="338">
        <f t="shared" ref="D58:G58" si="23">J57</f>
        <v>527.5</v>
      </c>
      <c r="E58" s="338">
        <f t="shared" si="23"/>
        <v>642.80000000000007</v>
      </c>
      <c r="F58" s="338">
        <f t="shared" si="23"/>
        <v>634.4</v>
      </c>
      <c r="G58" s="338">
        <f t="shared" si="23"/>
        <v>403.4</v>
      </c>
      <c r="H58" s="385"/>
      <c r="I58" s="385"/>
      <c r="J58" s="385"/>
      <c r="K58" s="385"/>
      <c r="L58" s="385"/>
      <c r="M58" s="385"/>
      <c r="U58" s="360" t="s">
        <v>279</v>
      </c>
      <c r="V58" s="361">
        <v>0</v>
      </c>
      <c r="W58" s="361">
        <v>0</v>
      </c>
      <c r="X58" s="361">
        <v>0</v>
      </c>
      <c r="Y58" s="361">
        <v>0</v>
      </c>
      <c r="Z58" s="361">
        <v>0</v>
      </c>
    </row>
    <row r="59" spans="1:26" customFormat="1" x14ac:dyDescent="0.25">
      <c r="A59" s="487" t="s">
        <v>288</v>
      </c>
      <c r="B59" s="488"/>
      <c r="C59" s="338">
        <v>0.4</v>
      </c>
      <c r="D59" s="338">
        <v>0.4</v>
      </c>
      <c r="E59" s="338">
        <v>0.4</v>
      </c>
      <c r="F59" s="338">
        <v>0.4</v>
      </c>
      <c r="G59" s="338">
        <v>0.4</v>
      </c>
      <c r="H59" s="385"/>
      <c r="I59" s="385"/>
      <c r="J59" s="385"/>
      <c r="K59" s="385"/>
      <c r="L59" s="385"/>
      <c r="M59" s="385"/>
      <c r="U59" s="360" t="s">
        <v>275</v>
      </c>
      <c r="V59" s="361">
        <v>0</v>
      </c>
      <c r="W59" s="361">
        <v>0</v>
      </c>
      <c r="X59" s="361">
        <v>0</v>
      </c>
      <c r="Y59" s="361">
        <v>0</v>
      </c>
      <c r="Z59" s="361">
        <v>0</v>
      </c>
    </row>
    <row r="60" spans="1:26" customFormat="1" x14ac:dyDescent="0.25">
      <c r="A60" s="489" t="s">
        <v>290</v>
      </c>
      <c r="B60" s="490"/>
      <c r="C60" s="339">
        <f t="shared" ref="C60:G60" si="24">C58*C59</f>
        <v>219.60000000000002</v>
      </c>
      <c r="D60" s="339">
        <f t="shared" si="24"/>
        <v>211</v>
      </c>
      <c r="E60" s="339">
        <f t="shared" si="24"/>
        <v>257.12000000000006</v>
      </c>
      <c r="F60" s="339">
        <f t="shared" si="24"/>
        <v>253.76</v>
      </c>
      <c r="G60" s="339">
        <f t="shared" si="24"/>
        <v>161.36000000000001</v>
      </c>
      <c r="H60" s="386"/>
      <c r="I60" s="386"/>
      <c r="J60" s="386"/>
      <c r="K60" s="386"/>
      <c r="L60" s="386"/>
      <c r="M60" s="386"/>
      <c r="U60" s="362" t="s">
        <v>283</v>
      </c>
      <c r="V60" s="363">
        <f t="shared" ref="V60:Z60" si="25">V58*V59</f>
        <v>0</v>
      </c>
      <c r="W60" s="363">
        <f t="shared" si="25"/>
        <v>0</v>
      </c>
      <c r="X60" s="363">
        <f t="shared" si="25"/>
        <v>0</v>
      </c>
      <c r="Y60" s="363">
        <f t="shared" si="25"/>
        <v>0</v>
      </c>
      <c r="Z60" s="363">
        <f t="shared" si="25"/>
        <v>0</v>
      </c>
    </row>
    <row r="61" spans="1:26" customFormat="1" ht="17.25" x14ac:dyDescent="0.3">
      <c r="A61" s="468" t="s">
        <v>298</v>
      </c>
      <c r="B61" s="469"/>
      <c r="C61" s="468" t="s">
        <v>273</v>
      </c>
      <c r="D61" s="486"/>
      <c r="E61" s="486"/>
      <c r="F61" s="486"/>
      <c r="G61" s="486"/>
      <c r="H61" s="389"/>
      <c r="I61" s="390" t="s">
        <v>274</v>
      </c>
      <c r="J61" s="390" t="s">
        <v>274</v>
      </c>
      <c r="K61" s="390" t="s">
        <v>274</v>
      </c>
      <c r="L61" s="390" t="s">
        <v>274</v>
      </c>
      <c r="M61" s="390" t="s">
        <v>274</v>
      </c>
      <c r="U61" s="360" t="s">
        <v>285</v>
      </c>
      <c r="V61" s="361">
        <v>30</v>
      </c>
      <c r="W61" s="361">
        <v>30</v>
      </c>
      <c r="X61" s="361">
        <v>30</v>
      </c>
      <c r="Y61" s="361">
        <v>30</v>
      </c>
      <c r="Z61" s="361">
        <v>30</v>
      </c>
    </row>
    <row r="62" spans="1:26" customFormat="1" x14ac:dyDescent="0.25">
      <c r="A62" s="493" t="s">
        <v>299</v>
      </c>
      <c r="B62" s="494"/>
      <c r="C62" s="335">
        <v>185</v>
      </c>
      <c r="D62" s="335">
        <v>184</v>
      </c>
      <c r="E62" s="335">
        <v>235</v>
      </c>
      <c r="F62" s="335">
        <v>325</v>
      </c>
      <c r="G62" s="335">
        <v>192</v>
      </c>
      <c r="H62" s="391">
        <v>0.25</v>
      </c>
      <c r="I62" s="392">
        <f>$H$62*C62</f>
        <v>46.25</v>
      </c>
      <c r="J62" s="392">
        <f t="shared" ref="J62:M62" si="26">$H$62*D62</f>
        <v>46</v>
      </c>
      <c r="K62" s="392">
        <f t="shared" si="26"/>
        <v>58.75</v>
      </c>
      <c r="L62" s="392">
        <f t="shared" si="26"/>
        <v>81.25</v>
      </c>
      <c r="M62" s="392">
        <f t="shared" si="26"/>
        <v>48</v>
      </c>
      <c r="U62" s="360" t="s">
        <v>275</v>
      </c>
      <c r="V62" s="361">
        <v>0.44</v>
      </c>
      <c r="W62" s="361">
        <v>0.44</v>
      </c>
      <c r="X62" s="361">
        <v>0.44</v>
      </c>
      <c r="Y62" s="361">
        <v>0.44</v>
      </c>
      <c r="Z62" s="361">
        <v>0.44</v>
      </c>
    </row>
    <row r="63" spans="1:26" customFormat="1" x14ac:dyDescent="0.25">
      <c r="A63" s="493" t="s">
        <v>300</v>
      </c>
      <c r="B63" s="494"/>
      <c r="C63" s="335">
        <v>185</v>
      </c>
      <c r="D63" s="335">
        <v>184</v>
      </c>
      <c r="E63" s="335">
        <v>235</v>
      </c>
      <c r="F63" s="335">
        <v>325</v>
      </c>
      <c r="G63" s="335">
        <v>192</v>
      </c>
      <c r="H63" s="391">
        <v>0.4</v>
      </c>
      <c r="I63" s="392">
        <f>$H$63*C63</f>
        <v>74</v>
      </c>
      <c r="J63" s="392">
        <f t="shared" ref="J63:M63" si="27">$H$63*D63</f>
        <v>73.600000000000009</v>
      </c>
      <c r="K63" s="392">
        <f t="shared" si="27"/>
        <v>94</v>
      </c>
      <c r="L63" s="392">
        <f t="shared" si="27"/>
        <v>130</v>
      </c>
      <c r="M63" s="392">
        <f t="shared" si="27"/>
        <v>76.800000000000011</v>
      </c>
      <c r="U63" s="362" t="s">
        <v>287</v>
      </c>
      <c r="V63" s="363">
        <f t="shared" ref="V63:Z63" si="28">V61*V62</f>
        <v>13.2</v>
      </c>
      <c r="W63" s="363">
        <f t="shared" si="28"/>
        <v>13.2</v>
      </c>
      <c r="X63" s="363">
        <f t="shared" si="28"/>
        <v>13.2</v>
      </c>
      <c r="Y63" s="363">
        <f t="shared" si="28"/>
        <v>13.2</v>
      </c>
      <c r="Z63" s="363">
        <f t="shared" si="28"/>
        <v>13.2</v>
      </c>
    </row>
    <row r="64" spans="1:26" customFormat="1" x14ac:dyDescent="0.25">
      <c r="A64" s="493" t="s">
        <v>284</v>
      </c>
      <c r="B64" s="494"/>
      <c r="C64" s="335">
        <v>0</v>
      </c>
      <c r="D64" s="335">
        <v>0</v>
      </c>
      <c r="E64" s="335">
        <v>0</v>
      </c>
      <c r="F64" s="335">
        <v>0</v>
      </c>
      <c r="G64" s="335">
        <v>0</v>
      </c>
      <c r="H64" s="391">
        <v>0.25</v>
      </c>
      <c r="I64" s="392">
        <f>$H$64*C64</f>
        <v>0</v>
      </c>
      <c r="J64" s="392">
        <f t="shared" ref="J64:M64" si="29">$H$64*D64</f>
        <v>0</v>
      </c>
      <c r="K64" s="392">
        <f t="shared" si="29"/>
        <v>0</v>
      </c>
      <c r="L64" s="392">
        <f t="shared" si="29"/>
        <v>0</v>
      </c>
      <c r="M64" s="392">
        <f t="shared" si="29"/>
        <v>0</v>
      </c>
      <c r="U64" s="364" t="s">
        <v>289</v>
      </c>
      <c r="V64" s="361">
        <v>0</v>
      </c>
      <c r="W64" s="361">
        <v>0</v>
      </c>
      <c r="X64" s="361">
        <v>0</v>
      </c>
      <c r="Y64" s="361">
        <v>0</v>
      </c>
      <c r="Z64" s="361">
        <v>0</v>
      </c>
    </row>
    <row r="65" spans="1:26" customFormat="1" x14ac:dyDescent="0.25">
      <c r="A65" s="487" t="s">
        <v>286</v>
      </c>
      <c r="B65" s="488"/>
      <c r="C65" s="337">
        <v>370</v>
      </c>
      <c r="D65" s="337">
        <v>368</v>
      </c>
      <c r="E65" s="337">
        <v>470</v>
      </c>
      <c r="F65" s="337">
        <v>650</v>
      </c>
      <c r="G65" s="337">
        <v>384</v>
      </c>
      <c r="H65" s="391"/>
      <c r="I65" s="392">
        <f>$H$65*C65</f>
        <v>0</v>
      </c>
      <c r="J65" s="392">
        <f t="shared" ref="J65:M65" si="30">$H$65*D65</f>
        <v>0</v>
      </c>
      <c r="K65" s="392">
        <f t="shared" si="30"/>
        <v>0</v>
      </c>
      <c r="L65" s="392">
        <f t="shared" si="30"/>
        <v>0</v>
      </c>
      <c r="M65" s="392">
        <f t="shared" si="30"/>
        <v>0</v>
      </c>
      <c r="U65" s="364" t="s">
        <v>292</v>
      </c>
      <c r="V65" s="361">
        <v>0</v>
      </c>
      <c r="W65" s="361">
        <v>0</v>
      </c>
      <c r="X65" s="361">
        <v>0</v>
      </c>
      <c r="Y65" s="361">
        <v>0</v>
      </c>
      <c r="Z65" s="361">
        <v>0</v>
      </c>
    </row>
    <row r="66" spans="1:26" customFormat="1" x14ac:dyDescent="0.25">
      <c r="A66" s="487" t="s">
        <v>257</v>
      </c>
      <c r="B66" s="488"/>
      <c r="C66" s="338">
        <f>I66</f>
        <v>120.25</v>
      </c>
      <c r="D66" s="338">
        <f t="shared" ref="D66:G66" si="31">J66</f>
        <v>119.60000000000001</v>
      </c>
      <c r="E66" s="338">
        <f t="shared" si="31"/>
        <v>152.75</v>
      </c>
      <c r="F66" s="338">
        <f t="shared" si="31"/>
        <v>211.25</v>
      </c>
      <c r="G66" s="338">
        <f t="shared" si="31"/>
        <v>124.80000000000001</v>
      </c>
      <c r="H66" s="394"/>
      <c r="I66" s="393">
        <f t="shared" ref="I66:M66" si="32">SUM(I62:I65)</f>
        <v>120.25</v>
      </c>
      <c r="J66" s="393">
        <f t="shared" si="32"/>
        <v>119.60000000000001</v>
      </c>
      <c r="K66" s="393">
        <f t="shared" si="32"/>
        <v>152.75</v>
      </c>
      <c r="L66" s="393">
        <f t="shared" si="32"/>
        <v>211.25</v>
      </c>
      <c r="M66" s="393">
        <f t="shared" si="32"/>
        <v>124.80000000000001</v>
      </c>
      <c r="U66" s="362" t="s">
        <v>294</v>
      </c>
      <c r="V66" s="363">
        <f t="shared" ref="V66:Z66" si="33">V64*V65</f>
        <v>0</v>
      </c>
      <c r="W66" s="363">
        <f t="shared" si="33"/>
        <v>0</v>
      </c>
      <c r="X66" s="363">
        <f t="shared" si="33"/>
        <v>0</v>
      </c>
      <c r="Y66" s="363">
        <f t="shared" si="33"/>
        <v>0</v>
      </c>
      <c r="Z66" s="363">
        <f t="shared" si="33"/>
        <v>0</v>
      </c>
    </row>
    <row r="67" spans="1:26" customFormat="1" x14ac:dyDescent="0.25">
      <c r="A67" s="487" t="s">
        <v>288</v>
      </c>
      <c r="B67" s="488"/>
      <c r="C67" s="338">
        <v>0.4</v>
      </c>
      <c r="D67" s="338">
        <v>0.4</v>
      </c>
      <c r="E67" s="338">
        <v>0.4</v>
      </c>
      <c r="F67" s="338">
        <v>0.4</v>
      </c>
      <c r="G67" s="338">
        <v>0.4</v>
      </c>
      <c r="H67" s="385"/>
      <c r="I67" s="385"/>
      <c r="J67" s="385"/>
      <c r="K67" s="385"/>
      <c r="L67" s="385"/>
      <c r="M67" s="385"/>
      <c r="U67" s="365" t="s">
        <v>295</v>
      </c>
      <c r="V67" s="366">
        <f>V57+V60+V63+V66</f>
        <v>211.20000000000002</v>
      </c>
      <c r="W67" s="366">
        <f t="shared" ref="W67:Z67" si="34">W57+W60+W63+W66</f>
        <v>211.20000000000002</v>
      </c>
      <c r="X67" s="366">
        <f t="shared" si="34"/>
        <v>244.20000000000002</v>
      </c>
      <c r="Y67" s="366">
        <f t="shared" si="34"/>
        <v>244.20000000000002</v>
      </c>
      <c r="Z67" s="366">
        <f t="shared" si="34"/>
        <v>211.20000000000002</v>
      </c>
    </row>
    <row r="68" spans="1:26" customFormat="1" x14ac:dyDescent="0.25">
      <c r="A68" s="489" t="s">
        <v>290</v>
      </c>
      <c r="B68" s="490"/>
      <c r="C68" s="339">
        <f t="shared" ref="C68:G68" si="35">C66*C67</f>
        <v>48.1</v>
      </c>
      <c r="D68" s="339">
        <f t="shared" si="35"/>
        <v>47.84</v>
      </c>
      <c r="E68" s="339">
        <f t="shared" si="35"/>
        <v>61.1</v>
      </c>
      <c r="F68" s="339">
        <f t="shared" si="35"/>
        <v>84.5</v>
      </c>
      <c r="G68" s="339">
        <f t="shared" si="35"/>
        <v>49.920000000000009</v>
      </c>
      <c r="H68" s="386"/>
      <c r="I68" s="386"/>
      <c r="J68" s="386"/>
      <c r="K68" s="386"/>
      <c r="L68" s="386"/>
      <c r="M68" s="386"/>
      <c r="U68" s="377">
        <f>'P&amp;L'!$R$10</f>
        <v>0.13</v>
      </c>
      <c r="V68" s="376">
        <f>V67*(1+$U$53)</f>
        <v>238.65600000000001</v>
      </c>
      <c r="W68" s="376">
        <f t="shared" ref="W68:Z68" si="36">W67*(1+$U$53)</f>
        <v>238.65600000000001</v>
      </c>
      <c r="X68" s="376">
        <f t="shared" si="36"/>
        <v>275.94599999999997</v>
      </c>
      <c r="Y68" s="376">
        <f t="shared" si="36"/>
        <v>275.94599999999997</v>
      </c>
      <c r="Z68" s="376">
        <f t="shared" si="36"/>
        <v>238.65600000000001</v>
      </c>
    </row>
    <row r="69" spans="1:26" customFormat="1" ht="17.25" x14ac:dyDescent="0.3">
      <c r="A69" s="468" t="s">
        <v>301</v>
      </c>
      <c r="B69" s="469"/>
      <c r="C69" s="468"/>
      <c r="D69" s="486"/>
      <c r="E69" s="486"/>
      <c r="F69" s="486"/>
      <c r="G69" s="486"/>
      <c r="H69" s="389"/>
      <c r="I69" s="390" t="s">
        <v>274</v>
      </c>
      <c r="J69" s="390" t="s">
        <v>274</v>
      </c>
      <c r="K69" s="390" t="s">
        <v>274</v>
      </c>
      <c r="L69" s="390" t="s">
        <v>274</v>
      </c>
      <c r="M69" s="390" t="s">
        <v>274</v>
      </c>
      <c r="U69" s="357" t="s">
        <v>302</v>
      </c>
      <c r="V69" s="358"/>
      <c r="W69" s="358"/>
      <c r="X69" s="358"/>
      <c r="Y69" s="358"/>
      <c r="Z69" s="359"/>
    </row>
    <row r="70" spans="1:26" customFormat="1" x14ac:dyDescent="0.25">
      <c r="A70" s="493" t="s">
        <v>303</v>
      </c>
      <c r="B70" s="494"/>
      <c r="C70" s="335">
        <v>23</v>
      </c>
      <c r="D70" s="335">
        <v>21</v>
      </c>
      <c r="E70" s="335">
        <v>29</v>
      </c>
      <c r="F70" s="335">
        <v>31</v>
      </c>
      <c r="G70" s="340">
        <v>27</v>
      </c>
      <c r="H70" s="391">
        <v>2.5</v>
      </c>
      <c r="I70" s="392">
        <f>C70*$H$70</f>
        <v>57.5</v>
      </c>
      <c r="J70" s="392">
        <f t="shared" ref="J70:M70" si="37">D70*$H$70</f>
        <v>52.5</v>
      </c>
      <c r="K70" s="392">
        <f t="shared" si="37"/>
        <v>72.5</v>
      </c>
      <c r="L70" s="392">
        <f t="shared" si="37"/>
        <v>77.5</v>
      </c>
      <c r="M70" s="392">
        <f t="shared" si="37"/>
        <v>67.5</v>
      </c>
      <c r="U70" s="360" t="s">
        <v>271</v>
      </c>
      <c r="V70" s="361">
        <v>300</v>
      </c>
      <c r="W70" s="361">
        <v>300</v>
      </c>
      <c r="X70" s="361">
        <v>360</v>
      </c>
      <c r="Y70" s="361">
        <v>360</v>
      </c>
      <c r="Z70" s="361">
        <v>300</v>
      </c>
    </row>
    <row r="71" spans="1:26" customFormat="1" x14ac:dyDescent="0.25">
      <c r="A71" s="493" t="s">
        <v>304</v>
      </c>
      <c r="B71" s="494"/>
      <c r="C71" s="335">
        <v>5</v>
      </c>
      <c r="D71" s="335">
        <v>9</v>
      </c>
      <c r="E71" s="335">
        <v>15</v>
      </c>
      <c r="F71" s="335">
        <v>19</v>
      </c>
      <c r="G71" s="340">
        <v>6</v>
      </c>
      <c r="H71" s="391">
        <v>1.5</v>
      </c>
      <c r="I71" s="392">
        <f>C71*$H$71</f>
        <v>7.5</v>
      </c>
      <c r="J71" s="392">
        <f t="shared" ref="J71:M71" si="38">D71*$H$71</f>
        <v>13.5</v>
      </c>
      <c r="K71" s="392">
        <f t="shared" si="38"/>
        <v>22.5</v>
      </c>
      <c r="L71" s="392">
        <f t="shared" si="38"/>
        <v>28.5</v>
      </c>
      <c r="M71" s="392">
        <f t="shared" si="38"/>
        <v>9</v>
      </c>
      <c r="U71" s="360" t="s">
        <v>275</v>
      </c>
      <c r="V71" s="361">
        <v>0.55000000000000004</v>
      </c>
      <c r="W71" s="361">
        <v>0.55000000000000004</v>
      </c>
      <c r="X71" s="361">
        <v>0.55000000000000004</v>
      </c>
      <c r="Y71" s="361">
        <v>0.55000000000000004</v>
      </c>
      <c r="Z71" s="361">
        <v>0.55000000000000004</v>
      </c>
    </row>
    <row r="72" spans="1:26" customFormat="1" x14ac:dyDescent="0.25">
      <c r="A72" s="493" t="s">
        <v>305</v>
      </c>
      <c r="B72" s="494"/>
      <c r="C72" s="335">
        <v>20</v>
      </c>
      <c r="D72" s="335">
        <v>23</v>
      </c>
      <c r="E72" s="335">
        <v>15</v>
      </c>
      <c r="F72" s="335">
        <v>10</v>
      </c>
      <c r="G72" s="340">
        <v>7</v>
      </c>
      <c r="H72" s="391">
        <v>0.3</v>
      </c>
      <c r="I72" s="392">
        <f>C72*$H$72</f>
        <v>6</v>
      </c>
      <c r="J72" s="392">
        <f t="shared" ref="J72:M72" si="39">D72*$H$72</f>
        <v>6.8999999999999995</v>
      </c>
      <c r="K72" s="392">
        <f t="shared" si="39"/>
        <v>4.5</v>
      </c>
      <c r="L72" s="392">
        <f t="shared" si="39"/>
        <v>3</v>
      </c>
      <c r="M72" s="392">
        <f t="shared" si="39"/>
        <v>2.1</v>
      </c>
      <c r="U72" s="362" t="s">
        <v>277</v>
      </c>
      <c r="V72" s="363">
        <f t="shared" ref="V72:Z72" si="40">V70*V71</f>
        <v>165</v>
      </c>
      <c r="W72" s="363">
        <f t="shared" si="40"/>
        <v>165</v>
      </c>
      <c r="X72" s="363">
        <f t="shared" si="40"/>
        <v>198.00000000000003</v>
      </c>
      <c r="Y72" s="363">
        <f t="shared" si="40"/>
        <v>198.00000000000003</v>
      </c>
      <c r="Z72" s="363">
        <f t="shared" si="40"/>
        <v>165</v>
      </c>
    </row>
    <row r="73" spans="1:26" customFormat="1" x14ac:dyDescent="0.25">
      <c r="A73" s="493" t="s">
        <v>306</v>
      </c>
      <c r="B73" s="494"/>
      <c r="C73" s="335">
        <v>12</v>
      </c>
      <c r="D73" s="335">
        <v>12</v>
      </c>
      <c r="E73" s="335">
        <v>15</v>
      </c>
      <c r="F73" s="335">
        <v>18</v>
      </c>
      <c r="G73" s="335">
        <v>12</v>
      </c>
      <c r="H73" s="391">
        <v>0.3</v>
      </c>
      <c r="I73" s="392">
        <f>C73*$H$73</f>
        <v>3.5999999999999996</v>
      </c>
      <c r="J73" s="392">
        <f t="shared" ref="J73:M73" si="41">D73*$H$73</f>
        <v>3.5999999999999996</v>
      </c>
      <c r="K73" s="392">
        <f t="shared" si="41"/>
        <v>4.5</v>
      </c>
      <c r="L73" s="392">
        <f t="shared" si="41"/>
        <v>5.3999999999999995</v>
      </c>
      <c r="M73" s="392">
        <f t="shared" si="41"/>
        <v>3.5999999999999996</v>
      </c>
      <c r="U73" s="360" t="s">
        <v>279</v>
      </c>
      <c r="V73" s="361">
        <v>0</v>
      </c>
      <c r="W73" s="361">
        <v>0</v>
      </c>
      <c r="X73" s="361">
        <v>0</v>
      </c>
      <c r="Y73" s="361">
        <v>0</v>
      </c>
      <c r="Z73" s="361">
        <v>0</v>
      </c>
    </row>
    <row r="74" spans="1:26" customFormat="1" x14ac:dyDescent="0.25">
      <c r="A74" s="493" t="s">
        <v>307</v>
      </c>
      <c r="B74" s="494"/>
      <c r="C74" s="335">
        <v>0</v>
      </c>
      <c r="D74" s="335">
        <v>0</v>
      </c>
      <c r="E74" s="335">
        <v>0</v>
      </c>
      <c r="F74" s="335">
        <v>0</v>
      </c>
      <c r="G74" s="335">
        <v>0</v>
      </c>
      <c r="H74" s="391">
        <v>1.5</v>
      </c>
      <c r="I74" s="392">
        <f>C74*$H$74</f>
        <v>0</v>
      </c>
      <c r="J74" s="392">
        <f t="shared" ref="J74:M74" si="42">D74*$H$74</f>
        <v>0</v>
      </c>
      <c r="K74" s="392">
        <f t="shared" si="42"/>
        <v>0</v>
      </c>
      <c r="L74" s="392">
        <f t="shared" si="42"/>
        <v>0</v>
      </c>
      <c r="M74" s="392">
        <f t="shared" si="42"/>
        <v>0</v>
      </c>
      <c r="U74" s="360" t="s">
        <v>275</v>
      </c>
      <c r="V74" s="361">
        <v>0</v>
      </c>
      <c r="W74" s="361">
        <v>0</v>
      </c>
      <c r="X74" s="361">
        <v>0</v>
      </c>
      <c r="Y74" s="361">
        <v>0</v>
      </c>
      <c r="Z74" s="361">
        <v>0</v>
      </c>
    </row>
    <row r="75" spans="1:26" customFormat="1" x14ac:dyDescent="0.25">
      <c r="A75" s="493" t="s">
        <v>308</v>
      </c>
      <c r="B75" s="494"/>
      <c r="C75" s="335">
        <v>136</v>
      </c>
      <c r="D75" s="335">
        <v>150</v>
      </c>
      <c r="E75" s="335">
        <v>176</v>
      </c>
      <c r="F75" s="335">
        <v>184</v>
      </c>
      <c r="G75" s="340">
        <v>138</v>
      </c>
      <c r="H75" s="391">
        <v>0.3</v>
      </c>
      <c r="I75" s="392">
        <f>C75*$H$75</f>
        <v>40.799999999999997</v>
      </c>
      <c r="J75" s="392">
        <f t="shared" ref="J75:M75" si="43">D75*$H$75</f>
        <v>45</v>
      </c>
      <c r="K75" s="392">
        <f t="shared" si="43"/>
        <v>52.8</v>
      </c>
      <c r="L75" s="392">
        <f t="shared" si="43"/>
        <v>55.199999999999996</v>
      </c>
      <c r="M75" s="392">
        <f t="shared" si="43"/>
        <v>41.4</v>
      </c>
      <c r="U75" s="362" t="s">
        <v>283</v>
      </c>
      <c r="V75" s="363">
        <f>V73*V74</f>
        <v>0</v>
      </c>
      <c r="W75" s="363">
        <f t="shared" ref="W75:Z75" si="44">W73*W74</f>
        <v>0</v>
      </c>
      <c r="X75" s="363">
        <f t="shared" si="44"/>
        <v>0</v>
      </c>
      <c r="Y75" s="363">
        <f t="shared" si="44"/>
        <v>0</v>
      </c>
      <c r="Z75" s="363">
        <f t="shared" si="44"/>
        <v>0</v>
      </c>
    </row>
    <row r="76" spans="1:26" customFormat="1" x14ac:dyDescent="0.25">
      <c r="A76" s="493" t="s">
        <v>309</v>
      </c>
      <c r="B76" s="494"/>
      <c r="C76" s="335">
        <v>44</v>
      </c>
      <c r="D76" s="335">
        <v>42</v>
      </c>
      <c r="E76" s="335">
        <v>45</v>
      </c>
      <c r="F76" s="335">
        <v>68</v>
      </c>
      <c r="G76" s="340">
        <v>38</v>
      </c>
      <c r="H76" s="391">
        <v>0.3</v>
      </c>
      <c r="I76" s="392">
        <f>C76*$H$76</f>
        <v>13.2</v>
      </c>
      <c r="J76" s="392">
        <f t="shared" ref="J76:M76" si="45">D76*$H$76</f>
        <v>12.6</v>
      </c>
      <c r="K76" s="392">
        <f t="shared" si="45"/>
        <v>13.5</v>
      </c>
      <c r="L76" s="392">
        <f t="shared" si="45"/>
        <v>20.399999999999999</v>
      </c>
      <c r="M76" s="392">
        <f t="shared" si="45"/>
        <v>11.4</v>
      </c>
      <c r="U76" s="360" t="s">
        <v>285</v>
      </c>
      <c r="V76" s="361">
        <v>30</v>
      </c>
      <c r="W76" s="361">
        <v>30</v>
      </c>
      <c r="X76" s="361">
        <v>30</v>
      </c>
      <c r="Y76" s="361">
        <v>30</v>
      </c>
      <c r="Z76" s="361">
        <v>30</v>
      </c>
    </row>
    <row r="77" spans="1:26" customFormat="1" x14ac:dyDescent="0.25">
      <c r="A77" s="493" t="s">
        <v>310</v>
      </c>
      <c r="B77" s="494"/>
      <c r="C77" s="335">
        <v>22</v>
      </c>
      <c r="D77" s="335">
        <v>22</v>
      </c>
      <c r="E77" s="335">
        <v>31</v>
      </c>
      <c r="F77" s="335">
        <v>22</v>
      </c>
      <c r="G77" s="340">
        <v>22</v>
      </c>
      <c r="H77" s="391">
        <v>0.3</v>
      </c>
      <c r="I77" s="392">
        <f>C77*$H$77</f>
        <v>6.6</v>
      </c>
      <c r="J77" s="392">
        <f t="shared" ref="J77:M77" si="46">D77*$H$77</f>
        <v>6.6</v>
      </c>
      <c r="K77" s="392">
        <f t="shared" si="46"/>
        <v>9.2999999999999989</v>
      </c>
      <c r="L77" s="392">
        <f t="shared" si="46"/>
        <v>6.6</v>
      </c>
      <c r="M77" s="392">
        <f t="shared" si="46"/>
        <v>6.6</v>
      </c>
      <c r="U77" s="360" t="s">
        <v>275</v>
      </c>
      <c r="V77" s="361">
        <v>0.44</v>
      </c>
      <c r="W77" s="361">
        <v>0.44</v>
      </c>
      <c r="X77" s="361">
        <v>0.44</v>
      </c>
      <c r="Y77" s="361">
        <v>0.44</v>
      </c>
      <c r="Z77" s="361">
        <v>0.44</v>
      </c>
    </row>
    <row r="78" spans="1:26" customFormat="1" x14ac:dyDescent="0.25">
      <c r="A78" s="487" t="s">
        <v>286</v>
      </c>
      <c r="B78" s="488"/>
      <c r="C78" s="337">
        <v>262</v>
      </c>
      <c r="D78" s="337">
        <v>279</v>
      </c>
      <c r="E78" s="337">
        <v>326</v>
      </c>
      <c r="F78" s="337">
        <v>352</v>
      </c>
      <c r="G78" s="337">
        <v>250</v>
      </c>
      <c r="H78" s="391"/>
      <c r="I78" s="393">
        <f t="shared" ref="I78:M78" si="47">SUM(I70:I77)</f>
        <v>135.19999999999999</v>
      </c>
      <c r="J78" s="393">
        <f t="shared" si="47"/>
        <v>140.69999999999999</v>
      </c>
      <c r="K78" s="393">
        <f t="shared" si="47"/>
        <v>179.60000000000002</v>
      </c>
      <c r="L78" s="393">
        <f t="shared" si="47"/>
        <v>196.6</v>
      </c>
      <c r="M78" s="393">
        <f t="shared" si="47"/>
        <v>141.6</v>
      </c>
      <c r="U78" s="362" t="s">
        <v>287</v>
      </c>
      <c r="V78" s="363">
        <f t="shared" ref="V78:Z78" si="48">V76*V77</f>
        <v>13.2</v>
      </c>
      <c r="W78" s="363">
        <f t="shared" si="48"/>
        <v>13.2</v>
      </c>
      <c r="X78" s="363">
        <f t="shared" si="48"/>
        <v>13.2</v>
      </c>
      <c r="Y78" s="363">
        <f t="shared" si="48"/>
        <v>13.2</v>
      </c>
      <c r="Z78" s="363">
        <f t="shared" si="48"/>
        <v>13.2</v>
      </c>
    </row>
    <row r="79" spans="1:26" customFormat="1" x14ac:dyDescent="0.25">
      <c r="A79" s="487" t="s">
        <v>257</v>
      </c>
      <c r="B79" s="488"/>
      <c r="C79" s="338">
        <f>I78</f>
        <v>135.19999999999999</v>
      </c>
      <c r="D79" s="338">
        <f t="shared" ref="D79:G79" si="49">J78</f>
        <v>140.69999999999999</v>
      </c>
      <c r="E79" s="338">
        <f t="shared" si="49"/>
        <v>179.60000000000002</v>
      </c>
      <c r="F79" s="338">
        <f t="shared" si="49"/>
        <v>196.6</v>
      </c>
      <c r="G79" s="338">
        <f t="shared" si="49"/>
        <v>141.6</v>
      </c>
      <c r="H79" s="385"/>
      <c r="I79" s="385"/>
      <c r="J79" s="385"/>
      <c r="K79" s="385"/>
      <c r="L79" s="385"/>
      <c r="M79" s="385"/>
      <c r="U79" s="364" t="s">
        <v>289</v>
      </c>
      <c r="V79" s="361">
        <v>0</v>
      </c>
      <c r="W79" s="361">
        <v>0</v>
      </c>
      <c r="X79" s="361">
        <v>0</v>
      </c>
      <c r="Y79" s="361">
        <v>0</v>
      </c>
      <c r="Z79" s="361">
        <v>0</v>
      </c>
    </row>
    <row r="80" spans="1:26" customFormat="1" x14ac:dyDescent="0.25">
      <c r="A80" s="487" t="s">
        <v>288</v>
      </c>
      <c r="B80" s="488"/>
      <c r="C80" s="338">
        <v>0.4</v>
      </c>
      <c r="D80" s="338">
        <v>0.4</v>
      </c>
      <c r="E80" s="338">
        <v>0.4</v>
      </c>
      <c r="F80" s="338">
        <v>0.4</v>
      </c>
      <c r="G80" s="338">
        <v>0.4</v>
      </c>
      <c r="H80" s="385"/>
      <c r="I80" s="385"/>
      <c r="J80" s="385"/>
      <c r="K80" s="385"/>
      <c r="L80" s="385"/>
      <c r="M80" s="385"/>
      <c r="U80" s="364" t="s">
        <v>292</v>
      </c>
      <c r="V80" s="361">
        <v>0</v>
      </c>
      <c r="W80" s="361">
        <v>0</v>
      </c>
      <c r="X80" s="361">
        <v>0</v>
      </c>
      <c r="Y80" s="361">
        <v>0</v>
      </c>
      <c r="Z80" s="361">
        <v>0</v>
      </c>
    </row>
    <row r="81" spans="1:26" customFormat="1" x14ac:dyDescent="0.25">
      <c r="A81" s="489" t="s">
        <v>290</v>
      </c>
      <c r="B81" s="490"/>
      <c r="C81" s="339">
        <f t="shared" ref="C81:G81" si="50">C79*C80</f>
        <v>54.08</v>
      </c>
      <c r="D81" s="339">
        <f t="shared" si="50"/>
        <v>56.28</v>
      </c>
      <c r="E81" s="339">
        <f t="shared" si="50"/>
        <v>71.840000000000018</v>
      </c>
      <c r="F81" s="339">
        <f t="shared" si="50"/>
        <v>78.64</v>
      </c>
      <c r="G81" s="339">
        <f t="shared" si="50"/>
        <v>56.64</v>
      </c>
      <c r="H81" s="386"/>
      <c r="I81" s="386"/>
      <c r="J81" s="386"/>
      <c r="K81" s="386"/>
      <c r="L81" s="386"/>
      <c r="M81" s="386"/>
      <c r="U81" s="362" t="s">
        <v>294</v>
      </c>
      <c r="V81" s="363">
        <f t="shared" ref="V81:Z81" si="51">V79*V80</f>
        <v>0</v>
      </c>
      <c r="W81" s="363">
        <f t="shared" si="51"/>
        <v>0</v>
      </c>
      <c r="X81" s="363">
        <f t="shared" si="51"/>
        <v>0</v>
      </c>
      <c r="Y81" s="363">
        <f t="shared" si="51"/>
        <v>0</v>
      </c>
      <c r="Z81" s="363">
        <f t="shared" si="51"/>
        <v>0</v>
      </c>
    </row>
    <row r="82" spans="1:26" customFormat="1" x14ac:dyDescent="0.25">
      <c r="A82" s="341"/>
      <c r="B82" s="342"/>
      <c r="C82" s="343"/>
      <c r="D82" s="343"/>
      <c r="E82" s="343"/>
      <c r="F82" s="343"/>
      <c r="G82" s="344"/>
      <c r="H82" s="341"/>
      <c r="I82" s="341"/>
      <c r="J82" s="341"/>
      <c r="K82" s="341"/>
      <c r="L82" s="341"/>
      <c r="M82" s="341"/>
      <c r="U82" s="365" t="s">
        <v>295</v>
      </c>
      <c r="V82" s="366">
        <f t="shared" ref="V82:Z82" si="52">V72+V75+V78+V81</f>
        <v>178.2</v>
      </c>
      <c r="W82" s="366">
        <f t="shared" si="52"/>
        <v>178.2</v>
      </c>
      <c r="X82" s="366">
        <f t="shared" si="52"/>
        <v>211.20000000000002</v>
      </c>
      <c r="Y82" s="366">
        <f t="shared" si="52"/>
        <v>211.20000000000002</v>
      </c>
      <c r="Z82" s="366">
        <f t="shared" si="52"/>
        <v>178.2</v>
      </c>
    </row>
    <row r="83" spans="1:26" customFormat="1" ht="15" customHeight="1" x14ac:dyDescent="0.25">
      <c r="A83" s="378" t="s">
        <v>311</v>
      </c>
      <c r="B83" s="345" t="s">
        <v>260</v>
      </c>
      <c r="C83" s="346">
        <f>C50+C60+C68+C81</f>
        <v>623.10000000000014</v>
      </c>
      <c r="D83" s="346">
        <f t="shared" ref="D83:G83" si="53">D50+D60+D68+D81</f>
        <v>619.5200000000001</v>
      </c>
      <c r="E83" s="346">
        <f t="shared" si="53"/>
        <v>777.26000000000022</v>
      </c>
      <c r="F83" s="346">
        <f t="shared" si="53"/>
        <v>669.58</v>
      </c>
      <c r="G83" s="346">
        <f t="shared" si="53"/>
        <v>578.20000000000005</v>
      </c>
      <c r="H83" s="387"/>
      <c r="I83" s="387"/>
      <c r="J83" s="387"/>
      <c r="K83" s="387"/>
      <c r="L83" s="387"/>
      <c r="M83" s="387"/>
      <c r="U83" s="377">
        <f>'P&amp;L'!$R$10</f>
        <v>0.13</v>
      </c>
      <c r="V83" s="376">
        <f>V82*(1+$U$53)</f>
        <v>201.36599999999996</v>
      </c>
      <c r="W83" s="376">
        <f t="shared" ref="W83:Z83" si="54">W82*(1+$U$53)</f>
        <v>201.36599999999996</v>
      </c>
      <c r="X83" s="376">
        <f t="shared" si="54"/>
        <v>238.65600000000001</v>
      </c>
      <c r="Y83" s="376">
        <f t="shared" si="54"/>
        <v>238.65600000000001</v>
      </c>
      <c r="Z83" s="376">
        <f t="shared" si="54"/>
        <v>201.36599999999996</v>
      </c>
    </row>
    <row r="84" spans="1:26" customFormat="1" x14ac:dyDescent="0.25">
      <c r="B84" s="377">
        <f>'P&amp;L'!$R$10</f>
        <v>0.13</v>
      </c>
      <c r="C84" s="379">
        <f>C83*(1+$U$53)</f>
        <v>704.10300000000007</v>
      </c>
      <c r="D84" s="379">
        <f>D83*(1+$U$53)</f>
        <v>700.05760000000009</v>
      </c>
      <c r="E84" s="379">
        <f>E83*(1+$U$53)</f>
        <v>878.30380000000014</v>
      </c>
      <c r="F84" s="379">
        <f>F83*(1+$U$53)</f>
        <v>756.62540000000001</v>
      </c>
      <c r="G84" s="379">
        <f>G83*(1+$U$53)</f>
        <v>653.36599999999999</v>
      </c>
      <c r="H84" s="388"/>
      <c r="I84" s="388"/>
      <c r="J84" s="388"/>
      <c r="K84" s="388"/>
      <c r="L84" s="388"/>
      <c r="M84" s="388"/>
      <c r="U84" s="357" t="s">
        <v>312</v>
      </c>
      <c r="V84" s="358"/>
      <c r="W84" s="358"/>
      <c r="X84" s="358"/>
      <c r="Y84" s="358"/>
      <c r="Z84" s="359"/>
    </row>
    <row r="85" spans="1:26" customFormat="1" x14ac:dyDescent="0.25">
      <c r="U85" s="367" t="s">
        <v>313</v>
      </c>
      <c r="V85" s="368">
        <v>215</v>
      </c>
      <c r="W85" s="368">
        <v>215</v>
      </c>
      <c r="X85" s="368">
        <v>215</v>
      </c>
      <c r="Y85" s="368">
        <v>215</v>
      </c>
      <c r="Z85" s="368">
        <v>215</v>
      </c>
    </row>
    <row r="86" spans="1:26" customFormat="1" x14ac:dyDescent="0.25">
      <c r="U86" s="367" t="s">
        <v>314</v>
      </c>
      <c r="V86" s="368">
        <v>215</v>
      </c>
      <c r="W86" s="368">
        <v>215</v>
      </c>
      <c r="X86" s="368">
        <v>215</v>
      </c>
      <c r="Y86" s="368">
        <v>215</v>
      </c>
      <c r="Z86" s="368">
        <v>215</v>
      </c>
    </row>
    <row r="87" spans="1:26" customFormat="1" x14ac:dyDescent="0.25">
      <c r="C87">
        <f>C48+C58+C66+C79</f>
        <v>1557.75</v>
      </c>
      <c r="U87" s="367" t="s">
        <v>315</v>
      </c>
      <c r="V87" s="368">
        <v>50</v>
      </c>
      <c r="W87" s="368">
        <v>50</v>
      </c>
      <c r="X87" s="368">
        <v>50</v>
      </c>
      <c r="Y87" s="368">
        <v>50</v>
      </c>
      <c r="Z87" s="368">
        <v>50</v>
      </c>
    </row>
    <row r="88" spans="1:26" customFormat="1" x14ac:dyDescent="0.25">
      <c r="C88">
        <f>C87/60</f>
        <v>25.962499999999999</v>
      </c>
      <c r="U88" s="367" t="s">
        <v>316</v>
      </c>
      <c r="V88" s="368">
        <v>350</v>
      </c>
      <c r="W88" s="368">
        <v>350</v>
      </c>
      <c r="X88" s="368">
        <v>350</v>
      </c>
      <c r="Y88" s="368">
        <v>350</v>
      </c>
      <c r="Z88" s="368">
        <v>350</v>
      </c>
    </row>
    <row r="89" spans="1:26" customFormat="1" ht="16.5" x14ac:dyDescent="0.3">
      <c r="U89" s="334"/>
      <c r="V89" s="334"/>
      <c r="W89" s="369"/>
      <c r="X89" s="369"/>
      <c r="Y89" s="370"/>
      <c r="Z89" s="369"/>
    </row>
    <row r="90" spans="1:26" customFormat="1" ht="16.5" x14ac:dyDescent="0.3">
      <c r="U90" s="371" t="s">
        <v>317</v>
      </c>
      <c r="V90" s="370"/>
      <c r="W90" s="370"/>
      <c r="X90" s="370"/>
      <c r="Y90" s="370"/>
      <c r="Z90" s="370"/>
    </row>
    <row r="91" spans="1:26" customFormat="1" ht="16.5" x14ac:dyDescent="0.3">
      <c r="U91" s="372"/>
      <c r="V91" s="373"/>
      <c r="W91" s="373"/>
      <c r="X91" s="373"/>
      <c r="Y91" s="373"/>
      <c r="Z91" s="373"/>
    </row>
    <row r="92" spans="1:26" customFormat="1" ht="16.5" x14ac:dyDescent="0.3">
      <c r="U92" s="372"/>
      <c r="V92" s="373"/>
      <c r="W92" s="373"/>
      <c r="X92" s="373"/>
      <c r="Y92" s="373"/>
      <c r="Z92" s="373"/>
    </row>
    <row r="93" spans="1:26" customFormat="1" ht="16.5" x14ac:dyDescent="0.3">
      <c r="U93" s="372"/>
      <c r="V93" s="373"/>
      <c r="W93" s="373"/>
      <c r="X93" s="373"/>
      <c r="Y93" s="373"/>
      <c r="Z93" s="373"/>
    </row>
    <row r="94" spans="1:26" customFormat="1" ht="16.5" x14ac:dyDescent="0.3">
      <c r="U94" s="372"/>
      <c r="V94" s="373"/>
      <c r="W94" s="373"/>
      <c r="X94" s="373"/>
      <c r="Y94" s="373"/>
      <c r="Z94" s="373"/>
    </row>
    <row r="95" spans="1:26" customFormat="1" ht="16.5" x14ac:dyDescent="0.3">
      <c r="U95" s="372"/>
      <c r="V95" s="373"/>
      <c r="W95" s="373"/>
      <c r="X95" s="373"/>
      <c r="Y95" s="373"/>
      <c r="Z95" s="373"/>
    </row>
    <row r="96" spans="1:26" customFormat="1" ht="16.5" x14ac:dyDescent="0.3">
      <c r="U96" s="372"/>
      <c r="V96" s="373"/>
      <c r="W96" s="373"/>
      <c r="X96" s="373"/>
      <c r="Y96" s="373"/>
      <c r="Z96" s="373"/>
    </row>
    <row r="97" spans="21:27" customFormat="1" x14ac:dyDescent="0.25"/>
    <row r="98" spans="21:27" customFormat="1" x14ac:dyDescent="0.25"/>
    <row r="99" spans="21:27" customFormat="1" x14ac:dyDescent="0.25"/>
    <row r="100" spans="21:27" customFormat="1" x14ac:dyDescent="0.25"/>
    <row r="101" spans="21:27" customFormat="1" x14ac:dyDescent="0.25"/>
    <row r="102" spans="21:27" customFormat="1" x14ac:dyDescent="0.25">
      <c r="AA102" s="35"/>
    </row>
    <row r="103" spans="21:27" customFormat="1" x14ac:dyDescent="0.25">
      <c r="U103" s="35"/>
      <c r="V103" s="35"/>
      <c r="W103" s="35"/>
      <c r="X103" s="35"/>
      <c r="Y103" s="35"/>
      <c r="Z103" s="35"/>
      <c r="AA103" s="35"/>
    </row>
    <row r="104" spans="21:27" customFormat="1" x14ac:dyDescent="0.25">
      <c r="U104" s="35"/>
      <c r="V104" s="35"/>
      <c r="W104" s="35"/>
      <c r="X104" s="35"/>
      <c r="Y104" s="35"/>
      <c r="Z104" s="35"/>
      <c r="AA104" s="35"/>
    </row>
  </sheetData>
  <mergeCells count="60"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C51:G51"/>
    <mergeCell ref="A52:B52"/>
    <mergeCell ref="A53:B53"/>
    <mergeCell ref="A54:B54"/>
    <mergeCell ref="C61:G61"/>
    <mergeCell ref="A55:B55"/>
    <mergeCell ref="A56:B56"/>
    <mergeCell ref="A57:B57"/>
    <mergeCell ref="A58:B58"/>
    <mergeCell ref="A59:B59"/>
    <mergeCell ref="A65:B65"/>
    <mergeCell ref="A66:B66"/>
    <mergeCell ref="A67:B67"/>
    <mergeCell ref="A68:B68"/>
    <mergeCell ref="A60:B60"/>
    <mergeCell ref="A61:B61"/>
    <mergeCell ref="A62:B62"/>
    <mergeCell ref="A63:B63"/>
    <mergeCell ref="A78:B78"/>
    <mergeCell ref="A79:B79"/>
    <mergeCell ref="A80:B80"/>
    <mergeCell ref="A81:B81"/>
    <mergeCell ref="AB44:AC44"/>
    <mergeCell ref="A73:B73"/>
    <mergeCell ref="A74:B74"/>
    <mergeCell ref="A75:B75"/>
    <mergeCell ref="A76:B76"/>
    <mergeCell ref="A77:B77"/>
    <mergeCell ref="A69:B69"/>
    <mergeCell ref="C69:G69"/>
    <mergeCell ref="A70:B70"/>
    <mergeCell ref="A71:B71"/>
    <mergeCell ref="A72:B72"/>
    <mergeCell ref="A64:B64"/>
    <mergeCell ref="A40:G40"/>
    <mergeCell ref="A41:B41"/>
    <mergeCell ref="AB36:AC36"/>
    <mergeCell ref="A36:G36"/>
    <mergeCell ref="O36:R36"/>
    <mergeCell ref="U37:Z37"/>
    <mergeCell ref="U36:Z36"/>
    <mergeCell ref="AB37:AC37"/>
    <mergeCell ref="A37:B39"/>
    <mergeCell ref="C37:G37"/>
    <mergeCell ref="C38:C39"/>
    <mergeCell ref="D38:D39"/>
    <mergeCell ref="E38:E39"/>
    <mergeCell ref="F38:F39"/>
    <mergeCell ref="G38:G39"/>
    <mergeCell ref="C41:G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8CE4A-0462-4EC6-BCEA-3BEFE947E0D8}">
  <sheetPr>
    <tabColor theme="7" tint="0.59999389629810485"/>
  </sheetPr>
  <dimension ref="A1:W35"/>
  <sheetViews>
    <sheetView zoomScale="85" zoomScaleNormal="85" workbookViewId="0">
      <selection activeCell="H39" sqref="H39"/>
    </sheetView>
  </sheetViews>
  <sheetFormatPr defaultColWidth="9.5703125" defaultRowHeight="15" x14ac:dyDescent="0.25"/>
  <cols>
    <col min="1" max="1" width="18.5703125" bestFit="1" customWidth="1"/>
    <col min="2" max="2" width="12.28515625" bestFit="1" customWidth="1"/>
    <col min="10" max="10" width="13.5703125" bestFit="1" customWidth="1"/>
  </cols>
  <sheetData>
    <row r="1" spans="1:23" ht="15.75" thickBot="1" x14ac:dyDescent="0.3">
      <c r="A1" s="6" t="s">
        <v>194</v>
      </c>
      <c r="B1" s="6">
        <v>350</v>
      </c>
      <c r="C1" s="7"/>
      <c r="D1" s="7"/>
      <c r="E1" s="7"/>
      <c r="F1" s="7"/>
      <c r="G1" s="7"/>
      <c r="H1" s="8"/>
      <c r="I1" s="8"/>
      <c r="J1" s="9" t="s">
        <v>318</v>
      </c>
      <c r="K1" s="10"/>
      <c r="N1" s="161"/>
      <c r="O1" s="161"/>
      <c r="P1" s="8"/>
      <c r="Q1" s="8"/>
      <c r="R1" s="8"/>
      <c r="S1" s="8"/>
      <c r="T1" s="8"/>
      <c r="U1" s="8"/>
    </row>
    <row r="2" spans="1:23" ht="15.75" thickBot="1" x14ac:dyDescent="0.3">
      <c r="A2" s="11" t="s">
        <v>319</v>
      </c>
      <c r="B2" s="12" t="s">
        <v>43</v>
      </c>
      <c r="C2" s="12" t="s">
        <v>44</v>
      </c>
      <c r="D2" s="12" t="s">
        <v>197</v>
      </c>
      <c r="E2" s="12" t="s">
        <v>46</v>
      </c>
      <c r="F2" s="12" t="s">
        <v>47</v>
      </c>
      <c r="G2" s="12" t="s">
        <v>48</v>
      </c>
      <c r="H2" s="12" t="s">
        <v>151</v>
      </c>
      <c r="I2" s="8"/>
      <c r="J2" s="9" t="s">
        <v>320</v>
      </c>
      <c r="K2" s="10"/>
      <c r="N2" s="162"/>
      <c r="O2" s="163"/>
      <c r="P2" s="163"/>
      <c r="Q2" s="163"/>
      <c r="R2" s="163"/>
      <c r="S2" s="163"/>
      <c r="T2" s="163"/>
      <c r="U2" s="163"/>
      <c r="V2" s="163"/>
    </row>
    <row r="3" spans="1:23" ht="15.75" thickBot="1" x14ac:dyDescent="0.3">
      <c r="A3" s="14" t="s">
        <v>153</v>
      </c>
      <c r="B3" s="10">
        <f t="shared" ref="B3:H3" si="0">IF($B$1=350,B17,IF($B$1=737,B23,IF($B$1=380,B23)))</f>
        <v>0</v>
      </c>
      <c r="C3" s="10">
        <f t="shared" si="0"/>
        <v>34</v>
      </c>
      <c r="D3" s="10">
        <f t="shared" si="0"/>
        <v>48</v>
      </c>
      <c r="E3" s="10">
        <f t="shared" si="0"/>
        <v>198</v>
      </c>
      <c r="F3" s="10">
        <f t="shared" si="0"/>
        <v>0</v>
      </c>
      <c r="G3" s="10">
        <f t="shared" si="0"/>
        <v>6</v>
      </c>
      <c r="H3" s="10">
        <f t="shared" si="0"/>
        <v>286</v>
      </c>
      <c r="I3" s="15"/>
      <c r="J3" s="9" t="s">
        <v>321</v>
      </c>
      <c r="K3" s="10"/>
      <c r="N3" s="164"/>
      <c r="O3" s="8"/>
      <c r="P3" s="8"/>
      <c r="Q3" s="8"/>
      <c r="R3" s="8"/>
      <c r="S3" s="8"/>
      <c r="T3" s="8"/>
      <c r="U3" s="8"/>
      <c r="V3" s="8"/>
      <c r="W3" s="8"/>
    </row>
    <row r="4" spans="1:23" ht="15.75" thickBot="1" x14ac:dyDescent="0.3">
      <c r="A4" s="14" t="s">
        <v>322</v>
      </c>
      <c r="B4" s="16">
        <f>+'P&amp;L'!$R$4</f>
        <v>0.8</v>
      </c>
      <c r="C4" s="16">
        <f>+'P&amp;L'!$R$4</f>
        <v>0.8</v>
      </c>
      <c r="D4" s="16">
        <f>+'P&amp;L'!$R$4</f>
        <v>0.8</v>
      </c>
      <c r="E4" s="16">
        <f>+'P&amp;L'!$R$4</f>
        <v>0.8</v>
      </c>
      <c r="F4" s="16">
        <f>+'P&amp;L'!$R$4</f>
        <v>0.8</v>
      </c>
      <c r="G4" s="16">
        <f>+'P&amp;L'!$R$4</f>
        <v>0.8</v>
      </c>
      <c r="H4" s="16"/>
      <c r="I4" s="8"/>
      <c r="J4" s="9" t="s">
        <v>323</v>
      </c>
      <c r="K4" s="10"/>
      <c r="N4" s="164"/>
      <c r="O4" s="166"/>
      <c r="P4" s="166"/>
      <c r="Q4" s="166"/>
      <c r="R4" s="166"/>
      <c r="S4" s="166"/>
      <c r="T4" s="166"/>
      <c r="U4" s="166"/>
    </row>
    <row r="5" spans="1:23" ht="15.75" thickBot="1" x14ac:dyDescent="0.3">
      <c r="A5" s="17" t="s">
        <v>324</v>
      </c>
      <c r="B5" s="18">
        <f t="shared" ref="B5:G5" si="1">ROUNDUP(B3*B4,0)</f>
        <v>0</v>
      </c>
      <c r="C5" s="18">
        <f t="shared" si="1"/>
        <v>28</v>
      </c>
      <c r="D5" s="18">
        <f t="shared" si="1"/>
        <v>39</v>
      </c>
      <c r="E5" s="18">
        <f t="shared" si="1"/>
        <v>159</v>
      </c>
      <c r="F5" s="18">
        <f t="shared" si="1"/>
        <v>0</v>
      </c>
      <c r="G5" s="18">
        <f t="shared" si="1"/>
        <v>5</v>
      </c>
      <c r="H5" s="18">
        <f>SUM(B5:G5)</f>
        <v>231</v>
      </c>
      <c r="I5" s="15"/>
      <c r="J5" s="19" t="s">
        <v>325</v>
      </c>
      <c r="K5" s="13"/>
      <c r="N5" s="164"/>
      <c r="O5" s="15"/>
      <c r="P5" s="15"/>
      <c r="Q5" s="15"/>
      <c r="R5" s="15"/>
      <c r="S5" s="15"/>
      <c r="T5" s="15"/>
      <c r="U5" s="15"/>
    </row>
    <row r="8" spans="1:23" ht="4.1500000000000004" customHeight="1" x14ac:dyDescent="0.25"/>
    <row r="9" spans="1:23" ht="13.9" hidden="1" customHeight="1" thickBot="1" x14ac:dyDescent="0.3">
      <c r="A9" s="6" t="s">
        <v>194</v>
      </c>
      <c r="B9" s="6">
        <v>787</v>
      </c>
      <c r="C9" s="7"/>
      <c r="D9" s="7"/>
      <c r="E9" s="7"/>
      <c r="F9" s="7"/>
      <c r="G9" s="7"/>
      <c r="H9" s="8"/>
      <c r="I9" s="8"/>
      <c r="J9" s="9" t="s">
        <v>318</v>
      </c>
      <c r="K9" s="10">
        <v>52</v>
      </c>
      <c r="N9" s="161"/>
      <c r="O9" s="161"/>
      <c r="P9" s="8"/>
      <c r="Q9" s="8"/>
      <c r="R9" s="8"/>
      <c r="S9" s="8"/>
      <c r="T9" s="8"/>
      <c r="U9" s="8"/>
    </row>
    <row r="10" spans="1:23" ht="13.9" hidden="1" customHeight="1" thickBot="1" x14ac:dyDescent="0.3">
      <c r="A10" s="11" t="s">
        <v>319</v>
      </c>
      <c r="B10" s="12" t="s">
        <v>43</v>
      </c>
      <c r="C10" s="12" t="s">
        <v>44</v>
      </c>
      <c r="D10" s="12" t="s">
        <v>197</v>
      </c>
      <c r="E10" s="12" t="s">
        <v>46</v>
      </c>
      <c r="F10" s="12" t="s">
        <v>47</v>
      </c>
      <c r="G10" s="12" t="s">
        <v>48</v>
      </c>
      <c r="H10" s="12" t="s">
        <v>151</v>
      </c>
      <c r="I10" s="8"/>
      <c r="J10" s="9" t="s">
        <v>320</v>
      </c>
      <c r="K10" s="13">
        <v>5</v>
      </c>
      <c r="N10" s="162"/>
      <c r="O10" s="163"/>
      <c r="P10" s="163"/>
      <c r="Q10" s="163"/>
      <c r="R10" s="163"/>
      <c r="S10" s="163"/>
      <c r="T10" s="163"/>
      <c r="U10" s="163"/>
    </row>
    <row r="11" spans="1:23" ht="13.9" hidden="1" customHeight="1" thickBot="1" x14ac:dyDescent="0.3">
      <c r="A11" s="14" t="s">
        <v>153</v>
      </c>
      <c r="B11" s="10">
        <v>0</v>
      </c>
      <c r="C11" s="10">
        <v>0</v>
      </c>
      <c r="D11" s="10">
        <v>36</v>
      </c>
      <c r="E11" s="10">
        <v>323</v>
      </c>
      <c r="F11" s="10">
        <v>1</v>
      </c>
      <c r="G11" s="151">
        <v>10</v>
      </c>
      <c r="H11" s="10">
        <f>SUM(B11:G11)</f>
        <v>370</v>
      </c>
      <c r="I11" s="15"/>
      <c r="J11" s="9" t="s">
        <v>321</v>
      </c>
      <c r="K11" s="13">
        <f>K9*K10</f>
        <v>260</v>
      </c>
      <c r="N11" s="164"/>
      <c r="O11" s="8"/>
      <c r="P11" s="8"/>
      <c r="Q11" s="8"/>
      <c r="R11" s="8"/>
      <c r="S11" s="8"/>
      <c r="T11" s="165"/>
      <c r="U11" s="8"/>
    </row>
    <row r="12" spans="1:23" ht="13.9" hidden="1" customHeight="1" thickBot="1" x14ac:dyDescent="0.3">
      <c r="A12" s="14" t="s">
        <v>322</v>
      </c>
      <c r="B12" s="16">
        <v>1</v>
      </c>
      <c r="C12" s="16">
        <v>1</v>
      </c>
      <c r="D12" s="16">
        <v>1</v>
      </c>
      <c r="E12" s="16">
        <v>1</v>
      </c>
      <c r="F12" s="16">
        <v>1</v>
      </c>
      <c r="G12" s="16">
        <v>1</v>
      </c>
      <c r="H12" s="16"/>
      <c r="I12" s="8"/>
      <c r="J12" s="9" t="s">
        <v>323</v>
      </c>
      <c r="K12" s="10">
        <v>1</v>
      </c>
      <c r="N12" s="164"/>
      <c r="O12" s="166"/>
      <c r="P12" s="166"/>
      <c r="Q12" s="166"/>
      <c r="R12" s="166"/>
      <c r="S12" s="166"/>
      <c r="T12" s="166"/>
      <c r="U12" s="166"/>
    </row>
    <row r="13" spans="1:23" ht="13.9" hidden="1" customHeight="1" thickBot="1" x14ac:dyDescent="0.3">
      <c r="A13" s="17" t="s">
        <v>324</v>
      </c>
      <c r="B13" s="18">
        <f t="shared" ref="B13:G13" si="2">ROUNDUP(B11*B12,0)</f>
        <v>0</v>
      </c>
      <c r="C13" s="18">
        <f t="shared" si="2"/>
        <v>0</v>
      </c>
      <c r="D13" s="18">
        <f t="shared" si="2"/>
        <v>36</v>
      </c>
      <c r="E13" s="18">
        <f t="shared" si="2"/>
        <v>323</v>
      </c>
      <c r="F13" s="18">
        <f t="shared" si="2"/>
        <v>1</v>
      </c>
      <c r="G13" s="18">
        <f t="shared" si="2"/>
        <v>10</v>
      </c>
      <c r="H13" s="18">
        <f>SUM(B13:G13)</f>
        <v>370</v>
      </c>
      <c r="I13" s="15"/>
      <c r="J13" s="19" t="s">
        <v>325</v>
      </c>
      <c r="K13" s="20">
        <f>K11/K12</f>
        <v>260</v>
      </c>
      <c r="N13" s="164"/>
      <c r="O13" s="15"/>
      <c r="P13" s="15"/>
      <c r="Q13" s="15"/>
      <c r="R13" s="15"/>
      <c r="S13" s="15"/>
      <c r="T13" s="15"/>
      <c r="U13" s="15"/>
    </row>
    <row r="14" spans="1:23" ht="13.9" customHeight="1" thickBot="1" x14ac:dyDescent="0.3">
      <c r="A14" s="278">
        <v>0</v>
      </c>
    </row>
    <row r="15" spans="1:23" ht="15.75" thickBot="1" x14ac:dyDescent="0.3">
      <c r="A15" s="6" t="s">
        <v>194</v>
      </c>
      <c r="B15" s="6">
        <v>350</v>
      </c>
      <c r="C15" s="7"/>
      <c r="D15" s="7"/>
      <c r="E15" s="7"/>
      <c r="F15" s="7"/>
      <c r="G15" s="7"/>
      <c r="H15" s="8"/>
      <c r="I15" s="8"/>
      <c r="J15" s="9" t="s">
        <v>318</v>
      </c>
      <c r="K15" s="10">
        <v>52</v>
      </c>
    </row>
    <row r="16" spans="1:23" ht="15.75" thickBot="1" x14ac:dyDescent="0.3">
      <c r="A16" s="11" t="s">
        <v>319</v>
      </c>
      <c r="B16" s="12" t="s">
        <v>43</v>
      </c>
      <c r="C16" s="12" t="s">
        <v>44</v>
      </c>
      <c r="D16" s="12" t="s">
        <v>197</v>
      </c>
      <c r="E16" s="12" t="s">
        <v>46</v>
      </c>
      <c r="F16" s="12" t="s">
        <v>47</v>
      </c>
      <c r="G16" s="12" t="s">
        <v>48</v>
      </c>
      <c r="H16" s="12" t="s">
        <v>151</v>
      </c>
      <c r="I16" s="8"/>
      <c r="J16" s="9" t="s">
        <v>320</v>
      </c>
      <c r="K16" s="13">
        <v>7</v>
      </c>
    </row>
    <row r="17" spans="1:11" ht="15.75" thickBot="1" x14ac:dyDescent="0.3">
      <c r="A17" s="14" t="s">
        <v>153</v>
      </c>
      <c r="B17" s="13">
        <f t="shared" ref="B17:G17" si="3">B29</f>
        <v>0</v>
      </c>
      <c r="C17" s="13">
        <f t="shared" si="3"/>
        <v>34</v>
      </c>
      <c r="D17" s="13">
        <f t="shared" si="3"/>
        <v>48</v>
      </c>
      <c r="E17" s="13">
        <f t="shared" si="3"/>
        <v>198</v>
      </c>
      <c r="F17" s="13">
        <f t="shared" si="3"/>
        <v>0</v>
      </c>
      <c r="G17" s="331">
        <f t="shared" si="3"/>
        <v>6</v>
      </c>
      <c r="H17" s="10">
        <f>SUM(B17:G17)</f>
        <v>286</v>
      </c>
      <c r="I17" s="15"/>
      <c r="J17" s="9" t="s">
        <v>321</v>
      </c>
      <c r="K17" s="13">
        <f>K15*K16</f>
        <v>364</v>
      </c>
    </row>
    <row r="18" spans="1:11" ht="15.75" thickBot="1" x14ac:dyDescent="0.3">
      <c r="A18" s="14" t="s">
        <v>322</v>
      </c>
      <c r="B18" s="16">
        <f>+'P&amp;L'!$R$4</f>
        <v>0.8</v>
      </c>
      <c r="C18" s="16">
        <f>+'P&amp;L'!$R$4</f>
        <v>0.8</v>
      </c>
      <c r="D18" s="16">
        <f>+'P&amp;L'!$R$4</f>
        <v>0.8</v>
      </c>
      <c r="E18" s="16">
        <f>+'P&amp;L'!$R$4</f>
        <v>0.8</v>
      </c>
      <c r="F18" s="16">
        <f>+'P&amp;L'!$R$4</f>
        <v>0.8</v>
      </c>
      <c r="G18" s="16">
        <f>+'P&amp;L'!$R$4</f>
        <v>0.8</v>
      </c>
      <c r="H18" s="16"/>
      <c r="I18" s="8"/>
      <c r="J18" s="9" t="s">
        <v>323</v>
      </c>
      <c r="K18" s="10">
        <v>1</v>
      </c>
    </row>
    <row r="19" spans="1:11" ht="15.75" thickBot="1" x14ac:dyDescent="0.3">
      <c r="A19" s="17" t="s">
        <v>324</v>
      </c>
      <c r="B19" s="18">
        <f t="shared" ref="B19:G19" si="4">ROUNDUP(B17*B18,0)</f>
        <v>0</v>
      </c>
      <c r="C19" s="18">
        <f t="shared" si="4"/>
        <v>28</v>
      </c>
      <c r="D19" s="18">
        <f t="shared" si="4"/>
        <v>39</v>
      </c>
      <c r="E19" s="18">
        <f t="shared" si="4"/>
        <v>159</v>
      </c>
      <c r="F19" s="18">
        <f t="shared" si="4"/>
        <v>0</v>
      </c>
      <c r="G19" s="18">
        <f t="shared" si="4"/>
        <v>5</v>
      </c>
      <c r="H19" s="18">
        <f>SUM(B19:G19)</f>
        <v>231</v>
      </c>
      <c r="I19" s="15"/>
      <c r="J19" s="19" t="s">
        <v>325</v>
      </c>
      <c r="K19" s="20">
        <v>365</v>
      </c>
    </row>
    <row r="20" spans="1:11" ht="15.75" thickBot="1" x14ac:dyDescent="0.3"/>
    <row r="21" spans="1:11" ht="15.75" thickBot="1" x14ac:dyDescent="0.3">
      <c r="A21" s="6"/>
      <c r="B21" s="6">
        <v>330</v>
      </c>
      <c r="C21" s="7"/>
      <c r="D21" s="7"/>
      <c r="E21" s="7"/>
      <c r="F21" s="7"/>
      <c r="G21" s="7"/>
      <c r="H21" s="8"/>
      <c r="I21" s="8"/>
      <c r="J21" s="9" t="s">
        <v>318</v>
      </c>
      <c r="K21" s="10">
        <v>52</v>
      </c>
    </row>
    <row r="22" spans="1:11" ht="15.75" thickBot="1" x14ac:dyDescent="0.3">
      <c r="A22" s="11" t="s">
        <v>319</v>
      </c>
      <c r="B22" s="12" t="s">
        <v>43</v>
      </c>
      <c r="C22" s="12" t="s">
        <v>44</v>
      </c>
      <c r="D22" s="12" t="s">
        <v>197</v>
      </c>
      <c r="E22" s="12" t="s">
        <v>46</v>
      </c>
      <c r="F22" s="12" t="s">
        <v>47</v>
      </c>
      <c r="G22" s="12" t="s">
        <v>48</v>
      </c>
      <c r="H22" s="12" t="s">
        <v>151</v>
      </c>
      <c r="I22" s="8"/>
      <c r="J22" s="9" t="s">
        <v>320</v>
      </c>
      <c r="K22" s="13">
        <v>7</v>
      </c>
    </row>
    <row r="23" spans="1:11" ht="15.75" thickBot="1" x14ac:dyDescent="0.3">
      <c r="A23" s="14" t="s">
        <v>153</v>
      </c>
      <c r="B23" s="13">
        <f>B35</f>
        <v>0</v>
      </c>
      <c r="C23" s="13">
        <f t="shared" ref="C23:G23" si="5">C35</f>
        <v>30</v>
      </c>
      <c r="D23" s="13">
        <f t="shared" si="5"/>
        <v>44</v>
      </c>
      <c r="E23" s="13">
        <f t="shared" si="5"/>
        <v>184</v>
      </c>
      <c r="F23" s="13">
        <f t="shared" si="5"/>
        <v>0</v>
      </c>
      <c r="G23" s="13">
        <f t="shared" si="5"/>
        <v>6</v>
      </c>
      <c r="H23" s="10">
        <f>SUM(B23:G23)</f>
        <v>264</v>
      </c>
      <c r="I23" s="15"/>
      <c r="J23" s="9" t="s">
        <v>321</v>
      </c>
      <c r="K23" s="13">
        <f>K21*K22</f>
        <v>364</v>
      </c>
    </row>
    <row r="24" spans="1:11" ht="15.75" thickBot="1" x14ac:dyDescent="0.3">
      <c r="A24" s="14" t="s">
        <v>322</v>
      </c>
      <c r="B24" s="16">
        <f>+'P&amp;L'!$R$4</f>
        <v>0.8</v>
      </c>
      <c r="C24" s="16">
        <f>+'P&amp;L'!$R$4</f>
        <v>0.8</v>
      </c>
      <c r="D24" s="16">
        <f>+'P&amp;L'!$R$4</f>
        <v>0.8</v>
      </c>
      <c r="E24" s="16">
        <f>+'P&amp;L'!$R$4</f>
        <v>0.8</v>
      </c>
      <c r="F24" s="16">
        <f>+'P&amp;L'!$R$4</f>
        <v>0.8</v>
      </c>
      <c r="G24" s="16">
        <f>+'P&amp;L'!$R$4</f>
        <v>0.8</v>
      </c>
      <c r="H24" s="16"/>
      <c r="I24" s="8"/>
      <c r="J24" s="9" t="s">
        <v>323</v>
      </c>
      <c r="K24" s="10">
        <v>1</v>
      </c>
    </row>
    <row r="25" spans="1:11" ht="15.75" thickBot="1" x14ac:dyDescent="0.3">
      <c r="A25" s="17" t="s">
        <v>324</v>
      </c>
      <c r="B25" s="18">
        <f t="shared" ref="B25:G25" si="6">ROUNDUP(B23*B24,0)</f>
        <v>0</v>
      </c>
      <c r="C25" s="18">
        <f t="shared" si="6"/>
        <v>24</v>
      </c>
      <c r="D25" s="18">
        <f t="shared" si="6"/>
        <v>36</v>
      </c>
      <c r="E25" s="18">
        <f t="shared" si="6"/>
        <v>148</v>
      </c>
      <c r="F25" s="18">
        <f t="shared" si="6"/>
        <v>0</v>
      </c>
      <c r="G25" s="18">
        <f t="shared" si="6"/>
        <v>5</v>
      </c>
      <c r="H25" s="18">
        <f>SUM(B25:G25)</f>
        <v>213</v>
      </c>
      <c r="I25" s="15"/>
      <c r="J25" s="19" t="s">
        <v>325</v>
      </c>
      <c r="K25" s="20">
        <v>365</v>
      </c>
    </row>
    <row r="28" spans="1:11" ht="45" x14ac:dyDescent="0.25">
      <c r="A28" s="332" t="s">
        <v>326</v>
      </c>
      <c r="B28" s="120" t="s">
        <v>155</v>
      </c>
      <c r="C28" s="120" t="s">
        <v>156</v>
      </c>
      <c r="D28" s="120" t="s">
        <v>157</v>
      </c>
      <c r="E28" s="120" t="s">
        <v>158</v>
      </c>
      <c r="F28" s="120" t="s">
        <v>159</v>
      </c>
      <c r="G28" s="120" t="s">
        <v>189</v>
      </c>
    </row>
    <row r="29" spans="1:11" x14ac:dyDescent="0.25">
      <c r="B29" s="247">
        <v>0</v>
      </c>
      <c r="C29" s="247">
        <v>34</v>
      </c>
      <c r="D29" s="247">
        <v>48</v>
      </c>
      <c r="E29" s="247">
        <v>198</v>
      </c>
      <c r="F29" s="247"/>
      <c r="G29" s="247">
        <v>6</v>
      </c>
    </row>
    <row r="34" spans="1:7" ht="45" x14ac:dyDescent="0.25">
      <c r="A34" s="332" t="s">
        <v>327</v>
      </c>
      <c r="B34" s="120" t="s">
        <v>155</v>
      </c>
      <c r="C34" s="120" t="s">
        <v>156</v>
      </c>
      <c r="D34" s="120" t="s">
        <v>157</v>
      </c>
      <c r="E34" s="120" t="s">
        <v>158</v>
      </c>
      <c r="F34" s="120" t="s">
        <v>159</v>
      </c>
      <c r="G34" s="120" t="s">
        <v>189</v>
      </c>
    </row>
    <row r="35" spans="1:7" x14ac:dyDescent="0.25">
      <c r="B35" s="247">
        <v>0</v>
      </c>
      <c r="C35" s="247">
        <v>30</v>
      </c>
      <c r="D35" s="247">
        <v>44</v>
      </c>
      <c r="E35" s="247">
        <v>184</v>
      </c>
      <c r="F35" s="247"/>
      <c r="G35" s="247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9053F-E28F-4FE2-A8A7-22CF0134E920}">
  <sheetPr>
    <tabColor theme="7" tint="0.59999389629810485"/>
  </sheetPr>
  <dimension ref="A1:AK162"/>
  <sheetViews>
    <sheetView tabSelected="1" topLeftCell="A28" zoomScaleNormal="100" workbookViewId="0">
      <selection activeCell="R65" sqref="R65"/>
    </sheetView>
  </sheetViews>
  <sheetFormatPr defaultRowHeight="15" x14ac:dyDescent="0.25"/>
  <cols>
    <col min="1" max="1" width="18" customWidth="1"/>
    <col min="2" max="2" width="5.7109375" bestFit="1" customWidth="1"/>
    <col min="3" max="3" width="15" customWidth="1"/>
    <col min="4" max="4" width="8.7109375" customWidth="1"/>
    <col min="5" max="5" width="10.7109375" style="300" bestFit="1" customWidth="1"/>
    <col min="6" max="6" width="11.28515625" style="35" bestFit="1" customWidth="1"/>
    <col min="7" max="7" width="119.140625" customWidth="1"/>
    <col min="8" max="8" width="8" style="283" customWidth="1"/>
    <col min="9" max="9" width="9.5703125" bestFit="1" customWidth="1"/>
    <col min="10" max="10" width="8.42578125" style="287" customWidth="1"/>
    <col min="11" max="11" width="9.5703125" style="125" bestFit="1" customWidth="1"/>
    <col min="12" max="12" width="6.28515625" style="186" customWidth="1"/>
    <col min="13" max="13" width="8.42578125" style="125" bestFit="1" customWidth="1"/>
    <col min="14" max="14" width="8.42578125" bestFit="1" customWidth="1"/>
    <col min="15" max="15" width="8.28515625" bestFit="1" customWidth="1"/>
    <col min="16" max="16" width="10.28515625" customWidth="1"/>
    <col min="17" max="20" width="8.5703125" customWidth="1"/>
    <col min="21" max="21" width="13.42578125" customWidth="1"/>
    <col min="22" max="22" width="5.5703125" bestFit="1" customWidth="1"/>
    <col min="23" max="23" width="12.28515625" bestFit="1" customWidth="1"/>
    <col min="24" max="24" width="11" bestFit="1" customWidth="1"/>
    <col min="25" max="25" width="11" customWidth="1"/>
    <col min="26" max="26" width="8.42578125" bestFit="1" customWidth="1"/>
    <col min="27" max="27" width="7.7109375" bestFit="1" customWidth="1"/>
    <col min="28" max="29" width="7.7109375" customWidth="1"/>
    <col min="30" max="30" width="12.5703125" bestFit="1" customWidth="1"/>
    <col min="32" max="32" width="13.42578125" bestFit="1" customWidth="1"/>
    <col min="33" max="36" width="11.7109375" bestFit="1" customWidth="1"/>
    <col min="37" max="37" width="13.42578125" bestFit="1" customWidth="1"/>
  </cols>
  <sheetData>
    <row r="1" spans="1:37" ht="15.75" thickBot="1" x14ac:dyDescent="0.3">
      <c r="A1" s="28"/>
      <c r="B1" s="29"/>
      <c r="C1" s="29"/>
      <c r="D1" s="29"/>
      <c r="E1" s="297"/>
      <c r="F1" s="303"/>
      <c r="G1" s="29"/>
      <c r="H1" s="279"/>
      <c r="I1" s="29"/>
      <c r="J1" s="284"/>
      <c r="K1" s="242"/>
      <c r="L1" s="242"/>
      <c r="M1" s="122"/>
      <c r="N1" s="29"/>
      <c r="O1" s="29"/>
      <c r="P1" s="314"/>
      <c r="Q1" s="315"/>
      <c r="R1" s="315"/>
      <c r="S1" s="315"/>
      <c r="T1" s="315"/>
      <c r="U1" s="179"/>
      <c r="X1" s="430" t="s">
        <v>161</v>
      </c>
      <c r="Y1" s="431"/>
      <c r="Z1" s="431"/>
      <c r="AA1" s="431"/>
      <c r="AB1" s="431"/>
      <c r="AC1" s="431"/>
      <c r="AD1" s="432"/>
      <c r="AG1" s="433" t="s">
        <v>328</v>
      </c>
      <c r="AH1" s="434"/>
      <c r="AI1" s="434"/>
      <c r="AJ1" s="434"/>
      <c r="AK1" s="435"/>
    </row>
    <row r="2" spans="1:37" ht="15.75" thickBot="1" x14ac:dyDescent="0.3">
      <c r="A2" s="30"/>
      <c r="B2" s="31"/>
      <c r="C2" s="31"/>
      <c r="D2" s="31"/>
      <c r="E2" s="298"/>
      <c r="F2" s="304"/>
      <c r="G2" s="31"/>
      <c r="H2" s="280"/>
      <c r="I2" s="31"/>
      <c r="J2" s="285"/>
      <c r="K2" s="123"/>
      <c r="L2" s="239"/>
      <c r="M2" s="126">
        <v>0.4</v>
      </c>
      <c r="N2" s="127"/>
      <c r="O2" s="176">
        <f>'P&amp;L'!R8</f>
        <v>0.22</v>
      </c>
      <c r="P2" s="178">
        <f>'P&amp;L'!R9</f>
        <v>0.2</v>
      </c>
      <c r="Q2" s="177"/>
      <c r="R2" s="177"/>
      <c r="S2" s="177"/>
      <c r="T2" s="177"/>
      <c r="U2" s="32"/>
      <c r="X2" s="21"/>
      <c r="Y2" s="22"/>
      <c r="Z2" s="22"/>
      <c r="AA2" s="22"/>
      <c r="AB2" s="22"/>
      <c r="AC2" s="22"/>
      <c r="AD2" s="23"/>
      <c r="AG2" s="24"/>
      <c r="AH2" s="25"/>
      <c r="AI2" s="25"/>
      <c r="AJ2" s="25"/>
      <c r="AK2" s="26"/>
    </row>
    <row r="3" spans="1:37" ht="60" x14ac:dyDescent="0.25">
      <c r="A3" s="27" t="s">
        <v>329</v>
      </c>
      <c r="B3" s="27" t="s">
        <v>182</v>
      </c>
      <c r="C3" s="27"/>
      <c r="D3" s="27" t="s">
        <v>330</v>
      </c>
      <c r="E3" s="299" t="s">
        <v>331</v>
      </c>
      <c r="F3" s="305"/>
      <c r="G3" s="27" t="s">
        <v>3</v>
      </c>
      <c r="H3" s="281" t="s">
        <v>332</v>
      </c>
      <c r="I3" s="2" t="s">
        <v>333</v>
      </c>
      <c r="J3" s="286" t="s">
        <v>334</v>
      </c>
      <c r="K3" s="124" t="s">
        <v>335</v>
      </c>
      <c r="L3" s="27" t="s">
        <v>336</v>
      </c>
      <c r="M3" s="124" t="s">
        <v>337</v>
      </c>
      <c r="N3" s="3" t="s">
        <v>230</v>
      </c>
      <c r="O3" s="3" t="s">
        <v>104</v>
      </c>
      <c r="P3" s="3" t="s">
        <v>338</v>
      </c>
      <c r="Q3" s="3" t="s">
        <v>339</v>
      </c>
      <c r="R3" s="3" t="s">
        <v>340</v>
      </c>
      <c r="S3" s="3" t="s">
        <v>341</v>
      </c>
      <c r="T3" s="3" t="s">
        <v>220</v>
      </c>
      <c r="U3" s="180"/>
      <c r="W3" s="1" t="s">
        <v>342</v>
      </c>
      <c r="X3" s="1" t="s">
        <v>343</v>
      </c>
      <c r="Y3" s="3" t="s">
        <v>344</v>
      </c>
      <c r="Z3" s="3" t="s">
        <v>345</v>
      </c>
      <c r="AA3" s="3" t="s">
        <v>346</v>
      </c>
      <c r="AB3" s="3" t="s">
        <v>347</v>
      </c>
      <c r="AC3" s="3" t="s">
        <v>348</v>
      </c>
      <c r="AD3" s="1" t="s">
        <v>349</v>
      </c>
      <c r="AF3" s="3" t="s">
        <v>350</v>
      </c>
      <c r="AG3" s="3" t="s">
        <v>351</v>
      </c>
      <c r="AH3" s="3" t="s">
        <v>352</v>
      </c>
      <c r="AI3" s="3" t="s">
        <v>353</v>
      </c>
      <c r="AJ3" s="4" t="s">
        <v>354</v>
      </c>
      <c r="AK3" s="5" t="s">
        <v>355</v>
      </c>
    </row>
    <row r="4" spans="1:37" x14ac:dyDescent="0.25">
      <c r="A4" t="s">
        <v>156</v>
      </c>
      <c r="B4" s="169">
        <v>1</v>
      </c>
      <c r="C4" s="174" t="str">
        <f>CONCATENATE(A4&amp;B4&amp;F4)</f>
        <v>BUSINESS CLASS1110</v>
      </c>
      <c r="D4" s="170"/>
      <c r="E4" s="301">
        <v>1205</v>
      </c>
      <c r="F4" s="306">
        <v>110</v>
      </c>
      <c r="G4" t="str">
        <f>VLOOKUP(E4,'FG MASTER'!$A:$AB,2,0)</f>
        <v>BC DINNER TRAY SET UP</v>
      </c>
      <c r="H4" s="282">
        <v>1</v>
      </c>
      <c r="I4" s="171">
        <v>1</v>
      </c>
      <c r="J4" s="288">
        <f>IFERROR(IF(I4="std",H4,HLOOKUP(A4,'FlightConfig '!$B$34:$G$35,2,0)*I4),"")</f>
        <v>30</v>
      </c>
      <c r="K4" s="242">
        <f>VLOOKUP(Food!E4,'FG MASTER'!$A$1:$AC$737,16,0)</f>
        <v>0</v>
      </c>
      <c r="L4" s="243">
        <f>VLOOKUP(Food!E4,'FG MASTER'!$A$10:$AC$737,17,0)</f>
        <v>0</v>
      </c>
      <c r="M4" s="130">
        <f t="shared" ref="M4" si="0">IFERROR(L4*$M$2,"")</f>
        <v>0</v>
      </c>
      <c r="N4" s="130">
        <f t="shared" ref="N4" si="1">IFERROR((K4)+M4,"")</f>
        <v>0</v>
      </c>
      <c r="O4" s="130">
        <f t="shared" ref="O4:O72" si="2">IFERROR($K4*(1+$O$2)-$K4,0)</f>
        <v>0</v>
      </c>
      <c r="P4" s="130">
        <f t="shared" ref="P4:P71" si="3">IFERROR($M4*(1+$P$2)-$M4,0)</f>
        <v>0</v>
      </c>
      <c r="Q4" s="130">
        <f>SUM(N4:P4)</f>
        <v>0</v>
      </c>
      <c r="R4" s="398">
        <f t="shared" ref="R4" si="4">K4*(1+$O$2)</f>
        <v>0</v>
      </c>
      <c r="S4" s="398">
        <f t="shared" ref="S4" si="5">M4*(1+$P$2)</f>
        <v>0</v>
      </c>
      <c r="T4" s="398">
        <f t="shared" ref="T4" si="6">R4+S4</f>
        <v>0</v>
      </c>
      <c r="U4" s="125"/>
      <c r="V4" s="125"/>
      <c r="W4" t="str">
        <f>IFERROR(#REF!*J4,"")</f>
        <v/>
      </c>
      <c r="X4">
        <f t="shared" ref="X4" si="7">IFERROR(K4*J4,"")</f>
        <v>0</v>
      </c>
      <c r="Y4">
        <f t="shared" ref="Y4" si="8">IFERROR(+L4*J4,"")</f>
        <v>0</v>
      </c>
      <c r="Z4" s="125">
        <f t="shared" ref="Z4" si="9">IFERROR(+M4*J4,"")</f>
        <v>0</v>
      </c>
      <c r="AA4" s="125">
        <f t="shared" ref="AA4" si="10">IFERROR(+N4*J4,"")</f>
        <v>0</v>
      </c>
      <c r="AB4" s="125">
        <f t="shared" ref="AB4" si="11">IFERROR(O4*$J4,"")</f>
        <v>0</v>
      </c>
      <c r="AC4" s="125">
        <f t="shared" ref="AC4" si="12">IFERROR(P4*$J4,"")</f>
        <v>0</v>
      </c>
      <c r="AD4" s="125">
        <f t="shared" ref="AD4" si="13">IFERROR(+Q4*J4,"")</f>
        <v>0</v>
      </c>
      <c r="AF4" s="125" t="str">
        <f>IFERROR(W4*'FlightConfig '!$K$3,"")</f>
        <v/>
      </c>
      <c r="AG4" s="125">
        <f>IFERROR(X4*'FlightConfig '!$K$23,"")</f>
        <v>0</v>
      </c>
      <c r="AH4" s="125">
        <f>IFERROR(Y4*'FlightConfig '!$K$23,"")</f>
        <v>0</v>
      </c>
      <c r="AI4" s="125">
        <f>IFERROR(Z4*'FlightConfig '!$K$23,"")</f>
        <v>0</v>
      </c>
      <c r="AJ4" s="125">
        <f>IFERROR(AA4*'FlightConfig '!$K$23,"")</f>
        <v>0</v>
      </c>
      <c r="AK4" s="125">
        <f>IFERROR(AB4*'FlightConfig '!$K$23,"")</f>
        <v>0</v>
      </c>
    </row>
    <row r="5" spans="1:37" x14ac:dyDescent="0.25">
      <c r="A5" t="s">
        <v>156</v>
      </c>
      <c r="B5" s="169">
        <v>1</v>
      </c>
      <c r="C5" s="174" t="str">
        <f>CONCATENATE(A5&amp;B5&amp;F5)</f>
        <v>BUSINESS CLASS1110</v>
      </c>
      <c r="D5" s="170"/>
      <c r="E5" s="301">
        <v>1156</v>
      </c>
      <c r="F5" s="306">
        <v>110</v>
      </c>
      <c r="G5" t="str">
        <f>VLOOKUP(E5,'FG MASTER'!$A:$AB,2,0)</f>
        <v>BC C1 DINNER PLAIN WHIPPED BUTTER WITH FLAKE SALT</v>
      </c>
      <c r="H5" s="282">
        <v>1</v>
      </c>
      <c r="I5" s="171">
        <v>1</v>
      </c>
      <c r="J5" s="288">
        <f>IFERROR(IF(I5="std",H5,HLOOKUP(A5,'FlightConfig '!$B$34:$G$35,2,0)*I5),"")</f>
        <v>30</v>
      </c>
      <c r="K5" s="242">
        <f>VLOOKUP(Food!E5,'FG MASTER'!$A$1:$AC$737,16,0)</f>
        <v>0.2</v>
      </c>
      <c r="L5" s="243">
        <f>VLOOKUP(Food!E5,'FG MASTER'!$A$10:$AC$737,17,0)</f>
        <v>0.5</v>
      </c>
      <c r="M5" s="130">
        <f t="shared" ref="M5:M19" si="14">IFERROR(L5*$M$2,"")</f>
        <v>0.2</v>
      </c>
      <c r="N5" s="130">
        <f t="shared" ref="N5:N32" si="15">IFERROR((K5)+M5,"")</f>
        <v>0.4</v>
      </c>
      <c r="O5" s="130">
        <f t="shared" si="2"/>
        <v>4.3999999999999984E-2</v>
      </c>
      <c r="P5" s="130">
        <f t="shared" si="3"/>
        <v>3.999999999999998E-2</v>
      </c>
      <c r="Q5" s="130">
        <f>SUM(N5:P5)</f>
        <v>0.48399999999999999</v>
      </c>
      <c r="R5" s="266">
        <v>0.23</v>
      </c>
      <c r="S5" s="266">
        <v>0.23</v>
      </c>
      <c r="T5" s="266">
        <f t="shared" ref="T5:T69" si="16">R5+S5</f>
        <v>0.46</v>
      </c>
      <c r="U5" s="429" t="s">
        <v>356</v>
      </c>
      <c r="V5" s="125"/>
      <c r="W5" t="str">
        <f>IFERROR(#REF!*J5,"")</f>
        <v/>
      </c>
      <c r="X5">
        <f t="shared" ref="X5:X75" si="17">IFERROR(K5*J5,"")</f>
        <v>6</v>
      </c>
      <c r="Y5">
        <f t="shared" ref="Y5:Y75" si="18">IFERROR(+L5*J5,"")</f>
        <v>15</v>
      </c>
      <c r="Z5" s="125">
        <f t="shared" ref="Z5:Z75" si="19">IFERROR(+M5*J5,"")</f>
        <v>6</v>
      </c>
      <c r="AA5" s="125">
        <f t="shared" ref="AA5:AA75" si="20">IFERROR(+N5*J5,"")</f>
        <v>12</v>
      </c>
      <c r="AB5" s="125">
        <f t="shared" ref="AB5:AB75" si="21">IFERROR(O5*$J5,"")</f>
        <v>1.3199999999999994</v>
      </c>
      <c r="AC5" s="125">
        <f t="shared" ref="AC5:AC75" si="22">IFERROR(P5*$J5,"")</f>
        <v>1.1999999999999993</v>
      </c>
      <c r="AD5" s="125">
        <f t="shared" ref="AD5:AD75" si="23">IFERROR(+Q5*J5,"")</f>
        <v>14.52</v>
      </c>
      <c r="AF5" s="125" t="str">
        <f>IFERROR(W5*'FlightConfig '!$K$3,"")</f>
        <v/>
      </c>
      <c r="AG5" s="125">
        <f>IFERROR(X5*'FlightConfig '!$K$23,"")</f>
        <v>2184</v>
      </c>
      <c r="AH5" s="125">
        <f>IFERROR(Y5*'FlightConfig '!$K$23,"")</f>
        <v>5460</v>
      </c>
      <c r="AI5" s="125">
        <f>IFERROR(Z5*'FlightConfig '!$K$23,"")</f>
        <v>2184</v>
      </c>
      <c r="AJ5" s="125">
        <f>IFERROR(AA5*'FlightConfig '!$K$23,"")</f>
        <v>4368</v>
      </c>
      <c r="AK5" s="125">
        <f>IFERROR(AB5*'FlightConfig '!$K$23,"")</f>
        <v>480.47999999999979</v>
      </c>
    </row>
    <row r="6" spans="1:37" x14ac:dyDescent="0.25">
      <c r="A6" t="s">
        <v>156</v>
      </c>
      <c r="B6" s="169">
        <v>1</v>
      </c>
      <c r="C6" s="174" t="str">
        <f t="shared" ref="C6:C29" si="24">CONCATENATE(A6&amp;B6&amp;F6)</f>
        <v>BUSINESS CLASS1110</v>
      </c>
      <c r="D6" s="170"/>
      <c r="E6" s="301">
        <v>1226</v>
      </c>
      <c r="F6" s="306">
        <v>110</v>
      </c>
      <c r="G6" t="str">
        <f>VLOOKUP(E6,'FG MASTER'!$A:$AB,2,0)</f>
        <v xml:space="preserve">2026 BC CY1 PARKER HOUSE KISS ROLL </v>
      </c>
      <c r="H6" s="282">
        <v>1</v>
      </c>
      <c r="I6" s="171">
        <v>0.4</v>
      </c>
      <c r="J6" s="288">
        <f>IFERROR(IF(I6="std",H6,HLOOKUP(A6,'FlightConfig '!$B$34:$G$35,2,0)*I6),"")</f>
        <v>12</v>
      </c>
      <c r="K6" s="242">
        <f>VLOOKUP(Food!E6,'FG MASTER'!$A$1:$AC$737,16,0)</f>
        <v>0.2</v>
      </c>
      <c r="L6" s="243">
        <f>VLOOKUP(Food!E6,'FG MASTER'!$A$10:$AC$737,17,0)</f>
        <v>0.25</v>
      </c>
      <c r="M6" s="130">
        <f t="shared" si="14"/>
        <v>0.1</v>
      </c>
      <c r="N6" s="130">
        <f t="shared" si="15"/>
        <v>0.30000000000000004</v>
      </c>
      <c r="O6" s="130">
        <f t="shared" si="2"/>
        <v>4.3999999999999984E-2</v>
      </c>
      <c r="P6" s="130">
        <f t="shared" si="3"/>
        <v>1.999999999999999E-2</v>
      </c>
      <c r="Q6" s="130">
        <f t="shared" ref="Q6:Q74" si="25">SUM(N6:P6)</f>
        <v>0.36399999999999999</v>
      </c>
      <c r="R6" s="398">
        <f t="shared" ref="R6:R73" si="26">K6*(1+$O$2)</f>
        <v>0.24399999999999999</v>
      </c>
      <c r="S6" s="398">
        <f t="shared" ref="S6:S68" si="27">M6*(1+$P$2)</f>
        <v>0.12</v>
      </c>
      <c r="T6" s="398">
        <f t="shared" si="16"/>
        <v>0.36399999999999999</v>
      </c>
      <c r="U6" s="125">
        <v>0.47</v>
      </c>
      <c r="V6" s="125"/>
      <c r="W6" t="str">
        <f>IFERROR(#REF!*J6,"")</f>
        <v/>
      </c>
      <c r="X6">
        <f t="shared" si="17"/>
        <v>2.4000000000000004</v>
      </c>
      <c r="Y6">
        <f t="shared" si="18"/>
        <v>3</v>
      </c>
      <c r="Z6" s="125">
        <f t="shared" si="19"/>
        <v>1.2000000000000002</v>
      </c>
      <c r="AA6" s="125">
        <f t="shared" si="20"/>
        <v>3.6000000000000005</v>
      </c>
      <c r="AB6" s="125">
        <f t="shared" si="21"/>
        <v>0.5279999999999998</v>
      </c>
      <c r="AC6" s="125">
        <f t="shared" si="22"/>
        <v>0.23999999999999988</v>
      </c>
      <c r="AD6" s="125">
        <f t="shared" si="23"/>
        <v>4.3680000000000003</v>
      </c>
      <c r="AF6" s="125" t="str">
        <f>IFERROR(W6*'FlightConfig '!$K$3,"")</f>
        <v/>
      </c>
      <c r="AG6" s="125">
        <f>IFERROR(X6*'FlightConfig '!$K$23,"")</f>
        <v>873.60000000000014</v>
      </c>
      <c r="AH6" s="125">
        <f>IFERROR(Y6*'FlightConfig '!$K$23,"")</f>
        <v>1092</v>
      </c>
      <c r="AI6" s="125">
        <f>IFERROR(Z6*'FlightConfig '!$K$23,"")</f>
        <v>436.80000000000007</v>
      </c>
      <c r="AJ6" s="125">
        <f>IFERROR(AA6*'FlightConfig '!$K$23,"")</f>
        <v>1310.4000000000001</v>
      </c>
      <c r="AK6" s="125">
        <f>IFERROR(AB6*'FlightConfig '!$K$23,"")</f>
        <v>192.19199999999992</v>
      </c>
    </row>
    <row r="7" spans="1:37" x14ac:dyDescent="0.25">
      <c r="A7" t="s">
        <v>156</v>
      </c>
      <c r="B7" s="169">
        <v>1</v>
      </c>
      <c r="C7" s="174" t="str">
        <f t="shared" si="24"/>
        <v>BUSINESS CLASS1110</v>
      </c>
      <c r="D7" s="170"/>
      <c r="E7" s="301">
        <v>1227</v>
      </c>
      <c r="F7" s="306">
        <v>110</v>
      </c>
      <c r="G7" t="str">
        <f>VLOOKUP(E7,'FG MASTER'!$A:$AB,2,0)</f>
        <v xml:space="preserve">2026 BC CY1 HAWAIIAN ROLL </v>
      </c>
      <c r="H7" s="282">
        <v>1</v>
      </c>
      <c r="I7" s="171">
        <v>0.4</v>
      </c>
      <c r="J7" s="288">
        <f>IFERROR(IF(I7="std",H7,HLOOKUP(A7,'FlightConfig '!$B$34:$G$35,2,0)*I7),"")</f>
        <v>12</v>
      </c>
      <c r="K7" s="242">
        <f>VLOOKUP(Food!E7,'FG MASTER'!$A$1:$AC$737,16,0)</f>
        <v>0.24</v>
      </c>
      <c r="L7" s="243">
        <f>VLOOKUP(Food!E7,'FG MASTER'!$A$10:$AC$737,17,0)</f>
        <v>0.25</v>
      </c>
      <c r="M7" s="130">
        <f t="shared" si="14"/>
        <v>0.1</v>
      </c>
      <c r="N7" s="130">
        <f t="shared" si="15"/>
        <v>0.33999999999999997</v>
      </c>
      <c r="O7" s="130">
        <f t="shared" si="2"/>
        <v>5.2800000000000014E-2</v>
      </c>
      <c r="P7" s="130">
        <f t="shared" si="3"/>
        <v>1.999999999999999E-2</v>
      </c>
      <c r="Q7" s="130">
        <f t="shared" si="25"/>
        <v>0.41279999999999994</v>
      </c>
      <c r="R7" s="398">
        <f t="shared" si="26"/>
        <v>0.2928</v>
      </c>
      <c r="S7" s="398">
        <f t="shared" si="27"/>
        <v>0.12</v>
      </c>
      <c r="T7" s="398">
        <f t="shared" si="16"/>
        <v>0.4128</v>
      </c>
      <c r="U7" s="125">
        <v>0.28000000000000003</v>
      </c>
      <c r="V7" s="125"/>
      <c r="W7" t="str">
        <f>IFERROR(#REF!*J7,"")</f>
        <v/>
      </c>
      <c r="X7">
        <f t="shared" si="17"/>
        <v>2.88</v>
      </c>
      <c r="Y7">
        <f t="shared" si="18"/>
        <v>3</v>
      </c>
      <c r="Z7" s="125">
        <f t="shared" si="19"/>
        <v>1.2000000000000002</v>
      </c>
      <c r="AA7" s="125">
        <f t="shared" si="20"/>
        <v>4.08</v>
      </c>
      <c r="AB7" s="125">
        <f t="shared" si="21"/>
        <v>0.63360000000000016</v>
      </c>
      <c r="AC7" s="125">
        <f t="shared" si="22"/>
        <v>0.23999999999999988</v>
      </c>
      <c r="AD7" s="125">
        <f t="shared" si="23"/>
        <v>4.9535999999999998</v>
      </c>
      <c r="AF7" s="125" t="str">
        <f>IFERROR(W7*'FlightConfig '!$K$3,"")</f>
        <v/>
      </c>
      <c r="AG7" s="125">
        <f>IFERROR(X7*'FlightConfig '!$K$23,"")</f>
        <v>1048.32</v>
      </c>
      <c r="AH7" s="125">
        <f>IFERROR(Y7*'FlightConfig '!$K$23,"")</f>
        <v>1092</v>
      </c>
      <c r="AI7" s="125">
        <f>IFERROR(Z7*'FlightConfig '!$K$23,"")</f>
        <v>436.80000000000007</v>
      </c>
      <c r="AJ7" s="125">
        <f>IFERROR(AA7*'FlightConfig '!$K$23,"")</f>
        <v>1485.1200000000001</v>
      </c>
      <c r="AK7" s="125">
        <f>IFERROR(AB7*'FlightConfig '!$K$23,"")</f>
        <v>230.63040000000007</v>
      </c>
    </row>
    <row r="8" spans="1:37" x14ac:dyDescent="0.25">
      <c r="A8" t="s">
        <v>156</v>
      </c>
      <c r="B8" s="169">
        <v>1</v>
      </c>
      <c r="C8" s="174" t="str">
        <f t="shared" si="24"/>
        <v>BUSINESS CLASS1110</v>
      </c>
      <c r="D8" s="170"/>
      <c r="E8" s="301">
        <v>1228</v>
      </c>
      <c r="F8" s="306">
        <v>110</v>
      </c>
      <c r="G8" t="str">
        <f>VLOOKUP(E8,'FG MASTER'!$A:$AB,2,0)</f>
        <v xml:space="preserve">2026 BC CY1 SIX GRAIN ROLL </v>
      </c>
      <c r="H8" s="282">
        <v>1</v>
      </c>
      <c r="I8" s="171">
        <v>0.4</v>
      </c>
      <c r="J8" s="288">
        <f>IFERROR(IF(I8="std",H8,HLOOKUP(A8,'FlightConfig '!$B$34:$G$35,2,0)*I8),"")</f>
        <v>12</v>
      </c>
      <c r="K8" s="242">
        <f>VLOOKUP(Food!E8,'FG MASTER'!$A$1:$AC$737,16,0)</f>
        <v>0.17</v>
      </c>
      <c r="L8" s="243">
        <f>VLOOKUP(Food!E8,'FG MASTER'!$A$10:$AC$737,17,0)</f>
        <v>0.25</v>
      </c>
      <c r="M8" s="130">
        <f t="shared" si="14"/>
        <v>0.1</v>
      </c>
      <c r="N8" s="130">
        <f t="shared" si="15"/>
        <v>0.27</v>
      </c>
      <c r="O8" s="130">
        <f t="shared" si="2"/>
        <v>3.7399999999999989E-2</v>
      </c>
      <c r="P8" s="130">
        <f t="shared" si="3"/>
        <v>1.999999999999999E-2</v>
      </c>
      <c r="Q8" s="130">
        <f t="shared" si="25"/>
        <v>0.32740000000000002</v>
      </c>
      <c r="R8" s="398">
        <f t="shared" si="26"/>
        <v>0.2074</v>
      </c>
      <c r="S8" s="398">
        <f t="shared" si="27"/>
        <v>0.12</v>
      </c>
      <c r="T8" s="398">
        <f t="shared" si="16"/>
        <v>0.32740000000000002</v>
      </c>
      <c r="U8" s="125">
        <v>0.41</v>
      </c>
      <c r="V8" s="125"/>
      <c r="W8" t="str">
        <f>IFERROR(#REF!*J8,"")</f>
        <v/>
      </c>
      <c r="X8">
        <f t="shared" si="17"/>
        <v>2.04</v>
      </c>
      <c r="Y8">
        <f t="shared" si="18"/>
        <v>3</v>
      </c>
      <c r="Z8" s="125">
        <f t="shared" si="19"/>
        <v>1.2000000000000002</v>
      </c>
      <c r="AA8" s="125">
        <f t="shared" si="20"/>
        <v>3.24</v>
      </c>
      <c r="AB8" s="125">
        <f t="shared" si="21"/>
        <v>0.44879999999999987</v>
      </c>
      <c r="AC8" s="125">
        <f t="shared" si="22"/>
        <v>0.23999999999999988</v>
      </c>
      <c r="AD8" s="125">
        <f t="shared" si="23"/>
        <v>3.9288000000000003</v>
      </c>
      <c r="AF8" s="125" t="str">
        <f>IFERROR(W8*'FlightConfig '!$K$3,"")</f>
        <v/>
      </c>
      <c r="AG8" s="125">
        <f>IFERROR(X8*'FlightConfig '!$K$23,"")</f>
        <v>742.56000000000006</v>
      </c>
      <c r="AH8" s="125">
        <f>IFERROR(Y8*'FlightConfig '!$K$23,"")</f>
        <v>1092</v>
      </c>
      <c r="AI8" s="125">
        <f>IFERROR(Z8*'FlightConfig '!$K$23,"")</f>
        <v>436.80000000000007</v>
      </c>
      <c r="AJ8" s="125">
        <f>IFERROR(AA8*'FlightConfig '!$K$23,"")</f>
        <v>1179.3600000000001</v>
      </c>
      <c r="AK8" s="125">
        <f>IFERROR(AB8*'FlightConfig '!$K$23,"")</f>
        <v>163.36319999999995</v>
      </c>
    </row>
    <row r="9" spans="1:37" ht="18.75" customHeight="1" x14ac:dyDescent="0.25">
      <c r="A9" t="s">
        <v>156</v>
      </c>
      <c r="B9" s="169">
        <v>1</v>
      </c>
      <c r="C9" s="174" t="str">
        <f t="shared" si="24"/>
        <v>BUSINESS CLASS1110</v>
      </c>
      <c r="D9" s="170"/>
      <c r="E9" s="301">
        <v>1229</v>
      </c>
      <c r="F9" s="306">
        <v>110</v>
      </c>
      <c r="G9" t="str">
        <f>VLOOKUP(E9,'FG MASTER'!$A:$AB,2,0)</f>
        <v>2026 BC CY1 COLD STARTER 1 BLINI, SMOKED SALMON, SALMON ROE, LEMON DILL CRÈME FRIACHE, EGG, PICKLED RED ONION</v>
      </c>
      <c r="H9" s="282">
        <v>1</v>
      </c>
      <c r="I9" s="171">
        <v>0.55000000000000004</v>
      </c>
      <c r="J9" s="288">
        <f>IFERROR(IF(I9="std",H9,HLOOKUP(A9,'FlightConfig '!$B$34:$G$35,2,0)*I9),"")</f>
        <v>16.5</v>
      </c>
      <c r="K9" s="242">
        <f>VLOOKUP(Food!E9,'FG MASTER'!$A$1:$AC$737,16,0)</f>
        <v>3.56</v>
      </c>
      <c r="L9" s="243">
        <f>VLOOKUP(Food!E9,'FG MASTER'!$A$10:$AC$737,17,0)</f>
        <v>1.75</v>
      </c>
      <c r="M9" s="130">
        <f t="shared" si="14"/>
        <v>0.70000000000000007</v>
      </c>
      <c r="N9" s="130">
        <f t="shared" si="15"/>
        <v>4.26</v>
      </c>
      <c r="O9" s="130">
        <f t="shared" si="2"/>
        <v>0.78320000000000034</v>
      </c>
      <c r="P9" s="130">
        <f t="shared" si="3"/>
        <v>0.14000000000000001</v>
      </c>
      <c r="Q9" s="130">
        <f t="shared" si="25"/>
        <v>5.1832000000000003</v>
      </c>
      <c r="R9" s="398">
        <f t="shared" si="26"/>
        <v>4.3432000000000004</v>
      </c>
      <c r="S9" s="398">
        <f t="shared" si="27"/>
        <v>0.84000000000000008</v>
      </c>
      <c r="T9" s="398">
        <f t="shared" si="16"/>
        <v>5.1832000000000003</v>
      </c>
      <c r="U9" s="125">
        <v>4.72</v>
      </c>
      <c r="V9" s="125"/>
      <c r="W9" t="str">
        <f>IFERROR(#REF!*J9,"")</f>
        <v/>
      </c>
      <c r="X9">
        <f t="shared" si="17"/>
        <v>58.74</v>
      </c>
      <c r="Y9">
        <f t="shared" si="18"/>
        <v>28.875</v>
      </c>
      <c r="Z9" s="125">
        <f t="shared" si="19"/>
        <v>11.55</v>
      </c>
      <c r="AA9" s="125">
        <f t="shared" si="20"/>
        <v>70.289999999999992</v>
      </c>
      <c r="AB9" s="125">
        <f t="shared" si="21"/>
        <v>12.922800000000006</v>
      </c>
      <c r="AC9" s="125">
        <f t="shared" si="22"/>
        <v>2.31</v>
      </c>
      <c r="AD9" s="125">
        <f t="shared" si="23"/>
        <v>85.522800000000004</v>
      </c>
      <c r="AF9" s="125" t="str">
        <f>IFERROR(W9*'FlightConfig '!$K$3,"")</f>
        <v/>
      </c>
      <c r="AG9" s="125">
        <f>IFERROR(X9*'FlightConfig '!$K$23,"")</f>
        <v>21381.360000000001</v>
      </c>
      <c r="AH9" s="125">
        <f>IFERROR(Y9*'FlightConfig '!$K$23,"")</f>
        <v>10510.5</v>
      </c>
      <c r="AI9" s="125">
        <f>IFERROR(Z9*'FlightConfig '!$K$23,"")</f>
        <v>4204.2</v>
      </c>
      <c r="AJ9" s="125">
        <f>IFERROR(AA9*'FlightConfig '!$K$23,"")</f>
        <v>25585.559999999998</v>
      </c>
      <c r="AK9" s="125">
        <f>IFERROR(AB9*'FlightConfig '!$K$23,"")</f>
        <v>4703.8992000000026</v>
      </c>
    </row>
    <row r="10" spans="1:37" ht="18.75" customHeight="1" x14ac:dyDescent="0.25">
      <c r="A10" t="s">
        <v>156</v>
      </c>
      <c r="B10" s="169">
        <v>1</v>
      </c>
      <c r="C10" s="174" t="str">
        <f t="shared" ref="C10:C11" si="28">CONCATENATE(A10&amp;B10&amp;F10)</f>
        <v>BUSINESS CLASS1110</v>
      </c>
      <c r="D10" s="170"/>
      <c r="E10" s="301">
        <v>1230</v>
      </c>
      <c r="F10" s="306">
        <v>110</v>
      </c>
      <c r="G10" t="str">
        <f>VLOOKUP(E10,'FG MASTER'!$A:$AB,2,0)</f>
        <v>2026 BC CY1 HOT STARTER 1 CARAMELIZED SHALLOT MUSHROOM TART, PUFF PASTRY CRUST</v>
      </c>
      <c r="H10" s="282">
        <v>1</v>
      </c>
      <c r="I10" s="171">
        <v>0.55000000000000004</v>
      </c>
      <c r="J10" s="288">
        <f>IFERROR(IF(I10="std",H10,HLOOKUP(A10,'FlightConfig '!$B$34:$G$35,2,0)*I10),"")</f>
        <v>16.5</v>
      </c>
      <c r="K10" s="242">
        <f>VLOOKUP(Food!E10,'FG MASTER'!$A$1:$AC$737,16,0)</f>
        <v>1.6800000000000002</v>
      </c>
      <c r="L10" s="243">
        <f>VLOOKUP(Food!E10,'FG MASTER'!$A$10:$AC$737,17,0)</f>
        <v>1.75</v>
      </c>
      <c r="M10" s="130">
        <f t="shared" ref="M10:M11" si="29">IFERROR(L10*$M$2,"")</f>
        <v>0.70000000000000007</v>
      </c>
      <c r="N10" s="130">
        <f t="shared" ref="N10:N11" si="30">IFERROR((K10)+M10,"")</f>
        <v>2.3800000000000003</v>
      </c>
      <c r="O10" s="130">
        <f t="shared" si="2"/>
        <v>0.36960000000000015</v>
      </c>
      <c r="P10" s="130">
        <f t="shared" si="3"/>
        <v>0.14000000000000001</v>
      </c>
      <c r="Q10" s="130">
        <f t="shared" ref="Q10:Q11" si="31">SUM(N10:P10)</f>
        <v>2.8896000000000006</v>
      </c>
      <c r="R10" s="398">
        <f t="shared" ref="R10:R11" si="32">K10*(1+$O$2)</f>
        <v>2.0496000000000003</v>
      </c>
      <c r="S10" s="398">
        <f t="shared" ref="S10:S11" si="33">M10*(1+$P$2)</f>
        <v>0.84000000000000008</v>
      </c>
      <c r="T10" s="398">
        <f t="shared" ref="T10:T11" si="34">R10+S10</f>
        <v>2.8896000000000006</v>
      </c>
      <c r="U10" s="125">
        <v>4.16</v>
      </c>
      <c r="V10" s="125"/>
      <c r="W10" t="str">
        <f>IFERROR(#REF!*J10,"")</f>
        <v/>
      </c>
      <c r="X10">
        <f t="shared" ref="X10:X11" si="35">IFERROR(K10*J10,"")</f>
        <v>27.720000000000002</v>
      </c>
      <c r="Y10">
        <f t="shared" ref="Y10:Y11" si="36">IFERROR(+L10*J10,"")</f>
        <v>28.875</v>
      </c>
      <c r="Z10" s="125">
        <f t="shared" ref="Z10:Z11" si="37">IFERROR(+M10*J10,"")</f>
        <v>11.55</v>
      </c>
      <c r="AA10" s="125">
        <f t="shared" ref="AA10:AA11" si="38">IFERROR(+N10*J10,"")</f>
        <v>39.270000000000003</v>
      </c>
      <c r="AB10" s="125">
        <f t="shared" ref="AB10:AB11" si="39">IFERROR(O10*$J10,"")</f>
        <v>6.0984000000000025</v>
      </c>
      <c r="AC10" s="125">
        <f t="shared" ref="AC10:AC11" si="40">IFERROR(P10*$J10,"")</f>
        <v>2.31</v>
      </c>
      <c r="AD10" s="125">
        <f t="shared" ref="AD10:AD11" si="41">IFERROR(+Q10*J10,"")</f>
        <v>47.678400000000011</v>
      </c>
      <c r="AF10" s="125" t="str">
        <f>IFERROR(W10*'FlightConfig '!$K$3,"")</f>
        <v/>
      </c>
      <c r="AG10" s="125">
        <f>IFERROR(X10*'FlightConfig '!$K$23,"")</f>
        <v>10090.080000000002</v>
      </c>
      <c r="AH10" s="125">
        <f>IFERROR(Y10*'FlightConfig '!$K$23,"")</f>
        <v>10510.5</v>
      </c>
      <c r="AI10" s="125">
        <f>IFERROR(Z10*'FlightConfig '!$K$23,"")</f>
        <v>4204.2</v>
      </c>
      <c r="AJ10" s="125">
        <f>IFERROR(AA10*'FlightConfig '!$K$23,"")</f>
        <v>14294.28</v>
      </c>
      <c r="AK10" s="125">
        <f>IFERROR(AB10*'FlightConfig '!$K$23,"")</f>
        <v>2219.8176000000008</v>
      </c>
    </row>
    <row r="11" spans="1:37" ht="18.75" customHeight="1" x14ac:dyDescent="0.25">
      <c r="A11" t="s">
        <v>156</v>
      </c>
      <c r="B11" s="169">
        <v>1</v>
      </c>
      <c r="C11" s="174" t="str">
        <f t="shared" si="28"/>
        <v>BUSINESS CLASS1110</v>
      </c>
      <c r="D11" s="170"/>
      <c r="E11" s="301">
        <v>1231</v>
      </c>
      <c r="F11" s="306">
        <v>110</v>
      </c>
      <c r="G11" t="str">
        <f>VLOOKUP(E11,'FG MASTER'!$A:$AB,2,0)</f>
        <v xml:space="preserve">2026 BC CY1 STARTER GARNISH 1 FRISEE AND DRESSING </v>
      </c>
      <c r="H11" s="282">
        <v>1</v>
      </c>
      <c r="I11" s="171">
        <v>0.55000000000000004</v>
      </c>
      <c r="J11" s="288">
        <f>IFERROR(IF(I11="std",H11,HLOOKUP(A11,'FlightConfig '!$B$34:$G$35,2,0)*I11),"")</f>
        <v>16.5</v>
      </c>
      <c r="K11" s="242">
        <f>VLOOKUP(Food!E11,'FG MASTER'!$A$1:$AC$737,16,0)</f>
        <v>0.85</v>
      </c>
      <c r="L11" s="243">
        <f>VLOOKUP(Food!E11,'FG MASTER'!$A$10:$AC$737,17,0)</f>
        <v>0.5</v>
      </c>
      <c r="M11" s="130">
        <f t="shared" si="29"/>
        <v>0.2</v>
      </c>
      <c r="N11" s="130">
        <f t="shared" si="30"/>
        <v>1.05</v>
      </c>
      <c r="O11" s="130">
        <f t="shared" si="2"/>
        <v>0.18699999999999994</v>
      </c>
      <c r="P11" s="130">
        <f t="shared" si="3"/>
        <v>3.999999999999998E-2</v>
      </c>
      <c r="Q11" s="130">
        <f t="shared" si="31"/>
        <v>1.2770000000000001</v>
      </c>
      <c r="R11" s="398">
        <f t="shared" si="32"/>
        <v>1.0369999999999999</v>
      </c>
      <c r="S11" s="398">
        <f t="shared" si="33"/>
        <v>0.24</v>
      </c>
      <c r="T11" s="398">
        <f t="shared" si="34"/>
        <v>1.2769999999999999</v>
      </c>
      <c r="V11" s="125"/>
      <c r="W11" t="str">
        <f>IFERROR(#REF!*J11,"")</f>
        <v/>
      </c>
      <c r="X11">
        <f t="shared" si="35"/>
        <v>14.025</v>
      </c>
      <c r="Y11">
        <f t="shared" si="36"/>
        <v>8.25</v>
      </c>
      <c r="Z11" s="125">
        <f t="shared" si="37"/>
        <v>3.3000000000000003</v>
      </c>
      <c r="AA11" s="125">
        <f t="shared" si="38"/>
        <v>17.324999999999999</v>
      </c>
      <c r="AB11" s="125">
        <f t="shared" si="39"/>
        <v>3.0854999999999992</v>
      </c>
      <c r="AC11" s="125">
        <f t="shared" si="40"/>
        <v>0.6599999999999997</v>
      </c>
      <c r="AD11" s="125">
        <f t="shared" si="41"/>
        <v>21.070500000000003</v>
      </c>
      <c r="AF11" s="125" t="str">
        <f>IFERROR(W11*'FlightConfig '!$K$3,"")</f>
        <v/>
      </c>
      <c r="AG11" s="125">
        <f>IFERROR(X11*'FlightConfig '!$K$23,"")</f>
        <v>5105.1000000000004</v>
      </c>
      <c r="AH11" s="125">
        <f>IFERROR(Y11*'FlightConfig '!$K$23,"")</f>
        <v>3003</v>
      </c>
      <c r="AI11" s="125">
        <f>IFERROR(Z11*'FlightConfig '!$K$23,"")</f>
        <v>1201.2</v>
      </c>
      <c r="AJ11" s="125">
        <f>IFERROR(AA11*'FlightConfig '!$K$23,"")</f>
        <v>6306.3</v>
      </c>
      <c r="AK11" s="125">
        <f>IFERROR(AB11*'FlightConfig '!$K$23,"")</f>
        <v>1123.1219999999996</v>
      </c>
    </row>
    <row r="12" spans="1:37" ht="18.75" customHeight="1" x14ac:dyDescent="0.25">
      <c r="A12" t="s">
        <v>156</v>
      </c>
      <c r="B12" s="169">
        <v>1</v>
      </c>
      <c r="C12" s="174" t="str">
        <f t="shared" si="24"/>
        <v>BUSINESS CLASS1110</v>
      </c>
      <c r="D12" s="170"/>
      <c r="E12" s="301">
        <v>1232</v>
      </c>
      <c r="F12" s="306">
        <v>110</v>
      </c>
      <c r="G12" t="str">
        <f>VLOOKUP(E12,'FG MASTER'!$A:$AB,2,0)</f>
        <v>2026 BC CY1 COLD STARTER 2 GOLDEN BEET, MANDARIN SEGMENT, FRISEE, GOAT CHEESE MOUSSE, CHIVES</v>
      </c>
      <c r="H12" s="282">
        <v>1</v>
      </c>
      <c r="I12" s="171">
        <v>0</v>
      </c>
      <c r="J12" s="288">
        <f>IFERROR(IF(I12="std",H12,HLOOKUP(A12,'FlightConfig '!$B$34:$G$35,2,0)*I12),"")</f>
        <v>0</v>
      </c>
      <c r="K12" s="242">
        <f>VLOOKUP(Food!E12,'FG MASTER'!$A$1:$AC$737,16,0)</f>
        <v>1.06</v>
      </c>
      <c r="L12" s="243">
        <f>VLOOKUP(Food!E12,'FG MASTER'!$A$10:$AC$737,17,0)</f>
        <v>2.25</v>
      </c>
      <c r="M12" s="130">
        <f t="shared" si="14"/>
        <v>0.9</v>
      </c>
      <c r="N12" s="130">
        <f t="shared" si="15"/>
        <v>1.96</v>
      </c>
      <c r="O12" s="130">
        <f t="shared" si="2"/>
        <v>0.23320000000000007</v>
      </c>
      <c r="P12" s="130">
        <f t="shared" si="3"/>
        <v>0.18000000000000005</v>
      </c>
      <c r="Q12" s="130">
        <f t="shared" si="25"/>
        <v>2.3732000000000002</v>
      </c>
      <c r="R12" s="398">
        <f t="shared" si="26"/>
        <v>1.2932000000000001</v>
      </c>
      <c r="S12" s="398">
        <f t="shared" si="27"/>
        <v>1.08</v>
      </c>
      <c r="T12" s="398">
        <f t="shared" si="16"/>
        <v>2.3732000000000002</v>
      </c>
      <c r="U12" s="125">
        <v>4.95</v>
      </c>
      <c r="V12" s="125"/>
      <c r="W12" t="str">
        <f>IFERROR(#REF!*J12,"")</f>
        <v/>
      </c>
      <c r="X12">
        <f t="shared" si="17"/>
        <v>0</v>
      </c>
      <c r="Y12">
        <f t="shared" si="18"/>
        <v>0</v>
      </c>
      <c r="Z12" s="125">
        <f t="shared" si="19"/>
        <v>0</v>
      </c>
      <c r="AA12" s="125">
        <f t="shared" si="20"/>
        <v>0</v>
      </c>
      <c r="AB12" s="125">
        <f t="shared" si="21"/>
        <v>0</v>
      </c>
      <c r="AC12" s="125">
        <f t="shared" si="22"/>
        <v>0</v>
      </c>
      <c r="AD12" s="125">
        <f t="shared" si="23"/>
        <v>0</v>
      </c>
      <c r="AF12" s="125" t="str">
        <f>IFERROR(W12*'FlightConfig '!$K$3,"")</f>
        <v/>
      </c>
      <c r="AG12" s="125">
        <f>IFERROR(X12*'FlightConfig '!$K$23,"")</f>
        <v>0</v>
      </c>
      <c r="AH12" s="125">
        <f>IFERROR(Y12*'FlightConfig '!$K$23,"")</f>
        <v>0</v>
      </c>
      <c r="AI12" s="125">
        <f>IFERROR(Z12*'FlightConfig '!$K$23,"")</f>
        <v>0</v>
      </c>
      <c r="AJ12" s="125">
        <f>IFERROR(AA12*'FlightConfig '!$K$23,"")</f>
        <v>0</v>
      </c>
      <c r="AK12" s="125">
        <f>IFERROR(AB12*'FlightConfig '!$K$23,"")</f>
        <v>0</v>
      </c>
    </row>
    <row r="13" spans="1:37" ht="18.75" customHeight="1" x14ac:dyDescent="0.25">
      <c r="A13" t="s">
        <v>156</v>
      </c>
      <c r="B13" s="169">
        <v>1</v>
      </c>
      <c r="C13" s="174" t="str">
        <f t="shared" si="24"/>
        <v>BUSINESS CLASS1110</v>
      </c>
      <c r="D13" s="170"/>
      <c r="E13" s="301">
        <v>1233</v>
      </c>
      <c r="F13" s="306">
        <v>110</v>
      </c>
      <c r="G13" t="str">
        <f>VLOOKUP(E13,'FG MASTER'!$A:$AB,2,0)</f>
        <v>2026 BC CY1 HOT STARTER 2 POACHED SHRIMP, CAJUN BUTTER SAUCE, FINGERLING POTATO, CHARRED CORN, CHICKEN ANDOUILLE SAUSAGE, CROSTINI</v>
      </c>
      <c r="H13" s="282">
        <v>1</v>
      </c>
      <c r="I13" s="171">
        <v>0</v>
      </c>
      <c r="J13" s="288">
        <f>IFERROR(IF(I13="std",H13,HLOOKUP(A13,'FlightConfig '!$B$34:$G$35,2,0)*I13),"")</f>
        <v>0</v>
      </c>
      <c r="K13" s="242">
        <f>VLOOKUP(Food!E13,'FG MASTER'!$A$1:$AC$737,16,0)</f>
        <v>2.35</v>
      </c>
      <c r="L13" s="243">
        <f>VLOOKUP(Food!E13,'FG MASTER'!$A$10:$AC$737,17,0)</f>
        <v>2.5</v>
      </c>
      <c r="M13" s="130">
        <f t="shared" si="14"/>
        <v>1</v>
      </c>
      <c r="N13" s="130">
        <f t="shared" si="15"/>
        <v>3.35</v>
      </c>
      <c r="O13" s="130">
        <f t="shared" si="2"/>
        <v>0.5169999999999999</v>
      </c>
      <c r="P13" s="130">
        <f t="shared" si="3"/>
        <v>0.19999999999999996</v>
      </c>
      <c r="Q13" s="130">
        <f t="shared" si="25"/>
        <v>4.0670000000000002</v>
      </c>
      <c r="R13" s="398">
        <f t="shared" si="26"/>
        <v>2.867</v>
      </c>
      <c r="S13" s="398">
        <f t="shared" si="27"/>
        <v>1.2</v>
      </c>
      <c r="T13" s="398">
        <f t="shared" si="16"/>
        <v>4.0670000000000002</v>
      </c>
      <c r="U13" s="125">
        <v>3.31</v>
      </c>
      <c r="V13" s="125"/>
      <c r="W13" t="str">
        <f>IFERROR(#REF!*J13,"")</f>
        <v/>
      </c>
      <c r="X13">
        <f t="shared" si="17"/>
        <v>0</v>
      </c>
      <c r="Y13">
        <f t="shared" si="18"/>
        <v>0</v>
      </c>
      <c r="Z13" s="125">
        <f t="shared" si="19"/>
        <v>0</v>
      </c>
      <c r="AA13" s="125">
        <f t="shared" si="20"/>
        <v>0</v>
      </c>
      <c r="AB13" s="125">
        <f t="shared" si="21"/>
        <v>0</v>
      </c>
      <c r="AC13" s="125">
        <f t="shared" si="22"/>
        <v>0</v>
      </c>
      <c r="AD13" s="125">
        <f t="shared" si="23"/>
        <v>0</v>
      </c>
      <c r="AF13" s="125" t="str">
        <f>IFERROR(W13*'FlightConfig '!$K$3,"")</f>
        <v/>
      </c>
      <c r="AG13" s="125">
        <f>IFERROR(X13*'FlightConfig '!$K$23,"")</f>
        <v>0</v>
      </c>
      <c r="AH13" s="125">
        <f>IFERROR(Y13*'FlightConfig '!$K$23,"")</f>
        <v>0</v>
      </c>
      <c r="AI13" s="125">
        <f>IFERROR(Z13*'FlightConfig '!$K$23,"")</f>
        <v>0</v>
      </c>
      <c r="AJ13" s="125">
        <f>IFERROR(AA13*'FlightConfig '!$K$23,"")</f>
        <v>0</v>
      </c>
      <c r="AK13" s="125">
        <f>IFERROR(AB13*'FlightConfig '!$K$23,"")</f>
        <v>0</v>
      </c>
    </row>
    <row r="14" spans="1:37" ht="18.75" customHeight="1" x14ac:dyDescent="0.25">
      <c r="A14" t="s">
        <v>156</v>
      </c>
      <c r="B14" s="169">
        <v>1</v>
      </c>
      <c r="C14" s="174" t="str">
        <f t="shared" si="24"/>
        <v>BUSINESS CLASS1110</v>
      </c>
      <c r="D14" s="170"/>
      <c r="E14" s="301">
        <v>1234</v>
      </c>
      <c r="F14" s="306">
        <v>110</v>
      </c>
      <c r="G14" t="str">
        <f>VLOOKUP(E14,'FG MASTER'!$A:$AB,2,0)</f>
        <v>2026 BC CY1 STARTER GARNISH 2 CHIVE</v>
      </c>
      <c r="H14" s="282">
        <v>1</v>
      </c>
      <c r="I14" s="171">
        <v>0</v>
      </c>
      <c r="J14" s="288">
        <f>IFERROR(IF(I14="std",H14,HLOOKUP(A14,'FlightConfig '!$B$34:$G$35,2,0)*I14),"")</f>
        <v>0</v>
      </c>
      <c r="K14" s="242">
        <f>VLOOKUP(Food!E14,'FG MASTER'!$A$1:$AC$737,16,0)</f>
        <v>2</v>
      </c>
      <c r="L14" s="243">
        <f>VLOOKUP(Food!E14,'FG MASTER'!$A$10:$AC$737,17,0)</f>
        <v>0.5</v>
      </c>
      <c r="M14" s="130">
        <f t="shared" si="14"/>
        <v>0.2</v>
      </c>
      <c r="N14" s="130">
        <f t="shared" si="15"/>
        <v>2.2000000000000002</v>
      </c>
      <c r="O14" s="130">
        <f t="shared" si="2"/>
        <v>0.43999999999999995</v>
      </c>
      <c r="P14" s="130">
        <f t="shared" si="3"/>
        <v>3.999999999999998E-2</v>
      </c>
      <c r="Q14" s="130">
        <f t="shared" si="25"/>
        <v>2.68</v>
      </c>
      <c r="R14" s="398">
        <f t="shared" si="26"/>
        <v>2.44</v>
      </c>
      <c r="S14" s="398">
        <f t="shared" si="27"/>
        <v>0.24</v>
      </c>
      <c r="T14" s="398">
        <f t="shared" si="16"/>
        <v>2.6799999999999997</v>
      </c>
      <c r="U14" s="125"/>
      <c r="V14" s="125"/>
      <c r="W14" t="str">
        <f>IFERROR(#REF!*J14,"")</f>
        <v/>
      </c>
      <c r="X14">
        <f t="shared" si="17"/>
        <v>0</v>
      </c>
      <c r="Y14">
        <f t="shared" si="18"/>
        <v>0</v>
      </c>
      <c r="Z14" s="125">
        <f t="shared" si="19"/>
        <v>0</v>
      </c>
      <c r="AA14" s="125">
        <f t="shared" si="20"/>
        <v>0</v>
      </c>
      <c r="AB14" s="125">
        <f t="shared" si="21"/>
        <v>0</v>
      </c>
      <c r="AC14" s="125">
        <f t="shared" si="22"/>
        <v>0</v>
      </c>
      <c r="AD14" s="125">
        <f t="shared" si="23"/>
        <v>0</v>
      </c>
      <c r="AF14" s="125" t="str">
        <f>IFERROR(W14*'FlightConfig '!$K$3,"")</f>
        <v/>
      </c>
      <c r="AG14" s="125">
        <f>IFERROR(X14*'FlightConfig '!$K$23,"")</f>
        <v>0</v>
      </c>
      <c r="AH14" s="125">
        <f>IFERROR(Y14*'FlightConfig '!$K$23,"")</f>
        <v>0</v>
      </c>
      <c r="AI14" s="125">
        <f>IFERROR(Z14*'FlightConfig '!$K$23,"")</f>
        <v>0</v>
      </c>
      <c r="AJ14" s="125">
        <f>IFERROR(AA14*'FlightConfig '!$K$23,"")</f>
        <v>0</v>
      </c>
      <c r="AK14" s="125">
        <f>IFERROR(AB14*'FlightConfig '!$K$23,"")</f>
        <v>0</v>
      </c>
    </row>
    <row r="15" spans="1:37" ht="18.75" customHeight="1" x14ac:dyDescent="0.25">
      <c r="A15" t="s">
        <v>156</v>
      </c>
      <c r="B15" s="169">
        <v>1</v>
      </c>
      <c r="C15" s="174" t="str">
        <f t="shared" si="24"/>
        <v>BUSINESS CLASS1110</v>
      </c>
      <c r="D15" s="170"/>
      <c r="E15" s="301">
        <v>1235</v>
      </c>
      <c r="F15" s="306">
        <v>110</v>
      </c>
      <c r="G15" t="str">
        <f>VLOOKUP(E15,'FG MASTER'!$A:$AB,2,0)</f>
        <v>2026 BC CY1 ENTRÉE 1 CHICKEN BREAST, SWEET CORN CREAM, SPRING GREEN, ROASTED TOMATO, SWEET POTATO SOUFFLE</v>
      </c>
      <c r="H15" s="282">
        <v>1</v>
      </c>
      <c r="I15" s="171">
        <v>0.6</v>
      </c>
      <c r="J15" s="288">
        <f>IFERROR(IF(I15="std",H15,HLOOKUP(A15,'FlightConfig '!$B$34:$G$35,2,0)*I15),"")</f>
        <v>18</v>
      </c>
      <c r="K15" s="242">
        <f>VLOOKUP(Food!E15,'FG MASTER'!$A$1:$AC$737,16,0)</f>
        <v>3.9</v>
      </c>
      <c r="L15" s="243">
        <f>VLOOKUP(Food!E15,'FG MASTER'!$A$10:$AC$737,17,0)</f>
        <v>5</v>
      </c>
      <c r="M15" s="130">
        <f t="shared" si="14"/>
        <v>2</v>
      </c>
      <c r="N15" s="130">
        <f t="shared" si="15"/>
        <v>5.9</v>
      </c>
      <c r="O15" s="130">
        <f t="shared" si="2"/>
        <v>0.8580000000000001</v>
      </c>
      <c r="P15" s="130">
        <f t="shared" si="3"/>
        <v>0.39999999999999991</v>
      </c>
      <c r="Q15" s="130">
        <f t="shared" si="25"/>
        <v>7.1580000000000013</v>
      </c>
      <c r="R15" s="398">
        <f t="shared" si="26"/>
        <v>4.758</v>
      </c>
      <c r="S15" s="398">
        <f t="shared" si="27"/>
        <v>2.4</v>
      </c>
      <c r="T15" s="398">
        <f t="shared" si="16"/>
        <v>7.1579999999999995</v>
      </c>
      <c r="U15" s="125">
        <v>7.62</v>
      </c>
      <c r="V15" s="125"/>
      <c r="W15" t="str">
        <f>IFERROR(#REF!*J15,"")</f>
        <v/>
      </c>
      <c r="X15">
        <f t="shared" si="17"/>
        <v>70.2</v>
      </c>
      <c r="Y15">
        <f t="shared" si="18"/>
        <v>90</v>
      </c>
      <c r="Z15" s="125">
        <f t="shared" si="19"/>
        <v>36</v>
      </c>
      <c r="AA15" s="125">
        <f t="shared" si="20"/>
        <v>106.2</v>
      </c>
      <c r="AB15" s="125">
        <f t="shared" si="21"/>
        <v>15.444000000000003</v>
      </c>
      <c r="AC15" s="125">
        <f t="shared" si="22"/>
        <v>7.1999999999999984</v>
      </c>
      <c r="AD15" s="125">
        <f t="shared" si="23"/>
        <v>128.84400000000002</v>
      </c>
      <c r="AF15" s="125" t="str">
        <f>IFERROR(W15*'FlightConfig '!$K$3,"")</f>
        <v/>
      </c>
      <c r="AG15" s="125">
        <f>IFERROR(X15*'FlightConfig '!$K$23,"")</f>
        <v>25552.799999999999</v>
      </c>
      <c r="AH15" s="125">
        <f>IFERROR(Y15*'FlightConfig '!$K$23,"")</f>
        <v>32760</v>
      </c>
      <c r="AI15" s="125">
        <f>IFERROR(Z15*'FlightConfig '!$K$23,"")</f>
        <v>13104</v>
      </c>
      <c r="AJ15" s="125">
        <f>IFERROR(AA15*'FlightConfig '!$K$23,"")</f>
        <v>38656.800000000003</v>
      </c>
      <c r="AK15" s="125">
        <f>IFERROR(AB15*'FlightConfig '!$K$23,"")</f>
        <v>5621.6160000000009</v>
      </c>
    </row>
    <row r="16" spans="1:37" ht="18.75" customHeight="1" x14ac:dyDescent="0.25">
      <c r="A16" t="s">
        <v>156</v>
      </c>
      <c r="B16" s="169">
        <v>1</v>
      </c>
      <c r="C16" s="174" t="str">
        <f t="shared" si="24"/>
        <v>BUSINESS CLASS1110</v>
      </c>
      <c r="D16" s="170"/>
      <c r="E16" s="301">
        <v>1236</v>
      </c>
      <c r="F16" s="306">
        <v>110</v>
      </c>
      <c r="G16" t="str">
        <f>VLOOKUP(E16,'FG MASTER'!$A:$AB,2,0)</f>
        <v>2026 BC CY1 ENTRÉE 2 SALMON, TOMATO CHORONE SAUCE, SPINACH, COCANNON MASH</v>
      </c>
      <c r="H16" s="282">
        <v>1</v>
      </c>
      <c r="I16" s="171">
        <v>0.3</v>
      </c>
      <c r="J16" s="288">
        <f>IFERROR(IF(I16="std",H16,HLOOKUP(A16,'FlightConfig '!$B$34:$G$35,2,0)*I16),"")</f>
        <v>9</v>
      </c>
      <c r="K16" s="242">
        <f>VLOOKUP(Food!E16,'FG MASTER'!$A$1:$AC$737,16,0)</f>
        <v>7.5</v>
      </c>
      <c r="L16" s="243">
        <f>VLOOKUP(Food!E16,'FG MASTER'!$A$10:$AC$737,17,0)</f>
        <v>5</v>
      </c>
      <c r="M16" s="130">
        <f t="shared" si="14"/>
        <v>2</v>
      </c>
      <c r="N16" s="130">
        <f t="shared" si="15"/>
        <v>9.5</v>
      </c>
      <c r="O16" s="130">
        <f t="shared" si="2"/>
        <v>1.6500000000000004</v>
      </c>
      <c r="P16" s="130">
        <f t="shared" si="3"/>
        <v>0.39999999999999991</v>
      </c>
      <c r="Q16" s="130">
        <f t="shared" si="25"/>
        <v>11.55</v>
      </c>
      <c r="R16" s="398">
        <f t="shared" si="26"/>
        <v>9.15</v>
      </c>
      <c r="S16" s="398">
        <f t="shared" si="27"/>
        <v>2.4</v>
      </c>
      <c r="T16" s="398">
        <f t="shared" si="16"/>
        <v>11.55</v>
      </c>
      <c r="U16" s="125">
        <v>13.57</v>
      </c>
      <c r="V16" s="125"/>
      <c r="W16" t="str">
        <f>IFERROR(#REF!*J16,"")</f>
        <v/>
      </c>
      <c r="X16">
        <f t="shared" si="17"/>
        <v>67.5</v>
      </c>
      <c r="Y16">
        <f t="shared" si="18"/>
        <v>45</v>
      </c>
      <c r="Z16" s="125">
        <f t="shared" si="19"/>
        <v>18</v>
      </c>
      <c r="AA16" s="125">
        <f t="shared" si="20"/>
        <v>85.5</v>
      </c>
      <c r="AB16" s="125">
        <f t="shared" si="21"/>
        <v>14.850000000000003</v>
      </c>
      <c r="AC16" s="125">
        <f t="shared" si="22"/>
        <v>3.5999999999999992</v>
      </c>
      <c r="AD16" s="125">
        <f t="shared" si="23"/>
        <v>103.95</v>
      </c>
      <c r="AF16" s="125" t="str">
        <f>IFERROR(W16*'FlightConfig '!$K$3,"")</f>
        <v/>
      </c>
      <c r="AG16" s="125">
        <f>IFERROR(X16*'FlightConfig '!$K$23,"")</f>
        <v>24570</v>
      </c>
      <c r="AH16" s="125">
        <f>IFERROR(Y16*'FlightConfig '!$K$23,"")</f>
        <v>16380</v>
      </c>
      <c r="AI16" s="125">
        <f>IFERROR(Z16*'FlightConfig '!$K$23,"")</f>
        <v>6552</v>
      </c>
      <c r="AJ16" s="125">
        <f>IFERROR(AA16*'FlightConfig '!$K$23,"")</f>
        <v>31122</v>
      </c>
      <c r="AK16" s="125">
        <f>IFERROR(AB16*'FlightConfig '!$K$23,"")</f>
        <v>5405.4000000000015</v>
      </c>
    </row>
    <row r="17" spans="1:37" ht="18.75" customHeight="1" x14ac:dyDescent="0.25">
      <c r="A17" t="s">
        <v>156</v>
      </c>
      <c r="B17" s="169">
        <v>1</v>
      </c>
      <c r="C17" s="174" t="str">
        <f t="shared" si="24"/>
        <v>BUSINESS CLASS1110</v>
      </c>
      <c r="D17" s="170"/>
      <c r="E17" s="302">
        <v>1237</v>
      </c>
      <c r="F17" s="306">
        <v>110</v>
      </c>
      <c r="G17" t="str">
        <f>VLOOKUP(E17,'FG MASTER'!$A:$AB,2,0)</f>
        <v>2026 BC CY1 ENTRÉE 3 SHITAKE SNAP PEA RISOTTO, BUETTE BLANC, ASPARAGUS, TOATED TOMATO</v>
      </c>
      <c r="H17" s="282">
        <v>1</v>
      </c>
      <c r="I17" s="171">
        <v>0.3</v>
      </c>
      <c r="J17" s="288">
        <f>IFERROR(IF(I17="std",H17,HLOOKUP(A17,'FlightConfig '!$B$34:$G$35,2,0)*I17),"")</f>
        <v>9</v>
      </c>
      <c r="K17" s="242">
        <f>VLOOKUP(Food!E17,'FG MASTER'!$A$1:$AC$737,16,0)</f>
        <v>2.74</v>
      </c>
      <c r="L17" s="243">
        <f>VLOOKUP(Food!E17,'FG MASTER'!$A$10:$AC$737,17,0)</f>
        <v>4.75</v>
      </c>
      <c r="M17" s="130">
        <f t="shared" si="14"/>
        <v>1.9000000000000001</v>
      </c>
      <c r="N17" s="130">
        <f t="shared" si="15"/>
        <v>4.6400000000000006</v>
      </c>
      <c r="O17" s="130">
        <f t="shared" si="2"/>
        <v>0.60279999999999978</v>
      </c>
      <c r="P17" s="130">
        <f t="shared" si="3"/>
        <v>0.38000000000000012</v>
      </c>
      <c r="Q17" s="130">
        <f t="shared" si="25"/>
        <v>5.6228000000000007</v>
      </c>
      <c r="R17" s="398">
        <f t="shared" si="26"/>
        <v>3.3428</v>
      </c>
      <c r="S17" s="398">
        <f t="shared" si="27"/>
        <v>2.2800000000000002</v>
      </c>
      <c r="T17" s="398">
        <f t="shared" si="16"/>
        <v>5.6227999999999998</v>
      </c>
      <c r="U17" s="125">
        <v>6.64</v>
      </c>
      <c r="V17" s="125"/>
      <c r="W17" t="str">
        <f>IFERROR(#REF!*J17,"")</f>
        <v/>
      </c>
      <c r="X17">
        <f t="shared" si="17"/>
        <v>24.660000000000004</v>
      </c>
      <c r="Y17">
        <f t="shared" si="18"/>
        <v>42.75</v>
      </c>
      <c r="Z17" s="125">
        <f t="shared" si="19"/>
        <v>17.100000000000001</v>
      </c>
      <c r="AA17" s="125">
        <f t="shared" si="20"/>
        <v>41.760000000000005</v>
      </c>
      <c r="AB17" s="125">
        <f t="shared" si="21"/>
        <v>5.4251999999999985</v>
      </c>
      <c r="AC17" s="125">
        <f t="shared" si="22"/>
        <v>3.4200000000000008</v>
      </c>
      <c r="AD17" s="125">
        <f t="shared" si="23"/>
        <v>50.605200000000004</v>
      </c>
      <c r="AF17" s="125" t="str">
        <f>IFERROR(W17*'FlightConfig '!$K$3,"")</f>
        <v/>
      </c>
      <c r="AG17" s="125">
        <f>IFERROR(X17*'FlightConfig '!$K$23,"")</f>
        <v>8976.2400000000016</v>
      </c>
      <c r="AH17" s="125">
        <f>IFERROR(Y17*'FlightConfig '!$K$23,"")</f>
        <v>15561</v>
      </c>
      <c r="AI17" s="125">
        <f>IFERROR(Z17*'FlightConfig '!$K$23,"")</f>
        <v>6224.4000000000005</v>
      </c>
      <c r="AJ17" s="125">
        <f>IFERROR(AA17*'FlightConfig '!$K$23,"")</f>
        <v>15200.640000000001</v>
      </c>
      <c r="AK17" s="125">
        <f>IFERROR(AB17*'FlightConfig '!$K$23,"")</f>
        <v>1974.7727999999995</v>
      </c>
    </row>
    <row r="18" spans="1:37" ht="18.75" customHeight="1" x14ac:dyDescent="0.25">
      <c r="A18" t="s">
        <v>156</v>
      </c>
      <c r="B18" s="169">
        <v>1</v>
      </c>
      <c r="C18" s="174" t="str">
        <f t="shared" si="24"/>
        <v>BUSINESS CLASS1110</v>
      </c>
      <c r="D18" s="170"/>
      <c r="E18" s="302">
        <v>1238</v>
      </c>
      <c r="F18" s="306">
        <v>110</v>
      </c>
      <c r="G18" t="str">
        <f>VLOOKUP(E18,'FG MASTER'!$A:$AB,2,0)</f>
        <v>2026 BC CY1 ENTRÉE 4 TOAST POINT, CHEDDAR CHEESE SLICE, PIEMENTO CHEESE, PEPPER JELLY, RED PEPPER BISQUE</v>
      </c>
      <c r="H18" s="282">
        <v>1</v>
      </c>
      <c r="I18" s="171">
        <v>0.2</v>
      </c>
      <c r="J18" s="288">
        <f>IFERROR(IF(I18="std",H18,HLOOKUP(A18,'FlightConfig '!$B$34:$G$35,2,0)*I18),"")</f>
        <v>6</v>
      </c>
      <c r="K18" s="242">
        <f>VLOOKUP(Food!E18,'FG MASTER'!$A$1:$AC$737,16,0)</f>
        <v>1.52</v>
      </c>
      <c r="L18" s="243">
        <f>VLOOKUP(Food!E18,'FG MASTER'!$A$10:$AC$737,17,0)</f>
        <v>2.75</v>
      </c>
      <c r="M18" s="130">
        <f t="shared" si="14"/>
        <v>1.1000000000000001</v>
      </c>
      <c r="N18" s="130">
        <f t="shared" si="15"/>
        <v>2.62</v>
      </c>
      <c r="O18" s="130">
        <f t="shared" si="2"/>
        <v>0.33440000000000003</v>
      </c>
      <c r="P18" s="130">
        <f t="shared" si="3"/>
        <v>0.21999999999999997</v>
      </c>
      <c r="Q18" s="130">
        <f t="shared" si="25"/>
        <v>3.1744000000000003</v>
      </c>
      <c r="R18" s="398">
        <f t="shared" si="26"/>
        <v>1.8544</v>
      </c>
      <c r="S18" s="398">
        <f t="shared" si="27"/>
        <v>1.32</v>
      </c>
      <c r="T18" s="398">
        <f t="shared" si="16"/>
        <v>3.1744000000000003</v>
      </c>
      <c r="U18" s="125">
        <v>3.29</v>
      </c>
      <c r="V18" s="125"/>
      <c r="W18" t="str">
        <f>IFERROR(#REF!*J18,"")</f>
        <v/>
      </c>
      <c r="X18">
        <f t="shared" si="17"/>
        <v>9.120000000000001</v>
      </c>
      <c r="Y18">
        <f t="shared" si="18"/>
        <v>16.5</v>
      </c>
      <c r="Z18" s="125">
        <f t="shared" si="19"/>
        <v>6.6000000000000005</v>
      </c>
      <c r="AA18" s="125">
        <f t="shared" si="20"/>
        <v>15.72</v>
      </c>
      <c r="AB18" s="125">
        <f t="shared" si="21"/>
        <v>2.0064000000000002</v>
      </c>
      <c r="AC18" s="125">
        <f t="shared" si="22"/>
        <v>1.3199999999999998</v>
      </c>
      <c r="AD18" s="125">
        <f t="shared" si="23"/>
        <v>19.046400000000002</v>
      </c>
      <c r="AF18" s="125" t="str">
        <f>IFERROR(W18*'FlightConfig '!$K$3,"")</f>
        <v/>
      </c>
      <c r="AG18" s="125">
        <f>IFERROR(X18*'FlightConfig '!$K$23,"")</f>
        <v>3319.6800000000003</v>
      </c>
      <c r="AH18" s="125">
        <f>IFERROR(Y18*'FlightConfig '!$K$23,"")</f>
        <v>6006</v>
      </c>
      <c r="AI18" s="125">
        <f>IFERROR(Z18*'FlightConfig '!$K$23,"")</f>
        <v>2402.4</v>
      </c>
      <c r="AJ18" s="125">
        <f>IFERROR(AA18*'FlightConfig '!$K$23,"")</f>
        <v>5722.08</v>
      </c>
      <c r="AK18" s="125">
        <f>IFERROR(AB18*'FlightConfig '!$K$23,"")</f>
        <v>730.32960000000003</v>
      </c>
    </row>
    <row r="19" spans="1:37" ht="18.75" customHeight="1" x14ac:dyDescent="0.25">
      <c r="A19" t="s">
        <v>156</v>
      </c>
      <c r="B19" s="169">
        <v>1</v>
      </c>
      <c r="C19" s="174" t="str">
        <f t="shared" si="24"/>
        <v>BUSINESS CLASS1110</v>
      </c>
      <c r="D19" s="170"/>
      <c r="E19" s="300">
        <v>1239</v>
      </c>
      <c r="F19" s="306">
        <v>110</v>
      </c>
      <c r="G19" t="str">
        <f>VLOOKUP(E19,'FG MASTER'!$A:$AB,2,0)</f>
        <v>2026 BC CY1 ENTRÉE GARNISH RAINBOW MICROGREEN 42G</v>
      </c>
      <c r="H19" s="282">
        <v>1</v>
      </c>
      <c r="I19" s="171">
        <v>0</v>
      </c>
      <c r="J19" s="288">
        <f>IFERROR(IF(I19="std",H19,HLOOKUP(A19,'FlightConfig '!$B$34:$G$35,2,0)*I19),"")</f>
        <v>0</v>
      </c>
      <c r="K19" s="242">
        <f>VLOOKUP(Food!E19,'FG MASTER'!$A$1:$AC$737,16,0)</f>
        <v>4.62</v>
      </c>
      <c r="L19" s="243">
        <f>VLOOKUP(Food!E19,'FG MASTER'!$A$10:$AC$737,17,0)</f>
        <v>0.5</v>
      </c>
      <c r="M19" s="130">
        <f t="shared" si="14"/>
        <v>0.2</v>
      </c>
      <c r="N19" s="130">
        <f t="shared" si="15"/>
        <v>4.82</v>
      </c>
      <c r="O19" s="130">
        <f t="shared" si="2"/>
        <v>1.0164</v>
      </c>
      <c r="P19" s="130">
        <f t="shared" si="3"/>
        <v>3.999999999999998E-2</v>
      </c>
      <c r="Q19" s="130">
        <f t="shared" si="25"/>
        <v>5.8764000000000003</v>
      </c>
      <c r="R19" s="398">
        <f t="shared" si="26"/>
        <v>5.6364000000000001</v>
      </c>
      <c r="S19" s="398">
        <f t="shared" si="27"/>
        <v>0.24</v>
      </c>
      <c r="T19" s="398">
        <f t="shared" si="16"/>
        <v>5.8764000000000003</v>
      </c>
      <c r="U19" s="125"/>
      <c r="W19" t="str">
        <f>IFERROR(#REF!*J19,"")</f>
        <v/>
      </c>
      <c r="X19">
        <f t="shared" si="17"/>
        <v>0</v>
      </c>
      <c r="Y19">
        <f t="shared" si="18"/>
        <v>0</v>
      </c>
      <c r="Z19" s="125">
        <f t="shared" si="19"/>
        <v>0</v>
      </c>
      <c r="AA19" s="125">
        <f t="shared" si="20"/>
        <v>0</v>
      </c>
      <c r="AB19" s="125">
        <f t="shared" si="21"/>
        <v>0</v>
      </c>
      <c r="AC19" s="125">
        <f t="shared" si="22"/>
        <v>0</v>
      </c>
      <c r="AD19" s="125">
        <f t="shared" si="23"/>
        <v>0</v>
      </c>
      <c r="AF19" s="125" t="str">
        <f>IFERROR(W19*'FlightConfig '!$K$3,"")</f>
        <v/>
      </c>
      <c r="AG19" s="125">
        <f>IFERROR(X19*'FlightConfig '!$K$23,"")</f>
        <v>0</v>
      </c>
      <c r="AH19" s="125">
        <f>IFERROR(Y19*'FlightConfig '!$K$23,"")</f>
        <v>0</v>
      </c>
      <c r="AI19" s="125">
        <f>IFERROR(Z19*'FlightConfig '!$K$23,"")</f>
        <v>0</v>
      </c>
      <c r="AJ19" s="125">
        <f>IFERROR(AA19*'FlightConfig '!$K$23,"")</f>
        <v>0</v>
      </c>
      <c r="AK19" s="125">
        <f>IFERROR(AB19*'FlightConfig '!$K$23,"")</f>
        <v>0</v>
      </c>
    </row>
    <row r="20" spans="1:37" ht="18.75" customHeight="1" x14ac:dyDescent="0.25">
      <c r="A20" t="s">
        <v>156</v>
      </c>
      <c r="B20" s="169">
        <v>1</v>
      </c>
      <c r="C20" s="174" t="str">
        <f t="shared" si="24"/>
        <v>BUSINESS CLASS1110</v>
      </c>
      <c r="D20" s="170"/>
      <c r="E20" s="302">
        <v>1240</v>
      </c>
      <c r="F20" s="306">
        <v>110</v>
      </c>
      <c r="G20" t="str">
        <f>VLOOKUP(E20,'FG MASTER'!$A:$AB,2,0)</f>
        <v>2026 BC CY1 COLD DESSERT 1 RED VELVET CAKE, CHANTILLY CREAM, CHOCOLATE PEARL</v>
      </c>
      <c r="H20" s="282">
        <v>1</v>
      </c>
      <c r="I20" s="171">
        <v>0.5</v>
      </c>
      <c r="J20" s="288">
        <f>IFERROR(IF(I20="std",H20,HLOOKUP(A20,'FlightConfig '!$B$34:$G$35,2,0)*I20),"")</f>
        <v>15</v>
      </c>
      <c r="K20" s="242">
        <f>VLOOKUP(Food!E20,'FG MASTER'!$A$1:$AC$737,16,0)</f>
        <v>0.81</v>
      </c>
      <c r="L20" s="243">
        <f>VLOOKUP(Food!E20,'FG MASTER'!$A$10:$AC$737,17,0)</f>
        <v>1.5</v>
      </c>
      <c r="M20" s="130">
        <f>IFERROR(L20*$M$2,"")</f>
        <v>0.60000000000000009</v>
      </c>
      <c r="N20" s="130">
        <f t="shared" si="15"/>
        <v>1.4100000000000001</v>
      </c>
      <c r="O20" s="130">
        <f t="shared" si="2"/>
        <v>0.17820000000000003</v>
      </c>
      <c r="P20" s="130">
        <f t="shared" si="3"/>
        <v>0.12</v>
      </c>
      <c r="Q20" s="130">
        <f t="shared" si="25"/>
        <v>1.7082000000000002</v>
      </c>
      <c r="R20" s="398">
        <f t="shared" si="26"/>
        <v>0.98820000000000008</v>
      </c>
      <c r="S20" s="398">
        <f t="shared" si="27"/>
        <v>0.72000000000000008</v>
      </c>
      <c r="T20" s="398">
        <f t="shared" si="16"/>
        <v>1.7082000000000002</v>
      </c>
      <c r="U20" s="125">
        <v>2.14</v>
      </c>
      <c r="V20" s="125"/>
      <c r="W20" t="str">
        <f>IFERROR(#REF!*J20,"")</f>
        <v/>
      </c>
      <c r="X20">
        <f t="shared" si="17"/>
        <v>12.15</v>
      </c>
      <c r="Y20">
        <f t="shared" si="18"/>
        <v>22.5</v>
      </c>
      <c r="Z20" s="125">
        <f t="shared" si="19"/>
        <v>9.0000000000000018</v>
      </c>
      <c r="AA20" s="125">
        <f t="shared" si="20"/>
        <v>21.150000000000002</v>
      </c>
      <c r="AB20" s="125">
        <f t="shared" si="21"/>
        <v>2.6730000000000005</v>
      </c>
      <c r="AC20" s="125">
        <f t="shared" si="22"/>
        <v>1.7999999999999998</v>
      </c>
      <c r="AD20" s="125">
        <f t="shared" si="23"/>
        <v>25.623000000000001</v>
      </c>
      <c r="AF20" s="125" t="str">
        <f>IFERROR(W20*'FlightConfig '!$K$3,"")</f>
        <v/>
      </c>
      <c r="AG20" s="125">
        <f>IFERROR(X20*'FlightConfig '!$K$23,"")</f>
        <v>4422.6000000000004</v>
      </c>
      <c r="AH20" s="125">
        <f>IFERROR(Y20*'FlightConfig '!$K$23,"")</f>
        <v>8190</v>
      </c>
      <c r="AI20" s="125">
        <f>IFERROR(Z20*'FlightConfig '!$K$23,"")</f>
        <v>3276.0000000000005</v>
      </c>
      <c r="AJ20" s="125">
        <f>IFERROR(AA20*'FlightConfig '!$K$23,"")</f>
        <v>7698.6</v>
      </c>
      <c r="AK20" s="125">
        <f>IFERROR(AB20*'FlightConfig '!$K$23,"")</f>
        <v>972.97200000000021</v>
      </c>
    </row>
    <row r="21" spans="1:37" ht="18.75" customHeight="1" x14ac:dyDescent="0.25">
      <c r="A21" t="s">
        <v>156</v>
      </c>
      <c r="B21" s="169">
        <v>1</v>
      </c>
      <c r="C21" s="174" t="str">
        <f t="shared" si="24"/>
        <v>BUSINESS CLASS1110</v>
      </c>
      <c r="D21" s="170"/>
      <c r="E21" s="300">
        <v>1241</v>
      </c>
      <c r="F21" s="306">
        <v>110</v>
      </c>
      <c r="G21" t="str">
        <f>VLOOKUP(E21,'FG MASTER'!$A:$AB,2,0)</f>
        <v>2026 BC CY1 HOT DESSERT 1 MIX BERRY BREAD PUDDING, VANILLA ICE CREAM</v>
      </c>
      <c r="H21" s="282">
        <v>1</v>
      </c>
      <c r="I21" s="171">
        <v>0.5</v>
      </c>
      <c r="J21" s="288">
        <f>IFERROR(IF(I21="std",H21,HLOOKUP(A21,'FlightConfig '!$B$34:$G$35,2,0)*I21),"")</f>
        <v>15</v>
      </c>
      <c r="K21" s="242">
        <f>VLOOKUP(Food!E21,'FG MASTER'!$A$1:$AC$737,16,0)</f>
        <v>1.83</v>
      </c>
      <c r="L21" s="243">
        <f>VLOOKUP(Food!E21,'FG MASTER'!$A$10:$AC$737,17,0)</f>
        <v>1.5</v>
      </c>
      <c r="M21" s="130">
        <f t="shared" ref="M21:M32" si="42">IFERROR(L21*$M$2,"")</f>
        <v>0.60000000000000009</v>
      </c>
      <c r="N21" s="130">
        <f t="shared" si="15"/>
        <v>2.4300000000000002</v>
      </c>
      <c r="O21" s="130">
        <f t="shared" si="2"/>
        <v>0.40260000000000007</v>
      </c>
      <c r="P21" s="130">
        <f t="shared" si="3"/>
        <v>0.12</v>
      </c>
      <c r="Q21" s="130">
        <f t="shared" si="25"/>
        <v>2.9526000000000003</v>
      </c>
      <c r="R21" s="398">
        <f t="shared" si="26"/>
        <v>2.2326000000000001</v>
      </c>
      <c r="S21" s="398">
        <f t="shared" si="27"/>
        <v>0.72000000000000008</v>
      </c>
      <c r="T21" s="398">
        <f t="shared" si="16"/>
        <v>2.9526000000000003</v>
      </c>
      <c r="U21" s="125">
        <v>2.0699999999999998</v>
      </c>
      <c r="V21" s="125"/>
      <c r="W21" t="str">
        <f>IFERROR(#REF!*J21,"")</f>
        <v/>
      </c>
      <c r="X21">
        <f t="shared" si="17"/>
        <v>27.450000000000003</v>
      </c>
      <c r="Y21">
        <f t="shared" si="18"/>
        <v>22.5</v>
      </c>
      <c r="Z21" s="125">
        <f t="shared" si="19"/>
        <v>9.0000000000000018</v>
      </c>
      <c r="AA21" s="125">
        <f t="shared" si="20"/>
        <v>36.450000000000003</v>
      </c>
      <c r="AB21" s="125">
        <f t="shared" si="21"/>
        <v>6.0390000000000015</v>
      </c>
      <c r="AC21" s="125">
        <f t="shared" si="22"/>
        <v>1.7999999999999998</v>
      </c>
      <c r="AD21" s="125">
        <f t="shared" si="23"/>
        <v>44.289000000000001</v>
      </c>
      <c r="AF21" s="125" t="str">
        <f>IFERROR(W21*'FlightConfig '!$K$3,"")</f>
        <v/>
      </c>
      <c r="AG21" s="125">
        <f>IFERROR(X21*'FlightConfig '!$K$23,"")</f>
        <v>9991.8000000000011</v>
      </c>
      <c r="AH21" s="125">
        <f>IFERROR(Y21*'FlightConfig '!$K$23,"")</f>
        <v>8190</v>
      </c>
      <c r="AI21" s="125">
        <f>IFERROR(Z21*'FlightConfig '!$K$23,"")</f>
        <v>3276.0000000000005</v>
      </c>
      <c r="AJ21" s="125">
        <f>IFERROR(AA21*'FlightConfig '!$K$23,"")</f>
        <v>13267.800000000001</v>
      </c>
      <c r="AK21" s="125">
        <f>IFERROR(AB21*'FlightConfig '!$K$23,"")</f>
        <v>2198.1960000000004</v>
      </c>
    </row>
    <row r="22" spans="1:37" ht="18.75" customHeight="1" x14ac:dyDescent="0.25">
      <c r="A22" t="s">
        <v>156</v>
      </c>
      <c r="B22" s="169">
        <v>1</v>
      </c>
      <c r="C22" s="174" t="str">
        <f t="shared" si="24"/>
        <v>BUSINESS CLASS1110</v>
      </c>
      <c r="D22" s="170"/>
      <c r="E22" s="300">
        <v>1242</v>
      </c>
      <c r="F22" s="306">
        <v>110</v>
      </c>
      <c r="G22" t="str">
        <f>VLOOKUP(E22,'FG MASTER'!$A:$AB,2,0)</f>
        <v>2026 BC CY1 COLD DESSERT 2 YUZU MOUSSE WITH TROPICAL FRUIT SALAD</v>
      </c>
      <c r="H22" s="282">
        <v>1</v>
      </c>
      <c r="I22" s="171">
        <v>0</v>
      </c>
      <c r="J22" s="288">
        <f>IFERROR(IF(I22="std",H22,HLOOKUP(A22,'FlightConfig '!$B$34:$G$35,2,0)*I22),"")</f>
        <v>0</v>
      </c>
      <c r="K22" s="242">
        <f>VLOOKUP(Food!E22,'FG MASTER'!$A$1:$AC$737,16,0)</f>
        <v>1.29</v>
      </c>
      <c r="L22" s="243">
        <f>VLOOKUP(Food!E22,'FG MASTER'!$A$10:$AC$737,17,0)</f>
        <v>1.5</v>
      </c>
      <c r="M22" s="130">
        <f t="shared" si="42"/>
        <v>0.60000000000000009</v>
      </c>
      <c r="N22" s="130">
        <f t="shared" si="15"/>
        <v>1.8900000000000001</v>
      </c>
      <c r="O22" s="130">
        <f t="shared" si="2"/>
        <v>0.28380000000000005</v>
      </c>
      <c r="P22" s="130">
        <f t="shared" si="3"/>
        <v>0.12</v>
      </c>
      <c r="Q22" s="130">
        <f t="shared" si="25"/>
        <v>2.2938000000000001</v>
      </c>
      <c r="R22" s="398">
        <f t="shared" si="26"/>
        <v>1.5738000000000001</v>
      </c>
      <c r="S22" s="398">
        <f t="shared" si="27"/>
        <v>0.72000000000000008</v>
      </c>
      <c r="T22" s="398">
        <f t="shared" si="16"/>
        <v>2.2938000000000001</v>
      </c>
      <c r="U22" s="125">
        <v>2.0099999999999998</v>
      </c>
      <c r="V22" s="125"/>
      <c r="W22" t="str">
        <f>IFERROR(#REF!*J22,"")</f>
        <v/>
      </c>
      <c r="X22">
        <f t="shared" si="17"/>
        <v>0</v>
      </c>
      <c r="Y22">
        <f t="shared" si="18"/>
        <v>0</v>
      </c>
      <c r="Z22" s="125">
        <f t="shared" si="19"/>
        <v>0</v>
      </c>
      <c r="AA22" s="125">
        <f t="shared" si="20"/>
        <v>0</v>
      </c>
      <c r="AB22" s="125">
        <f t="shared" si="21"/>
        <v>0</v>
      </c>
      <c r="AC22" s="125">
        <f t="shared" si="22"/>
        <v>0</v>
      </c>
      <c r="AD22" s="125">
        <f t="shared" si="23"/>
        <v>0</v>
      </c>
      <c r="AF22" s="125" t="str">
        <f>IFERROR(W22*'FlightConfig '!$K$3,"")</f>
        <v/>
      </c>
      <c r="AG22" s="125">
        <f>IFERROR(X22*'FlightConfig '!$K$23,"")</f>
        <v>0</v>
      </c>
      <c r="AH22" s="125">
        <f>IFERROR(Y22*'FlightConfig '!$K$23,"")</f>
        <v>0</v>
      </c>
      <c r="AI22" s="125">
        <f>IFERROR(Z22*'FlightConfig '!$K$23,"")</f>
        <v>0</v>
      </c>
      <c r="AJ22" s="125">
        <f>IFERROR(AA22*'FlightConfig '!$K$23,"")</f>
        <v>0</v>
      </c>
      <c r="AK22" s="125">
        <f>IFERROR(AB22*'FlightConfig '!$K$23,"")</f>
        <v>0</v>
      </c>
    </row>
    <row r="23" spans="1:37" ht="18.75" customHeight="1" x14ac:dyDescent="0.25">
      <c r="A23" t="s">
        <v>156</v>
      </c>
      <c r="B23" s="169">
        <v>1</v>
      </c>
      <c r="C23" s="174" t="str">
        <f t="shared" si="24"/>
        <v>BUSINESS CLASS1110</v>
      </c>
      <c r="D23" s="170"/>
      <c r="E23" s="300">
        <v>1243</v>
      </c>
      <c r="F23" s="306">
        <v>110</v>
      </c>
      <c r="G23" t="str">
        <f>VLOOKUP(E23,'FG MASTER'!$A:$AB,2,0)</f>
        <v>2026 BC CY1 HOT DESSERT 2 CHOCOLATE SOUFFLE CAKE, VANILLA ICE CREAM SESAME CRUCH</v>
      </c>
      <c r="H23" s="282">
        <v>1</v>
      </c>
      <c r="I23" s="171">
        <v>0</v>
      </c>
      <c r="J23" s="288">
        <f>IFERROR(IF(I23="std",H23,HLOOKUP(A23,'FlightConfig '!$B$34:$G$35,2,0)*I23),"")</f>
        <v>0</v>
      </c>
      <c r="K23" s="242">
        <f>VLOOKUP(Food!E23,'FG MASTER'!$A$1:$AC$737,16,0)</f>
        <v>1.42</v>
      </c>
      <c r="L23" s="243">
        <f>VLOOKUP(Food!E23,'FG MASTER'!$A$10:$AC$737,17,0)</f>
        <v>1.75</v>
      </c>
      <c r="M23" s="130">
        <f t="shared" si="42"/>
        <v>0.70000000000000007</v>
      </c>
      <c r="N23" s="130">
        <f t="shared" si="15"/>
        <v>2.12</v>
      </c>
      <c r="O23" s="130">
        <f t="shared" si="2"/>
        <v>0.31240000000000001</v>
      </c>
      <c r="P23" s="130">
        <f t="shared" si="3"/>
        <v>0.14000000000000001</v>
      </c>
      <c r="Q23" s="130">
        <f t="shared" si="25"/>
        <v>2.5724000000000005</v>
      </c>
      <c r="R23" s="398">
        <f t="shared" si="26"/>
        <v>1.7323999999999999</v>
      </c>
      <c r="S23" s="398">
        <f t="shared" si="27"/>
        <v>0.84000000000000008</v>
      </c>
      <c r="T23" s="398">
        <f t="shared" si="16"/>
        <v>2.5724</v>
      </c>
      <c r="U23" s="125"/>
      <c r="V23" s="125"/>
      <c r="W23" t="str">
        <f>IFERROR(#REF!*J23,"")</f>
        <v/>
      </c>
      <c r="X23">
        <f t="shared" si="17"/>
        <v>0</v>
      </c>
      <c r="Y23">
        <f t="shared" si="18"/>
        <v>0</v>
      </c>
      <c r="Z23" s="125">
        <f t="shared" si="19"/>
        <v>0</v>
      </c>
      <c r="AA23" s="125">
        <f t="shared" si="20"/>
        <v>0</v>
      </c>
      <c r="AB23" s="125">
        <f t="shared" si="21"/>
        <v>0</v>
      </c>
      <c r="AC23" s="125">
        <f t="shared" si="22"/>
        <v>0</v>
      </c>
      <c r="AD23" s="125">
        <f t="shared" si="23"/>
        <v>0</v>
      </c>
      <c r="AF23" s="125" t="str">
        <f>IFERROR(W23*'FlightConfig '!$K$3,"")</f>
        <v/>
      </c>
      <c r="AG23" s="125">
        <f>IFERROR(X23*'FlightConfig '!$K$23,"")</f>
        <v>0</v>
      </c>
      <c r="AH23" s="125">
        <f>IFERROR(Y23*'FlightConfig '!$K$23,"")</f>
        <v>0</v>
      </c>
      <c r="AI23" s="125">
        <f>IFERROR(Z23*'FlightConfig '!$K$23,"")</f>
        <v>0</v>
      </c>
      <c r="AJ23" s="125">
        <f>IFERROR(AA23*'FlightConfig '!$K$23,"")</f>
        <v>0</v>
      </c>
      <c r="AK23" s="125">
        <f>IFERROR(AB23*'FlightConfig '!$K$23,"")</f>
        <v>0</v>
      </c>
    </row>
    <row r="24" spans="1:37" ht="18.75" customHeight="1" x14ac:dyDescent="0.25">
      <c r="A24" t="s">
        <v>156</v>
      </c>
      <c r="B24" s="169">
        <v>1</v>
      </c>
      <c r="C24" s="174" t="str">
        <f t="shared" si="24"/>
        <v>BUSINESS CLASS1110</v>
      </c>
      <c r="D24" s="170"/>
      <c r="E24" s="300">
        <v>1244</v>
      </c>
      <c r="F24" s="306">
        <v>110</v>
      </c>
      <c r="G24" t="str">
        <f>VLOOKUP(E24,'FG MASTER'!$A:$AB,2,0)</f>
        <v>2026 BC CY1 CHEESE PLATE</v>
      </c>
      <c r="H24" s="282">
        <v>1</v>
      </c>
      <c r="I24" s="171">
        <v>0.5</v>
      </c>
      <c r="J24" s="288">
        <f>IFERROR(IF(I24="std",H24,HLOOKUP(A24,'FlightConfig '!$B$34:$G$35,2,0)*I24),"")</f>
        <v>15</v>
      </c>
      <c r="K24" s="242">
        <f>VLOOKUP(Food!E24,'FG MASTER'!$A$1:$AC$737,16,0)</f>
        <v>4.0199999999999996</v>
      </c>
      <c r="L24" s="243">
        <f>VLOOKUP(Food!E24,'FG MASTER'!$A$10:$AC$737,17,0)</f>
        <v>2.5</v>
      </c>
      <c r="M24" s="130">
        <f t="shared" si="42"/>
        <v>1</v>
      </c>
      <c r="N24" s="130">
        <f t="shared" si="15"/>
        <v>5.0199999999999996</v>
      </c>
      <c r="O24" s="130">
        <f t="shared" si="2"/>
        <v>0.88439999999999941</v>
      </c>
      <c r="P24" s="130">
        <f t="shared" si="3"/>
        <v>0.19999999999999996</v>
      </c>
      <c r="Q24" s="130">
        <f t="shared" si="25"/>
        <v>6.1043999999999992</v>
      </c>
      <c r="R24" s="398">
        <f t="shared" si="26"/>
        <v>4.904399999999999</v>
      </c>
      <c r="S24" s="398">
        <f t="shared" si="27"/>
        <v>1.2</v>
      </c>
      <c r="T24" s="398">
        <f t="shared" si="16"/>
        <v>6.1043999999999992</v>
      </c>
      <c r="U24" s="125">
        <v>6.23</v>
      </c>
      <c r="V24" s="125"/>
      <c r="W24" t="str">
        <f>IFERROR(#REF!*J24,"")</f>
        <v/>
      </c>
      <c r="X24">
        <f t="shared" si="17"/>
        <v>60.3</v>
      </c>
      <c r="Y24">
        <f t="shared" si="18"/>
        <v>37.5</v>
      </c>
      <c r="Z24" s="125">
        <f t="shared" si="19"/>
        <v>15</v>
      </c>
      <c r="AA24" s="125">
        <f t="shared" si="20"/>
        <v>75.3</v>
      </c>
      <c r="AB24" s="125">
        <f t="shared" si="21"/>
        <v>13.265999999999991</v>
      </c>
      <c r="AC24" s="125">
        <f t="shared" si="22"/>
        <v>2.9999999999999991</v>
      </c>
      <c r="AD24" s="125">
        <f t="shared" si="23"/>
        <v>91.565999999999988</v>
      </c>
      <c r="AF24" s="125" t="str">
        <f>IFERROR(W24*'FlightConfig '!$K$3,"")</f>
        <v/>
      </c>
      <c r="AG24" s="125">
        <f>IFERROR(X24*'FlightConfig '!$K$23,"")</f>
        <v>21949.200000000001</v>
      </c>
      <c r="AH24" s="125">
        <f>IFERROR(Y24*'FlightConfig '!$K$23,"")</f>
        <v>13650</v>
      </c>
      <c r="AI24" s="125">
        <f>IFERROR(Z24*'FlightConfig '!$K$23,"")</f>
        <v>5460</v>
      </c>
      <c r="AJ24" s="125">
        <f>IFERROR(AA24*'FlightConfig '!$K$23,"")</f>
        <v>27409.200000000001</v>
      </c>
      <c r="AK24" s="125">
        <f>IFERROR(AB24*'FlightConfig '!$K$23,"")</f>
        <v>4828.8239999999969</v>
      </c>
    </row>
    <row r="25" spans="1:37" ht="18.75" customHeight="1" x14ac:dyDescent="0.25">
      <c r="A25" t="s">
        <v>156</v>
      </c>
      <c r="B25" s="169">
        <v>1</v>
      </c>
      <c r="C25" s="174" t="str">
        <f t="shared" si="24"/>
        <v>BUSINESS CLASS1110</v>
      </c>
      <c r="D25" s="170"/>
      <c r="E25" s="300">
        <v>1209</v>
      </c>
      <c r="F25" s="306">
        <v>110</v>
      </c>
      <c r="G25" t="str">
        <f>VLOOKUP(E25,'FG MASTER'!$A:$AB,2,0)</f>
        <v>BC C2 CRACKER BULK LOAD</v>
      </c>
      <c r="H25" s="282">
        <v>1</v>
      </c>
      <c r="I25" s="171">
        <f>1/12</f>
        <v>8.3333333333333329E-2</v>
      </c>
      <c r="J25" s="288">
        <f>IFERROR(IF(I25="std",H25,HLOOKUP(A25,'FlightConfig '!$B$34:$G$35,2,0)*I25),"")</f>
        <v>2.5</v>
      </c>
      <c r="K25" s="242">
        <f>VLOOKUP(Food!E25,'FG MASTER'!$A$1:$AC$737,16,0)</f>
        <v>1.5333000000000001</v>
      </c>
      <c r="L25" s="243">
        <f>VLOOKUP(Food!E25,'FG MASTER'!$A$10:$AC$737,17,0)</f>
        <v>0.25</v>
      </c>
      <c r="M25" s="130">
        <f t="shared" si="42"/>
        <v>0.1</v>
      </c>
      <c r="N25" s="130">
        <f t="shared" si="15"/>
        <v>1.6333000000000002</v>
      </c>
      <c r="O25" s="130">
        <f t="shared" si="2"/>
        <v>0.33732600000000001</v>
      </c>
      <c r="P25" s="130">
        <f t="shared" si="3"/>
        <v>1.999999999999999E-2</v>
      </c>
      <c r="Q25" s="130">
        <f t="shared" ref="Q25" si="43">SUM(N25:P25)</f>
        <v>1.9906260000000002</v>
      </c>
      <c r="R25" s="398">
        <f t="shared" ref="R25" si="44">K25*(1+$O$2)</f>
        <v>1.8706260000000001</v>
      </c>
      <c r="S25" s="398">
        <f t="shared" si="27"/>
        <v>0.12</v>
      </c>
      <c r="T25" s="398">
        <f t="shared" si="16"/>
        <v>1.9906260000000002</v>
      </c>
      <c r="U25" s="125"/>
      <c r="V25" s="125"/>
      <c r="W25" t="str">
        <f>IFERROR(#REF!*J25,"")</f>
        <v/>
      </c>
      <c r="X25">
        <f t="shared" si="17"/>
        <v>3.8332500000000005</v>
      </c>
      <c r="Y25">
        <f t="shared" si="18"/>
        <v>0.625</v>
      </c>
      <c r="Z25" s="125">
        <f t="shared" si="19"/>
        <v>0.25</v>
      </c>
      <c r="AA25" s="125">
        <f t="shared" si="20"/>
        <v>4.0832500000000005</v>
      </c>
      <c r="AB25" s="125">
        <f t="shared" si="21"/>
        <v>0.84331500000000004</v>
      </c>
      <c r="AC25" s="125">
        <f t="shared" si="22"/>
        <v>4.9999999999999975E-2</v>
      </c>
      <c r="AD25" s="125">
        <f t="shared" si="23"/>
        <v>4.9765650000000008</v>
      </c>
      <c r="AF25" s="125" t="str">
        <f>IFERROR(W25*'FlightConfig '!$K$3,"")</f>
        <v/>
      </c>
      <c r="AG25" s="125">
        <f>IFERROR(X25*'FlightConfig '!$K$23,"")</f>
        <v>1395.3030000000001</v>
      </c>
      <c r="AH25" s="125">
        <f>IFERROR(Y25*'FlightConfig '!$K$23,"")</f>
        <v>227.5</v>
      </c>
      <c r="AI25" s="125">
        <f>IFERROR(Z25*'FlightConfig '!$K$23,"")</f>
        <v>91</v>
      </c>
      <c r="AJ25" s="125">
        <f>IFERROR(AA25*'FlightConfig '!$K$23,"")</f>
        <v>1486.3030000000001</v>
      </c>
      <c r="AK25" s="125">
        <f>IFERROR(AB25*'FlightConfig '!$K$23,"")</f>
        <v>306.96665999999999</v>
      </c>
    </row>
    <row r="26" spans="1:37" ht="18.75" customHeight="1" x14ac:dyDescent="0.25">
      <c r="A26" t="s">
        <v>156</v>
      </c>
      <c r="B26" s="169">
        <v>1</v>
      </c>
      <c r="C26" s="174" t="str">
        <f t="shared" ref="C26" si="45">CONCATENATE(A26&amp;B26&amp;F26)</f>
        <v>BUSINESS CLASS1110</v>
      </c>
      <c r="D26" s="170"/>
      <c r="E26" s="300">
        <v>1245</v>
      </c>
      <c r="F26" s="306">
        <v>110</v>
      </c>
      <c r="G26" t="str">
        <f>VLOOKUP(E26,'FG MASTER'!$A:$AB,2,0)</f>
        <v>2026 BC CY1 WHOLE FRUIT PLATE</v>
      </c>
      <c r="H26" s="282">
        <v>1</v>
      </c>
      <c r="I26" s="171" t="s">
        <v>357</v>
      </c>
      <c r="J26" s="288">
        <f>IFERROR(IF(I26="std",H26,HLOOKUP(A26,'FlightConfig '!$B$34:$G$35,2,0)*I26),"")</f>
        <v>1</v>
      </c>
      <c r="K26" s="242">
        <f>VLOOKUP(Food!E26,'FG MASTER'!$A$1:$AC$737,16,0)</f>
        <v>8.3960000000000008</v>
      </c>
      <c r="L26" s="243">
        <f>VLOOKUP(Food!E26,'FG MASTER'!$A$10:$AC$737,17,0)</f>
        <v>0.75</v>
      </c>
      <c r="M26" s="130">
        <f t="shared" ref="M26" si="46">IFERROR(L26*$M$2,"")</f>
        <v>0.30000000000000004</v>
      </c>
      <c r="N26" s="130">
        <f t="shared" ref="N26" si="47">IFERROR((K26)+M26,"")</f>
        <v>8.6960000000000015</v>
      </c>
      <c r="O26" s="130">
        <f t="shared" si="2"/>
        <v>1.8471200000000003</v>
      </c>
      <c r="P26" s="130">
        <f t="shared" si="3"/>
        <v>0.06</v>
      </c>
      <c r="Q26" s="130">
        <f t="shared" si="25"/>
        <v>10.603120000000002</v>
      </c>
      <c r="R26" s="266">
        <v>9.66</v>
      </c>
      <c r="S26" s="266">
        <v>0.92</v>
      </c>
      <c r="T26" s="266">
        <f t="shared" ref="T26" si="48">R26+S26</f>
        <v>10.58</v>
      </c>
      <c r="U26" s="125"/>
      <c r="V26" s="125"/>
      <c r="W26" t="str">
        <f>IFERROR(#REF!*J26,"")</f>
        <v/>
      </c>
      <c r="X26">
        <f t="shared" ref="X26" si="49">IFERROR(K26*J26,"")</f>
        <v>8.3960000000000008</v>
      </c>
      <c r="Y26">
        <f t="shared" ref="Y26" si="50">IFERROR(+L26*J26,"")</f>
        <v>0.75</v>
      </c>
      <c r="Z26" s="125">
        <f t="shared" ref="Z26" si="51">IFERROR(+M26*J26,"")</f>
        <v>0.30000000000000004</v>
      </c>
      <c r="AA26" s="125">
        <f t="shared" ref="AA26" si="52">IFERROR(+N26*J26,"")</f>
        <v>8.6960000000000015</v>
      </c>
      <c r="AB26" s="125">
        <f t="shared" ref="AB26" si="53">IFERROR(O26*$J26,"")</f>
        <v>1.8471200000000003</v>
      </c>
      <c r="AC26" s="125">
        <f t="shared" ref="AC26" si="54">IFERROR(P26*$J26,"")</f>
        <v>0.06</v>
      </c>
      <c r="AD26" s="125">
        <f t="shared" ref="AD26" si="55">IFERROR(+Q26*J26,"")</f>
        <v>10.603120000000002</v>
      </c>
      <c r="AF26" s="125" t="str">
        <f>IFERROR(W26*'FlightConfig '!$K$3,"")</f>
        <v/>
      </c>
      <c r="AG26" s="125">
        <f>IFERROR(X26*'FlightConfig '!$K$23,"")</f>
        <v>3056.1440000000002</v>
      </c>
      <c r="AH26" s="125">
        <f>IFERROR(Y26*'FlightConfig '!$K$23,"")</f>
        <v>273</v>
      </c>
      <c r="AI26" s="125">
        <f>IFERROR(Z26*'FlightConfig '!$K$23,"")</f>
        <v>109.20000000000002</v>
      </c>
      <c r="AJ26" s="125">
        <f>IFERROR(AA26*'FlightConfig '!$K$23,"")</f>
        <v>3165.3440000000005</v>
      </c>
      <c r="AK26" s="125">
        <f>IFERROR(AB26*'FlightConfig '!$K$23,"")</f>
        <v>672.3516800000001</v>
      </c>
    </row>
    <row r="27" spans="1:37" ht="18.75" customHeight="1" x14ac:dyDescent="0.25">
      <c r="A27" t="s">
        <v>156</v>
      </c>
      <c r="B27" s="169">
        <v>1</v>
      </c>
      <c r="C27" s="174" t="str">
        <f t="shared" ref="C27" si="56">CONCATENATE(A27&amp;B27&amp;F27)</f>
        <v>BUSINESS CLASS1110</v>
      </c>
      <c r="D27" s="170"/>
      <c r="E27" s="300">
        <v>1206</v>
      </c>
      <c r="F27" s="306">
        <v>110</v>
      </c>
      <c r="G27" t="str">
        <f>VLOOKUP(E27,'FG MASTER'!$A:$AB,2,0)</f>
        <v>BC BREAKFAST TRAY SET UP</v>
      </c>
      <c r="H27" s="282">
        <v>1</v>
      </c>
      <c r="I27" s="171">
        <v>0.8</v>
      </c>
      <c r="J27" s="288">
        <f>IFERROR(IF(I27="std",H27,HLOOKUP(A27,'FlightConfig '!$B$34:$G$35,2,0)*I27),"")</f>
        <v>24</v>
      </c>
      <c r="K27" s="242">
        <f>VLOOKUP(Food!E27,'FG MASTER'!$A$1:$AC$737,16,0)</f>
        <v>0</v>
      </c>
      <c r="L27" s="243">
        <f>VLOOKUP(Food!E27,'FG MASTER'!$A$10:$AC$737,17,0)</f>
        <v>1.65</v>
      </c>
      <c r="M27" s="130">
        <f t="shared" ref="M27:M28" si="57">IFERROR(L27*$M$2,"")</f>
        <v>0.66</v>
      </c>
      <c r="N27" s="130">
        <f t="shared" ref="N27:N28" si="58">IFERROR((K27)+M27,"")</f>
        <v>0.66</v>
      </c>
      <c r="O27" s="130">
        <f t="shared" si="2"/>
        <v>0</v>
      </c>
      <c r="P27" s="130">
        <f t="shared" si="3"/>
        <v>0.13200000000000001</v>
      </c>
      <c r="Q27" s="130">
        <f t="shared" si="25"/>
        <v>0.79200000000000004</v>
      </c>
      <c r="R27" s="398">
        <f t="shared" si="26"/>
        <v>0</v>
      </c>
      <c r="S27" s="398">
        <f t="shared" ref="S27:S28" si="59">M27*(1+$P$2)</f>
        <v>0.79200000000000004</v>
      </c>
      <c r="T27" s="398">
        <f t="shared" ref="T27:T28" si="60">R27+S27</f>
        <v>0.79200000000000004</v>
      </c>
      <c r="U27" s="125"/>
      <c r="V27" s="125"/>
      <c r="W27" t="str">
        <f>IFERROR(#REF!*J27,"")</f>
        <v/>
      </c>
      <c r="X27">
        <f t="shared" ref="X27:X28" si="61">IFERROR(K27*J27,"")</f>
        <v>0</v>
      </c>
      <c r="Y27">
        <f t="shared" ref="Y27:Y28" si="62">IFERROR(+L27*J27,"")</f>
        <v>39.599999999999994</v>
      </c>
      <c r="Z27" s="125">
        <f t="shared" ref="Z27:Z28" si="63">IFERROR(+M27*J27,"")</f>
        <v>15.84</v>
      </c>
      <c r="AA27" s="125">
        <f t="shared" ref="AA27:AA28" si="64">IFERROR(+N27*J27,"")</f>
        <v>15.84</v>
      </c>
      <c r="AB27" s="125">
        <f t="shared" ref="AB27:AB28" si="65">IFERROR(O27*$J27,"")</f>
        <v>0</v>
      </c>
      <c r="AC27" s="125">
        <f t="shared" ref="AC27:AC28" si="66">IFERROR(P27*$J27,"")</f>
        <v>3.1680000000000001</v>
      </c>
      <c r="AD27" s="125">
        <f t="shared" ref="AD27:AD28" si="67">IFERROR(+Q27*J27,"")</f>
        <v>19.008000000000003</v>
      </c>
      <c r="AF27" s="125" t="str">
        <f>IFERROR(W27*'FlightConfig '!$K$3,"")</f>
        <v/>
      </c>
      <c r="AG27" s="125">
        <f>IFERROR(X27*'FlightConfig '!$K$23,"")</f>
        <v>0</v>
      </c>
      <c r="AH27" s="125">
        <f>IFERROR(Y27*'FlightConfig '!$K$23,"")</f>
        <v>14414.399999999998</v>
      </c>
      <c r="AI27" s="125">
        <f>IFERROR(Z27*'FlightConfig '!$K$23,"")</f>
        <v>5765.76</v>
      </c>
      <c r="AJ27" s="125">
        <f>IFERROR(AA27*'FlightConfig '!$K$23,"")</f>
        <v>5765.76</v>
      </c>
      <c r="AK27" s="125">
        <f>IFERROR(AB27*'FlightConfig '!$K$23,"")</f>
        <v>0</v>
      </c>
    </row>
    <row r="28" spans="1:37" ht="18.75" customHeight="1" x14ac:dyDescent="0.25">
      <c r="A28" t="s">
        <v>156</v>
      </c>
      <c r="B28" s="169">
        <v>1</v>
      </c>
      <c r="C28" s="174" t="str">
        <f>CONCATENATE(A28&amp;B28&amp;F28)</f>
        <v>BUSINESS CLASS1110</v>
      </c>
      <c r="D28" s="170"/>
      <c r="E28" s="300">
        <v>1206</v>
      </c>
      <c r="F28" s="306">
        <v>110</v>
      </c>
      <c r="G28" t="str">
        <f>VLOOKUP(E28,'FG MASTER'!$A:$AB,2,0)</f>
        <v>BC BREAKFAST TRAY SET UP</v>
      </c>
      <c r="H28" s="282">
        <v>1</v>
      </c>
      <c r="I28" s="171">
        <v>0.2</v>
      </c>
      <c r="J28" s="288">
        <f>IFERROR(IF(I28="std",H28,HLOOKUP(A28,'FlightConfig '!$B$34:$G$35,2,0)*I28),"")</f>
        <v>6</v>
      </c>
      <c r="K28" s="242">
        <f>VLOOKUP(Food!E28,'FG MASTER'!$A$1:$AC$737,16,0)</f>
        <v>0</v>
      </c>
      <c r="L28" s="243">
        <f>VLOOKUP(Food!E28,'FG MASTER'!$A$10:$AC$737,17,0)</f>
        <v>1.65</v>
      </c>
      <c r="M28" s="130">
        <f t="shared" si="57"/>
        <v>0.66</v>
      </c>
      <c r="N28" s="130">
        <f t="shared" si="58"/>
        <v>0.66</v>
      </c>
      <c r="O28" s="130">
        <f t="shared" si="2"/>
        <v>0</v>
      </c>
      <c r="P28" s="130">
        <f t="shared" si="3"/>
        <v>0.13200000000000001</v>
      </c>
      <c r="Q28" s="130">
        <f t="shared" si="25"/>
        <v>0.79200000000000004</v>
      </c>
      <c r="R28" s="398">
        <f t="shared" si="26"/>
        <v>0</v>
      </c>
      <c r="S28" s="398">
        <f t="shared" si="59"/>
        <v>0.79200000000000004</v>
      </c>
      <c r="T28" s="398">
        <f t="shared" si="60"/>
        <v>0.79200000000000004</v>
      </c>
      <c r="U28" s="125"/>
      <c r="V28" s="125"/>
      <c r="W28" t="str">
        <f>IFERROR(#REF!*J28,"")</f>
        <v/>
      </c>
      <c r="X28">
        <f t="shared" si="61"/>
        <v>0</v>
      </c>
      <c r="Y28">
        <f t="shared" si="62"/>
        <v>9.8999999999999986</v>
      </c>
      <c r="Z28" s="125">
        <f t="shared" si="63"/>
        <v>3.96</v>
      </c>
      <c r="AA28" s="125">
        <f t="shared" si="64"/>
        <v>3.96</v>
      </c>
      <c r="AB28" s="125">
        <f t="shared" si="65"/>
        <v>0</v>
      </c>
      <c r="AC28" s="125">
        <f t="shared" si="66"/>
        <v>0.79200000000000004</v>
      </c>
      <c r="AD28" s="125">
        <f t="shared" si="67"/>
        <v>4.7520000000000007</v>
      </c>
      <c r="AF28" s="125" t="str">
        <f>IFERROR(W28*'FlightConfig '!$K$3,"")</f>
        <v/>
      </c>
      <c r="AG28" s="125">
        <f>IFERROR(X28*'FlightConfig '!$K$23,"")</f>
        <v>0</v>
      </c>
      <c r="AH28" s="125">
        <f>IFERROR(Y28*'FlightConfig '!$K$23,"")</f>
        <v>3603.5999999999995</v>
      </c>
      <c r="AI28" s="125">
        <f>IFERROR(Z28*'FlightConfig '!$K$23,"")</f>
        <v>1441.44</v>
      </c>
      <c r="AJ28" s="125">
        <f>IFERROR(AA28*'FlightConfig '!$K$23,"")</f>
        <v>1441.44</v>
      </c>
      <c r="AK28" s="125">
        <f>IFERROR(AB28*'FlightConfig '!$K$23,"")</f>
        <v>0</v>
      </c>
    </row>
    <row r="29" spans="1:37" ht="18.75" customHeight="1" x14ac:dyDescent="0.25">
      <c r="A29" t="s">
        <v>156</v>
      </c>
      <c r="B29" s="169">
        <v>1</v>
      </c>
      <c r="C29" s="174" t="str">
        <f t="shared" si="24"/>
        <v>BUSINESS CLASS1110</v>
      </c>
      <c r="D29" s="170"/>
      <c r="E29" s="300">
        <v>1246</v>
      </c>
      <c r="F29" s="306">
        <v>110</v>
      </c>
      <c r="G29" t="str">
        <f>VLOOKUP(E29,'FG MASTER'!$A:$AB,2,0)</f>
        <v>2026 BC CY1 BRK COLD PLATE NOVA CURED SALMON</v>
      </c>
      <c r="H29" s="282">
        <v>1</v>
      </c>
      <c r="I29" s="171">
        <v>0.2</v>
      </c>
      <c r="J29" s="288">
        <f>IFERROR(IF(I29="std",H29,HLOOKUP(A29,'FlightConfig '!$B$34:$G$35,2,0)*I29),"")</f>
        <v>6</v>
      </c>
      <c r="K29" s="242">
        <f>VLOOKUP(Food!E29,'FG MASTER'!$A$1:$AC$737,16,0)</f>
        <v>2.9</v>
      </c>
      <c r="L29" s="243">
        <f>VLOOKUP(Food!E29,'FG MASTER'!$A$10:$AC$737,17,0)</f>
        <v>3</v>
      </c>
      <c r="M29" s="130">
        <f t="shared" si="42"/>
        <v>1.2000000000000002</v>
      </c>
      <c r="N29" s="130">
        <f t="shared" si="15"/>
        <v>4.0999999999999996</v>
      </c>
      <c r="O29" s="130">
        <f t="shared" si="2"/>
        <v>0.6379999999999999</v>
      </c>
      <c r="P29" s="130">
        <f t="shared" si="3"/>
        <v>0.24</v>
      </c>
      <c r="Q29" s="130">
        <f t="shared" si="25"/>
        <v>4.9779999999999998</v>
      </c>
      <c r="R29" s="398">
        <f t="shared" si="26"/>
        <v>3.5379999999999998</v>
      </c>
      <c r="S29" s="398">
        <f t="shared" si="27"/>
        <v>1.4400000000000002</v>
      </c>
      <c r="T29" s="398">
        <f t="shared" si="16"/>
        <v>4.9779999999999998</v>
      </c>
      <c r="U29" s="125"/>
      <c r="V29" s="125"/>
      <c r="W29" t="str">
        <f>IFERROR(#REF!*J29,"")</f>
        <v/>
      </c>
      <c r="X29">
        <f t="shared" si="17"/>
        <v>17.399999999999999</v>
      </c>
      <c r="Y29">
        <f t="shared" si="18"/>
        <v>18</v>
      </c>
      <c r="Z29" s="125">
        <f t="shared" si="19"/>
        <v>7.2000000000000011</v>
      </c>
      <c r="AA29" s="125">
        <f t="shared" si="20"/>
        <v>24.599999999999998</v>
      </c>
      <c r="AB29" s="125">
        <f t="shared" si="21"/>
        <v>3.8279999999999994</v>
      </c>
      <c r="AC29" s="125">
        <f t="shared" si="22"/>
        <v>1.44</v>
      </c>
      <c r="AD29" s="125">
        <f t="shared" si="23"/>
        <v>29.867999999999999</v>
      </c>
      <c r="AF29" s="125" t="str">
        <f>IFERROR(W29*'FlightConfig '!$K$3,"")</f>
        <v/>
      </c>
      <c r="AG29" s="125">
        <f>IFERROR(X29*'FlightConfig '!$K$23,"")</f>
        <v>6333.5999999999995</v>
      </c>
      <c r="AH29" s="125">
        <f>IFERROR(Y29*'FlightConfig '!$K$23,"")</f>
        <v>6552</v>
      </c>
      <c r="AI29" s="125">
        <f>IFERROR(Z29*'FlightConfig '!$K$23,"")</f>
        <v>2620.8000000000002</v>
      </c>
      <c r="AJ29" s="125">
        <f>IFERROR(AA29*'FlightConfig '!$K$23,"")</f>
        <v>8954.4</v>
      </c>
      <c r="AK29" s="125">
        <f>IFERROR(AB29*'FlightConfig '!$K$23,"")</f>
        <v>1393.3919999999998</v>
      </c>
    </row>
    <row r="30" spans="1:37" ht="18.75" customHeight="1" x14ac:dyDescent="0.25">
      <c r="A30" t="s">
        <v>156</v>
      </c>
      <c r="B30" s="169">
        <v>1</v>
      </c>
      <c r="C30" s="174" t="str">
        <f>CONCATENATE(A30&amp;B30&amp;F30)</f>
        <v>BUSINESS CLASS1110</v>
      </c>
      <c r="D30" s="170"/>
      <c r="E30" s="300">
        <v>1247</v>
      </c>
      <c r="F30" s="306">
        <v>110</v>
      </c>
      <c r="G30" t="str">
        <f>VLOOKUP(E30,'FG MASTER'!$A:$AB,2,0)</f>
        <v>2026 BC CY1 BRK HHH ENGLEMANS ROLL, SPOTTED TROTTER - BACON, HP SAUCE</v>
      </c>
      <c r="H30" s="282">
        <v>1</v>
      </c>
      <c r="I30" s="171">
        <v>0.6</v>
      </c>
      <c r="J30" s="288">
        <f>IFERROR(IF(I30="std",H30,HLOOKUP(A30,'FlightConfig '!$B$34:$G$35,2,0)*I30),"")</f>
        <v>18</v>
      </c>
      <c r="K30" s="242">
        <f>VLOOKUP(Food!E30,'FG MASTER'!$A$1:$AC$737,16,0)</f>
        <v>1.97</v>
      </c>
      <c r="L30" s="243">
        <f>VLOOKUP(Food!E30,'FG MASTER'!$A$10:$AC$737,17,0)</f>
        <v>2.12</v>
      </c>
      <c r="M30" s="130">
        <f t="shared" si="42"/>
        <v>0.84800000000000009</v>
      </c>
      <c r="N30" s="130">
        <f t="shared" si="15"/>
        <v>2.8180000000000001</v>
      </c>
      <c r="O30" s="130">
        <f t="shared" si="2"/>
        <v>0.43340000000000001</v>
      </c>
      <c r="P30" s="130">
        <f t="shared" si="3"/>
        <v>0.16959999999999997</v>
      </c>
      <c r="Q30" s="130">
        <f t="shared" si="25"/>
        <v>3.4210000000000003</v>
      </c>
      <c r="R30" s="398">
        <f t="shared" si="26"/>
        <v>2.4034</v>
      </c>
      <c r="S30" s="398">
        <f t="shared" si="27"/>
        <v>1.0176000000000001</v>
      </c>
      <c r="T30" s="398">
        <f t="shared" si="16"/>
        <v>3.4210000000000003</v>
      </c>
      <c r="U30" s="125">
        <v>3.42</v>
      </c>
      <c r="V30" s="125"/>
      <c r="W30" t="str">
        <f>IFERROR(#REF!*J30,"")</f>
        <v/>
      </c>
      <c r="X30">
        <f t="shared" si="17"/>
        <v>35.46</v>
      </c>
      <c r="Y30">
        <f t="shared" si="18"/>
        <v>38.160000000000004</v>
      </c>
      <c r="Z30" s="125">
        <f t="shared" si="19"/>
        <v>15.264000000000001</v>
      </c>
      <c r="AA30" s="125">
        <f t="shared" si="20"/>
        <v>50.724000000000004</v>
      </c>
      <c r="AB30" s="125">
        <f t="shared" si="21"/>
        <v>7.8011999999999997</v>
      </c>
      <c r="AC30" s="125">
        <f t="shared" si="22"/>
        <v>3.0527999999999995</v>
      </c>
      <c r="AD30" s="125">
        <f t="shared" si="23"/>
        <v>61.578000000000003</v>
      </c>
      <c r="AF30" s="125" t="str">
        <f>IFERROR(W30*'FlightConfig '!$K$3,"")</f>
        <v/>
      </c>
      <c r="AG30" s="125">
        <f>IFERROR(X30*'FlightConfig '!$K$23,"")</f>
        <v>12907.44</v>
      </c>
      <c r="AH30" s="125">
        <f>IFERROR(Y30*'FlightConfig '!$K$23,"")</f>
        <v>13890.240000000002</v>
      </c>
      <c r="AI30" s="125">
        <f>IFERROR(Z30*'FlightConfig '!$K$23,"")</f>
        <v>5556.0960000000005</v>
      </c>
      <c r="AJ30" s="125">
        <f>IFERROR(AA30*'FlightConfig '!$K$23,"")</f>
        <v>18463.536</v>
      </c>
      <c r="AK30" s="125">
        <f>IFERROR(AB30*'FlightConfig '!$K$23,"")</f>
        <v>2839.6367999999998</v>
      </c>
    </row>
    <row r="31" spans="1:37" ht="18.75" customHeight="1" x14ac:dyDescent="0.25">
      <c r="A31" t="s">
        <v>156</v>
      </c>
      <c r="B31" s="169">
        <v>1</v>
      </c>
      <c r="C31" s="174" t="str">
        <f t="shared" ref="C31:C32" si="68">CONCATENATE(A31&amp;B31&amp;F31)</f>
        <v>BUSINESS CLASS1110</v>
      </c>
      <c r="D31" s="170"/>
      <c r="E31" s="300">
        <v>1248</v>
      </c>
      <c r="F31" s="306">
        <v>110</v>
      </c>
      <c r="G31" t="str">
        <f>VLOOKUP(E31,'FG MASTER'!$A:$AB,2,0)</f>
        <v>2026 BC CY1 BRK HHH CIABATTA, EGG PATTY, SUN DRIED TOMATO PESTO, SPINACH, SWISS CHEESE</v>
      </c>
      <c r="H31" s="282">
        <v>1</v>
      </c>
      <c r="I31" s="171">
        <v>0.4</v>
      </c>
      <c r="J31" s="288">
        <f>IFERROR(IF(I31="std",H31,HLOOKUP(A31,'FlightConfig '!$B$34:$G$35,2,0)*I31),"")</f>
        <v>12</v>
      </c>
      <c r="K31" s="242">
        <f>VLOOKUP(Food!E31,'FG MASTER'!$A$1:$AC$737,16,0)</f>
        <v>1.39</v>
      </c>
      <c r="L31" s="243">
        <f>VLOOKUP(Food!E31,'FG MASTER'!$A$10:$AC$737,17,0)</f>
        <v>2</v>
      </c>
      <c r="M31" s="130">
        <f t="shared" si="42"/>
        <v>0.8</v>
      </c>
      <c r="N31" s="130">
        <f t="shared" si="15"/>
        <v>2.19</v>
      </c>
      <c r="O31" s="130">
        <f t="shared" si="2"/>
        <v>0.30579999999999985</v>
      </c>
      <c r="P31" s="130">
        <f t="shared" si="3"/>
        <v>0.15999999999999992</v>
      </c>
      <c r="Q31" s="130">
        <f t="shared" si="25"/>
        <v>2.6558000000000002</v>
      </c>
      <c r="R31" s="398">
        <f t="shared" si="26"/>
        <v>1.6957999999999998</v>
      </c>
      <c r="S31" s="398">
        <f t="shared" si="27"/>
        <v>0.96</v>
      </c>
      <c r="T31" s="398">
        <f t="shared" si="16"/>
        <v>2.6557999999999997</v>
      </c>
      <c r="U31" s="125">
        <v>2.85</v>
      </c>
      <c r="V31" s="125"/>
      <c r="W31" t="str">
        <f>IFERROR(#REF!*J31,"")</f>
        <v/>
      </c>
      <c r="X31">
        <f t="shared" si="17"/>
        <v>16.68</v>
      </c>
      <c r="Y31">
        <f t="shared" si="18"/>
        <v>24</v>
      </c>
      <c r="Z31" s="125">
        <f t="shared" si="19"/>
        <v>9.6000000000000014</v>
      </c>
      <c r="AA31" s="125">
        <f t="shared" si="20"/>
        <v>26.28</v>
      </c>
      <c r="AB31" s="125">
        <f t="shared" si="21"/>
        <v>3.6695999999999982</v>
      </c>
      <c r="AC31" s="125">
        <f t="shared" si="22"/>
        <v>1.919999999999999</v>
      </c>
      <c r="AD31" s="125">
        <f t="shared" si="23"/>
        <v>31.869600000000002</v>
      </c>
      <c r="AF31" s="125" t="str">
        <f>IFERROR(W31*'FlightConfig '!$K$3,"")</f>
        <v/>
      </c>
      <c r="AG31" s="125">
        <f>IFERROR(X31*'FlightConfig '!$K$23,"")</f>
        <v>6071.5199999999995</v>
      </c>
      <c r="AH31" s="125">
        <f>IFERROR(Y31*'FlightConfig '!$K$23,"")</f>
        <v>8736</v>
      </c>
      <c r="AI31" s="125">
        <f>IFERROR(Z31*'FlightConfig '!$K$23,"")</f>
        <v>3494.4000000000005</v>
      </c>
      <c r="AJ31" s="125">
        <f>IFERROR(AA31*'FlightConfig '!$K$23,"")</f>
        <v>9565.92</v>
      </c>
      <c r="AK31" s="125">
        <f>IFERROR(AB31*'FlightConfig '!$K$23,"")</f>
        <v>1335.7343999999994</v>
      </c>
    </row>
    <row r="32" spans="1:37" ht="18.75" customHeight="1" x14ac:dyDescent="0.25">
      <c r="A32" t="s">
        <v>156</v>
      </c>
      <c r="B32" s="169">
        <v>1</v>
      </c>
      <c r="C32" s="174" t="str">
        <f t="shared" si="68"/>
        <v>BUSINESS CLASS1110</v>
      </c>
      <c r="D32" s="170"/>
      <c r="E32" s="300">
        <v>1250</v>
      </c>
      <c r="F32" s="306">
        <v>110</v>
      </c>
      <c r="G32" t="str">
        <f>VLOOKUP(E32,'FG MASTER'!$A:$AB,2,0)</f>
        <v>2026 BC CY1 BRK LAYERED YOGURT</v>
      </c>
      <c r="H32" s="282">
        <v>1</v>
      </c>
      <c r="I32" s="171">
        <v>1</v>
      </c>
      <c r="J32" s="288">
        <f>IFERROR(IF(I32="std",H32,HLOOKUP(A32,'FlightConfig '!$B$34:$G$35,2,0)*I32),"")</f>
        <v>30</v>
      </c>
      <c r="K32" s="242">
        <f>VLOOKUP(Food!E32,'FG MASTER'!$A$1:$AC$737,16,0)</f>
        <v>0.99</v>
      </c>
      <c r="L32" s="243">
        <f>VLOOKUP(Food!E32,'FG MASTER'!$A$10:$AC$737,17,0)</f>
        <v>1.25</v>
      </c>
      <c r="M32" s="130">
        <f t="shared" si="42"/>
        <v>0.5</v>
      </c>
      <c r="N32" s="130">
        <f t="shared" si="15"/>
        <v>1.49</v>
      </c>
      <c r="O32" s="130">
        <f t="shared" si="2"/>
        <v>0.21779999999999999</v>
      </c>
      <c r="P32" s="130">
        <f t="shared" si="3"/>
        <v>9.9999999999999978E-2</v>
      </c>
      <c r="Q32" s="130">
        <f t="shared" si="25"/>
        <v>1.8077999999999999</v>
      </c>
      <c r="R32" s="398">
        <f t="shared" si="26"/>
        <v>1.2078</v>
      </c>
      <c r="S32" s="398">
        <f t="shared" si="27"/>
        <v>0.6</v>
      </c>
      <c r="T32" s="398">
        <f t="shared" si="16"/>
        <v>1.8077999999999999</v>
      </c>
      <c r="U32" s="125"/>
      <c r="V32" s="125"/>
      <c r="W32" t="str">
        <f>IFERROR(#REF!*J32,"")</f>
        <v/>
      </c>
      <c r="X32">
        <f t="shared" si="17"/>
        <v>29.7</v>
      </c>
      <c r="Y32">
        <f t="shared" si="18"/>
        <v>37.5</v>
      </c>
      <c r="Z32" s="125">
        <f t="shared" si="19"/>
        <v>15</v>
      </c>
      <c r="AA32" s="125">
        <f t="shared" si="20"/>
        <v>44.7</v>
      </c>
      <c r="AB32" s="125">
        <f t="shared" si="21"/>
        <v>6.5339999999999998</v>
      </c>
      <c r="AC32" s="125">
        <f t="shared" si="22"/>
        <v>2.9999999999999991</v>
      </c>
      <c r="AD32" s="125">
        <f t="shared" si="23"/>
        <v>54.233999999999995</v>
      </c>
      <c r="AF32" s="125" t="str">
        <f>IFERROR(W32*'FlightConfig '!$K$3,"")</f>
        <v/>
      </c>
      <c r="AG32" s="125">
        <f>IFERROR(X32*'FlightConfig '!$K$23,"")</f>
        <v>10810.8</v>
      </c>
      <c r="AH32" s="125">
        <f>IFERROR(Y32*'FlightConfig '!$K$23,"")</f>
        <v>13650</v>
      </c>
      <c r="AI32" s="125">
        <f>IFERROR(Z32*'FlightConfig '!$K$23,"")</f>
        <v>5460</v>
      </c>
      <c r="AJ32" s="125">
        <f>IFERROR(AA32*'FlightConfig '!$K$23,"")</f>
        <v>16270.800000000001</v>
      </c>
      <c r="AK32" s="125">
        <f>IFERROR(AB32*'FlightConfig '!$K$23,"")</f>
        <v>2378.3759999999997</v>
      </c>
    </row>
    <row r="33" spans="1:37" ht="18.75" customHeight="1" x14ac:dyDescent="0.25">
      <c r="A33" t="s">
        <v>156</v>
      </c>
      <c r="B33" s="169">
        <v>1</v>
      </c>
      <c r="C33" s="174" t="str">
        <f>CONCATENATE(A33&amp;B33&amp;F33)</f>
        <v>BUSINESS CLASS1110</v>
      </c>
      <c r="D33" s="170"/>
      <c r="E33" s="300">
        <v>1179</v>
      </c>
      <c r="F33" s="306">
        <v>110</v>
      </c>
      <c r="G33" t="str">
        <f>VLOOKUP(E33,'FG MASTER'!$A:$AB,2,0)</f>
        <v>BC C2 BRK SIDE ITEM MINI JAM JAR</v>
      </c>
      <c r="H33" s="282">
        <v>1</v>
      </c>
      <c r="I33" s="171">
        <v>1</v>
      </c>
      <c r="J33" s="288">
        <f>IFERROR(IF(I33="std",H33,HLOOKUP(A33,'FlightConfig '!$B$34:$G$35,2,0)*I33),"")</f>
        <v>30</v>
      </c>
      <c r="K33" s="242">
        <f>VLOOKUP(Food!E33,'FG MASTER'!$A$1:$AC$737,16,0)</f>
        <v>0.42724489795918363</v>
      </c>
      <c r="L33" s="243">
        <f>VLOOKUP(Food!E33,'FG MASTER'!$A$10:$AC$737,17,0)</f>
        <v>0.25</v>
      </c>
      <c r="M33" s="130">
        <f>IFERROR(L33*$M$2,"")</f>
        <v>0.1</v>
      </c>
      <c r="N33" s="130">
        <f>IFERROR((K33)+M33,"")</f>
        <v>0.52724489795918361</v>
      </c>
      <c r="O33" s="130">
        <f t="shared" si="2"/>
        <v>9.3993877551020399E-2</v>
      </c>
      <c r="P33" s="130">
        <f t="shared" si="3"/>
        <v>1.999999999999999E-2</v>
      </c>
      <c r="Q33" s="130">
        <f t="shared" si="25"/>
        <v>0.64123877551020403</v>
      </c>
      <c r="R33" s="398">
        <f t="shared" si="26"/>
        <v>0.52123877551020403</v>
      </c>
      <c r="S33" s="398">
        <f t="shared" si="27"/>
        <v>0.12</v>
      </c>
      <c r="T33" s="398">
        <f t="shared" si="16"/>
        <v>0.64123877551020403</v>
      </c>
      <c r="U33" s="125"/>
      <c r="V33" s="125"/>
      <c r="W33" t="str">
        <f>IFERROR(#REF!*J33,"")</f>
        <v/>
      </c>
      <c r="X33">
        <f t="shared" si="17"/>
        <v>12.817346938775509</v>
      </c>
      <c r="Y33">
        <f t="shared" si="18"/>
        <v>7.5</v>
      </c>
      <c r="Z33" s="125">
        <f t="shared" si="19"/>
        <v>3</v>
      </c>
      <c r="AA33" s="125">
        <f t="shared" si="20"/>
        <v>15.817346938775508</v>
      </c>
      <c r="AB33" s="125">
        <f t="shared" si="21"/>
        <v>2.8198163265306118</v>
      </c>
      <c r="AC33" s="125">
        <f t="shared" si="22"/>
        <v>0.59999999999999964</v>
      </c>
      <c r="AD33" s="125">
        <f t="shared" si="23"/>
        <v>19.237163265306123</v>
      </c>
      <c r="AF33" s="125" t="str">
        <f>IFERROR(W33*'FlightConfig '!$K$3,"")</f>
        <v/>
      </c>
      <c r="AG33" s="125">
        <f>IFERROR(X33*'FlightConfig '!$K$23,"")</f>
        <v>4665.5142857142855</v>
      </c>
      <c r="AH33" s="125">
        <f>IFERROR(Y33*'FlightConfig '!$K$23,"")</f>
        <v>2730</v>
      </c>
      <c r="AI33" s="125">
        <f>IFERROR(Z33*'FlightConfig '!$K$23,"")</f>
        <v>1092</v>
      </c>
      <c r="AJ33" s="125">
        <f>IFERROR(AA33*'FlightConfig '!$K$23,"")</f>
        <v>5757.5142857142846</v>
      </c>
      <c r="AK33" s="125">
        <f>IFERROR(AB33*'FlightConfig '!$K$23,"")</f>
        <v>1026.4131428571427</v>
      </c>
    </row>
    <row r="34" spans="1:37" ht="18.75" customHeight="1" x14ac:dyDescent="0.25">
      <c r="A34" t="s">
        <v>156</v>
      </c>
      <c r="B34" s="169">
        <v>1</v>
      </c>
      <c r="C34" s="174" t="str">
        <f t="shared" ref="C34:C51" si="69">CONCATENATE(A34&amp;B34&amp;F34)</f>
        <v>BUSINESS CLASS1110</v>
      </c>
      <c r="D34" s="170"/>
      <c r="E34" s="300">
        <v>1174</v>
      </c>
      <c r="F34" s="306">
        <v>110</v>
      </c>
      <c r="G34" t="str">
        <f>VLOOKUP(E34,'FG MASTER'!$A:$AB,2,0)</f>
        <v>BC C2 BRK PASTRIES - CROISSANT</v>
      </c>
      <c r="H34" s="282">
        <v>1</v>
      </c>
      <c r="I34" s="171">
        <v>1</v>
      </c>
      <c r="J34" s="288">
        <f>IFERROR(IF(I34="std",H34,HLOOKUP(A34,'FlightConfig '!$B$34:$G$35,2,0)*I34),"")</f>
        <v>30</v>
      </c>
      <c r="K34" s="242">
        <f>VLOOKUP(Food!E34,'FG MASTER'!$A$1:$AC$737,16,0)</f>
        <v>1.2553338435374155</v>
      </c>
      <c r="L34" s="243">
        <f>VLOOKUP(Food!E34,'FG MASTER'!$A$10:$AC$737,17,0)</f>
        <v>0.5</v>
      </c>
      <c r="M34" s="130">
        <f t="shared" ref="M34:M51" si="70">IFERROR(L34*$M$2,"")</f>
        <v>0.2</v>
      </c>
      <c r="N34" s="130">
        <f t="shared" ref="N34:N51" si="71">IFERROR((K34)+M34,"")</f>
        <v>1.4553338435374155</v>
      </c>
      <c r="O34" s="130">
        <f t="shared" si="2"/>
        <v>0.27617344557823142</v>
      </c>
      <c r="P34" s="130">
        <f t="shared" si="3"/>
        <v>3.999999999999998E-2</v>
      </c>
      <c r="Q34" s="130">
        <f t="shared" si="25"/>
        <v>1.7715072891156469</v>
      </c>
      <c r="R34" s="398">
        <f t="shared" si="26"/>
        <v>1.5315072891156469</v>
      </c>
      <c r="S34" s="398">
        <f t="shared" si="27"/>
        <v>0.24</v>
      </c>
      <c r="T34" s="398">
        <f t="shared" si="16"/>
        <v>1.7715072891156469</v>
      </c>
      <c r="U34" s="125"/>
      <c r="V34" s="125"/>
      <c r="W34" t="str">
        <f>IFERROR(#REF!*J34,"")</f>
        <v/>
      </c>
      <c r="X34">
        <f t="shared" si="17"/>
        <v>37.660015306122467</v>
      </c>
      <c r="Y34">
        <f t="shared" si="18"/>
        <v>15</v>
      </c>
      <c r="Z34" s="125">
        <f t="shared" si="19"/>
        <v>6</v>
      </c>
      <c r="AA34" s="125">
        <f t="shared" si="20"/>
        <v>43.66001530612246</v>
      </c>
      <c r="AB34" s="125">
        <f t="shared" si="21"/>
        <v>8.2852033673469432</v>
      </c>
      <c r="AC34" s="125">
        <f t="shared" si="22"/>
        <v>1.1999999999999993</v>
      </c>
      <c r="AD34" s="125">
        <f t="shared" si="23"/>
        <v>53.145218673469408</v>
      </c>
      <c r="AF34" s="125" t="str">
        <f>IFERROR(W34*'FlightConfig '!$K$3,"")</f>
        <v/>
      </c>
      <c r="AG34" s="125">
        <f>IFERROR(X34*'FlightConfig '!$K$23,"")</f>
        <v>13708.245571428579</v>
      </c>
      <c r="AH34" s="125">
        <f>IFERROR(Y34*'FlightConfig '!$K$23,"")</f>
        <v>5460</v>
      </c>
      <c r="AI34" s="125">
        <f>IFERROR(Z34*'FlightConfig '!$K$23,"")</f>
        <v>2184</v>
      </c>
      <c r="AJ34" s="125">
        <f>IFERROR(AA34*'FlightConfig '!$K$23,"")</f>
        <v>15892.245571428575</v>
      </c>
      <c r="AK34" s="125">
        <f>IFERROR(AB34*'FlightConfig '!$K$23,"")</f>
        <v>3015.8140257142873</v>
      </c>
    </row>
    <row r="35" spans="1:37" ht="18.75" customHeight="1" x14ac:dyDescent="0.25">
      <c r="A35" t="s">
        <v>156</v>
      </c>
      <c r="B35" s="169">
        <v>1</v>
      </c>
      <c r="C35" s="174" t="str">
        <f t="shared" ref="C35" si="72">CONCATENATE(A35&amp;B35&amp;F35)</f>
        <v>BUSINESS CLASS1110</v>
      </c>
      <c r="D35" s="170"/>
      <c r="E35" s="300">
        <v>1204</v>
      </c>
      <c r="F35" s="306">
        <v>110</v>
      </c>
      <c r="G35" t="str">
        <f>VLOOKUP(E35,'FG MASTER'!$A:$AB,2,0)</f>
        <v>BC C2 GARNISH GRAPEFRUIT SEGMENT 20CT</v>
      </c>
      <c r="H35" s="282">
        <v>1</v>
      </c>
      <c r="I35" s="171" t="s">
        <v>357</v>
      </c>
      <c r="J35" s="288">
        <f>IFERROR(IF(I35="std",H35,HLOOKUP(A35,'FlightConfig '!$B$34:$G$35,2,0)*I35),"")</f>
        <v>1</v>
      </c>
      <c r="K35" s="242">
        <f>VLOOKUP(Food!E35,'FG MASTER'!$A$1:$AC$737,16,0)</f>
        <v>4.9882500000000007</v>
      </c>
      <c r="L35" s="243">
        <f>VLOOKUP(Food!E35,'FG MASTER'!$A$10:$AC$737,17,0)</f>
        <v>0.5</v>
      </c>
      <c r="M35" s="130">
        <f t="shared" ref="M35" si="73">IFERROR(L35*$M$2,"")</f>
        <v>0.2</v>
      </c>
      <c r="N35" s="130">
        <f t="shared" ref="N35" si="74">IFERROR((K35)+M35,"")</f>
        <v>5.1882500000000009</v>
      </c>
      <c r="O35" s="130">
        <f t="shared" si="2"/>
        <v>1.0974149999999998</v>
      </c>
      <c r="P35" s="130">
        <f t="shared" si="3"/>
        <v>3.999999999999998E-2</v>
      </c>
      <c r="Q35" s="130">
        <f t="shared" si="25"/>
        <v>6.3256650000000008</v>
      </c>
      <c r="R35" s="398">
        <f t="shared" si="26"/>
        <v>6.0856650000000005</v>
      </c>
      <c r="S35" s="398">
        <f t="shared" ref="S35" si="75">M35*(1+$P$2)</f>
        <v>0.24</v>
      </c>
      <c r="T35" s="398">
        <f t="shared" ref="T35" si="76">R35+S35</f>
        <v>6.3256650000000008</v>
      </c>
      <c r="U35" s="125"/>
      <c r="V35" s="125"/>
      <c r="W35" t="str">
        <f>IFERROR(#REF!*J35,"")</f>
        <v/>
      </c>
      <c r="X35">
        <f t="shared" ref="X35" si="77">IFERROR(K35*J35,"")</f>
        <v>4.9882500000000007</v>
      </c>
      <c r="Y35">
        <f t="shared" ref="Y35" si="78">IFERROR(+L35*J35,"")</f>
        <v>0.5</v>
      </c>
      <c r="Z35" s="125">
        <f t="shared" ref="Z35" si="79">IFERROR(+M35*J35,"")</f>
        <v>0.2</v>
      </c>
      <c r="AA35" s="125">
        <f t="shared" ref="AA35" si="80">IFERROR(+N35*J35,"")</f>
        <v>5.1882500000000009</v>
      </c>
      <c r="AB35" s="125">
        <f t="shared" ref="AB35" si="81">IFERROR(O35*$J35,"")</f>
        <v>1.0974149999999998</v>
      </c>
      <c r="AC35" s="125">
        <f t="shared" ref="AC35" si="82">IFERROR(P35*$J35,"")</f>
        <v>3.999999999999998E-2</v>
      </c>
      <c r="AD35" s="125">
        <f t="shared" ref="AD35" si="83">IFERROR(+Q35*J35,"")</f>
        <v>6.3256650000000008</v>
      </c>
      <c r="AF35" s="125" t="str">
        <f>IFERROR(W35*'FlightConfig '!$K$3,"")</f>
        <v/>
      </c>
      <c r="AG35" s="125">
        <f>IFERROR(X35*'FlightConfig '!$K$23,"")</f>
        <v>1815.7230000000002</v>
      </c>
      <c r="AH35" s="125">
        <f>IFERROR(Y35*'FlightConfig '!$K$23,"")</f>
        <v>182</v>
      </c>
      <c r="AI35" s="125">
        <f>IFERROR(Z35*'FlightConfig '!$K$23,"")</f>
        <v>72.8</v>
      </c>
      <c r="AJ35" s="125">
        <f>IFERROR(AA35*'FlightConfig '!$K$23,"")</f>
        <v>1888.5230000000004</v>
      </c>
      <c r="AK35" s="125">
        <f>IFERROR(AB35*'FlightConfig '!$K$23,"")</f>
        <v>399.45905999999991</v>
      </c>
    </row>
    <row r="36" spans="1:37" ht="18.75" customHeight="1" x14ac:dyDescent="0.25">
      <c r="A36" t="s">
        <v>157</v>
      </c>
      <c r="B36" s="169">
        <v>1</v>
      </c>
      <c r="C36" s="174" t="str">
        <f t="shared" si="69"/>
        <v>PREMIUM ECONOMY CLASS1110</v>
      </c>
      <c r="D36" s="307"/>
      <c r="E36" s="301">
        <v>1111</v>
      </c>
      <c r="F36" s="306">
        <v>110</v>
      </c>
      <c r="G36" t="str">
        <f>VLOOKUP(E36,'FG MASTER'!$A:$AB,2,0)</f>
        <v>PY C1 DINNER TSU</v>
      </c>
      <c r="H36" s="282">
        <v>1</v>
      </c>
      <c r="I36" s="171">
        <v>1</v>
      </c>
      <c r="J36" s="288">
        <f>IFERROR(IF(I36="std",H36,HLOOKUP(A36,'FlightConfig '!$B$34:$G$35,2,0)*I36),"")</f>
        <v>44</v>
      </c>
      <c r="K36" s="242">
        <f>VLOOKUP(Food!E36,'FG MASTER'!$A$1:$AC$737,16,0)</f>
        <v>0</v>
      </c>
      <c r="L36" s="243">
        <f>VLOOKUP(Food!E36,'FG MASTER'!$A$10:$AC$737,17,0)</f>
        <v>1.5</v>
      </c>
      <c r="M36" s="130">
        <f t="shared" si="70"/>
        <v>0.60000000000000009</v>
      </c>
      <c r="N36" s="130">
        <f t="shared" si="71"/>
        <v>0.60000000000000009</v>
      </c>
      <c r="O36" s="130">
        <f t="shared" si="2"/>
        <v>0</v>
      </c>
      <c r="P36" s="130">
        <f t="shared" si="3"/>
        <v>0.12</v>
      </c>
      <c r="Q36" s="130">
        <f t="shared" si="25"/>
        <v>0.72000000000000008</v>
      </c>
      <c r="R36" s="398">
        <f t="shared" si="26"/>
        <v>0</v>
      </c>
      <c r="S36" s="398">
        <f t="shared" si="27"/>
        <v>0.72000000000000008</v>
      </c>
      <c r="T36" s="398">
        <f t="shared" si="16"/>
        <v>0.72000000000000008</v>
      </c>
      <c r="U36" s="125">
        <v>7.39</v>
      </c>
      <c r="V36" s="125"/>
      <c r="W36" t="str">
        <f>IFERROR(#REF!*J36,"")</f>
        <v/>
      </c>
      <c r="X36">
        <f t="shared" si="17"/>
        <v>0</v>
      </c>
      <c r="Y36">
        <f t="shared" si="18"/>
        <v>66</v>
      </c>
      <c r="Z36" s="125">
        <f t="shared" si="19"/>
        <v>26.400000000000006</v>
      </c>
      <c r="AA36" s="125">
        <f t="shared" si="20"/>
        <v>26.400000000000006</v>
      </c>
      <c r="AB36" s="125">
        <f t="shared" si="21"/>
        <v>0</v>
      </c>
      <c r="AC36" s="125">
        <f t="shared" si="22"/>
        <v>5.2799999999999994</v>
      </c>
      <c r="AD36" s="125">
        <f t="shared" si="23"/>
        <v>31.680000000000003</v>
      </c>
      <c r="AF36" s="125" t="str">
        <f>IFERROR(W36*'FlightConfig '!$K$3,"")</f>
        <v/>
      </c>
      <c r="AG36" s="125">
        <f>IFERROR(X36*'FlightConfig '!$K$23,"")</f>
        <v>0</v>
      </c>
      <c r="AH36" s="125">
        <f>IFERROR(Y36*'FlightConfig '!$K$23,"")</f>
        <v>24024</v>
      </c>
      <c r="AI36" s="125">
        <f>IFERROR(Z36*'FlightConfig '!$K$23,"")</f>
        <v>9609.6000000000022</v>
      </c>
      <c r="AJ36" s="125">
        <f>IFERROR(AA36*'FlightConfig '!$K$23,"")</f>
        <v>9609.6000000000022</v>
      </c>
      <c r="AK36" s="125">
        <f>IFERROR(AB36*'FlightConfig '!$K$23,"")</f>
        <v>0</v>
      </c>
    </row>
    <row r="37" spans="1:37" ht="18.75" customHeight="1" x14ac:dyDescent="0.25">
      <c r="A37" t="s">
        <v>157</v>
      </c>
      <c r="B37" s="169">
        <v>1</v>
      </c>
      <c r="C37" s="174" t="str">
        <f t="shared" si="69"/>
        <v>PREMIUM ECONOMY CLASS1110</v>
      </c>
      <c r="D37" s="307"/>
      <c r="E37" s="301">
        <v>1227</v>
      </c>
      <c r="F37" s="306">
        <v>110</v>
      </c>
      <c r="G37" t="str">
        <f>VLOOKUP(E37,'FG MASTER'!$A:$AB,2,0)</f>
        <v xml:space="preserve">2026 BC CY1 HAWAIIAN ROLL </v>
      </c>
      <c r="H37" s="282">
        <v>1</v>
      </c>
      <c r="I37" s="171">
        <v>1</v>
      </c>
      <c r="J37" s="288">
        <f>IFERROR(IF(I37="std",H37,HLOOKUP(A37,'FlightConfig '!$B$34:$G$35,2,0)*I37),"")</f>
        <v>44</v>
      </c>
      <c r="K37" s="242">
        <f>VLOOKUP(Food!E37,'FG MASTER'!$A$1:$AC$737,16,0)</f>
        <v>0.24</v>
      </c>
      <c r="L37" s="243">
        <f>VLOOKUP(Food!E37,'FG MASTER'!$A$10:$AC$737,17,0)</f>
        <v>0.25</v>
      </c>
      <c r="M37" s="130">
        <f t="shared" si="70"/>
        <v>0.1</v>
      </c>
      <c r="N37" s="130">
        <f t="shared" si="71"/>
        <v>0.33999999999999997</v>
      </c>
      <c r="O37" s="130">
        <f t="shared" si="2"/>
        <v>5.2800000000000014E-2</v>
      </c>
      <c r="P37" s="130">
        <f t="shared" si="3"/>
        <v>1.999999999999999E-2</v>
      </c>
      <c r="Q37" s="130">
        <f t="shared" si="25"/>
        <v>0.41279999999999994</v>
      </c>
      <c r="R37" s="398">
        <f t="shared" si="26"/>
        <v>0.2928</v>
      </c>
      <c r="S37" s="398">
        <f t="shared" si="27"/>
        <v>0.12</v>
      </c>
      <c r="T37" s="398">
        <f t="shared" si="16"/>
        <v>0.4128</v>
      </c>
      <c r="U37" s="125"/>
      <c r="V37" s="125"/>
      <c r="W37" t="str">
        <f>IFERROR(#REF!*J37,"")</f>
        <v/>
      </c>
      <c r="X37">
        <f t="shared" si="17"/>
        <v>10.559999999999999</v>
      </c>
      <c r="Y37">
        <f t="shared" si="18"/>
        <v>11</v>
      </c>
      <c r="Z37" s="125">
        <f t="shared" si="19"/>
        <v>4.4000000000000004</v>
      </c>
      <c r="AA37" s="125">
        <f t="shared" si="20"/>
        <v>14.959999999999999</v>
      </c>
      <c r="AB37" s="125">
        <f t="shared" si="21"/>
        <v>2.3232000000000008</v>
      </c>
      <c r="AC37" s="125">
        <f t="shared" si="22"/>
        <v>0.87999999999999956</v>
      </c>
      <c r="AD37" s="125">
        <f t="shared" si="23"/>
        <v>18.163199999999996</v>
      </c>
      <c r="AF37" s="125" t="str">
        <f>IFERROR(W37*'FlightConfig '!$K$3,"")</f>
        <v/>
      </c>
      <c r="AG37" s="125">
        <f>IFERROR(X37*'FlightConfig '!$K$23,"")</f>
        <v>3843.8399999999997</v>
      </c>
      <c r="AH37" s="125">
        <f>IFERROR(Y37*'FlightConfig '!$K$23,"")</f>
        <v>4004</v>
      </c>
      <c r="AI37" s="125">
        <f>IFERROR(Z37*'FlightConfig '!$K$23,"")</f>
        <v>1601.6000000000001</v>
      </c>
      <c r="AJ37" s="125">
        <f>IFERROR(AA37*'FlightConfig '!$K$23,"")</f>
        <v>5445.44</v>
      </c>
      <c r="AK37" s="125">
        <f>IFERROR(AB37*'FlightConfig '!$K$23,"")</f>
        <v>845.64480000000026</v>
      </c>
    </row>
    <row r="38" spans="1:37" ht="18.75" customHeight="1" x14ac:dyDescent="0.25">
      <c r="A38" t="s">
        <v>157</v>
      </c>
      <c r="B38" s="169">
        <v>1</v>
      </c>
      <c r="C38" s="174" t="str">
        <f t="shared" si="69"/>
        <v>PREMIUM ECONOMY CLASS1110</v>
      </c>
      <c r="D38" s="307"/>
      <c r="E38" s="301">
        <v>1113</v>
      </c>
      <c r="F38" s="306">
        <v>110</v>
      </c>
      <c r="G38" t="str">
        <f>VLOOKUP(E38,'FG MASTER'!$A:$AB,2,0)</f>
        <v>PY C1 DINNER BUTTER</v>
      </c>
      <c r="H38" s="282">
        <v>1</v>
      </c>
      <c r="I38" s="171">
        <v>1</v>
      </c>
      <c r="J38" s="288">
        <f>IFERROR(IF(I38="std",H38,HLOOKUP(A38,'FlightConfig '!$B$34:$G$35,2,0)*I38),"")</f>
        <v>44</v>
      </c>
      <c r="K38" s="242">
        <f>VLOOKUP(Food!E38,'FG MASTER'!$A$1:$AC$737,16,0)</f>
        <v>0.3</v>
      </c>
      <c r="L38" s="243">
        <f>VLOOKUP(Food!E38,'FG MASTER'!$A$10:$AC$737,17,0)</f>
        <v>0.25</v>
      </c>
      <c r="M38" s="130">
        <f t="shared" si="70"/>
        <v>0.1</v>
      </c>
      <c r="N38" s="130">
        <f t="shared" si="71"/>
        <v>0.4</v>
      </c>
      <c r="O38" s="130">
        <f t="shared" si="2"/>
        <v>6.6000000000000003E-2</v>
      </c>
      <c r="P38" s="130">
        <f t="shared" si="3"/>
        <v>1.999999999999999E-2</v>
      </c>
      <c r="Q38" s="130">
        <f t="shared" si="25"/>
        <v>0.48599999999999999</v>
      </c>
      <c r="R38" s="398">
        <f t="shared" si="26"/>
        <v>0.36599999999999999</v>
      </c>
      <c r="S38" s="398">
        <f t="shared" si="27"/>
        <v>0.12</v>
      </c>
      <c r="T38" s="398">
        <f t="shared" si="16"/>
        <v>0.48599999999999999</v>
      </c>
      <c r="U38" s="125"/>
      <c r="V38" s="125"/>
      <c r="W38" t="str">
        <f>IFERROR(#REF!*J38,"")</f>
        <v/>
      </c>
      <c r="X38">
        <f t="shared" si="17"/>
        <v>13.2</v>
      </c>
      <c r="Y38">
        <f t="shared" si="18"/>
        <v>11</v>
      </c>
      <c r="Z38" s="125">
        <f t="shared" si="19"/>
        <v>4.4000000000000004</v>
      </c>
      <c r="AA38" s="125">
        <f t="shared" si="20"/>
        <v>17.600000000000001</v>
      </c>
      <c r="AB38" s="125">
        <f t="shared" si="21"/>
        <v>2.9039999999999999</v>
      </c>
      <c r="AC38" s="125">
        <f t="shared" si="22"/>
        <v>0.87999999999999956</v>
      </c>
      <c r="AD38" s="125">
        <f t="shared" si="23"/>
        <v>21.384</v>
      </c>
      <c r="AF38" s="125" t="str">
        <f>IFERROR(W38*'FlightConfig '!$K$3,"")</f>
        <v/>
      </c>
      <c r="AG38" s="125">
        <f>IFERROR(X38*'FlightConfig '!$K$23,"")</f>
        <v>4804.8</v>
      </c>
      <c r="AH38" s="125">
        <f>IFERROR(Y38*'FlightConfig '!$K$23,"")</f>
        <v>4004</v>
      </c>
      <c r="AI38" s="125">
        <f>IFERROR(Z38*'FlightConfig '!$K$23,"")</f>
        <v>1601.6000000000001</v>
      </c>
      <c r="AJ38" s="125">
        <f>IFERROR(AA38*'FlightConfig '!$K$23,"")</f>
        <v>6406.4000000000005</v>
      </c>
      <c r="AK38" s="125">
        <f>IFERROR(AB38*'FlightConfig '!$K$23,"")</f>
        <v>1057.056</v>
      </c>
    </row>
    <row r="39" spans="1:37" ht="18.75" customHeight="1" x14ac:dyDescent="0.25">
      <c r="A39" t="s">
        <v>157</v>
      </c>
      <c r="B39" s="169">
        <v>1</v>
      </c>
      <c r="C39" s="174" t="str">
        <f t="shared" ref="C39:C40" si="84">CONCATENATE(A39&amp;B39&amp;F39)</f>
        <v>PREMIUM ECONOMY CLASS1110</v>
      </c>
      <c r="D39" s="307"/>
      <c r="E39" s="301">
        <v>1225</v>
      </c>
      <c r="F39" s="306">
        <v>110</v>
      </c>
      <c r="G39" t="str">
        <f>VLOOKUP(E39,'FG MASTER'!$A:$AB,2,0)</f>
        <v>WATER 250ML (FROM MLCO</v>
      </c>
      <c r="H39" s="282">
        <v>1</v>
      </c>
      <c r="I39" s="171">
        <v>1</v>
      </c>
      <c r="J39" s="288">
        <f>IFERROR(IF(I39="std",H39,HLOOKUP(A39,'FlightConfig '!$B$34:$G$35,2,0)*I39),"")</f>
        <v>44</v>
      </c>
      <c r="K39" s="242">
        <f>VLOOKUP(Food!E39,'FG MASTER'!$A$1:$AC$737,16,0)</f>
        <v>0.29363333333333336</v>
      </c>
      <c r="L39" s="243">
        <f>VLOOKUP(Food!E39,'FG MASTER'!$A$10:$AC$737,17,0)</f>
        <v>0.25</v>
      </c>
      <c r="M39" s="130">
        <f t="shared" ref="M39:M40" si="85">IFERROR(L39*$M$2,"")</f>
        <v>0.1</v>
      </c>
      <c r="N39" s="130">
        <f t="shared" ref="N39:N40" si="86">IFERROR((K39)+M39,"")</f>
        <v>0.39363333333333339</v>
      </c>
      <c r="O39" s="130">
        <f t="shared" si="2"/>
        <v>6.4599333333333342E-2</v>
      </c>
      <c r="P39" s="130">
        <f t="shared" si="3"/>
        <v>1.999999999999999E-2</v>
      </c>
      <c r="Q39" s="130">
        <f t="shared" ref="Q39:Q40" si="87">SUM(N39:P39)</f>
        <v>0.47823266666666675</v>
      </c>
      <c r="R39" s="398">
        <f t="shared" ref="R39:R40" si="88">K39*(1+$O$2)</f>
        <v>0.3582326666666667</v>
      </c>
      <c r="S39" s="398">
        <f t="shared" ref="S39:S40" si="89">M39*(1+$P$2)</f>
        <v>0.12</v>
      </c>
      <c r="T39" s="398">
        <f t="shared" ref="T39:T40" si="90">R39+S39</f>
        <v>0.47823266666666669</v>
      </c>
      <c r="U39" s="125"/>
      <c r="V39" s="125"/>
      <c r="W39" t="str">
        <f>IFERROR(#REF!*J39,"")</f>
        <v/>
      </c>
      <c r="X39">
        <f t="shared" ref="X39:X40" si="91">IFERROR(K39*J39,"")</f>
        <v>12.919866666666667</v>
      </c>
      <c r="Y39">
        <f t="shared" ref="Y39:Y40" si="92">IFERROR(+L39*J39,"")</f>
        <v>11</v>
      </c>
      <c r="Z39" s="125">
        <f t="shared" ref="Z39:Z40" si="93">IFERROR(+M39*J39,"")</f>
        <v>4.4000000000000004</v>
      </c>
      <c r="AA39" s="125">
        <f t="shared" ref="AA39:AA40" si="94">IFERROR(+N39*J39,"")</f>
        <v>17.31986666666667</v>
      </c>
      <c r="AB39" s="125">
        <f t="shared" ref="AB39:AB40" si="95">IFERROR(O39*$J39,"")</f>
        <v>2.842370666666667</v>
      </c>
      <c r="AC39" s="125">
        <f t="shared" ref="AC39:AC40" si="96">IFERROR(P39*$J39,"")</f>
        <v>0.87999999999999956</v>
      </c>
      <c r="AD39" s="125">
        <f t="shared" ref="AD39:AD40" si="97">IFERROR(+Q39*J39,"")</f>
        <v>21.042237333333336</v>
      </c>
      <c r="AF39" s="125" t="str">
        <f>IFERROR(W39*'FlightConfig '!$K$3,"")</f>
        <v/>
      </c>
      <c r="AG39" s="125">
        <f>IFERROR(X39*'FlightConfig '!$K$23,"")</f>
        <v>4702.8314666666665</v>
      </c>
      <c r="AH39" s="125">
        <f>IFERROR(Y39*'FlightConfig '!$K$23,"")</f>
        <v>4004</v>
      </c>
      <c r="AI39" s="125">
        <f>IFERROR(Z39*'FlightConfig '!$K$23,"")</f>
        <v>1601.6000000000001</v>
      </c>
      <c r="AJ39" s="125">
        <f>IFERROR(AA39*'FlightConfig '!$K$23,"")</f>
        <v>6304.4314666666678</v>
      </c>
      <c r="AK39" s="125">
        <f>IFERROR(AB39*'FlightConfig '!$K$23,"")</f>
        <v>1034.6229226666669</v>
      </c>
    </row>
    <row r="40" spans="1:37" ht="18.75" customHeight="1" x14ac:dyDescent="0.25">
      <c r="A40" t="s">
        <v>157</v>
      </c>
      <c r="B40" s="169">
        <v>1</v>
      </c>
      <c r="C40" s="174" t="str">
        <f t="shared" si="84"/>
        <v>PREMIUM ECONOMY CLASS1110</v>
      </c>
      <c r="D40" s="307"/>
      <c r="E40" s="301">
        <v>1287</v>
      </c>
      <c r="F40" s="306">
        <v>110</v>
      </c>
      <c r="G40" t="str">
        <f>VLOOKUP(E40,'FG MASTER'!$A:$AB,2,0)</f>
        <v xml:space="preserve">2026 PY DRESSING </v>
      </c>
      <c r="H40" s="282">
        <v>1</v>
      </c>
      <c r="I40" s="171">
        <v>1</v>
      </c>
      <c r="J40" s="288">
        <f>IFERROR(IF(I40="std",H40,HLOOKUP(A40,'FlightConfig '!$B$34:$G$35,2,0)*I40),"")</f>
        <v>44</v>
      </c>
      <c r="K40" s="242">
        <f>VLOOKUP(Food!E40,'FG MASTER'!$A$1:$AC$737,16,0)</f>
        <v>0.15</v>
      </c>
      <c r="L40" s="243">
        <f>VLOOKUP(Food!E40,'FG MASTER'!$A$10:$AC$737,17,0)</f>
        <v>0.15</v>
      </c>
      <c r="M40" s="130">
        <f t="shared" si="85"/>
        <v>0.06</v>
      </c>
      <c r="N40" s="130">
        <f t="shared" si="86"/>
        <v>0.21</v>
      </c>
      <c r="O40" s="130">
        <f t="shared" si="2"/>
        <v>3.3000000000000002E-2</v>
      </c>
      <c r="P40" s="130">
        <f t="shared" si="3"/>
        <v>1.1999999999999997E-2</v>
      </c>
      <c r="Q40" s="130">
        <f t="shared" si="87"/>
        <v>0.255</v>
      </c>
      <c r="R40" s="398">
        <f t="shared" si="88"/>
        <v>0.183</v>
      </c>
      <c r="S40" s="398">
        <f t="shared" si="89"/>
        <v>7.1999999999999995E-2</v>
      </c>
      <c r="T40" s="398">
        <f t="shared" si="90"/>
        <v>0.255</v>
      </c>
      <c r="V40" s="125"/>
      <c r="W40" t="str">
        <f>IFERROR(#REF!*J40,"")</f>
        <v/>
      </c>
      <c r="X40">
        <f t="shared" si="91"/>
        <v>6.6</v>
      </c>
      <c r="Y40">
        <f t="shared" si="92"/>
        <v>6.6</v>
      </c>
      <c r="Z40" s="125">
        <f t="shared" si="93"/>
        <v>2.6399999999999997</v>
      </c>
      <c r="AA40" s="125">
        <f t="shared" si="94"/>
        <v>9.24</v>
      </c>
      <c r="AB40" s="125">
        <f t="shared" si="95"/>
        <v>1.452</v>
      </c>
      <c r="AC40" s="125">
        <f t="shared" si="96"/>
        <v>0.5279999999999998</v>
      </c>
      <c r="AD40" s="125">
        <f t="shared" si="97"/>
        <v>11.22</v>
      </c>
      <c r="AF40" s="125" t="str">
        <f>IFERROR(W40*'FlightConfig '!$K$3,"")</f>
        <v/>
      </c>
      <c r="AG40" s="125">
        <f>IFERROR(X40*'FlightConfig '!$K$23,"")</f>
        <v>2402.4</v>
      </c>
      <c r="AH40" s="125">
        <f>IFERROR(Y40*'FlightConfig '!$K$23,"")</f>
        <v>2402.4</v>
      </c>
      <c r="AI40" s="125">
        <f>IFERROR(Z40*'FlightConfig '!$K$23,"")</f>
        <v>960.95999999999992</v>
      </c>
      <c r="AJ40" s="125">
        <f>IFERROR(AA40*'FlightConfig '!$K$23,"")</f>
        <v>3363.36</v>
      </c>
      <c r="AK40" s="125">
        <f>IFERROR(AB40*'FlightConfig '!$K$23,"")</f>
        <v>528.52800000000002</v>
      </c>
    </row>
    <row r="41" spans="1:37" ht="18.75" customHeight="1" x14ac:dyDescent="0.25">
      <c r="A41" t="s">
        <v>157</v>
      </c>
      <c r="B41" s="169">
        <v>1</v>
      </c>
      <c r="C41" s="174" t="str">
        <f t="shared" si="69"/>
        <v>PREMIUM ECONOMY CLASS1110</v>
      </c>
      <c r="D41" s="307"/>
      <c r="E41" s="301">
        <v>1251</v>
      </c>
      <c r="F41" s="306">
        <v>110</v>
      </c>
      <c r="G41" t="str">
        <f>VLOOKUP(E41,'FG MASTER'!$A:$AB,2,0)</f>
        <v>2026 PY CY1 BABY GEM LETTUCE, FETA CHEESE, GRAPE TOMATO, PICKLED ONION</v>
      </c>
      <c r="H41" s="282">
        <v>1</v>
      </c>
      <c r="I41" s="171">
        <v>1</v>
      </c>
      <c r="J41" s="288">
        <f>IFERROR(IF(I41="std",H41,HLOOKUP(A41,'FlightConfig '!$B$34:$G$35,2,0)*I41),"")</f>
        <v>44</v>
      </c>
      <c r="K41" s="242">
        <f>VLOOKUP(Food!E41,'FG MASTER'!$A$1:$AC$737,16,0)</f>
        <v>0.5</v>
      </c>
      <c r="L41" s="243">
        <f>VLOOKUP(Food!E41,'FG MASTER'!$A$10:$AC$737,17,0)</f>
        <v>1</v>
      </c>
      <c r="M41" s="130">
        <f t="shared" si="70"/>
        <v>0.4</v>
      </c>
      <c r="N41" s="130">
        <f t="shared" si="71"/>
        <v>0.9</v>
      </c>
      <c r="O41" s="130">
        <f t="shared" si="2"/>
        <v>0.10999999999999999</v>
      </c>
      <c r="P41" s="130">
        <f t="shared" si="3"/>
        <v>7.999999999999996E-2</v>
      </c>
      <c r="Q41" s="130">
        <f t="shared" si="25"/>
        <v>1.0899999999999999</v>
      </c>
      <c r="R41" s="398">
        <f t="shared" si="26"/>
        <v>0.61</v>
      </c>
      <c r="S41" s="398">
        <f t="shared" si="27"/>
        <v>0.48</v>
      </c>
      <c r="T41" s="398">
        <f t="shared" si="16"/>
        <v>1.0899999999999999</v>
      </c>
      <c r="V41" s="125"/>
      <c r="W41" t="str">
        <f>IFERROR(#REF!*J41,"")</f>
        <v/>
      </c>
      <c r="X41">
        <f t="shared" si="17"/>
        <v>22</v>
      </c>
      <c r="Y41">
        <f t="shared" si="18"/>
        <v>44</v>
      </c>
      <c r="Z41" s="125">
        <f t="shared" si="19"/>
        <v>17.600000000000001</v>
      </c>
      <c r="AA41" s="125">
        <f t="shared" si="20"/>
        <v>39.6</v>
      </c>
      <c r="AB41" s="125">
        <f t="shared" si="21"/>
        <v>4.84</v>
      </c>
      <c r="AC41" s="125">
        <f t="shared" si="22"/>
        <v>3.5199999999999982</v>
      </c>
      <c r="AD41" s="125">
        <f t="shared" si="23"/>
        <v>47.959999999999994</v>
      </c>
      <c r="AF41" s="125" t="str">
        <f>IFERROR(W41*'FlightConfig '!$K$3,"")</f>
        <v/>
      </c>
      <c r="AG41" s="125">
        <f>IFERROR(X41*'FlightConfig '!$K$23,"")</f>
        <v>8008</v>
      </c>
      <c r="AH41" s="125">
        <f>IFERROR(Y41*'FlightConfig '!$K$23,"")</f>
        <v>16016</v>
      </c>
      <c r="AI41" s="125">
        <f>IFERROR(Z41*'FlightConfig '!$K$23,"")</f>
        <v>6406.4000000000005</v>
      </c>
      <c r="AJ41" s="125">
        <f>IFERROR(AA41*'FlightConfig '!$K$23,"")</f>
        <v>14414.4</v>
      </c>
      <c r="AK41" s="125">
        <f>IFERROR(AB41*'FlightConfig '!$K$23,"")</f>
        <v>1761.76</v>
      </c>
    </row>
    <row r="42" spans="1:37" ht="18.75" customHeight="1" x14ac:dyDescent="0.25">
      <c r="A42" t="s">
        <v>157</v>
      </c>
      <c r="B42" s="169">
        <v>1</v>
      </c>
      <c r="C42" s="174" t="str">
        <f t="shared" si="69"/>
        <v>PREMIUM ECONOMY CLASS1110</v>
      </c>
      <c r="D42" s="307"/>
      <c r="E42" s="301">
        <v>1252</v>
      </c>
      <c r="F42" s="306">
        <v>110</v>
      </c>
      <c r="G42" t="str">
        <f>VLOOKUP(E42,'FG MASTER'!$A:$AB,2,0)</f>
        <v>2026 PY CY1 ENTREE 1 CHICKEN ROULADE, RISOTTO, GREEN BEAN, LEMON CHICKEN JUS, MUSHROOM CONSERVA</v>
      </c>
      <c r="H42" s="282">
        <v>1</v>
      </c>
      <c r="I42" s="171">
        <v>0.3</v>
      </c>
      <c r="J42" s="288">
        <f>IFERROR(IF(I42="std",H42,HLOOKUP(A42,'FlightConfig '!$B$34:$G$35,2,0)*I42),"")</f>
        <v>13.2</v>
      </c>
      <c r="K42" s="242">
        <f>VLOOKUP(Food!E42,'FG MASTER'!$A$1:$AC$737,16,0)</f>
        <v>1.81</v>
      </c>
      <c r="L42" s="243">
        <f>VLOOKUP(Food!E42,'FG MASTER'!$A$10:$AC$737,17,0)</f>
        <v>4.5</v>
      </c>
      <c r="M42" s="130">
        <f t="shared" si="70"/>
        <v>1.8</v>
      </c>
      <c r="N42" s="130">
        <f t="shared" si="71"/>
        <v>3.6100000000000003</v>
      </c>
      <c r="O42" s="130">
        <f t="shared" si="2"/>
        <v>0.39820000000000011</v>
      </c>
      <c r="P42" s="130">
        <f t="shared" si="3"/>
        <v>0.3600000000000001</v>
      </c>
      <c r="Q42" s="130">
        <f t="shared" si="25"/>
        <v>4.3682000000000007</v>
      </c>
      <c r="R42" s="398">
        <f t="shared" si="26"/>
        <v>2.2082000000000002</v>
      </c>
      <c r="S42" s="398">
        <f t="shared" si="27"/>
        <v>2.16</v>
      </c>
      <c r="T42" s="398">
        <f t="shared" si="16"/>
        <v>4.3681999999999999</v>
      </c>
      <c r="U42" s="125">
        <v>4.5599999999999996</v>
      </c>
      <c r="V42" s="125"/>
      <c r="W42" t="str">
        <f>IFERROR(#REF!*J42,"")</f>
        <v/>
      </c>
      <c r="X42">
        <f t="shared" si="17"/>
        <v>23.891999999999999</v>
      </c>
      <c r="Y42">
        <f t="shared" si="18"/>
        <v>59.4</v>
      </c>
      <c r="Z42" s="125">
        <f t="shared" si="19"/>
        <v>23.759999999999998</v>
      </c>
      <c r="AA42" s="125">
        <f t="shared" si="20"/>
        <v>47.652000000000001</v>
      </c>
      <c r="AB42" s="125">
        <f t="shared" si="21"/>
        <v>5.2562400000000009</v>
      </c>
      <c r="AC42" s="125">
        <f t="shared" si="22"/>
        <v>4.7520000000000007</v>
      </c>
      <c r="AD42" s="125">
        <f t="shared" si="23"/>
        <v>57.660240000000009</v>
      </c>
      <c r="AF42" s="125" t="str">
        <f>IFERROR(W42*'FlightConfig '!$K$3,"")</f>
        <v/>
      </c>
      <c r="AG42" s="125">
        <f>IFERROR(X42*'FlightConfig '!$K$23,"")</f>
        <v>8696.6880000000001</v>
      </c>
      <c r="AH42" s="125">
        <f>IFERROR(Y42*'FlightConfig '!$K$23,"")</f>
        <v>21621.599999999999</v>
      </c>
      <c r="AI42" s="125">
        <f>IFERROR(Z42*'FlightConfig '!$K$23,"")</f>
        <v>8648.64</v>
      </c>
      <c r="AJ42" s="125">
        <f>IFERROR(AA42*'FlightConfig '!$K$23,"")</f>
        <v>17345.328000000001</v>
      </c>
      <c r="AK42" s="125">
        <f>IFERROR(AB42*'FlightConfig '!$K$23,"")</f>
        <v>1913.2713600000004</v>
      </c>
    </row>
    <row r="43" spans="1:37" ht="18.75" customHeight="1" x14ac:dyDescent="0.25">
      <c r="A43" t="s">
        <v>157</v>
      </c>
      <c r="B43" s="169">
        <v>1</v>
      </c>
      <c r="C43" s="174" t="str">
        <f t="shared" si="69"/>
        <v>PREMIUM ECONOMY CLASS1110</v>
      </c>
      <c r="D43" s="307"/>
      <c r="E43" s="301">
        <v>1253</v>
      </c>
      <c r="F43" s="306">
        <v>110</v>
      </c>
      <c r="G43" t="str">
        <f>VLOOKUP(E43,'FG MASTER'!$A:$AB,2,0)</f>
        <v>2026 PY CY1 ENTRÉE 2 COD, SHRIMP, AND FISHERMAN STEW, GOLD RICE, FENNEL CAPER RELISH</v>
      </c>
      <c r="H43" s="282">
        <v>1</v>
      </c>
      <c r="I43" s="171">
        <v>0.5</v>
      </c>
      <c r="J43" s="288">
        <f>IFERROR(IF(I43="std",H43,HLOOKUP(A43,'FlightConfig '!$B$34:$G$35,2,0)*I43),"")</f>
        <v>22</v>
      </c>
      <c r="K43" s="242">
        <f>VLOOKUP(Food!E43,'FG MASTER'!$A$1:$AC$737,16,0)</f>
        <v>3.21</v>
      </c>
      <c r="L43" s="243">
        <f>VLOOKUP(Food!E43,'FG MASTER'!$A$10:$AC$737,17,0)</f>
        <v>4.5</v>
      </c>
      <c r="M43" s="130">
        <f t="shared" si="70"/>
        <v>1.8</v>
      </c>
      <c r="N43" s="130">
        <f t="shared" si="71"/>
        <v>5.01</v>
      </c>
      <c r="O43" s="130">
        <f t="shared" si="2"/>
        <v>0.70619999999999994</v>
      </c>
      <c r="P43" s="130">
        <f t="shared" si="3"/>
        <v>0.3600000000000001</v>
      </c>
      <c r="Q43" s="130">
        <f t="shared" si="25"/>
        <v>6.0762</v>
      </c>
      <c r="R43" s="398">
        <f t="shared" si="26"/>
        <v>3.9161999999999999</v>
      </c>
      <c r="S43" s="398">
        <f t="shared" si="27"/>
        <v>2.16</v>
      </c>
      <c r="T43" s="398">
        <f t="shared" si="16"/>
        <v>6.0762</v>
      </c>
      <c r="U43" s="125">
        <v>6.83</v>
      </c>
      <c r="V43" s="125"/>
      <c r="W43" t="str">
        <f>IFERROR(#REF!*J43,"")</f>
        <v/>
      </c>
      <c r="X43">
        <f t="shared" si="17"/>
        <v>70.62</v>
      </c>
      <c r="Y43">
        <f t="shared" si="18"/>
        <v>99</v>
      </c>
      <c r="Z43" s="125">
        <f t="shared" si="19"/>
        <v>39.6</v>
      </c>
      <c r="AA43" s="125">
        <f t="shared" si="20"/>
        <v>110.22</v>
      </c>
      <c r="AB43" s="125">
        <f t="shared" si="21"/>
        <v>15.536399999999999</v>
      </c>
      <c r="AC43" s="125">
        <f t="shared" si="22"/>
        <v>7.9200000000000017</v>
      </c>
      <c r="AD43" s="125">
        <f t="shared" si="23"/>
        <v>133.6764</v>
      </c>
      <c r="AF43" s="125" t="str">
        <f>IFERROR(W43*'FlightConfig '!$K$3,"")</f>
        <v/>
      </c>
      <c r="AG43" s="125">
        <f>IFERROR(X43*'FlightConfig '!$K$23,"")</f>
        <v>25705.68</v>
      </c>
      <c r="AH43" s="125">
        <f>IFERROR(Y43*'FlightConfig '!$K$23,"")</f>
        <v>36036</v>
      </c>
      <c r="AI43" s="125">
        <f>IFERROR(Z43*'FlightConfig '!$K$23,"")</f>
        <v>14414.4</v>
      </c>
      <c r="AJ43" s="125">
        <f>IFERROR(AA43*'FlightConfig '!$K$23,"")</f>
        <v>40120.080000000002</v>
      </c>
      <c r="AK43" s="125">
        <f>IFERROR(AB43*'FlightConfig '!$K$23,"")</f>
        <v>5655.2495999999992</v>
      </c>
    </row>
    <row r="44" spans="1:37" ht="18.75" customHeight="1" x14ac:dyDescent="0.25">
      <c r="A44" t="s">
        <v>157</v>
      </c>
      <c r="B44" s="169">
        <v>1</v>
      </c>
      <c r="C44" s="174" t="str">
        <f t="shared" si="69"/>
        <v>PREMIUM ECONOMY CLASS1110</v>
      </c>
      <c r="D44" s="307"/>
      <c r="E44" s="301">
        <v>1254</v>
      </c>
      <c r="F44" s="306">
        <v>110</v>
      </c>
      <c r="G44" t="str">
        <f>VLOOKUP(E44,'FG MASTER'!$A:$AB,2,0)</f>
        <v>2026 PY CY1 ENTRÉE 3 SPINACH CANNELLONI, RATATOUILLE, SAN MARZANO SAUCE, MOZZARELLA CHEESE</v>
      </c>
      <c r="H44" s="282">
        <v>1</v>
      </c>
      <c r="I44" s="171">
        <v>0.35</v>
      </c>
      <c r="J44" s="288">
        <f>IFERROR(IF(I44="std",H44,HLOOKUP(A44,'FlightConfig '!$B$34:$G$35,2,0)*I44),"")</f>
        <v>15.399999999999999</v>
      </c>
      <c r="K44" s="242">
        <f>VLOOKUP(Food!E44,'FG MASTER'!$A$1:$AC$737,16,0)</f>
        <v>2.4500000000000002</v>
      </c>
      <c r="L44" s="243">
        <f>VLOOKUP(Food!E44,'FG MASTER'!$A$10:$AC$737,17,0)</f>
        <v>2.5</v>
      </c>
      <c r="M44" s="130">
        <f t="shared" si="70"/>
        <v>1</v>
      </c>
      <c r="N44" s="130">
        <f t="shared" si="71"/>
        <v>3.45</v>
      </c>
      <c r="O44" s="130">
        <f t="shared" si="2"/>
        <v>0.53900000000000015</v>
      </c>
      <c r="P44" s="130">
        <f t="shared" si="3"/>
        <v>0.19999999999999996</v>
      </c>
      <c r="Q44" s="130">
        <f t="shared" si="25"/>
        <v>4.1890000000000001</v>
      </c>
      <c r="R44" s="398">
        <f t="shared" si="26"/>
        <v>2.9890000000000003</v>
      </c>
      <c r="S44" s="398">
        <f t="shared" si="27"/>
        <v>1.2</v>
      </c>
      <c r="T44" s="398">
        <f t="shared" si="16"/>
        <v>4.1890000000000001</v>
      </c>
      <c r="U44" s="125">
        <v>4.51</v>
      </c>
      <c r="V44" s="125"/>
      <c r="W44" t="str">
        <f>IFERROR(#REF!*J44,"")</f>
        <v/>
      </c>
      <c r="X44">
        <f t="shared" si="17"/>
        <v>37.729999999999997</v>
      </c>
      <c r="Y44">
        <f t="shared" si="18"/>
        <v>38.5</v>
      </c>
      <c r="Z44" s="125">
        <f t="shared" si="19"/>
        <v>15.399999999999999</v>
      </c>
      <c r="AA44" s="125">
        <f t="shared" si="20"/>
        <v>53.129999999999995</v>
      </c>
      <c r="AB44" s="125">
        <f t="shared" si="21"/>
        <v>8.3006000000000011</v>
      </c>
      <c r="AC44" s="125">
        <f t="shared" si="22"/>
        <v>3.0799999999999992</v>
      </c>
      <c r="AD44" s="125">
        <f t="shared" si="23"/>
        <v>64.510599999999997</v>
      </c>
      <c r="AF44" s="125" t="str">
        <f>IFERROR(W44*'FlightConfig '!$K$3,"")</f>
        <v/>
      </c>
      <c r="AG44" s="125">
        <f>IFERROR(X44*'FlightConfig '!$K$23,"")</f>
        <v>13733.72</v>
      </c>
      <c r="AH44" s="125">
        <f>IFERROR(Y44*'FlightConfig '!$K$23,"")</f>
        <v>14014</v>
      </c>
      <c r="AI44" s="125">
        <f>IFERROR(Z44*'FlightConfig '!$K$23,"")</f>
        <v>5605.5999999999995</v>
      </c>
      <c r="AJ44" s="125">
        <f>IFERROR(AA44*'FlightConfig '!$K$23,"")</f>
        <v>19339.32</v>
      </c>
      <c r="AK44" s="125">
        <f>IFERROR(AB44*'FlightConfig '!$K$23,"")</f>
        <v>3021.4184000000005</v>
      </c>
    </row>
    <row r="45" spans="1:37" ht="18.75" customHeight="1" x14ac:dyDescent="0.25">
      <c r="A45" t="s">
        <v>157</v>
      </c>
      <c r="B45" s="169">
        <v>1</v>
      </c>
      <c r="C45" s="174" t="str">
        <f t="shared" si="69"/>
        <v>PREMIUM ECONOMY CLASS1110</v>
      </c>
      <c r="D45" s="307"/>
      <c r="E45" s="301">
        <v>1255</v>
      </c>
      <c r="F45" s="306">
        <v>110</v>
      </c>
      <c r="G45" t="str">
        <f>VLOOKUP(E45,'FG MASTER'!$A:$AB,2,0)</f>
        <v>2026 PY CY1 STRAWBERRY SWIRL CHEESE CAKE</v>
      </c>
      <c r="H45" s="282">
        <v>1</v>
      </c>
      <c r="I45" s="171">
        <v>1</v>
      </c>
      <c r="J45" s="288">
        <f>IFERROR(IF(I45="std",H45,HLOOKUP(A45,'FlightConfig '!$B$34:$G$35,2,0)*I45),"")</f>
        <v>44</v>
      </c>
      <c r="K45" s="242">
        <f>VLOOKUP(Food!E45,'FG MASTER'!$A$1:$AC$737,16,0)</f>
        <v>0.66</v>
      </c>
      <c r="L45" s="243">
        <f>VLOOKUP(Food!E45,'FG MASTER'!$A$10:$AC$737,17,0)</f>
        <v>1.5</v>
      </c>
      <c r="M45" s="130">
        <f t="shared" si="70"/>
        <v>0.60000000000000009</v>
      </c>
      <c r="N45" s="130">
        <f t="shared" si="71"/>
        <v>1.2600000000000002</v>
      </c>
      <c r="O45" s="130">
        <f t="shared" si="2"/>
        <v>0.1452</v>
      </c>
      <c r="P45" s="130">
        <f t="shared" si="3"/>
        <v>0.12</v>
      </c>
      <c r="Q45" s="130">
        <f t="shared" si="25"/>
        <v>1.5252000000000003</v>
      </c>
      <c r="R45" s="398">
        <f t="shared" si="26"/>
        <v>0.80520000000000003</v>
      </c>
      <c r="S45" s="398">
        <f t="shared" si="27"/>
        <v>0.72000000000000008</v>
      </c>
      <c r="T45" s="398">
        <f t="shared" si="16"/>
        <v>1.5252000000000001</v>
      </c>
      <c r="U45" s="125"/>
      <c r="V45" s="125"/>
      <c r="W45" t="str">
        <f>IFERROR(#REF!*J45,"")</f>
        <v/>
      </c>
      <c r="X45">
        <f t="shared" si="17"/>
        <v>29.040000000000003</v>
      </c>
      <c r="Y45">
        <f t="shared" si="18"/>
        <v>66</v>
      </c>
      <c r="Z45" s="125">
        <f t="shared" si="19"/>
        <v>26.400000000000006</v>
      </c>
      <c r="AA45" s="125">
        <f t="shared" si="20"/>
        <v>55.440000000000012</v>
      </c>
      <c r="AB45" s="125">
        <f t="shared" si="21"/>
        <v>6.3887999999999998</v>
      </c>
      <c r="AC45" s="125">
        <f t="shared" si="22"/>
        <v>5.2799999999999994</v>
      </c>
      <c r="AD45" s="125">
        <f t="shared" si="23"/>
        <v>67.108800000000016</v>
      </c>
      <c r="AF45" s="125" t="str">
        <f>IFERROR(W45*'FlightConfig '!$K$3,"")</f>
        <v/>
      </c>
      <c r="AG45" s="125">
        <f>IFERROR(X45*'FlightConfig '!$K$23,"")</f>
        <v>10570.560000000001</v>
      </c>
      <c r="AH45" s="125">
        <f>IFERROR(Y45*'FlightConfig '!$K$23,"")</f>
        <v>24024</v>
      </c>
      <c r="AI45" s="125">
        <f>IFERROR(Z45*'FlightConfig '!$K$23,"")</f>
        <v>9609.6000000000022</v>
      </c>
      <c r="AJ45" s="125">
        <f>IFERROR(AA45*'FlightConfig '!$K$23,"")</f>
        <v>20180.160000000003</v>
      </c>
      <c r="AK45" s="125">
        <f>IFERROR(AB45*'FlightConfig '!$K$23,"")</f>
        <v>2325.5232000000001</v>
      </c>
    </row>
    <row r="46" spans="1:37" ht="18.75" customHeight="1" x14ac:dyDescent="0.25">
      <c r="A46" t="s">
        <v>157</v>
      </c>
      <c r="B46" s="169">
        <v>1</v>
      </c>
      <c r="C46" s="174" t="str">
        <f t="shared" si="69"/>
        <v>PREMIUM ECONOMY CLASS1110</v>
      </c>
      <c r="D46" s="307"/>
      <c r="E46" s="301">
        <v>1256</v>
      </c>
      <c r="F46" s="306">
        <v>110</v>
      </c>
      <c r="G46" t="str">
        <f>VLOOKUP(E46,'FG MASTER'!$A:$AB,2,0)</f>
        <v>2026 PY CY1 CHEESE PLATE</v>
      </c>
      <c r="H46" s="282">
        <v>1</v>
      </c>
      <c r="I46" s="171">
        <v>1</v>
      </c>
      <c r="J46" s="288">
        <f>IFERROR(IF(I46="std",H46,HLOOKUP(A46,'FlightConfig '!$B$34:$G$35,2,0)*I46),"")</f>
        <v>44</v>
      </c>
      <c r="K46" s="242">
        <f>VLOOKUP(Food!E46,'FG MASTER'!$A$1:$AC$737,16,0)</f>
        <v>1.51</v>
      </c>
      <c r="L46" s="243">
        <f>VLOOKUP(Food!E46,'FG MASTER'!$A$10:$AC$737,17,0)</f>
        <v>1.5</v>
      </c>
      <c r="M46" s="130">
        <f t="shared" si="70"/>
        <v>0.60000000000000009</v>
      </c>
      <c r="N46" s="130">
        <f t="shared" si="71"/>
        <v>2.1100000000000003</v>
      </c>
      <c r="O46" s="130">
        <f t="shared" si="2"/>
        <v>0.33220000000000005</v>
      </c>
      <c r="P46" s="130">
        <f t="shared" si="3"/>
        <v>0.12</v>
      </c>
      <c r="Q46" s="130">
        <f t="shared" si="25"/>
        <v>2.5622000000000007</v>
      </c>
      <c r="R46" s="398">
        <f t="shared" si="26"/>
        <v>1.8422000000000001</v>
      </c>
      <c r="S46" s="398">
        <f t="shared" si="27"/>
        <v>0.72000000000000008</v>
      </c>
      <c r="T46" s="398">
        <f t="shared" si="16"/>
        <v>2.5622000000000003</v>
      </c>
      <c r="U46" s="125"/>
      <c r="V46" s="125"/>
      <c r="W46" t="str">
        <f>IFERROR(#REF!*J46,"")</f>
        <v/>
      </c>
      <c r="X46">
        <f t="shared" si="17"/>
        <v>66.44</v>
      </c>
      <c r="Y46">
        <f t="shared" si="18"/>
        <v>66</v>
      </c>
      <c r="Z46" s="125">
        <f t="shared" si="19"/>
        <v>26.400000000000006</v>
      </c>
      <c r="AA46" s="125">
        <f t="shared" si="20"/>
        <v>92.840000000000018</v>
      </c>
      <c r="AB46" s="125">
        <f t="shared" si="21"/>
        <v>14.616800000000001</v>
      </c>
      <c r="AC46" s="125">
        <f t="shared" si="22"/>
        <v>5.2799999999999994</v>
      </c>
      <c r="AD46" s="125">
        <f t="shared" si="23"/>
        <v>112.73680000000003</v>
      </c>
      <c r="AF46" s="125" t="str">
        <f>IFERROR(W46*'FlightConfig '!$K$3,"")</f>
        <v/>
      </c>
      <c r="AG46" s="125">
        <f>IFERROR(X46*'FlightConfig '!$K$23,"")</f>
        <v>24184.16</v>
      </c>
      <c r="AH46" s="125">
        <f>IFERROR(Y46*'FlightConfig '!$K$23,"")</f>
        <v>24024</v>
      </c>
      <c r="AI46" s="125">
        <f>IFERROR(Z46*'FlightConfig '!$K$23,"")</f>
        <v>9609.6000000000022</v>
      </c>
      <c r="AJ46" s="125">
        <f>IFERROR(AA46*'FlightConfig '!$K$23,"")</f>
        <v>33793.760000000009</v>
      </c>
      <c r="AK46" s="125">
        <f>IFERROR(AB46*'FlightConfig '!$K$23,"")</f>
        <v>5320.5152000000007</v>
      </c>
    </row>
    <row r="47" spans="1:37" ht="18.75" customHeight="1" x14ac:dyDescent="0.25">
      <c r="A47" t="s">
        <v>157</v>
      </c>
      <c r="B47" s="169">
        <v>1</v>
      </c>
      <c r="C47" s="174" t="str">
        <f t="shared" ref="C47" si="98">CONCATENATE(A47&amp;B47&amp;F47)</f>
        <v>PREMIUM ECONOMY CLASS1110</v>
      </c>
      <c r="D47" s="307"/>
      <c r="E47" s="301">
        <v>1286</v>
      </c>
      <c r="F47" s="306">
        <v>110</v>
      </c>
      <c r="G47" t="str">
        <f>VLOOKUP(E47,'FG MASTER'!$A:$AB,2,0)</f>
        <v>2026 PY CRACKER</v>
      </c>
      <c r="H47" s="282">
        <v>1</v>
      </c>
      <c r="I47" s="171">
        <v>1</v>
      </c>
      <c r="J47" s="288">
        <f>IFERROR(IF(I47="std",H47,HLOOKUP(A47,'FlightConfig '!$B$34:$G$35,2,0)*I47),"")</f>
        <v>44</v>
      </c>
      <c r="K47" s="242">
        <f>VLOOKUP(Food!E47,'FG MASTER'!$A$1:$AC$737,16,0)</f>
        <v>0.36</v>
      </c>
      <c r="L47" s="243">
        <f>VLOOKUP(Food!E47,'FG MASTER'!$A$10:$AC$737,17,0)</f>
        <v>0.15</v>
      </c>
      <c r="M47" s="130">
        <f t="shared" ref="M47" si="99">IFERROR(L47*$M$2,"")</f>
        <v>0.06</v>
      </c>
      <c r="N47" s="130">
        <f t="shared" ref="N47" si="100">IFERROR((K47)+M47,"")</f>
        <v>0.42</v>
      </c>
      <c r="O47" s="130">
        <f t="shared" si="2"/>
        <v>7.9199999999999993E-2</v>
      </c>
      <c r="P47" s="130">
        <f t="shared" si="3"/>
        <v>1.1999999999999997E-2</v>
      </c>
      <c r="Q47" s="130">
        <f t="shared" ref="Q47" si="101">SUM(N47:P47)</f>
        <v>0.51119999999999999</v>
      </c>
      <c r="R47" s="398">
        <f t="shared" ref="R47" si="102">K47*(1+$O$2)</f>
        <v>0.43919999999999998</v>
      </c>
      <c r="S47" s="398">
        <f t="shared" ref="S47" si="103">M47*(1+$P$2)</f>
        <v>7.1999999999999995E-2</v>
      </c>
      <c r="T47" s="398">
        <f t="shared" ref="T47" si="104">R47+S47</f>
        <v>0.51119999999999999</v>
      </c>
      <c r="U47" s="125"/>
      <c r="V47" s="125"/>
      <c r="W47" t="str">
        <f>IFERROR(#REF!*J47,"")</f>
        <v/>
      </c>
      <c r="X47">
        <f t="shared" ref="X47" si="105">IFERROR(K47*J47,"")</f>
        <v>15.84</v>
      </c>
      <c r="Y47">
        <f t="shared" ref="Y47" si="106">IFERROR(+L47*J47,"")</f>
        <v>6.6</v>
      </c>
      <c r="Z47" s="125">
        <f t="shared" ref="Z47" si="107">IFERROR(+M47*J47,"")</f>
        <v>2.6399999999999997</v>
      </c>
      <c r="AA47" s="125">
        <f t="shared" ref="AA47" si="108">IFERROR(+N47*J47,"")</f>
        <v>18.48</v>
      </c>
      <c r="AB47" s="125">
        <f t="shared" ref="AB47" si="109">IFERROR(O47*$J47,"")</f>
        <v>3.4847999999999999</v>
      </c>
      <c r="AC47" s="125">
        <f t="shared" ref="AC47" si="110">IFERROR(P47*$J47,"")</f>
        <v>0.5279999999999998</v>
      </c>
      <c r="AD47" s="125">
        <f t="shared" ref="AD47" si="111">IFERROR(+Q47*J47,"")</f>
        <v>22.492799999999999</v>
      </c>
      <c r="AF47" s="125" t="str">
        <f>IFERROR(W47*'FlightConfig '!$K$3,"")</f>
        <v/>
      </c>
      <c r="AG47" s="125">
        <f>IFERROR(X47*'FlightConfig '!$K$23,"")</f>
        <v>5765.76</v>
      </c>
      <c r="AH47" s="125">
        <f>IFERROR(Y47*'FlightConfig '!$K$23,"")</f>
        <v>2402.4</v>
      </c>
      <c r="AI47" s="125">
        <f>IFERROR(Z47*'FlightConfig '!$K$23,"")</f>
        <v>960.95999999999992</v>
      </c>
      <c r="AJ47" s="125">
        <f>IFERROR(AA47*'FlightConfig '!$K$23,"")</f>
        <v>6726.72</v>
      </c>
      <c r="AK47" s="125">
        <f>IFERROR(AB47*'FlightConfig '!$K$23,"")</f>
        <v>1268.4672</v>
      </c>
    </row>
    <row r="48" spans="1:37" ht="18.75" customHeight="1" x14ac:dyDescent="0.25">
      <c r="A48" t="s">
        <v>157</v>
      </c>
      <c r="B48" s="169">
        <v>1</v>
      </c>
      <c r="C48" s="174" t="str">
        <f t="shared" si="69"/>
        <v>PREMIUM ECONOMY CLASS1110</v>
      </c>
      <c r="D48" s="307"/>
      <c r="E48" s="301">
        <v>1120</v>
      </c>
      <c r="F48" s="306">
        <v>110</v>
      </c>
      <c r="G48" t="str">
        <f>VLOOKUP(E48,'FG MASTER'!$A:$AB,2,0)</f>
        <v>PY C1 BREAKFAST TSU</v>
      </c>
      <c r="H48" s="282">
        <v>1</v>
      </c>
      <c r="I48" s="171">
        <v>1</v>
      </c>
      <c r="J48" s="288">
        <f>IFERROR(IF(I48="std",H48,HLOOKUP(A48,'FlightConfig '!$B$34:$G$35,2,0)*I48),"")</f>
        <v>44</v>
      </c>
      <c r="K48" s="242">
        <f>VLOOKUP(Food!E48,'FG MASTER'!$A$1:$AC$737,16,0)</f>
        <v>0</v>
      </c>
      <c r="L48" s="243">
        <f>VLOOKUP(Food!E48,'FG MASTER'!$A$10:$AC$737,17,0)</f>
        <v>1.25</v>
      </c>
      <c r="M48" s="130">
        <f t="shared" si="70"/>
        <v>0.5</v>
      </c>
      <c r="N48" s="130">
        <f t="shared" si="71"/>
        <v>0.5</v>
      </c>
      <c r="O48" s="130">
        <f t="shared" si="2"/>
        <v>0</v>
      </c>
      <c r="P48" s="130">
        <f t="shared" si="3"/>
        <v>9.9999999999999978E-2</v>
      </c>
      <c r="Q48" s="130">
        <f t="shared" si="25"/>
        <v>0.6</v>
      </c>
      <c r="R48" s="398">
        <f t="shared" si="26"/>
        <v>0</v>
      </c>
      <c r="S48" s="398">
        <f t="shared" si="27"/>
        <v>0.6</v>
      </c>
      <c r="T48" s="398">
        <f t="shared" si="16"/>
        <v>0.6</v>
      </c>
      <c r="U48" s="125"/>
      <c r="V48" s="125"/>
      <c r="W48" t="str">
        <f>IFERROR(#REF!*J48,"")</f>
        <v/>
      </c>
      <c r="X48">
        <f t="shared" si="17"/>
        <v>0</v>
      </c>
      <c r="Y48">
        <f t="shared" si="18"/>
        <v>55</v>
      </c>
      <c r="Z48" s="125">
        <f t="shared" si="19"/>
        <v>22</v>
      </c>
      <c r="AA48" s="125">
        <f t="shared" si="20"/>
        <v>22</v>
      </c>
      <c r="AB48" s="125">
        <f t="shared" si="21"/>
        <v>0</v>
      </c>
      <c r="AC48" s="125">
        <f t="shared" si="22"/>
        <v>4.3999999999999986</v>
      </c>
      <c r="AD48" s="125">
        <f t="shared" si="23"/>
        <v>26.4</v>
      </c>
      <c r="AF48" s="125" t="str">
        <f>IFERROR(W48*'FlightConfig '!$K$3,"")</f>
        <v/>
      </c>
      <c r="AG48" s="125">
        <f>IFERROR(X48*'FlightConfig '!$K$23,"")</f>
        <v>0</v>
      </c>
      <c r="AH48" s="125">
        <f>IFERROR(Y48*'FlightConfig '!$K$23,"")</f>
        <v>20020</v>
      </c>
      <c r="AI48" s="125">
        <f>IFERROR(Z48*'FlightConfig '!$K$23,"")</f>
        <v>8008</v>
      </c>
      <c r="AJ48" s="125">
        <f>IFERROR(AA48*'FlightConfig '!$K$23,"")</f>
        <v>8008</v>
      </c>
      <c r="AK48" s="125">
        <f>IFERROR(AB48*'FlightConfig '!$K$23,"")</f>
        <v>0</v>
      </c>
    </row>
    <row r="49" spans="1:37" ht="18.75" customHeight="1" x14ac:dyDescent="0.25">
      <c r="A49" t="s">
        <v>157</v>
      </c>
      <c r="B49" s="169">
        <v>1</v>
      </c>
      <c r="C49" s="174" t="str">
        <f t="shared" si="69"/>
        <v>PREMIUM ECONOMY CLASS1110</v>
      </c>
      <c r="D49" s="307"/>
      <c r="E49" s="301">
        <v>1257</v>
      </c>
      <c r="F49" s="306">
        <v>110</v>
      </c>
      <c r="G49" t="str">
        <f>VLOOKUP(E49,'FG MASTER'!$A:$AB,2,0)</f>
        <v>2026 PY CY1 ENGLISH MUFFIN, EGG PATTY WITH CHICKEN SAUSAGE PATTY AND CHEDDAR CHEESE</v>
      </c>
      <c r="H49" s="282">
        <v>1</v>
      </c>
      <c r="I49" s="171">
        <v>0.5</v>
      </c>
      <c r="J49" s="288">
        <f>IFERROR(IF(I49="std",H49,HLOOKUP(A49,'FlightConfig '!$B$34:$G$35,2,0)*I49),"")</f>
        <v>22</v>
      </c>
      <c r="K49" s="242">
        <f>VLOOKUP(Food!E49,'FG MASTER'!$A$1:$AC$737,16,0)</f>
        <v>1.08</v>
      </c>
      <c r="L49" s="243">
        <f>VLOOKUP(Food!E49,'FG MASTER'!$A$10:$AC$737,17,0)</f>
        <v>2</v>
      </c>
      <c r="M49" s="130">
        <f t="shared" si="70"/>
        <v>0.8</v>
      </c>
      <c r="N49" s="130">
        <f t="shared" si="71"/>
        <v>1.8800000000000001</v>
      </c>
      <c r="O49" s="130">
        <f t="shared" si="2"/>
        <v>0.23760000000000003</v>
      </c>
      <c r="P49" s="130">
        <f t="shared" si="3"/>
        <v>0.15999999999999992</v>
      </c>
      <c r="Q49" s="130">
        <f t="shared" si="25"/>
        <v>2.2776000000000005</v>
      </c>
      <c r="R49" s="398">
        <f t="shared" si="26"/>
        <v>1.3176000000000001</v>
      </c>
      <c r="S49" s="398">
        <f t="shared" si="27"/>
        <v>0.96</v>
      </c>
      <c r="T49" s="398">
        <f t="shared" si="16"/>
        <v>2.2776000000000001</v>
      </c>
      <c r="U49" s="125">
        <v>2.48</v>
      </c>
      <c r="V49" s="125"/>
      <c r="W49" t="str">
        <f>IFERROR(#REF!*J49,"")</f>
        <v/>
      </c>
      <c r="X49">
        <f t="shared" si="17"/>
        <v>23.76</v>
      </c>
      <c r="Y49">
        <f t="shared" si="18"/>
        <v>44</v>
      </c>
      <c r="Z49" s="125">
        <f t="shared" si="19"/>
        <v>17.600000000000001</v>
      </c>
      <c r="AA49" s="125">
        <f t="shared" si="20"/>
        <v>41.36</v>
      </c>
      <c r="AB49" s="125">
        <f t="shared" si="21"/>
        <v>5.2272000000000007</v>
      </c>
      <c r="AC49" s="125">
        <f t="shared" si="22"/>
        <v>3.5199999999999982</v>
      </c>
      <c r="AD49" s="125">
        <f t="shared" si="23"/>
        <v>50.107200000000013</v>
      </c>
      <c r="AF49" s="125" t="str">
        <f>IFERROR(W49*'FlightConfig '!$K$3,"")</f>
        <v/>
      </c>
      <c r="AG49" s="125">
        <f>IFERROR(X49*'FlightConfig '!$K$23,"")</f>
        <v>8648.6400000000012</v>
      </c>
      <c r="AH49" s="125">
        <f>IFERROR(Y49*'FlightConfig '!$K$23,"")</f>
        <v>16016</v>
      </c>
      <c r="AI49" s="125">
        <f>IFERROR(Z49*'FlightConfig '!$K$23,"")</f>
        <v>6406.4000000000005</v>
      </c>
      <c r="AJ49" s="125">
        <f>IFERROR(AA49*'FlightConfig '!$K$23,"")</f>
        <v>15055.039999999999</v>
      </c>
      <c r="AK49" s="125">
        <f>IFERROR(AB49*'FlightConfig '!$K$23,"")</f>
        <v>1902.7008000000003</v>
      </c>
    </row>
    <row r="50" spans="1:37" ht="18.75" customHeight="1" x14ac:dyDescent="0.25">
      <c r="A50" t="s">
        <v>157</v>
      </c>
      <c r="B50" s="169">
        <v>1</v>
      </c>
      <c r="C50" s="174" t="str">
        <f t="shared" si="69"/>
        <v>PREMIUM ECONOMY CLASS1110</v>
      </c>
      <c r="D50" s="307"/>
      <c r="E50" s="301">
        <v>1258</v>
      </c>
      <c r="F50" s="306">
        <v>110</v>
      </c>
      <c r="G50" t="str">
        <f>VLOOKUP(E50,'FG MASTER'!$A:$AB,2,0)</f>
        <v>2026 PY CY1 CIABATTA, EGG PATTY, SUN DRIED TOMATO PESTO, SPINACH, SWISS CHEESE</v>
      </c>
      <c r="H50" s="282">
        <v>1</v>
      </c>
      <c r="I50" s="171">
        <v>0.5</v>
      </c>
      <c r="J50" s="288">
        <f>IFERROR(IF(I50="std",H50,HLOOKUP(A50,'FlightConfig '!$B$34:$G$35,2,0)*I50),"")</f>
        <v>22</v>
      </c>
      <c r="K50" s="242">
        <f>VLOOKUP(Food!E50,'FG MASTER'!$A$1:$AC$737,16,0)</f>
        <v>1.39</v>
      </c>
      <c r="L50" s="243">
        <f>VLOOKUP(Food!E50,'FG MASTER'!$A$10:$AC$737,17,0)</f>
        <v>2</v>
      </c>
      <c r="M50" s="130">
        <f t="shared" si="70"/>
        <v>0.8</v>
      </c>
      <c r="N50" s="130">
        <f t="shared" si="71"/>
        <v>2.19</v>
      </c>
      <c r="O50" s="130">
        <f t="shared" si="2"/>
        <v>0.30579999999999985</v>
      </c>
      <c r="P50" s="130">
        <f t="shared" si="3"/>
        <v>0.15999999999999992</v>
      </c>
      <c r="Q50" s="130">
        <f t="shared" si="25"/>
        <v>2.6558000000000002</v>
      </c>
      <c r="R50" s="398">
        <f t="shared" si="26"/>
        <v>1.6957999999999998</v>
      </c>
      <c r="S50" s="398">
        <f t="shared" si="27"/>
        <v>0.96</v>
      </c>
      <c r="T50" s="398">
        <f t="shared" si="16"/>
        <v>2.6557999999999997</v>
      </c>
      <c r="U50" s="125">
        <v>2.09</v>
      </c>
      <c r="V50" s="125"/>
      <c r="W50" t="str">
        <f>IFERROR(#REF!*J50,"")</f>
        <v/>
      </c>
      <c r="X50">
        <f t="shared" si="17"/>
        <v>30.58</v>
      </c>
      <c r="Y50">
        <f t="shared" si="18"/>
        <v>44</v>
      </c>
      <c r="Z50" s="125">
        <f t="shared" si="19"/>
        <v>17.600000000000001</v>
      </c>
      <c r="AA50" s="125">
        <f t="shared" si="20"/>
        <v>48.18</v>
      </c>
      <c r="AB50" s="125">
        <f t="shared" si="21"/>
        <v>6.7275999999999971</v>
      </c>
      <c r="AC50" s="125">
        <f t="shared" si="22"/>
        <v>3.5199999999999982</v>
      </c>
      <c r="AD50" s="125">
        <f t="shared" si="23"/>
        <v>58.427600000000005</v>
      </c>
      <c r="AF50" s="125" t="str">
        <f>IFERROR(W50*'FlightConfig '!$K$3,"")</f>
        <v/>
      </c>
      <c r="AG50" s="125">
        <f>IFERROR(X50*'FlightConfig '!$K$23,"")</f>
        <v>11131.119999999999</v>
      </c>
      <c r="AH50" s="125">
        <f>IFERROR(Y50*'FlightConfig '!$K$23,"")</f>
        <v>16016</v>
      </c>
      <c r="AI50" s="125">
        <f>IFERROR(Z50*'FlightConfig '!$K$23,"")</f>
        <v>6406.4000000000005</v>
      </c>
      <c r="AJ50" s="125">
        <f>IFERROR(AA50*'FlightConfig '!$K$23,"")</f>
        <v>17537.52</v>
      </c>
      <c r="AK50" s="125">
        <f>IFERROR(AB50*'FlightConfig '!$K$23,"")</f>
        <v>2448.846399999999</v>
      </c>
    </row>
    <row r="51" spans="1:37" ht="18.75" customHeight="1" x14ac:dyDescent="0.25">
      <c r="A51" t="s">
        <v>157</v>
      </c>
      <c r="B51" s="169">
        <v>1</v>
      </c>
      <c r="C51" s="174" t="str">
        <f t="shared" si="69"/>
        <v>PREMIUM ECONOMY CLASS1110</v>
      </c>
      <c r="D51" s="307"/>
      <c r="E51" s="301">
        <v>1259</v>
      </c>
      <c r="F51" s="306">
        <v>110</v>
      </c>
      <c r="G51" t="str">
        <f>VLOOKUP(E51,'FG MASTER'!$A:$AB,2,0)</f>
        <v>2026 PY CY1 LAYERED YOGURT, KIWI, STRAWBERRY, BLUEBERRY AND GRANOLA</v>
      </c>
      <c r="H51" s="282">
        <v>1</v>
      </c>
      <c r="I51" s="171">
        <v>1</v>
      </c>
      <c r="J51" s="288">
        <f>IFERROR(IF(I51="std",H51,HLOOKUP(A51,'FlightConfig '!$B$34:$G$35,2,0)*I51),"")</f>
        <v>44</v>
      </c>
      <c r="K51" s="242">
        <f>VLOOKUP(Food!E51,'FG MASTER'!$A$1:$AC$737,16,0)</f>
        <v>0.99</v>
      </c>
      <c r="L51" s="243">
        <f>VLOOKUP(Food!E51,'FG MASTER'!$A$10:$AC$737,17,0)</f>
        <v>1.25</v>
      </c>
      <c r="M51" s="130">
        <f t="shared" si="70"/>
        <v>0.5</v>
      </c>
      <c r="N51" s="130">
        <f t="shared" si="71"/>
        <v>1.49</v>
      </c>
      <c r="O51" s="130">
        <f t="shared" si="2"/>
        <v>0.21779999999999999</v>
      </c>
      <c r="P51" s="130">
        <f t="shared" si="3"/>
        <v>9.9999999999999978E-2</v>
      </c>
      <c r="Q51" s="130">
        <f t="shared" si="25"/>
        <v>1.8077999999999999</v>
      </c>
      <c r="R51" s="398">
        <f t="shared" si="26"/>
        <v>1.2078</v>
      </c>
      <c r="S51" s="398">
        <f t="shared" si="27"/>
        <v>0.6</v>
      </c>
      <c r="T51" s="398">
        <f t="shared" si="16"/>
        <v>1.8077999999999999</v>
      </c>
      <c r="U51" s="125"/>
      <c r="V51" s="125"/>
      <c r="W51" t="str">
        <f>IFERROR(#REF!*J51,"")</f>
        <v/>
      </c>
      <c r="X51">
        <f t="shared" si="17"/>
        <v>43.56</v>
      </c>
      <c r="Y51">
        <f t="shared" si="18"/>
        <v>55</v>
      </c>
      <c r="Z51" s="125">
        <f t="shared" si="19"/>
        <v>22</v>
      </c>
      <c r="AA51" s="125">
        <f t="shared" si="20"/>
        <v>65.56</v>
      </c>
      <c r="AB51" s="125">
        <f t="shared" si="21"/>
        <v>9.5831999999999997</v>
      </c>
      <c r="AC51" s="125">
        <f t="shared" si="22"/>
        <v>4.3999999999999986</v>
      </c>
      <c r="AD51" s="125">
        <f t="shared" si="23"/>
        <v>79.543199999999999</v>
      </c>
      <c r="AF51" s="125" t="str">
        <f>IFERROR(W51*'FlightConfig '!$K$3,"")</f>
        <v/>
      </c>
      <c r="AG51" s="125">
        <f>IFERROR(X51*'FlightConfig '!$K$23,"")</f>
        <v>15855.84</v>
      </c>
      <c r="AH51" s="125">
        <f>IFERROR(Y51*'FlightConfig '!$K$23,"")</f>
        <v>20020</v>
      </c>
      <c r="AI51" s="125">
        <f>IFERROR(Z51*'FlightConfig '!$K$23,"")</f>
        <v>8008</v>
      </c>
      <c r="AJ51" s="125">
        <f>IFERROR(AA51*'FlightConfig '!$K$23,"")</f>
        <v>23863.84</v>
      </c>
      <c r="AK51" s="125">
        <f>IFERROR(AB51*'FlightConfig '!$K$23,"")</f>
        <v>3488.2847999999999</v>
      </c>
    </row>
    <row r="52" spans="1:37" ht="18.75" customHeight="1" x14ac:dyDescent="0.25">
      <c r="A52" t="s">
        <v>158</v>
      </c>
      <c r="B52" s="169">
        <v>1</v>
      </c>
      <c r="C52" s="174" t="str">
        <f>CONCATENATE(A52&amp;B52&amp;F52)</f>
        <v>ECONOMY CLASS1110</v>
      </c>
      <c r="D52" s="307"/>
      <c r="E52" s="301">
        <v>1127</v>
      </c>
      <c r="F52" s="306">
        <v>110</v>
      </c>
      <c r="G52" t="str">
        <f>VLOOKUP(E52,'FG MASTER'!$A:$AB,2,0)</f>
        <v>YC C1 DINNER TSU</v>
      </c>
      <c r="H52" s="282">
        <v>1</v>
      </c>
      <c r="I52" s="171">
        <v>1</v>
      </c>
      <c r="J52" s="288">
        <f>IFERROR(IF(I52="std",H52,HLOOKUP(A52,'FlightConfig '!$B$34:$G$35,2,0)*I52),"")</f>
        <v>184</v>
      </c>
      <c r="K52" s="242">
        <f>VLOOKUP(Food!E52,'FG MASTER'!$A$1:$AC$737,16,0)</f>
        <v>0</v>
      </c>
      <c r="L52" s="243">
        <f>VLOOKUP(Food!E52,'FG MASTER'!$A$10:$AC$737,17,0)</f>
        <v>0.5</v>
      </c>
      <c r="M52" s="130">
        <f t="shared" ref="M52:M65" si="112">IFERROR(L52*$M$2,"")</f>
        <v>0.2</v>
      </c>
      <c r="N52" s="130">
        <f>IFERROR((K52)+M52,"")</f>
        <v>0.2</v>
      </c>
      <c r="O52" s="130">
        <f t="shared" si="2"/>
        <v>0</v>
      </c>
      <c r="P52" s="130">
        <f t="shared" si="3"/>
        <v>3.999999999999998E-2</v>
      </c>
      <c r="Q52" s="130">
        <f t="shared" si="25"/>
        <v>0.24</v>
      </c>
      <c r="R52" s="398">
        <f t="shared" si="26"/>
        <v>0</v>
      </c>
      <c r="S52" s="398">
        <f t="shared" si="27"/>
        <v>0.24</v>
      </c>
      <c r="T52" s="398">
        <f t="shared" si="16"/>
        <v>0.24</v>
      </c>
      <c r="U52" s="125">
        <v>4.38</v>
      </c>
      <c r="V52" s="125"/>
      <c r="W52" t="str">
        <f>IFERROR(#REF!*J52,"")</f>
        <v/>
      </c>
      <c r="X52">
        <f t="shared" si="17"/>
        <v>0</v>
      </c>
      <c r="Y52">
        <f t="shared" si="18"/>
        <v>92</v>
      </c>
      <c r="Z52" s="125">
        <f t="shared" si="19"/>
        <v>36.800000000000004</v>
      </c>
      <c r="AA52" s="125">
        <f t="shared" si="20"/>
        <v>36.800000000000004</v>
      </c>
      <c r="AB52" s="125">
        <f t="shared" si="21"/>
        <v>0</v>
      </c>
      <c r="AC52" s="125">
        <f t="shared" si="22"/>
        <v>7.3599999999999959</v>
      </c>
      <c r="AD52" s="125">
        <f t="shared" si="23"/>
        <v>44.16</v>
      </c>
      <c r="AF52" s="125" t="str">
        <f>IFERROR(W52*'FlightConfig '!$K$3,"")</f>
        <v/>
      </c>
      <c r="AG52" s="125">
        <f>IFERROR(X52*'FlightConfig '!$K$23,"")</f>
        <v>0</v>
      </c>
      <c r="AH52" s="125">
        <f>IFERROR(Y52*'FlightConfig '!$K$23,"")</f>
        <v>33488</v>
      </c>
      <c r="AI52" s="125">
        <f>IFERROR(Z52*'FlightConfig '!$K$23,"")</f>
        <v>13395.2</v>
      </c>
      <c r="AJ52" s="125">
        <f>IFERROR(AA52*'FlightConfig '!$K$23,"")</f>
        <v>13395.2</v>
      </c>
      <c r="AK52" s="125">
        <f>IFERROR(AB52*'FlightConfig '!$K$23,"")</f>
        <v>0</v>
      </c>
    </row>
    <row r="53" spans="1:37" ht="18.75" customHeight="1" x14ac:dyDescent="0.25">
      <c r="A53" t="s">
        <v>158</v>
      </c>
      <c r="B53" s="169">
        <v>1</v>
      </c>
      <c r="C53" s="174" t="str">
        <f t="shared" ref="C53" si="113">CONCATENATE(A53&amp;B53&amp;F53)</f>
        <v>ECONOMY CLASS1110</v>
      </c>
      <c r="D53" s="307"/>
      <c r="E53" s="301">
        <v>1225</v>
      </c>
      <c r="F53" s="306">
        <v>110</v>
      </c>
      <c r="G53" t="str">
        <f>VLOOKUP(E53,'FG MASTER'!$A:$AB,2,0)</f>
        <v>WATER 250ML (FROM MLCO</v>
      </c>
      <c r="H53" s="282">
        <v>1</v>
      </c>
      <c r="I53" s="171">
        <v>1</v>
      </c>
      <c r="J53" s="288">
        <f>IFERROR(IF(I53="std",H53,HLOOKUP(A53,'FlightConfig '!$B$34:$G$35,2,0)*I53),"")</f>
        <v>184</v>
      </c>
      <c r="K53" s="242">
        <f>VLOOKUP(Food!E53,'FG MASTER'!$A$1:$AC$737,16,0)</f>
        <v>0.29363333333333336</v>
      </c>
      <c r="L53" s="243">
        <f>VLOOKUP(Food!E53,'FG MASTER'!$A$10:$AC$737,17,0)</f>
        <v>0.25</v>
      </c>
      <c r="M53" s="130">
        <f t="shared" si="112"/>
        <v>0.1</v>
      </c>
      <c r="N53" s="130">
        <f t="shared" ref="N53" si="114">IFERROR((K53)+M53,"")</f>
        <v>0.39363333333333339</v>
      </c>
      <c r="O53" s="130">
        <f t="shared" si="2"/>
        <v>6.4599333333333342E-2</v>
      </c>
      <c r="P53" s="130">
        <f t="shared" si="3"/>
        <v>1.999999999999999E-2</v>
      </c>
      <c r="Q53" s="130">
        <f t="shared" si="25"/>
        <v>0.47823266666666675</v>
      </c>
      <c r="R53" s="398">
        <f t="shared" si="26"/>
        <v>0.3582326666666667</v>
      </c>
      <c r="S53" s="398">
        <f t="shared" si="27"/>
        <v>0.12</v>
      </c>
      <c r="T53" s="398">
        <f t="shared" si="16"/>
        <v>0.47823266666666669</v>
      </c>
      <c r="U53" s="125"/>
      <c r="V53" s="125"/>
      <c r="W53" t="str">
        <f>IFERROR(#REF!*J53,"")</f>
        <v/>
      </c>
      <c r="X53">
        <f t="shared" si="17"/>
        <v>54.028533333333336</v>
      </c>
      <c r="Y53">
        <f t="shared" si="18"/>
        <v>46</v>
      </c>
      <c r="Z53" s="125">
        <f t="shared" si="19"/>
        <v>18.400000000000002</v>
      </c>
      <c r="AA53" s="125">
        <f t="shared" si="20"/>
        <v>72.428533333333348</v>
      </c>
      <c r="AB53" s="125">
        <f t="shared" si="21"/>
        <v>11.886277333333336</v>
      </c>
      <c r="AC53" s="125">
        <f t="shared" si="22"/>
        <v>3.6799999999999979</v>
      </c>
      <c r="AD53" s="125">
        <f t="shared" si="23"/>
        <v>87.99481066666668</v>
      </c>
      <c r="AF53" s="125" t="str">
        <f>IFERROR(W53*'FlightConfig '!$K$3,"")</f>
        <v/>
      </c>
      <c r="AG53" s="125">
        <f>IFERROR(X53*'FlightConfig '!$K$23,"")</f>
        <v>19666.386133333333</v>
      </c>
      <c r="AH53" s="125">
        <f>IFERROR(Y53*'FlightConfig '!$K$23,"")</f>
        <v>16744</v>
      </c>
      <c r="AI53" s="125">
        <f>IFERROR(Z53*'FlightConfig '!$K$23,"")</f>
        <v>6697.6</v>
      </c>
      <c r="AJ53" s="125">
        <f>IFERROR(AA53*'FlightConfig '!$K$23,"")</f>
        <v>26363.986133333339</v>
      </c>
      <c r="AK53" s="125">
        <f>IFERROR(AB53*'FlightConfig '!$K$23,"")</f>
        <v>4326.6049493333339</v>
      </c>
    </row>
    <row r="54" spans="1:37" ht="18.75" customHeight="1" x14ac:dyDescent="0.25">
      <c r="A54" t="s">
        <v>158</v>
      </c>
      <c r="B54" s="169">
        <v>1</v>
      </c>
      <c r="C54" s="174" t="str">
        <f>CONCATENATE(A54&amp;B54&amp;F54)</f>
        <v>ECONOMY CLASS1110</v>
      </c>
      <c r="D54" s="307"/>
      <c r="E54" s="301">
        <v>1260</v>
      </c>
      <c r="F54" s="306">
        <v>110</v>
      </c>
      <c r="G54" t="str">
        <f>VLOOKUP(E54,'FG MASTER'!$A:$AB,2,0)</f>
        <v>2026 YC CY1 HONEY WHEAT ROLL</v>
      </c>
      <c r="H54" s="282">
        <v>1</v>
      </c>
      <c r="I54" s="171">
        <v>1</v>
      </c>
      <c r="J54" s="288">
        <f>IFERROR(IF(I54="std",H54,HLOOKUP(A54,'FlightConfig '!$B$34:$G$35,2,0)*I54),"")</f>
        <v>184</v>
      </c>
      <c r="K54" s="242">
        <f>VLOOKUP(Food!E54,'FG MASTER'!$A$1:$AC$737,16,0)</f>
        <v>0.25</v>
      </c>
      <c r="L54" s="243">
        <f>VLOOKUP(Food!E54,'FG MASTER'!$A$10:$AC$737,17,0)</f>
        <v>0.25</v>
      </c>
      <c r="M54" s="130">
        <f t="shared" si="112"/>
        <v>0.1</v>
      </c>
      <c r="N54" s="130">
        <f>IFERROR((K54)+M54,"")</f>
        <v>0.35</v>
      </c>
      <c r="O54" s="130">
        <f t="shared" si="2"/>
        <v>5.4999999999999993E-2</v>
      </c>
      <c r="P54" s="130">
        <f t="shared" si="3"/>
        <v>1.999999999999999E-2</v>
      </c>
      <c r="Q54" s="130">
        <f t="shared" si="25"/>
        <v>0.42499999999999993</v>
      </c>
      <c r="R54" s="398">
        <f t="shared" si="26"/>
        <v>0.30499999999999999</v>
      </c>
      <c r="S54" s="398">
        <f t="shared" si="27"/>
        <v>0.12</v>
      </c>
      <c r="T54" s="398">
        <f t="shared" si="16"/>
        <v>0.42499999999999999</v>
      </c>
      <c r="U54" s="125"/>
      <c r="V54" s="125"/>
      <c r="W54" t="str">
        <f>IFERROR(#REF!*J54,"")</f>
        <v/>
      </c>
      <c r="X54">
        <f t="shared" si="17"/>
        <v>46</v>
      </c>
      <c r="Y54">
        <f t="shared" si="18"/>
        <v>46</v>
      </c>
      <c r="Z54" s="125">
        <f t="shared" si="19"/>
        <v>18.400000000000002</v>
      </c>
      <c r="AA54" s="125">
        <f t="shared" si="20"/>
        <v>64.399999999999991</v>
      </c>
      <c r="AB54" s="125">
        <f t="shared" si="21"/>
        <v>10.119999999999999</v>
      </c>
      <c r="AC54" s="125">
        <f t="shared" si="22"/>
        <v>3.6799999999999979</v>
      </c>
      <c r="AD54" s="125">
        <f t="shared" si="23"/>
        <v>78.199999999999989</v>
      </c>
      <c r="AF54" s="125" t="str">
        <f>IFERROR(W54*'FlightConfig '!$K$3,"")</f>
        <v/>
      </c>
      <c r="AG54" s="125">
        <f>IFERROR(X54*'FlightConfig '!$K$23,"")</f>
        <v>16744</v>
      </c>
      <c r="AH54" s="125">
        <f>IFERROR(Y54*'FlightConfig '!$K$23,"")</f>
        <v>16744</v>
      </c>
      <c r="AI54" s="125">
        <f>IFERROR(Z54*'FlightConfig '!$K$23,"")</f>
        <v>6697.6</v>
      </c>
      <c r="AJ54" s="125">
        <f>IFERROR(AA54*'FlightConfig '!$K$23,"")</f>
        <v>23441.599999999999</v>
      </c>
      <c r="AK54" s="125">
        <f>IFERROR(AB54*'FlightConfig '!$K$23,"")</f>
        <v>3683.68</v>
      </c>
    </row>
    <row r="55" spans="1:37" ht="18.75" customHeight="1" x14ac:dyDescent="0.25">
      <c r="A55" t="s">
        <v>158</v>
      </c>
      <c r="B55" s="169">
        <v>1</v>
      </c>
      <c r="C55" s="174" t="str">
        <f>CONCATENATE(A55&amp;B55&amp;F55)</f>
        <v>ECONOMY CLASS1110</v>
      </c>
      <c r="D55" s="307"/>
      <c r="E55" s="301">
        <v>1129</v>
      </c>
      <c r="F55" s="306">
        <v>110</v>
      </c>
      <c r="G55" t="str">
        <f>VLOOKUP(E55,'FG MASTER'!$A:$AB,2,0)</f>
        <v>YC C1 DINNER BUTTER</v>
      </c>
      <c r="H55" s="282">
        <v>1</v>
      </c>
      <c r="I55" s="171">
        <v>1</v>
      </c>
      <c r="J55" s="288">
        <f>IFERROR(IF(I55="std",H55,HLOOKUP(A55,'FlightConfig '!$B$34:$G$35,2,0)*I55),"")</f>
        <v>184</v>
      </c>
      <c r="K55" s="242">
        <f>VLOOKUP(Food!E55,'FG MASTER'!$A$1:$AC$737,16,0)</f>
        <v>0.3</v>
      </c>
      <c r="L55" s="243">
        <f>VLOOKUP(Food!E55,'FG MASTER'!$A$10:$AC$737,17,0)</f>
        <v>0.25</v>
      </c>
      <c r="M55" s="130">
        <f t="shared" si="112"/>
        <v>0.1</v>
      </c>
      <c r="N55" s="130">
        <f>IFERROR((K55)+M55,"")</f>
        <v>0.4</v>
      </c>
      <c r="O55" s="130">
        <f t="shared" si="2"/>
        <v>6.6000000000000003E-2</v>
      </c>
      <c r="P55" s="130">
        <f t="shared" si="3"/>
        <v>1.999999999999999E-2</v>
      </c>
      <c r="Q55" s="130">
        <f t="shared" si="25"/>
        <v>0.48599999999999999</v>
      </c>
      <c r="R55" s="398">
        <f t="shared" si="26"/>
        <v>0.36599999999999999</v>
      </c>
      <c r="S55" s="398">
        <f t="shared" si="27"/>
        <v>0.12</v>
      </c>
      <c r="T55" s="398">
        <f t="shared" si="16"/>
        <v>0.48599999999999999</v>
      </c>
      <c r="U55" s="125"/>
      <c r="V55" s="125"/>
      <c r="W55" t="str">
        <f>IFERROR(#REF!*J55,"")</f>
        <v/>
      </c>
      <c r="X55">
        <f t="shared" si="17"/>
        <v>55.199999999999996</v>
      </c>
      <c r="Y55">
        <f t="shared" si="18"/>
        <v>46</v>
      </c>
      <c r="Z55" s="125">
        <f t="shared" si="19"/>
        <v>18.400000000000002</v>
      </c>
      <c r="AA55" s="125">
        <f t="shared" si="20"/>
        <v>73.600000000000009</v>
      </c>
      <c r="AB55" s="125">
        <f t="shared" si="21"/>
        <v>12.144</v>
      </c>
      <c r="AC55" s="125">
        <f t="shared" si="22"/>
        <v>3.6799999999999979</v>
      </c>
      <c r="AD55" s="125">
        <f t="shared" si="23"/>
        <v>89.423999999999992</v>
      </c>
      <c r="AF55" s="125" t="str">
        <f>IFERROR(W55*'FlightConfig '!$K$3,"")</f>
        <v/>
      </c>
      <c r="AG55" s="125">
        <f>IFERROR(X55*'FlightConfig '!$K$23,"")</f>
        <v>20092.8</v>
      </c>
      <c r="AH55" s="125">
        <f>IFERROR(Y55*'FlightConfig '!$K$23,"")</f>
        <v>16744</v>
      </c>
      <c r="AI55" s="125">
        <f>IFERROR(Z55*'FlightConfig '!$K$23,"")</f>
        <v>6697.6</v>
      </c>
      <c r="AJ55" s="125">
        <f>IFERROR(AA55*'FlightConfig '!$K$23,"")</f>
        <v>26790.400000000001</v>
      </c>
      <c r="AK55" s="125">
        <f>IFERROR(AB55*'FlightConfig '!$K$23,"")</f>
        <v>4420.4160000000002</v>
      </c>
    </row>
    <row r="56" spans="1:37" ht="18.75" customHeight="1" x14ac:dyDescent="0.25">
      <c r="A56" t="s">
        <v>158</v>
      </c>
      <c r="B56" s="169">
        <v>1</v>
      </c>
      <c r="C56" s="174" t="str">
        <f>CONCATENATE(A56&amp;B56&amp;F56)</f>
        <v>ECONOMY CLASS1110</v>
      </c>
      <c r="D56" s="307"/>
      <c r="E56" s="301">
        <v>1288</v>
      </c>
      <c r="F56" s="306">
        <v>110</v>
      </c>
      <c r="G56" t="str">
        <f>VLOOKUP(E56,'FG MASTER'!$A:$AB,2,0)</f>
        <v>2026 YC CRACKER OPTION 2</v>
      </c>
      <c r="H56" s="282">
        <v>1</v>
      </c>
      <c r="I56" s="171">
        <v>1</v>
      </c>
      <c r="J56" s="288">
        <f>IFERROR(IF(I56="std",H56,HLOOKUP(A56,'FlightConfig '!$B$34:$G$35,2,0)*I56),"")</f>
        <v>184</v>
      </c>
      <c r="K56" s="242">
        <f>VLOOKUP(Food!E56,'FG MASTER'!$A$1:$AC$737,16,0)</f>
        <v>0.34</v>
      </c>
      <c r="L56" s="243">
        <f>VLOOKUP(Food!E56,'FG MASTER'!$A$10:$AC$737,17,0)</f>
        <v>0.25</v>
      </c>
      <c r="M56" s="130">
        <f t="shared" ref="M56" si="115">IFERROR(L56*$M$2,"")</f>
        <v>0.1</v>
      </c>
      <c r="N56" s="130">
        <f>IFERROR((K56)+M56,"")</f>
        <v>0.44000000000000006</v>
      </c>
      <c r="O56" s="130">
        <f t="shared" si="2"/>
        <v>7.4799999999999978E-2</v>
      </c>
      <c r="P56" s="130">
        <f t="shared" si="3"/>
        <v>1.999999999999999E-2</v>
      </c>
      <c r="Q56" s="130">
        <f t="shared" si="25"/>
        <v>0.53480000000000005</v>
      </c>
      <c r="R56" s="398">
        <f t="shared" si="26"/>
        <v>0.4148</v>
      </c>
      <c r="S56" s="398">
        <f t="shared" ref="S56" si="116">M56*(1+$P$2)</f>
        <v>0.12</v>
      </c>
      <c r="T56" s="398">
        <f t="shared" ref="T56" si="117">R56+S56</f>
        <v>0.53479999999999994</v>
      </c>
      <c r="U56" s="125"/>
      <c r="V56" s="125"/>
      <c r="W56" t="str">
        <f>IFERROR(#REF!*J56,"")</f>
        <v/>
      </c>
      <c r="X56">
        <f t="shared" ref="X56" si="118">IFERROR(K56*J56,"")</f>
        <v>62.56</v>
      </c>
      <c r="Y56">
        <f t="shared" ref="Y56" si="119">IFERROR(+L56*J56,"")</f>
        <v>46</v>
      </c>
      <c r="Z56" s="125">
        <f t="shared" ref="Z56" si="120">IFERROR(+M56*J56,"")</f>
        <v>18.400000000000002</v>
      </c>
      <c r="AA56" s="125">
        <f t="shared" ref="AA56" si="121">IFERROR(+N56*J56,"")</f>
        <v>80.960000000000008</v>
      </c>
      <c r="AB56" s="125">
        <f t="shared" ref="AB56" si="122">IFERROR(O56*$J56,"")</f>
        <v>13.763199999999996</v>
      </c>
      <c r="AC56" s="125">
        <f t="shared" ref="AC56" si="123">IFERROR(P56*$J56,"")</f>
        <v>3.6799999999999979</v>
      </c>
      <c r="AD56" s="125">
        <f t="shared" ref="AD56" si="124">IFERROR(+Q56*J56,"")</f>
        <v>98.403200000000012</v>
      </c>
      <c r="AF56" s="125" t="str">
        <f>IFERROR(W56*'FlightConfig '!$K$3,"")</f>
        <v/>
      </c>
      <c r="AG56" s="125">
        <f>IFERROR(X56*'FlightConfig '!$K$23,"")</f>
        <v>22771.84</v>
      </c>
      <c r="AH56" s="125">
        <f>IFERROR(Y56*'FlightConfig '!$K$23,"")</f>
        <v>16744</v>
      </c>
      <c r="AI56" s="125">
        <f>IFERROR(Z56*'FlightConfig '!$K$23,"")</f>
        <v>6697.6</v>
      </c>
      <c r="AJ56" s="125">
        <f>IFERROR(AA56*'FlightConfig '!$K$23,"")</f>
        <v>29469.440000000002</v>
      </c>
      <c r="AK56" s="125">
        <f>IFERROR(AB56*'FlightConfig '!$K$23,"")</f>
        <v>5009.8047999999981</v>
      </c>
    </row>
    <row r="57" spans="1:37" ht="18.75" customHeight="1" x14ac:dyDescent="0.25">
      <c r="A57" t="s">
        <v>158</v>
      </c>
      <c r="B57" s="169">
        <v>1</v>
      </c>
      <c r="C57" s="174" t="str">
        <f>CONCATENATE(A57&amp;B57&amp;F57)</f>
        <v>ECONOMY CLASS1110</v>
      </c>
      <c r="D57" s="307"/>
      <c r="E57" s="301">
        <v>1153</v>
      </c>
      <c r="F57" s="306">
        <v>110</v>
      </c>
      <c r="G57" t="str">
        <f>VLOOKUP(E57,'FG MASTER'!$A:$AB,2,0)</f>
        <v>YC C1 DINNER TILLAMOOK CHEESE</v>
      </c>
      <c r="H57" s="282">
        <v>1</v>
      </c>
      <c r="I57" s="171">
        <v>1</v>
      </c>
      <c r="J57" s="288">
        <f>IFERROR(IF(I57="std",H57,HLOOKUP(A57,'FlightConfig '!$B$34:$G$35,2,0)*I57),"")</f>
        <v>184</v>
      </c>
      <c r="K57" s="242">
        <f>VLOOKUP(Food!E57,'FG MASTER'!$A$1:$AC$737,16,0)</f>
        <v>0.5</v>
      </c>
      <c r="L57" s="243">
        <f>VLOOKUP(Food!E57,'FG MASTER'!$A$10:$AC$737,17,0)</f>
        <v>0.25</v>
      </c>
      <c r="M57" s="130">
        <f t="shared" si="112"/>
        <v>0.1</v>
      </c>
      <c r="N57" s="130">
        <f>IFERROR((K57)+M57,"")</f>
        <v>0.6</v>
      </c>
      <c r="O57" s="130">
        <f t="shared" si="2"/>
        <v>0.10999999999999999</v>
      </c>
      <c r="P57" s="130">
        <f t="shared" si="3"/>
        <v>1.999999999999999E-2</v>
      </c>
      <c r="Q57" s="130">
        <f t="shared" si="25"/>
        <v>0.73</v>
      </c>
      <c r="R57" s="398">
        <f t="shared" si="26"/>
        <v>0.61</v>
      </c>
      <c r="S57" s="398">
        <f t="shared" si="27"/>
        <v>0.12</v>
      </c>
      <c r="T57" s="398">
        <f t="shared" si="16"/>
        <v>0.73</v>
      </c>
      <c r="U57" s="125"/>
      <c r="V57" s="125"/>
      <c r="W57" t="str">
        <f>IFERROR(#REF!*J57,"")</f>
        <v/>
      </c>
      <c r="X57">
        <f t="shared" si="17"/>
        <v>92</v>
      </c>
      <c r="Y57">
        <f t="shared" si="18"/>
        <v>46</v>
      </c>
      <c r="Z57" s="125">
        <f t="shared" si="19"/>
        <v>18.400000000000002</v>
      </c>
      <c r="AA57" s="125">
        <f t="shared" si="20"/>
        <v>110.39999999999999</v>
      </c>
      <c r="AB57" s="125">
        <f t="shared" si="21"/>
        <v>20.239999999999998</v>
      </c>
      <c r="AC57" s="125">
        <f t="shared" si="22"/>
        <v>3.6799999999999979</v>
      </c>
      <c r="AD57" s="125">
        <f t="shared" si="23"/>
        <v>134.32</v>
      </c>
      <c r="AF57" s="125" t="str">
        <f>IFERROR(W57*'FlightConfig '!$K$3,"")</f>
        <v/>
      </c>
      <c r="AG57" s="125">
        <f>IFERROR(X57*'FlightConfig '!$K$23,"")</f>
        <v>33488</v>
      </c>
      <c r="AH57" s="125">
        <f>IFERROR(Y57*'FlightConfig '!$K$23,"")</f>
        <v>16744</v>
      </c>
      <c r="AI57" s="125">
        <f>IFERROR(Z57*'FlightConfig '!$K$23,"")</f>
        <v>6697.6</v>
      </c>
      <c r="AJ57" s="125">
        <f>IFERROR(AA57*'FlightConfig '!$K$23,"")</f>
        <v>40185.599999999999</v>
      </c>
      <c r="AK57" s="125">
        <f>IFERROR(AB57*'FlightConfig '!$K$23,"")</f>
        <v>7367.36</v>
      </c>
    </row>
    <row r="58" spans="1:37" ht="18.75" customHeight="1" x14ac:dyDescent="0.25">
      <c r="A58" t="s">
        <v>158</v>
      </c>
      <c r="B58" s="169">
        <v>1</v>
      </c>
      <c r="C58" s="174" t="str">
        <f>CONCATENATE(A58&amp;B58&amp;F58)</f>
        <v>ECONOMY CLASS1110</v>
      </c>
      <c r="D58" s="307"/>
      <c r="E58" s="301">
        <v>1261</v>
      </c>
      <c r="F58" s="306">
        <v>110</v>
      </c>
      <c r="G58" t="str">
        <f>VLOOKUP(E58,'FG MASTER'!$A:$AB,2,0)</f>
        <v>2026 YC CY1 SALAD DRESSING</v>
      </c>
      <c r="H58" s="282">
        <v>1</v>
      </c>
      <c r="I58" s="171">
        <v>1</v>
      </c>
      <c r="J58" s="288">
        <f>IFERROR(IF(I58="std",H58,HLOOKUP(A58,'FlightConfig '!$B$34:$G$35,2,0)*I58),"")</f>
        <v>184</v>
      </c>
      <c r="K58" s="242">
        <f>VLOOKUP(Food!E58,'FG MASTER'!$A$1:$AC$737,16,0)</f>
        <v>0.05</v>
      </c>
      <c r="L58" s="243">
        <f>VLOOKUP(Food!E58,'FG MASTER'!$A$10:$AC$737,17,0)</f>
        <v>0.15</v>
      </c>
      <c r="M58" s="130">
        <f>IFERROR(L58*$M$2,"")</f>
        <v>0.06</v>
      </c>
      <c r="N58" s="130">
        <f>IFERROR((K58)+M58,"")</f>
        <v>0.11</v>
      </c>
      <c r="O58" s="130">
        <f>IFERROR($K58*(1+$O$2)-$K58,0)</f>
        <v>1.0999999999999996E-2</v>
      </c>
      <c r="P58" s="130">
        <f>IFERROR($M58*(1+$P$2)-$M58,0)</f>
        <v>1.1999999999999997E-2</v>
      </c>
      <c r="Q58" s="130">
        <f>SUM(N58:P58)</f>
        <v>0.13300000000000001</v>
      </c>
      <c r="R58" s="398">
        <f>K58*(1+$O$2)</f>
        <v>6.0999999999999999E-2</v>
      </c>
      <c r="S58" s="398">
        <f>M58*(1+$P$2)</f>
        <v>7.1999999999999995E-2</v>
      </c>
      <c r="T58" s="398">
        <f>R58+S58</f>
        <v>0.13300000000000001</v>
      </c>
      <c r="U58" s="125"/>
      <c r="V58" s="125"/>
      <c r="W58" t="str">
        <f>IFERROR(#REF!*J58,"")</f>
        <v/>
      </c>
      <c r="X58">
        <f>IFERROR(K58*J58,"")</f>
        <v>9.2000000000000011</v>
      </c>
      <c r="Y58">
        <f>IFERROR(+L58*J58,"")</f>
        <v>27.599999999999998</v>
      </c>
      <c r="Z58" s="125">
        <f>IFERROR(+M58*J58,"")</f>
        <v>11.04</v>
      </c>
      <c r="AA58" s="125">
        <f>IFERROR(+N58*J58,"")</f>
        <v>20.239999999999998</v>
      </c>
      <c r="AB58" s="125">
        <f>IFERROR(O58*$J58,"")</f>
        <v>2.0239999999999991</v>
      </c>
      <c r="AC58" s="125">
        <f>IFERROR(P58*$J58,"")</f>
        <v>2.2079999999999993</v>
      </c>
      <c r="AD58" s="125">
        <f>IFERROR(+Q58*J58,"")</f>
        <v>24.472000000000001</v>
      </c>
      <c r="AF58" s="125" t="str">
        <f>IFERROR(W58*'FlightConfig '!$K$3,"")</f>
        <v/>
      </c>
      <c r="AG58" s="125">
        <f>IFERROR(X58*'FlightConfig '!$K$23,"")</f>
        <v>3348.8</v>
      </c>
      <c r="AH58" s="125">
        <f>IFERROR(Y58*'FlightConfig '!$K$23,"")</f>
        <v>10046.4</v>
      </c>
      <c r="AI58" s="125">
        <f>IFERROR(Z58*'FlightConfig '!$K$23,"")</f>
        <v>4018.5599999999995</v>
      </c>
      <c r="AJ58" s="125">
        <f>IFERROR(AA58*'FlightConfig '!$K$23,"")</f>
        <v>7367.36</v>
      </c>
      <c r="AK58" s="125">
        <f>IFERROR(AB58*'FlightConfig '!$K$23,"")</f>
        <v>736.73599999999965</v>
      </c>
    </row>
    <row r="59" spans="1:37" ht="18.75" customHeight="1" x14ac:dyDescent="0.25">
      <c r="A59" t="s">
        <v>158</v>
      </c>
      <c r="B59" s="169">
        <v>1</v>
      </c>
      <c r="C59" s="174" t="str">
        <f t="shared" ref="C59:C76" si="125">CONCATENATE(A59&amp;B59&amp;F59)</f>
        <v>ECONOMY CLASS1110</v>
      </c>
      <c r="D59" s="307"/>
      <c r="E59" s="301">
        <v>1263</v>
      </c>
      <c r="F59" s="306">
        <v>110</v>
      </c>
      <c r="G59" t="str">
        <f>VLOOKUP(E59,'FG MASTER'!$A:$AB,2,0)</f>
        <v>2026 YC CY1 BABY ARUGULA WITH QUINOA SALAD</v>
      </c>
      <c r="H59" s="282">
        <v>1</v>
      </c>
      <c r="I59" s="171">
        <v>1</v>
      </c>
      <c r="J59" s="288">
        <f>IFERROR(IF(I59="std",H59,HLOOKUP(A59,'FlightConfig '!$B$34:$G$35,2,0)*I59),"")</f>
        <v>184</v>
      </c>
      <c r="K59" s="242">
        <f>VLOOKUP(Food!E59,'FG MASTER'!$A$1:$AC$737,16,0)</f>
        <v>0.45</v>
      </c>
      <c r="L59" s="243">
        <f>VLOOKUP(Food!E59,'FG MASTER'!$A$10:$AC$737,17,0)</f>
        <v>0.75</v>
      </c>
      <c r="M59" s="130">
        <f t="shared" si="112"/>
        <v>0.30000000000000004</v>
      </c>
      <c r="N59" s="130">
        <f t="shared" ref="N59:N74" si="126">IFERROR((K59)+M59,"")</f>
        <v>0.75</v>
      </c>
      <c r="O59" s="130">
        <f t="shared" si="2"/>
        <v>9.9000000000000032E-2</v>
      </c>
      <c r="P59" s="130">
        <f t="shared" si="3"/>
        <v>0.06</v>
      </c>
      <c r="Q59" s="130">
        <f t="shared" si="25"/>
        <v>0.90900000000000003</v>
      </c>
      <c r="R59" s="398">
        <f t="shared" si="26"/>
        <v>0.54900000000000004</v>
      </c>
      <c r="S59" s="398">
        <f t="shared" si="27"/>
        <v>0.36000000000000004</v>
      </c>
      <c r="T59" s="398">
        <f t="shared" si="16"/>
        <v>0.90900000000000003</v>
      </c>
      <c r="U59" s="125"/>
      <c r="V59" s="125"/>
      <c r="W59" t="str">
        <f>IFERROR(#REF!*J59,"")</f>
        <v/>
      </c>
      <c r="X59">
        <f t="shared" si="17"/>
        <v>82.8</v>
      </c>
      <c r="Y59">
        <f t="shared" si="18"/>
        <v>138</v>
      </c>
      <c r="Z59" s="125">
        <f t="shared" si="19"/>
        <v>55.20000000000001</v>
      </c>
      <c r="AA59" s="125">
        <f t="shared" si="20"/>
        <v>138</v>
      </c>
      <c r="AB59" s="125">
        <f t="shared" si="21"/>
        <v>18.216000000000005</v>
      </c>
      <c r="AC59" s="125">
        <f t="shared" si="22"/>
        <v>11.04</v>
      </c>
      <c r="AD59" s="125">
        <f t="shared" si="23"/>
        <v>167.256</v>
      </c>
      <c r="AF59" s="125" t="str">
        <f>IFERROR(W59*'FlightConfig '!$K$3,"")</f>
        <v/>
      </c>
      <c r="AG59" s="125">
        <f>IFERROR(X59*'FlightConfig '!$K$23,"")</f>
        <v>30139.200000000001</v>
      </c>
      <c r="AH59" s="125">
        <f>IFERROR(Y59*'FlightConfig '!$K$23,"")</f>
        <v>50232</v>
      </c>
      <c r="AI59" s="125">
        <f>IFERROR(Z59*'FlightConfig '!$K$23,"")</f>
        <v>20092.800000000003</v>
      </c>
      <c r="AJ59" s="125">
        <f>IFERROR(AA59*'FlightConfig '!$K$23,"")</f>
        <v>50232</v>
      </c>
      <c r="AK59" s="125">
        <f>IFERROR(AB59*'FlightConfig '!$K$23,"")</f>
        <v>6630.6240000000016</v>
      </c>
    </row>
    <row r="60" spans="1:37" ht="18.75" customHeight="1" x14ac:dyDescent="0.25">
      <c r="A60" t="s">
        <v>158</v>
      </c>
      <c r="B60" s="169">
        <v>1</v>
      </c>
      <c r="C60" s="174" t="str">
        <f t="shared" si="125"/>
        <v>ECONOMY CLASS1110</v>
      </c>
      <c r="D60" s="307"/>
      <c r="E60" s="301">
        <v>1264</v>
      </c>
      <c r="F60" s="306">
        <v>110</v>
      </c>
      <c r="G60" t="str">
        <f>VLOOKUP(E60,'FG MASTER'!$A:$AB,2,0)</f>
        <v>2026 YC CY1 ENTRÉE 1 CHICKEN BREAST, CHICKEN PIE VEG FILING WITH MASHED POTATO AND CHEESE CRUMB TOPPING</v>
      </c>
      <c r="H60" s="282">
        <v>1</v>
      </c>
      <c r="I60" s="171">
        <v>0.6</v>
      </c>
      <c r="J60" s="288">
        <f>IFERROR(IF(I60="std",H60,HLOOKUP(A60,'FlightConfig '!$B$34:$G$35,2,0)*I60),"")</f>
        <v>110.39999999999999</v>
      </c>
      <c r="K60" s="242">
        <f>VLOOKUP(Food!E60,'FG MASTER'!$A$1:$AC$737,16,0)</f>
        <v>1.87</v>
      </c>
      <c r="L60" s="243">
        <f>VLOOKUP(Food!E60,'FG MASTER'!$A$10:$AC$737,17,0)</f>
        <v>3.5</v>
      </c>
      <c r="M60" s="130">
        <f t="shared" si="112"/>
        <v>1.4000000000000001</v>
      </c>
      <c r="N60" s="130">
        <f t="shared" si="126"/>
        <v>3.2700000000000005</v>
      </c>
      <c r="O60" s="130">
        <f t="shared" si="2"/>
        <v>0.41139999999999999</v>
      </c>
      <c r="P60" s="130">
        <f t="shared" si="3"/>
        <v>0.28000000000000003</v>
      </c>
      <c r="Q60" s="130">
        <f t="shared" si="25"/>
        <v>3.9614000000000003</v>
      </c>
      <c r="R60" s="398">
        <f t="shared" si="26"/>
        <v>2.2814000000000001</v>
      </c>
      <c r="S60" s="398">
        <f t="shared" si="27"/>
        <v>1.6800000000000002</v>
      </c>
      <c r="T60" s="398">
        <f t="shared" si="16"/>
        <v>3.9614000000000003</v>
      </c>
      <c r="U60" s="125">
        <v>4.3</v>
      </c>
      <c r="V60" s="125"/>
      <c r="W60" t="str">
        <f>IFERROR(#REF!*J60,"")</f>
        <v/>
      </c>
      <c r="X60">
        <f t="shared" si="17"/>
        <v>206.44800000000001</v>
      </c>
      <c r="Y60">
        <f t="shared" si="18"/>
        <v>386.4</v>
      </c>
      <c r="Z60" s="125">
        <f t="shared" si="19"/>
        <v>154.56</v>
      </c>
      <c r="AA60" s="125">
        <f t="shared" si="20"/>
        <v>361.00800000000004</v>
      </c>
      <c r="AB60" s="125">
        <f t="shared" si="21"/>
        <v>45.418559999999992</v>
      </c>
      <c r="AC60" s="125">
        <f t="shared" si="22"/>
        <v>30.911999999999999</v>
      </c>
      <c r="AD60" s="125">
        <f t="shared" si="23"/>
        <v>437.33855999999997</v>
      </c>
      <c r="AF60" s="125" t="str">
        <f>IFERROR(W60*'FlightConfig '!$K$3,"")</f>
        <v/>
      </c>
      <c r="AG60" s="125">
        <f>IFERROR(X60*'FlightConfig '!$K$23,"")</f>
        <v>75147.072</v>
      </c>
      <c r="AH60" s="125">
        <f>IFERROR(Y60*'FlightConfig '!$K$23,"")</f>
        <v>140649.60000000001</v>
      </c>
      <c r="AI60" s="125">
        <f>IFERROR(Z60*'FlightConfig '!$K$23,"")</f>
        <v>56259.840000000004</v>
      </c>
      <c r="AJ60" s="125">
        <f>IFERROR(AA60*'FlightConfig '!$K$23,"")</f>
        <v>131406.91200000001</v>
      </c>
      <c r="AK60" s="125">
        <f>IFERROR(AB60*'FlightConfig '!$K$23,"")</f>
        <v>16532.355839999997</v>
      </c>
    </row>
    <row r="61" spans="1:37" ht="18.75" customHeight="1" x14ac:dyDescent="0.25">
      <c r="A61" t="s">
        <v>158</v>
      </c>
      <c r="B61" s="169">
        <v>1</v>
      </c>
      <c r="C61" s="174" t="str">
        <f t="shared" si="125"/>
        <v>ECONOMY CLASS1110</v>
      </c>
      <c r="D61" s="307"/>
      <c r="E61" s="301">
        <v>1265</v>
      </c>
      <c r="F61" s="306">
        <v>110</v>
      </c>
      <c r="G61" t="str">
        <f>VLOOKUP(E61,'FG MASTER'!$A:$AB,2,0)</f>
        <v>2026 YC CY1 ENTRÉE 2 SPINACH RICOTTA RAVIOLI, ROSE SAUCE WITH ARTICHOKE HEART AND MUSHROOM, PARMESAN CHEESE</v>
      </c>
      <c r="H61" s="282">
        <v>1</v>
      </c>
      <c r="I61" s="171">
        <v>0.4</v>
      </c>
      <c r="J61" s="288">
        <f>IFERROR(IF(I61="std",H61,HLOOKUP(A61,'FlightConfig '!$B$34:$G$35,2,0)*I61),"")</f>
        <v>73.600000000000009</v>
      </c>
      <c r="K61" s="242">
        <f>VLOOKUP(Food!E61,'FG MASTER'!$A$1:$AC$737,16,0)</f>
        <v>2.23</v>
      </c>
      <c r="L61" s="243">
        <f>VLOOKUP(Food!E61,'FG MASTER'!$A$10:$AC$737,17,0)</f>
        <v>2.25</v>
      </c>
      <c r="M61" s="130">
        <f t="shared" si="112"/>
        <v>0.9</v>
      </c>
      <c r="N61" s="130">
        <f t="shared" si="126"/>
        <v>3.13</v>
      </c>
      <c r="O61" s="130">
        <f t="shared" si="2"/>
        <v>0.49060000000000015</v>
      </c>
      <c r="P61" s="130">
        <f t="shared" si="3"/>
        <v>0.18000000000000005</v>
      </c>
      <c r="Q61" s="130">
        <f t="shared" si="25"/>
        <v>3.8006000000000002</v>
      </c>
      <c r="R61" s="398">
        <f t="shared" si="26"/>
        <v>2.7206000000000001</v>
      </c>
      <c r="S61" s="398">
        <f t="shared" si="27"/>
        <v>1.08</v>
      </c>
      <c r="T61" s="398">
        <f t="shared" si="16"/>
        <v>3.8006000000000002</v>
      </c>
      <c r="U61" s="125">
        <v>3.44</v>
      </c>
      <c r="V61" s="125"/>
      <c r="W61" t="str">
        <f>IFERROR(#REF!*J61,"")</f>
        <v/>
      </c>
      <c r="X61">
        <f t="shared" si="17"/>
        <v>164.12800000000001</v>
      </c>
      <c r="Y61">
        <f t="shared" si="18"/>
        <v>165.60000000000002</v>
      </c>
      <c r="Z61" s="125">
        <f t="shared" si="19"/>
        <v>66.240000000000009</v>
      </c>
      <c r="AA61" s="125">
        <f t="shared" si="20"/>
        <v>230.36800000000002</v>
      </c>
      <c r="AB61" s="125">
        <f t="shared" si="21"/>
        <v>36.108160000000012</v>
      </c>
      <c r="AC61" s="125">
        <f t="shared" si="22"/>
        <v>13.248000000000005</v>
      </c>
      <c r="AD61" s="125">
        <f t="shared" si="23"/>
        <v>279.72416000000004</v>
      </c>
      <c r="AF61" s="125" t="str">
        <f>IFERROR(W61*'FlightConfig '!$K$3,"")</f>
        <v/>
      </c>
      <c r="AG61" s="125">
        <f>IFERROR(X61*'FlightConfig '!$K$23,"")</f>
        <v>59742.592000000004</v>
      </c>
      <c r="AH61" s="125">
        <f>IFERROR(Y61*'FlightConfig '!$K$23,"")</f>
        <v>60278.400000000009</v>
      </c>
      <c r="AI61" s="125">
        <f>IFERROR(Z61*'FlightConfig '!$K$23,"")</f>
        <v>24111.360000000004</v>
      </c>
      <c r="AJ61" s="125">
        <f>IFERROR(AA61*'FlightConfig '!$K$23,"")</f>
        <v>83853.952000000005</v>
      </c>
      <c r="AK61" s="125">
        <f>IFERROR(AB61*'FlightConfig '!$K$23,"")</f>
        <v>13143.370240000004</v>
      </c>
    </row>
    <row r="62" spans="1:37" ht="18.75" customHeight="1" x14ac:dyDescent="0.25">
      <c r="A62" t="s">
        <v>158</v>
      </c>
      <c r="B62" s="169">
        <v>1</v>
      </c>
      <c r="C62" s="174" t="str">
        <f t="shared" si="125"/>
        <v>ECONOMY CLASS1110</v>
      </c>
      <c r="D62" s="307"/>
      <c r="E62" s="301">
        <v>1266</v>
      </c>
      <c r="F62" s="306">
        <v>110</v>
      </c>
      <c r="G62" t="str">
        <f>VLOOKUP(E62,'FG MASTER'!$A:$AB,2,0)</f>
        <v>2026 YC CY1 CHEESECAKE BROWNIE BAR</v>
      </c>
      <c r="H62" s="282">
        <v>1</v>
      </c>
      <c r="I62" s="171">
        <v>1</v>
      </c>
      <c r="J62" s="288">
        <f>IFERROR(IF(I62="std",H62,HLOOKUP(A62,'FlightConfig '!$B$34:$G$35,2,0)*I62),"")</f>
        <v>184</v>
      </c>
      <c r="K62" s="242">
        <f>VLOOKUP(Food!E62,'FG MASTER'!$A$1:$AC$737,16,0)</f>
        <v>0.53</v>
      </c>
      <c r="L62" s="243">
        <f>VLOOKUP(Food!E62,'FG MASTER'!$A$10:$AC$737,17,0)</f>
        <v>0.75</v>
      </c>
      <c r="M62" s="130">
        <f t="shared" si="112"/>
        <v>0.30000000000000004</v>
      </c>
      <c r="N62" s="130">
        <f t="shared" si="126"/>
        <v>0.83000000000000007</v>
      </c>
      <c r="O62" s="130">
        <f t="shared" si="2"/>
        <v>0.11660000000000004</v>
      </c>
      <c r="P62" s="130">
        <f t="shared" si="3"/>
        <v>0.06</v>
      </c>
      <c r="Q62" s="130">
        <f t="shared" si="25"/>
        <v>1.0066000000000002</v>
      </c>
      <c r="R62" s="398">
        <f t="shared" si="26"/>
        <v>0.64660000000000006</v>
      </c>
      <c r="S62" s="398">
        <f t="shared" si="27"/>
        <v>0.36000000000000004</v>
      </c>
      <c r="T62" s="398">
        <f t="shared" si="16"/>
        <v>1.0066000000000002</v>
      </c>
      <c r="U62" s="125"/>
      <c r="V62" s="125"/>
      <c r="W62" t="str">
        <f>IFERROR(#REF!*J62,"")</f>
        <v/>
      </c>
      <c r="X62">
        <f t="shared" si="17"/>
        <v>97.52000000000001</v>
      </c>
      <c r="Y62">
        <f t="shared" si="18"/>
        <v>138</v>
      </c>
      <c r="Z62" s="125">
        <f t="shared" si="19"/>
        <v>55.20000000000001</v>
      </c>
      <c r="AA62" s="125">
        <f t="shared" si="20"/>
        <v>152.72000000000003</v>
      </c>
      <c r="AB62" s="125">
        <f t="shared" si="21"/>
        <v>21.454400000000007</v>
      </c>
      <c r="AC62" s="125">
        <f t="shared" si="22"/>
        <v>11.04</v>
      </c>
      <c r="AD62" s="125">
        <f t="shared" si="23"/>
        <v>185.21440000000004</v>
      </c>
      <c r="AF62" s="125" t="str">
        <f>IFERROR(W62*'FlightConfig '!$K$3,"")</f>
        <v/>
      </c>
      <c r="AG62" s="125">
        <f>IFERROR(X62*'FlightConfig '!$K$23,"")</f>
        <v>35497.280000000006</v>
      </c>
      <c r="AH62" s="125">
        <f>IFERROR(Y62*'FlightConfig '!$K$23,"")</f>
        <v>50232</v>
      </c>
      <c r="AI62" s="125">
        <f>IFERROR(Z62*'FlightConfig '!$K$23,"")</f>
        <v>20092.800000000003</v>
      </c>
      <c r="AJ62" s="125">
        <f>IFERROR(AA62*'FlightConfig '!$K$23,"")</f>
        <v>55590.080000000009</v>
      </c>
      <c r="AK62" s="125">
        <f>IFERROR(AB62*'FlightConfig '!$K$23,"")</f>
        <v>7809.4016000000029</v>
      </c>
    </row>
    <row r="63" spans="1:37" ht="18.75" customHeight="1" x14ac:dyDescent="0.25">
      <c r="A63" t="s">
        <v>158</v>
      </c>
      <c r="B63" s="169">
        <v>1</v>
      </c>
      <c r="C63" s="174" t="str">
        <f t="shared" si="125"/>
        <v>ECONOMY CLASS1110</v>
      </c>
      <c r="D63" s="307"/>
      <c r="E63" s="301">
        <v>1134</v>
      </c>
      <c r="F63" s="306">
        <v>110</v>
      </c>
      <c r="G63" t="str">
        <f>VLOOKUP(E63,'FG MASTER'!$A:$AB,2,0)</f>
        <v>YC C1 BREAKFAST TSU</v>
      </c>
      <c r="H63" s="282">
        <v>1</v>
      </c>
      <c r="I63" s="171">
        <v>1</v>
      </c>
      <c r="J63" s="288">
        <f>IFERROR(IF(I63="std",H63,HLOOKUP(A63,'FlightConfig '!$B$34:$G$35,2,0)*I63),"")</f>
        <v>184</v>
      </c>
      <c r="K63" s="242">
        <f>VLOOKUP(Food!E63,'FG MASTER'!$A$1:$AC$737,16,0)</f>
        <v>0</v>
      </c>
      <c r="L63" s="243">
        <f>VLOOKUP(Food!E63,'FG MASTER'!$A$10:$AC$737,17,0)</f>
        <v>0.3</v>
      </c>
      <c r="M63" s="130">
        <f t="shared" si="112"/>
        <v>0.12</v>
      </c>
      <c r="N63" s="130">
        <f t="shared" si="126"/>
        <v>0.12</v>
      </c>
      <c r="O63" s="130">
        <f t="shared" si="2"/>
        <v>0</v>
      </c>
      <c r="P63" s="130">
        <f t="shared" si="3"/>
        <v>2.3999999999999994E-2</v>
      </c>
      <c r="Q63" s="130">
        <f t="shared" si="25"/>
        <v>0.14399999999999999</v>
      </c>
      <c r="R63" s="398">
        <f t="shared" si="26"/>
        <v>0</v>
      </c>
      <c r="S63" s="398">
        <f t="shared" si="27"/>
        <v>0.14399999999999999</v>
      </c>
      <c r="T63" s="398">
        <f t="shared" si="16"/>
        <v>0.14399999999999999</v>
      </c>
      <c r="U63" s="125"/>
      <c r="V63" s="125"/>
      <c r="W63" t="str">
        <f>IFERROR(#REF!*J63,"")</f>
        <v/>
      </c>
      <c r="X63">
        <f t="shared" si="17"/>
        <v>0</v>
      </c>
      <c r="Y63">
        <f t="shared" si="18"/>
        <v>55.199999999999996</v>
      </c>
      <c r="Z63" s="125">
        <f t="shared" si="19"/>
        <v>22.08</v>
      </c>
      <c r="AA63" s="125">
        <f t="shared" si="20"/>
        <v>22.08</v>
      </c>
      <c r="AB63" s="125">
        <f t="shared" si="21"/>
        <v>0</v>
      </c>
      <c r="AC63" s="125">
        <f t="shared" si="22"/>
        <v>4.4159999999999986</v>
      </c>
      <c r="AD63" s="125">
        <f t="shared" si="23"/>
        <v>26.495999999999999</v>
      </c>
      <c r="AF63" s="125" t="str">
        <f>IFERROR(W63*'FlightConfig '!$K$3,"")</f>
        <v/>
      </c>
      <c r="AG63" s="125">
        <f>IFERROR(X63*'FlightConfig '!$K$23,"")</f>
        <v>0</v>
      </c>
      <c r="AH63" s="125">
        <f>IFERROR(Y63*'FlightConfig '!$K$23,"")</f>
        <v>20092.8</v>
      </c>
      <c r="AI63" s="125">
        <f>IFERROR(Z63*'FlightConfig '!$K$23,"")</f>
        <v>8037.119999999999</v>
      </c>
      <c r="AJ63" s="125">
        <f>IFERROR(AA63*'FlightConfig '!$K$23,"")</f>
        <v>8037.119999999999</v>
      </c>
      <c r="AK63" s="125">
        <f>IFERROR(AB63*'FlightConfig '!$K$23,"")</f>
        <v>0</v>
      </c>
    </row>
    <row r="64" spans="1:37" ht="18.75" customHeight="1" x14ac:dyDescent="0.25">
      <c r="A64" t="s">
        <v>158</v>
      </c>
      <c r="B64" s="169">
        <v>1</v>
      </c>
      <c r="C64" s="174" t="str">
        <f t="shared" si="125"/>
        <v>ECONOMY CLASS1110</v>
      </c>
      <c r="D64" s="307"/>
      <c r="E64" s="301">
        <v>1267</v>
      </c>
      <c r="F64" s="306">
        <v>110</v>
      </c>
      <c r="G64" t="str">
        <f>VLOOKUP(E64,'FG MASTER'!$A:$AB,2,0)</f>
        <v>2026 YC CY1 BLUEBERRY MUFFIN</v>
      </c>
      <c r="H64" s="282">
        <v>1</v>
      </c>
      <c r="I64" s="171">
        <v>1</v>
      </c>
      <c r="J64" s="288">
        <f>IFERROR(IF(I64="std",H64,HLOOKUP(A64,'FlightConfig '!$B$34:$G$35,2,0)*I64),"")</f>
        <v>184</v>
      </c>
      <c r="K64" s="242">
        <f>VLOOKUP(Food!E64,'FG MASTER'!$A$1:$AC$737,16,0)</f>
        <v>0.75</v>
      </c>
      <c r="L64" s="243">
        <f>VLOOKUP(Food!E64,'FG MASTER'!$A$10:$AC$737,17,0)</f>
        <v>0.25</v>
      </c>
      <c r="M64" s="130">
        <f t="shared" si="112"/>
        <v>0.1</v>
      </c>
      <c r="N64" s="130">
        <f t="shared" si="126"/>
        <v>0.85</v>
      </c>
      <c r="O64" s="130">
        <f t="shared" si="2"/>
        <v>0.16500000000000004</v>
      </c>
      <c r="P64" s="130">
        <f t="shared" si="3"/>
        <v>1.999999999999999E-2</v>
      </c>
      <c r="Q64" s="130">
        <f t="shared" si="25"/>
        <v>1.0350000000000001</v>
      </c>
      <c r="R64" s="398">
        <f t="shared" si="26"/>
        <v>0.91500000000000004</v>
      </c>
      <c r="S64" s="398">
        <f t="shared" si="27"/>
        <v>0.12</v>
      </c>
      <c r="T64" s="398">
        <f t="shared" si="16"/>
        <v>1.0350000000000001</v>
      </c>
      <c r="U64" s="125">
        <v>1.03</v>
      </c>
      <c r="V64" s="125"/>
      <c r="W64" t="str">
        <f>IFERROR(#REF!*J64,"")</f>
        <v/>
      </c>
      <c r="X64">
        <f t="shared" si="17"/>
        <v>138</v>
      </c>
      <c r="Y64">
        <f t="shared" si="18"/>
        <v>46</v>
      </c>
      <c r="Z64" s="125">
        <f t="shared" si="19"/>
        <v>18.400000000000002</v>
      </c>
      <c r="AA64" s="125">
        <f t="shared" si="20"/>
        <v>156.4</v>
      </c>
      <c r="AB64" s="125">
        <f t="shared" si="21"/>
        <v>30.360000000000007</v>
      </c>
      <c r="AC64" s="125">
        <f t="shared" si="22"/>
        <v>3.6799999999999979</v>
      </c>
      <c r="AD64" s="125">
        <f t="shared" si="23"/>
        <v>190.44000000000003</v>
      </c>
      <c r="AF64" s="125" t="str">
        <f>IFERROR(W64*'FlightConfig '!$K$3,"")</f>
        <v/>
      </c>
      <c r="AG64" s="125">
        <f>IFERROR(X64*'FlightConfig '!$K$23,"")</f>
        <v>50232</v>
      </c>
      <c r="AH64" s="125">
        <f>IFERROR(Y64*'FlightConfig '!$K$23,"")</f>
        <v>16744</v>
      </c>
      <c r="AI64" s="125">
        <f>IFERROR(Z64*'FlightConfig '!$K$23,"")</f>
        <v>6697.6</v>
      </c>
      <c r="AJ64" s="125">
        <f>IFERROR(AA64*'FlightConfig '!$K$23,"")</f>
        <v>56929.599999999999</v>
      </c>
      <c r="AK64" s="125">
        <f>IFERROR(AB64*'FlightConfig '!$K$23,"")</f>
        <v>11051.040000000003</v>
      </c>
    </row>
    <row r="65" spans="1:37" ht="18.75" customHeight="1" x14ac:dyDescent="0.25">
      <c r="A65" t="s">
        <v>158</v>
      </c>
      <c r="B65" s="169">
        <v>1</v>
      </c>
      <c r="C65" s="174" t="str">
        <f t="shared" si="125"/>
        <v>ECONOMY CLASS1110</v>
      </c>
      <c r="D65" s="307"/>
      <c r="E65" s="301">
        <v>1268</v>
      </c>
      <c r="F65" s="306">
        <v>110</v>
      </c>
      <c r="G65" t="str">
        <f>VLOOKUP(E65,'FG MASTER'!$A:$AB,2,0)</f>
        <v>2026 YC CY1 PLAIN YOGURT WITH STRAWBERRY COMPOTE</v>
      </c>
      <c r="H65" s="282">
        <v>1</v>
      </c>
      <c r="I65" s="171">
        <v>1</v>
      </c>
      <c r="J65" s="288">
        <f>IFERROR(IF(I65="std",H65,HLOOKUP(A65,'FlightConfig '!$B$34:$G$35,2,0)*I65),"")</f>
        <v>184</v>
      </c>
      <c r="K65" s="242">
        <f>VLOOKUP(Food!E65,'FG MASTER'!$A$1:$AC$737,16,0)</f>
        <v>0.34</v>
      </c>
      <c r="L65" s="243">
        <f>VLOOKUP(Food!E65,'FG MASTER'!$A$10:$AC$737,17,0)</f>
        <v>0.5</v>
      </c>
      <c r="M65" s="130">
        <f t="shared" si="112"/>
        <v>0.2</v>
      </c>
      <c r="N65" s="130">
        <f t="shared" si="126"/>
        <v>0.54</v>
      </c>
      <c r="O65" s="130">
        <f t="shared" si="2"/>
        <v>7.4799999999999978E-2</v>
      </c>
      <c r="P65" s="130">
        <f t="shared" si="3"/>
        <v>3.999999999999998E-2</v>
      </c>
      <c r="Q65" s="130">
        <f t="shared" si="25"/>
        <v>0.65480000000000005</v>
      </c>
      <c r="R65" s="398">
        <f t="shared" si="26"/>
        <v>0.4148</v>
      </c>
      <c r="S65" s="398">
        <f t="shared" si="27"/>
        <v>0.24</v>
      </c>
      <c r="T65" s="398">
        <f t="shared" si="16"/>
        <v>0.65480000000000005</v>
      </c>
      <c r="U65" s="125">
        <v>1.29</v>
      </c>
      <c r="V65" s="125"/>
      <c r="W65" t="str">
        <f>IFERROR(#REF!*J65,"")</f>
        <v/>
      </c>
      <c r="X65">
        <f t="shared" si="17"/>
        <v>62.56</v>
      </c>
      <c r="Y65">
        <f t="shared" si="18"/>
        <v>92</v>
      </c>
      <c r="Z65" s="125">
        <f t="shared" si="19"/>
        <v>36.800000000000004</v>
      </c>
      <c r="AA65" s="125">
        <f t="shared" si="20"/>
        <v>99.360000000000014</v>
      </c>
      <c r="AB65" s="125">
        <f t="shared" si="21"/>
        <v>13.763199999999996</v>
      </c>
      <c r="AC65" s="125">
        <f t="shared" si="22"/>
        <v>7.3599999999999959</v>
      </c>
      <c r="AD65" s="125">
        <f t="shared" si="23"/>
        <v>120.48320000000001</v>
      </c>
      <c r="AF65" s="125" t="str">
        <f>IFERROR(W65*'FlightConfig '!$K$3,"")</f>
        <v/>
      </c>
      <c r="AG65" s="125">
        <f>IFERROR(X65*'FlightConfig '!$K$23,"")</f>
        <v>22771.84</v>
      </c>
      <c r="AH65" s="125">
        <f>IFERROR(Y65*'FlightConfig '!$K$23,"")</f>
        <v>33488</v>
      </c>
      <c r="AI65" s="125">
        <f>IFERROR(Z65*'FlightConfig '!$K$23,"")</f>
        <v>13395.2</v>
      </c>
      <c r="AJ65" s="125">
        <f>IFERROR(AA65*'FlightConfig '!$K$23,"")</f>
        <v>36167.040000000008</v>
      </c>
      <c r="AK65" s="125">
        <f>IFERROR(AB65*'FlightConfig '!$K$23,"")</f>
        <v>5009.8047999999981</v>
      </c>
    </row>
    <row r="66" spans="1:37" ht="18.75" customHeight="1" x14ac:dyDescent="0.25">
      <c r="A66" t="s">
        <v>158</v>
      </c>
      <c r="B66" s="169">
        <v>1</v>
      </c>
      <c r="C66" s="174" t="str">
        <f t="shared" ref="C66" si="127">CONCATENATE(A66&amp;B66&amp;F66)</f>
        <v>ECONOMY CLASS1110</v>
      </c>
      <c r="D66" s="307"/>
      <c r="E66" s="301"/>
      <c r="F66" s="306">
        <v>110</v>
      </c>
      <c r="G66" t="e">
        <f>VLOOKUP(E66,'FG MASTER'!$A:$AB,2,0)</f>
        <v>#N/A</v>
      </c>
      <c r="H66" s="282">
        <v>1</v>
      </c>
      <c r="I66" s="171">
        <v>1</v>
      </c>
      <c r="J66" s="288">
        <f>IFERROR(IF(I66="std",H66,HLOOKUP(A66,'FlightConfig '!$B$34:$G$35,2,0)*I66),"")</f>
        <v>184</v>
      </c>
      <c r="K66" s="242" t="e">
        <f>VLOOKUP(Food!E66,'FG MASTER'!$A$1:$AC$737,16,0)</f>
        <v>#N/A</v>
      </c>
      <c r="L66" s="243" t="e">
        <f>VLOOKUP(Food!E66,'FG MASTER'!$A$10:$AC$737,17,0)</f>
        <v>#N/A</v>
      </c>
      <c r="M66" s="130" t="str">
        <f t="shared" ref="M66" si="128">IFERROR(L66*$M$2,"")</f>
        <v/>
      </c>
      <c r="N66" s="130" t="str">
        <f t="shared" ref="N66" si="129">IFERROR((K66)+M66,"")</f>
        <v/>
      </c>
      <c r="O66" s="130">
        <f t="shared" si="2"/>
        <v>0</v>
      </c>
      <c r="P66" s="130">
        <f t="shared" si="3"/>
        <v>0</v>
      </c>
      <c r="Q66" s="130">
        <f t="shared" si="25"/>
        <v>0</v>
      </c>
      <c r="R66" s="398" t="e">
        <f t="shared" si="26"/>
        <v>#N/A</v>
      </c>
      <c r="S66" s="398" t="e">
        <f t="shared" ref="S66" si="130">M66*(1+$P$2)</f>
        <v>#VALUE!</v>
      </c>
      <c r="T66" s="398" t="e">
        <f t="shared" ref="T66" si="131">R66+S66</f>
        <v>#N/A</v>
      </c>
      <c r="U66" s="125"/>
      <c r="V66" s="125"/>
      <c r="W66" t="str">
        <f>IFERROR(#REF!*J66,"")</f>
        <v/>
      </c>
      <c r="X66" t="str">
        <f t="shared" ref="X66" si="132">IFERROR(K66*J66,"")</f>
        <v/>
      </c>
      <c r="Y66" t="str">
        <f t="shared" ref="Y66" si="133">IFERROR(+L66*J66,"")</f>
        <v/>
      </c>
      <c r="Z66" s="125" t="str">
        <f t="shared" ref="Z66" si="134">IFERROR(+M66*J66,"")</f>
        <v/>
      </c>
      <c r="AA66" s="125" t="str">
        <f t="shared" ref="AA66" si="135">IFERROR(+N66*J66,"")</f>
        <v/>
      </c>
      <c r="AB66" s="125">
        <f t="shared" ref="AB66" si="136">IFERROR(O66*$J66,"")</f>
        <v>0</v>
      </c>
      <c r="AC66" s="125">
        <f t="shared" ref="AC66" si="137">IFERROR(P66*$J66,"")</f>
        <v>0</v>
      </c>
      <c r="AD66" s="125">
        <f t="shared" ref="AD66" si="138">IFERROR(+Q66*J66,"")</f>
        <v>0</v>
      </c>
      <c r="AF66" s="125" t="str">
        <f>IFERROR(W66*'FlightConfig '!$K$3,"")</f>
        <v/>
      </c>
      <c r="AG66" s="125" t="str">
        <f>IFERROR(X66*'FlightConfig '!$K$23,"")</f>
        <v/>
      </c>
      <c r="AH66" s="125" t="str">
        <f>IFERROR(Y66*'FlightConfig '!$K$23,"")</f>
        <v/>
      </c>
      <c r="AI66" s="125" t="str">
        <f>IFERROR(Z66*'FlightConfig '!$K$23,"")</f>
        <v/>
      </c>
      <c r="AJ66" s="125" t="str">
        <f>IFERROR(AA66*'FlightConfig '!$K$23,"")</f>
        <v/>
      </c>
      <c r="AK66" s="125">
        <f>IFERROR(AB66*'FlightConfig '!$K$23,"")</f>
        <v>0</v>
      </c>
    </row>
    <row r="67" spans="1:37" ht="18.75" customHeight="1" x14ac:dyDescent="0.25">
      <c r="A67" t="s">
        <v>189</v>
      </c>
      <c r="B67" s="169">
        <v>1</v>
      </c>
      <c r="C67" s="174" t="str">
        <f t="shared" si="125"/>
        <v>CABIN CREW CLASS1110</v>
      </c>
      <c r="D67" s="290"/>
      <c r="E67" s="302">
        <v>1270</v>
      </c>
      <c r="F67" s="306">
        <v>110</v>
      </c>
      <c r="G67" t="str">
        <f>VLOOKUP(E67,'FG MASTER'!$A:$AB,2,0)</f>
        <v>2026 CREW CY2 FRUIT AND CHEESE</v>
      </c>
      <c r="H67" s="282">
        <v>1</v>
      </c>
      <c r="I67" s="171">
        <v>1</v>
      </c>
      <c r="J67" s="288">
        <f>IFERROR(IF(I67="std",H67,HLOOKUP(A67,'FlightConfig '!$B$34:$G$35,2,0)*I67),"")</f>
        <v>6</v>
      </c>
      <c r="K67" s="242">
        <f>VLOOKUP(Food!E67,'FG MASTER'!$A$1:$AC$737,16,0)</f>
        <v>2.19</v>
      </c>
      <c r="L67" s="243">
        <f>VLOOKUP(Food!E67,'FG MASTER'!$A$10:$AC$737,17,0)</f>
        <v>1.43</v>
      </c>
      <c r="M67" s="130">
        <f>IFERROR(L67*$M$2,"")</f>
        <v>0.57199999999999995</v>
      </c>
      <c r="N67" s="130">
        <f t="shared" si="126"/>
        <v>2.762</v>
      </c>
      <c r="O67" s="130">
        <f t="shared" si="2"/>
        <v>0.48179999999999978</v>
      </c>
      <c r="P67" s="130">
        <f t="shared" si="3"/>
        <v>0.11439999999999995</v>
      </c>
      <c r="Q67" s="130">
        <f t="shared" si="25"/>
        <v>3.3581999999999996</v>
      </c>
      <c r="R67" s="398">
        <f t="shared" si="26"/>
        <v>2.6717999999999997</v>
      </c>
      <c r="S67" s="398">
        <f t="shared" si="27"/>
        <v>0.6863999999999999</v>
      </c>
      <c r="T67" s="398">
        <f t="shared" si="16"/>
        <v>3.3581999999999996</v>
      </c>
      <c r="U67" s="125"/>
      <c r="V67" s="125"/>
      <c r="W67" t="str">
        <f>IFERROR(#REF!*J67,"")</f>
        <v/>
      </c>
      <c r="X67">
        <f t="shared" si="17"/>
        <v>13.14</v>
      </c>
      <c r="Y67">
        <f t="shared" si="18"/>
        <v>8.58</v>
      </c>
      <c r="Z67" s="125">
        <f t="shared" si="19"/>
        <v>3.4319999999999995</v>
      </c>
      <c r="AA67" s="125">
        <f t="shared" si="20"/>
        <v>16.571999999999999</v>
      </c>
      <c r="AB67" s="125">
        <f t="shared" si="21"/>
        <v>2.8907999999999987</v>
      </c>
      <c r="AC67" s="125">
        <f t="shared" si="22"/>
        <v>0.68639999999999968</v>
      </c>
      <c r="AD67" s="125">
        <f t="shared" si="23"/>
        <v>20.149199999999997</v>
      </c>
      <c r="AF67" s="125" t="str">
        <f>IFERROR(W67*'FlightConfig '!$K$3,"")</f>
        <v/>
      </c>
      <c r="AG67" s="125">
        <f>IFERROR(X67*'FlightConfig '!$K$23,"")</f>
        <v>4782.96</v>
      </c>
      <c r="AH67" s="125">
        <f>IFERROR(Y67*'FlightConfig '!$K$23,"")</f>
        <v>3123.12</v>
      </c>
      <c r="AI67" s="125">
        <f>IFERROR(Z67*'FlightConfig '!$K$23,"")</f>
        <v>1249.2479999999998</v>
      </c>
      <c r="AJ67" s="125">
        <f>IFERROR(AA67*'FlightConfig '!$K$23,"")</f>
        <v>6032.2079999999996</v>
      </c>
      <c r="AK67" s="125">
        <f>IFERROR(AB67*'FlightConfig '!$K$23,"")</f>
        <v>1052.2511999999995</v>
      </c>
    </row>
    <row r="68" spans="1:37" ht="18.75" customHeight="1" x14ac:dyDescent="0.25">
      <c r="A68" t="s">
        <v>189</v>
      </c>
      <c r="B68" s="169">
        <v>1</v>
      </c>
      <c r="C68" s="174" t="str">
        <f t="shared" si="125"/>
        <v>CABIN CREW CLASS1110</v>
      </c>
      <c r="D68" s="290"/>
      <c r="E68" s="302">
        <v>1271</v>
      </c>
      <c r="F68" s="306">
        <v>110</v>
      </c>
      <c r="G68" t="str">
        <f>VLOOKUP(E68,'FG MASTER'!$A:$AB,2,0)</f>
        <v xml:space="preserve">2026 CREW CY2 PROTEIN SNACK </v>
      </c>
      <c r="H68" s="282">
        <v>1</v>
      </c>
      <c r="I68" s="171">
        <v>1</v>
      </c>
      <c r="J68" s="288">
        <f>IFERROR(IF(I68="std",H68,HLOOKUP(A68,'FlightConfig '!$B$34:$G$35,2,0)*I68),"")</f>
        <v>6</v>
      </c>
      <c r="K68" s="242">
        <f>VLOOKUP(Food!E68,'FG MASTER'!$A$1:$AC$737,16,0)</f>
        <v>2.27</v>
      </c>
      <c r="L68" s="243">
        <f>VLOOKUP(Food!E68,'FG MASTER'!$A$10:$AC$737,17,0)</f>
        <v>1.25</v>
      </c>
      <c r="M68" s="130">
        <f t="shared" ref="M68:M81" si="139">IFERROR(L68*$M$2,"")</f>
        <v>0.5</v>
      </c>
      <c r="N68" s="130">
        <f t="shared" si="126"/>
        <v>2.77</v>
      </c>
      <c r="O68" s="130">
        <f t="shared" si="2"/>
        <v>0.49940000000000007</v>
      </c>
      <c r="P68" s="130">
        <f t="shared" si="3"/>
        <v>9.9999999999999978E-2</v>
      </c>
      <c r="Q68" s="130">
        <f t="shared" si="25"/>
        <v>3.3694000000000002</v>
      </c>
      <c r="R68" s="398">
        <f t="shared" si="26"/>
        <v>2.7694000000000001</v>
      </c>
      <c r="S68" s="398">
        <f t="shared" si="27"/>
        <v>0.6</v>
      </c>
      <c r="T68" s="398">
        <f t="shared" si="16"/>
        <v>3.3694000000000002</v>
      </c>
      <c r="U68" s="125"/>
      <c r="V68" s="125"/>
      <c r="W68" t="str">
        <f>IFERROR(#REF!*J68,"")</f>
        <v/>
      </c>
      <c r="X68">
        <f t="shared" si="17"/>
        <v>13.620000000000001</v>
      </c>
      <c r="Y68">
        <f t="shared" si="18"/>
        <v>7.5</v>
      </c>
      <c r="Z68" s="125">
        <f t="shared" si="19"/>
        <v>3</v>
      </c>
      <c r="AA68" s="125">
        <f t="shared" si="20"/>
        <v>16.62</v>
      </c>
      <c r="AB68" s="125">
        <f t="shared" si="21"/>
        <v>2.9964000000000004</v>
      </c>
      <c r="AC68" s="125">
        <f t="shared" si="22"/>
        <v>0.59999999999999987</v>
      </c>
      <c r="AD68" s="125">
        <f t="shared" si="23"/>
        <v>20.2164</v>
      </c>
      <c r="AF68" s="125" t="str">
        <f>IFERROR(W68*'FlightConfig '!$K$3,"")</f>
        <v/>
      </c>
      <c r="AG68" s="125">
        <f>IFERROR(X68*'FlightConfig '!$K$23,"")</f>
        <v>4957.68</v>
      </c>
      <c r="AH68" s="125">
        <f>IFERROR(Y68*'FlightConfig '!$K$23,"")</f>
        <v>2730</v>
      </c>
      <c r="AI68" s="125">
        <f>IFERROR(Z68*'FlightConfig '!$K$23,"")</f>
        <v>1092</v>
      </c>
      <c r="AJ68" s="125">
        <f>IFERROR(AA68*'FlightConfig '!$K$23,"")</f>
        <v>6049.68</v>
      </c>
      <c r="AK68" s="125">
        <f>IFERROR(AB68*'FlightConfig '!$K$23,"")</f>
        <v>1090.6896000000002</v>
      </c>
    </row>
    <row r="69" spans="1:37" ht="18.75" customHeight="1" x14ac:dyDescent="0.25">
      <c r="A69" t="s">
        <v>189</v>
      </c>
      <c r="B69" s="169">
        <v>1</v>
      </c>
      <c r="C69" s="174" t="str">
        <f t="shared" si="125"/>
        <v>CABIN CREW CLASS1110</v>
      </c>
      <c r="D69" s="290"/>
      <c r="E69" s="300">
        <v>1272</v>
      </c>
      <c r="F69" s="306">
        <v>110</v>
      </c>
      <c r="G69" t="str">
        <f>VLOOKUP(E69,'FG MASTER'!$A:$AB,2,0)</f>
        <v xml:space="preserve">2026 CREW CY2 WHOLE FRESH FRUIT </v>
      </c>
      <c r="H69" s="282">
        <v>1</v>
      </c>
      <c r="I69" s="171">
        <v>1</v>
      </c>
      <c r="J69" s="288">
        <f>IFERROR(IF(I69="std",H69,HLOOKUP(A69,'FlightConfig '!$B$34:$G$35,2,0)*I69),"")</f>
        <v>6</v>
      </c>
      <c r="K69" s="242">
        <f>VLOOKUP(Food!E69,'FG MASTER'!$A$1:$AC$737,16,0)</f>
        <v>1.32</v>
      </c>
      <c r="L69" s="243">
        <f>VLOOKUP(Food!E69,'FG MASTER'!$A$10:$AC$737,17,0)</f>
        <v>1</v>
      </c>
      <c r="M69" s="130">
        <f t="shared" si="139"/>
        <v>0.4</v>
      </c>
      <c r="N69" s="130">
        <f t="shared" si="126"/>
        <v>1.7200000000000002</v>
      </c>
      <c r="O69" s="130">
        <f t="shared" si="2"/>
        <v>0.29039999999999999</v>
      </c>
      <c r="P69" s="130">
        <f t="shared" si="3"/>
        <v>7.999999999999996E-2</v>
      </c>
      <c r="Q69" s="130">
        <f t="shared" si="25"/>
        <v>2.0904000000000003</v>
      </c>
      <c r="R69" s="266">
        <v>1.52</v>
      </c>
      <c r="S69" s="266">
        <v>0.46</v>
      </c>
      <c r="T69" s="266">
        <f t="shared" si="16"/>
        <v>1.98</v>
      </c>
      <c r="U69" s="429" t="s">
        <v>356</v>
      </c>
      <c r="V69" s="125"/>
      <c r="W69" t="str">
        <f>IFERROR(#REF!*J69,"")</f>
        <v/>
      </c>
      <c r="X69">
        <f t="shared" si="17"/>
        <v>7.92</v>
      </c>
      <c r="Y69">
        <f t="shared" si="18"/>
        <v>6</v>
      </c>
      <c r="Z69" s="125">
        <f t="shared" si="19"/>
        <v>2.4000000000000004</v>
      </c>
      <c r="AA69" s="125">
        <f t="shared" si="20"/>
        <v>10.32</v>
      </c>
      <c r="AB69" s="125">
        <f t="shared" si="21"/>
        <v>1.7423999999999999</v>
      </c>
      <c r="AC69" s="125">
        <f t="shared" si="22"/>
        <v>0.47999999999999976</v>
      </c>
      <c r="AD69" s="125">
        <f t="shared" si="23"/>
        <v>12.542400000000001</v>
      </c>
      <c r="AF69" s="125" t="str">
        <f>IFERROR(W69*'FlightConfig '!$K$3,"")</f>
        <v/>
      </c>
      <c r="AG69" s="125">
        <f>IFERROR(X69*'FlightConfig '!$K$23,"")</f>
        <v>2882.88</v>
      </c>
      <c r="AH69" s="125">
        <f>IFERROR(Y69*'FlightConfig '!$K$23,"")</f>
        <v>2184</v>
      </c>
      <c r="AI69" s="125">
        <f>IFERROR(Z69*'FlightConfig '!$K$23,"")</f>
        <v>873.60000000000014</v>
      </c>
      <c r="AJ69" s="125">
        <f>IFERROR(AA69*'FlightConfig '!$K$23,"")</f>
        <v>3756.48</v>
      </c>
      <c r="AK69" s="125">
        <f>IFERROR(AB69*'FlightConfig '!$K$23,"")</f>
        <v>634.23360000000002</v>
      </c>
    </row>
    <row r="70" spans="1:37" ht="18.75" customHeight="1" x14ac:dyDescent="0.25">
      <c r="A70" t="s">
        <v>189</v>
      </c>
      <c r="B70" s="169">
        <v>1</v>
      </c>
      <c r="C70" s="174" t="str">
        <f t="shared" si="125"/>
        <v>CABIN CREW CLASS1110</v>
      </c>
      <c r="D70" s="290"/>
      <c r="E70" s="301">
        <v>1273</v>
      </c>
      <c r="F70" s="306">
        <v>110</v>
      </c>
      <c r="G70" t="str">
        <f>VLOOKUP(E70,'FG MASTER'!$A:$AB,2,0)</f>
        <v>2026 CREW CY2 CHICKEN BREAST</v>
      </c>
      <c r="H70" s="282">
        <v>1</v>
      </c>
      <c r="I70" s="171">
        <v>0.25</v>
      </c>
      <c r="J70" s="288">
        <f>IFERROR(IF(I70="std",H70,HLOOKUP(A70,'FlightConfig '!$B$34:$G$35,2,0)*I70),"")</f>
        <v>1.5</v>
      </c>
      <c r="K70" s="242">
        <f>VLOOKUP(Food!E70,'FG MASTER'!$A$1:$AC$737,16,0)</f>
        <v>3.9</v>
      </c>
      <c r="L70" s="243">
        <f>VLOOKUP(Food!E70,'FG MASTER'!$A$10:$AC$737,17,0)</f>
        <v>5</v>
      </c>
      <c r="M70" s="130">
        <f t="shared" si="139"/>
        <v>2</v>
      </c>
      <c r="N70" s="130">
        <f t="shared" si="126"/>
        <v>5.9</v>
      </c>
      <c r="O70" s="130">
        <f t="shared" si="2"/>
        <v>0.8580000000000001</v>
      </c>
      <c r="P70" s="130">
        <f t="shared" si="3"/>
        <v>0.39999999999999991</v>
      </c>
      <c r="Q70" s="130">
        <f t="shared" si="25"/>
        <v>7.1580000000000013</v>
      </c>
      <c r="R70" s="398">
        <f t="shared" si="26"/>
        <v>4.758</v>
      </c>
      <c r="S70" s="398">
        <f t="shared" ref="S70:S74" si="140">M70*(1+$P$2)</f>
        <v>2.4</v>
      </c>
      <c r="T70" s="398">
        <f t="shared" ref="T70:T74" si="141">R70+S70</f>
        <v>7.1579999999999995</v>
      </c>
      <c r="U70" s="125">
        <v>7.1579999999999995</v>
      </c>
      <c r="V70" s="125"/>
      <c r="W70" t="str">
        <f>IFERROR(#REF!*J70,"")</f>
        <v/>
      </c>
      <c r="X70">
        <f t="shared" si="17"/>
        <v>5.85</v>
      </c>
      <c r="Y70">
        <f t="shared" si="18"/>
        <v>7.5</v>
      </c>
      <c r="Z70" s="125">
        <f t="shared" si="19"/>
        <v>3</v>
      </c>
      <c r="AA70" s="125">
        <f t="shared" si="20"/>
        <v>8.8500000000000014</v>
      </c>
      <c r="AB70" s="125">
        <f t="shared" si="21"/>
        <v>1.2870000000000001</v>
      </c>
      <c r="AC70" s="125">
        <f t="shared" si="22"/>
        <v>0.59999999999999987</v>
      </c>
      <c r="AD70" s="125">
        <f t="shared" si="23"/>
        <v>10.737000000000002</v>
      </c>
      <c r="AF70" s="125" t="str">
        <f>IFERROR(W70*'FlightConfig '!$K$3,"")</f>
        <v/>
      </c>
      <c r="AG70" s="125">
        <f>IFERROR(X70*'FlightConfig '!$K$23,"")</f>
        <v>2129.4</v>
      </c>
      <c r="AH70" s="125">
        <f>IFERROR(Y70*'FlightConfig '!$K$23,"")</f>
        <v>2730</v>
      </c>
      <c r="AI70" s="125">
        <f>IFERROR(Z70*'FlightConfig '!$K$23,"")</f>
        <v>1092</v>
      </c>
      <c r="AJ70" s="125">
        <f>IFERROR(AA70*'FlightConfig '!$K$23,"")</f>
        <v>3221.4000000000005</v>
      </c>
      <c r="AK70" s="125">
        <f>IFERROR(AB70*'FlightConfig '!$K$23,"")</f>
        <v>468.46800000000007</v>
      </c>
    </row>
    <row r="71" spans="1:37" ht="18.75" customHeight="1" x14ac:dyDescent="0.25">
      <c r="A71" t="s">
        <v>189</v>
      </c>
      <c r="B71" s="169">
        <v>1</v>
      </c>
      <c r="C71" s="174" t="str">
        <f t="shared" si="125"/>
        <v>CABIN CREW CLASS1110</v>
      </c>
      <c r="D71" s="290"/>
      <c r="E71" s="301">
        <v>1274</v>
      </c>
      <c r="F71" s="306">
        <v>110</v>
      </c>
      <c r="G71" t="str">
        <f>VLOOKUP(E71,'FG MASTER'!$A:$AB,2,0)</f>
        <v>2026 CREW CY2 SALMON</v>
      </c>
      <c r="H71" s="282">
        <v>1</v>
      </c>
      <c r="I71" s="171">
        <v>0.25</v>
      </c>
      <c r="J71" s="288">
        <f>IFERROR(IF(I71="std",H71,HLOOKUP(A71,'FlightConfig '!$B$34:$G$35,2,0)*I71),"")</f>
        <v>1.5</v>
      </c>
      <c r="K71" s="242">
        <f>VLOOKUP(Food!E71,'FG MASTER'!$A$1:$AC$737,16,0)</f>
        <v>7.5</v>
      </c>
      <c r="L71" s="243">
        <f>VLOOKUP(Food!E71,'FG MASTER'!$A$10:$AC$737,17,0)</f>
        <v>5</v>
      </c>
      <c r="M71" s="130">
        <f t="shared" si="139"/>
        <v>2</v>
      </c>
      <c r="N71" s="130">
        <f t="shared" si="126"/>
        <v>9.5</v>
      </c>
      <c r="O71" s="130">
        <f t="shared" si="2"/>
        <v>1.6500000000000004</v>
      </c>
      <c r="P71" s="130">
        <f t="shared" si="3"/>
        <v>0.39999999999999991</v>
      </c>
      <c r="Q71" s="130">
        <f t="shared" si="25"/>
        <v>11.55</v>
      </c>
      <c r="R71" s="398">
        <f t="shared" si="26"/>
        <v>9.15</v>
      </c>
      <c r="S71" s="398">
        <f t="shared" si="140"/>
        <v>2.4</v>
      </c>
      <c r="T71" s="398">
        <f t="shared" si="141"/>
        <v>11.55</v>
      </c>
      <c r="U71" s="125">
        <v>11.55</v>
      </c>
      <c r="V71" s="125"/>
      <c r="W71" t="str">
        <f>IFERROR(#REF!*J71,"")</f>
        <v/>
      </c>
      <c r="X71">
        <f t="shared" si="17"/>
        <v>11.25</v>
      </c>
      <c r="Y71">
        <f t="shared" si="18"/>
        <v>7.5</v>
      </c>
      <c r="Z71" s="125">
        <f t="shared" si="19"/>
        <v>3</v>
      </c>
      <c r="AA71" s="125">
        <f t="shared" si="20"/>
        <v>14.25</v>
      </c>
      <c r="AB71" s="125">
        <f t="shared" si="21"/>
        <v>2.4750000000000005</v>
      </c>
      <c r="AC71" s="125">
        <f t="shared" si="22"/>
        <v>0.59999999999999987</v>
      </c>
      <c r="AD71" s="125">
        <f t="shared" si="23"/>
        <v>17.325000000000003</v>
      </c>
      <c r="AF71" s="125" t="str">
        <f>IFERROR(W71*'FlightConfig '!$K$3,"")</f>
        <v/>
      </c>
      <c r="AG71" s="125">
        <f>IFERROR(X71*'FlightConfig '!$K$23,"")</f>
        <v>4095</v>
      </c>
      <c r="AH71" s="125">
        <f>IFERROR(Y71*'FlightConfig '!$K$23,"")</f>
        <v>2730</v>
      </c>
      <c r="AI71" s="125">
        <f>IFERROR(Z71*'FlightConfig '!$K$23,"")</f>
        <v>1092</v>
      </c>
      <c r="AJ71" s="125">
        <f>IFERROR(AA71*'FlightConfig '!$K$23,"")</f>
        <v>5187</v>
      </c>
      <c r="AK71" s="125">
        <f>IFERROR(AB71*'FlightConfig '!$K$23,"")</f>
        <v>900.9000000000002</v>
      </c>
    </row>
    <row r="72" spans="1:37" ht="18.75" customHeight="1" x14ac:dyDescent="0.25">
      <c r="A72" t="s">
        <v>189</v>
      </c>
      <c r="B72" s="169">
        <v>1</v>
      </c>
      <c r="C72" s="174" t="str">
        <f t="shared" si="125"/>
        <v>CABIN CREW CLASS1110</v>
      </c>
      <c r="D72" s="290"/>
      <c r="E72" s="302">
        <v>1275</v>
      </c>
      <c r="F72" s="306">
        <v>110</v>
      </c>
      <c r="G72" t="str">
        <f>VLOOKUP(E72,'FG MASTER'!$A:$AB,2,0)</f>
        <v>2026 CREW CY2 RISOTTO</v>
      </c>
      <c r="H72" s="282">
        <v>1</v>
      </c>
      <c r="I72" s="171">
        <v>0.25</v>
      </c>
      <c r="J72" s="288">
        <f>IFERROR(IF(I72="std",H72,HLOOKUP(A72,'FlightConfig '!$B$34:$G$35,2,0)*I72),"")</f>
        <v>1.5</v>
      </c>
      <c r="K72" s="242">
        <f>VLOOKUP(Food!E72,'FG MASTER'!$A$1:$AC$737,16,0)</f>
        <v>2.74</v>
      </c>
      <c r="L72" s="243">
        <f>VLOOKUP(Food!E72,'FG MASTER'!$A$10:$AC$737,17,0)</f>
        <v>4.75</v>
      </c>
      <c r="M72" s="130">
        <f t="shared" si="139"/>
        <v>1.9000000000000001</v>
      </c>
      <c r="N72" s="130">
        <f t="shared" si="126"/>
        <v>4.6400000000000006</v>
      </c>
      <c r="O72" s="130">
        <f t="shared" si="2"/>
        <v>0.60279999999999978</v>
      </c>
      <c r="P72" s="130">
        <f t="shared" ref="P72:P74" si="142">IFERROR($M72*(1+$P$2)-$M72,0)</f>
        <v>0.38000000000000012</v>
      </c>
      <c r="Q72" s="130">
        <f t="shared" si="25"/>
        <v>5.6228000000000007</v>
      </c>
      <c r="R72" s="398">
        <f t="shared" si="26"/>
        <v>3.3428</v>
      </c>
      <c r="S72" s="398">
        <f t="shared" si="140"/>
        <v>2.2800000000000002</v>
      </c>
      <c r="T72" s="398">
        <f t="shared" si="141"/>
        <v>5.6227999999999998</v>
      </c>
      <c r="U72" s="125">
        <v>5.6227999999999998</v>
      </c>
      <c r="V72" s="125"/>
      <c r="W72" t="str">
        <f>IFERROR(#REF!*J72,"")</f>
        <v/>
      </c>
      <c r="X72">
        <f t="shared" si="17"/>
        <v>4.1100000000000003</v>
      </c>
      <c r="Y72">
        <f t="shared" si="18"/>
        <v>7.125</v>
      </c>
      <c r="Z72" s="125">
        <f t="shared" si="19"/>
        <v>2.85</v>
      </c>
      <c r="AA72" s="125">
        <f t="shared" si="20"/>
        <v>6.9600000000000009</v>
      </c>
      <c r="AB72" s="125">
        <f t="shared" si="21"/>
        <v>0.90419999999999967</v>
      </c>
      <c r="AC72" s="125">
        <f t="shared" si="22"/>
        <v>0.57000000000000017</v>
      </c>
      <c r="AD72" s="125">
        <f t="shared" si="23"/>
        <v>8.4342000000000006</v>
      </c>
      <c r="AF72" s="125" t="str">
        <f>IFERROR(W72*'FlightConfig '!$K$3,"")</f>
        <v/>
      </c>
      <c r="AG72" s="125">
        <f>IFERROR(X72*'FlightConfig '!$K$23,"")</f>
        <v>1496.0400000000002</v>
      </c>
      <c r="AH72" s="125">
        <f>IFERROR(Y72*'FlightConfig '!$K$23,"")</f>
        <v>2593.5</v>
      </c>
      <c r="AI72" s="125">
        <f>IFERROR(Z72*'FlightConfig '!$K$23,"")</f>
        <v>1037.4000000000001</v>
      </c>
      <c r="AJ72" s="125">
        <f>IFERROR(AA72*'FlightConfig '!$K$23,"")</f>
        <v>2533.4400000000005</v>
      </c>
      <c r="AK72" s="125">
        <f>IFERROR(AB72*'FlightConfig '!$K$23,"")</f>
        <v>329.1287999999999</v>
      </c>
    </row>
    <row r="73" spans="1:37" ht="18.75" customHeight="1" x14ac:dyDescent="0.25">
      <c r="A73" t="s">
        <v>189</v>
      </c>
      <c r="B73" s="169">
        <v>1</v>
      </c>
      <c r="C73" s="174" t="str">
        <f t="shared" si="125"/>
        <v>CABIN CREW CLASS1110</v>
      </c>
      <c r="D73" s="290"/>
      <c r="E73" s="302">
        <v>1276</v>
      </c>
      <c r="F73" s="306">
        <v>110</v>
      </c>
      <c r="G73" t="str">
        <f>VLOOKUP(E73,'FG MASTER'!$A:$AB,2,0)</f>
        <v>2026 CREW CY2 TOAST WITH RED PEPPER BISQUE</v>
      </c>
      <c r="H73" s="282">
        <v>1</v>
      </c>
      <c r="I73" s="171">
        <v>0.25</v>
      </c>
      <c r="J73" s="288">
        <f>IFERROR(IF(I73="std",H73,HLOOKUP(A73,'FlightConfig '!$B$34:$G$35,2,0)*I73),"")</f>
        <v>1.5</v>
      </c>
      <c r="K73" s="242">
        <f>VLOOKUP(Food!E73,'FG MASTER'!$A$1:$AC$737,16,0)</f>
        <v>1.52</v>
      </c>
      <c r="L73" s="243">
        <f>VLOOKUP(Food!E73,'FG MASTER'!$A$10:$AC$737,17,0)</f>
        <v>2.75</v>
      </c>
      <c r="M73" s="130">
        <f t="shared" si="139"/>
        <v>1.1000000000000001</v>
      </c>
      <c r="N73" s="130">
        <f t="shared" si="126"/>
        <v>2.62</v>
      </c>
      <c r="O73" s="130">
        <f t="shared" ref="O73:O137" si="143">IFERROR($K73*(1+$O$2)-$K73,0)</f>
        <v>0.33440000000000003</v>
      </c>
      <c r="P73" s="130">
        <f t="shared" si="142"/>
        <v>0.21999999999999997</v>
      </c>
      <c r="Q73" s="130">
        <f t="shared" si="25"/>
        <v>3.1744000000000003</v>
      </c>
      <c r="R73" s="398">
        <f t="shared" si="26"/>
        <v>1.8544</v>
      </c>
      <c r="S73" s="398">
        <f t="shared" si="140"/>
        <v>1.32</v>
      </c>
      <c r="T73" s="398">
        <f t="shared" si="141"/>
        <v>3.1744000000000003</v>
      </c>
      <c r="U73" s="125">
        <v>3.1744000000000003</v>
      </c>
      <c r="V73" s="125"/>
      <c r="W73" t="str">
        <f>IFERROR(#REF!*J73,"")</f>
        <v/>
      </c>
      <c r="X73">
        <f t="shared" si="17"/>
        <v>2.2800000000000002</v>
      </c>
      <c r="Y73">
        <f t="shared" si="18"/>
        <v>4.125</v>
      </c>
      <c r="Z73" s="125">
        <f t="shared" si="19"/>
        <v>1.6500000000000001</v>
      </c>
      <c r="AA73" s="125">
        <f t="shared" si="20"/>
        <v>3.93</v>
      </c>
      <c r="AB73" s="125">
        <f t="shared" si="21"/>
        <v>0.50160000000000005</v>
      </c>
      <c r="AC73" s="125">
        <f t="shared" si="22"/>
        <v>0.32999999999999996</v>
      </c>
      <c r="AD73" s="125">
        <f t="shared" si="23"/>
        <v>4.7616000000000005</v>
      </c>
      <c r="AF73" s="125" t="str">
        <f>IFERROR(W73*'FlightConfig '!$K$3,"")</f>
        <v/>
      </c>
      <c r="AG73" s="125">
        <f>IFERROR(X73*'FlightConfig '!$K$23,"")</f>
        <v>829.92000000000007</v>
      </c>
      <c r="AH73" s="125">
        <f>IFERROR(Y73*'FlightConfig '!$K$23,"")</f>
        <v>1501.5</v>
      </c>
      <c r="AI73" s="125">
        <f>IFERROR(Z73*'FlightConfig '!$K$23,"")</f>
        <v>600.6</v>
      </c>
      <c r="AJ73" s="125">
        <f>IFERROR(AA73*'FlightConfig '!$K$23,"")</f>
        <v>1430.52</v>
      </c>
      <c r="AK73" s="125">
        <f>IFERROR(AB73*'FlightConfig '!$K$23,"")</f>
        <v>182.58240000000001</v>
      </c>
    </row>
    <row r="74" spans="1:37" ht="18.75" customHeight="1" x14ac:dyDescent="0.25">
      <c r="A74" t="s">
        <v>189</v>
      </c>
      <c r="B74" s="169">
        <v>1</v>
      </c>
      <c r="C74" s="174" t="str">
        <f t="shared" si="125"/>
        <v>CABIN CREW CLASS1110</v>
      </c>
      <c r="D74" s="290"/>
      <c r="E74" s="301">
        <v>1277</v>
      </c>
      <c r="F74" s="306">
        <v>110</v>
      </c>
      <c r="G74" t="str">
        <f>VLOOKUP(E74,'FG MASTER'!$A:$AB,2,0)</f>
        <v>2026 CREW CY2 SPINACH CANNELLONI</v>
      </c>
      <c r="H74" s="282">
        <v>1</v>
      </c>
      <c r="I74" s="171">
        <v>0.25</v>
      </c>
      <c r="J74" s="288">
        <f>IFERROR(IF(I74="std",H74,HLOOKUP(A74,'FlightConfig '!$B$34:$G$35,2,0)*I74),"")</f>
        <v>1.5</v>
      </c>
      <c r="K74" s="242">
        <f>VLOOKUP(Food!E74,'FG MASTER'!$A$1:$AC$737,16,0)</f>
        <v>2.4500000000000002</v>
      </c>
      <c r="L74" s="243">
        <f>VLOOKUP(Food!E74,'FG MASTER'!$A$10:$AC$737,17,0)</f>
        <v>2.5</v>
      </c>
      <c r="M74" s="130">
        <f t="shared" si="139"/>
        <v>1</v>
      </c>
      <c r="N74" s="130">
        <f t="shared" si="126"/>
        <v>3.45</v>
      </c>
      <c r="O74" s="130">
        <f t="shared" si="143"/>
        <v>0.53900000000000015</v>
      </c>
      <c r="P74" s="130">
        <f t="shared" si="142"/>
        <v>0.19999999999999996</v>
      </c>
      <c r="Q74" s="130">
        <f t="shared" si="25"/>
        <v>4.1890000000000001</v>
      </c>
      <c r="R74" s="398">
        <f t="shared" ref="R74:R138" si="144">K74*(1+$O$2)</f>
        <v>2.9890000000000003</v>
      </c>
      <c r="S74" s="398">
        <f t="shared" si="140"/>
        <v>1.2</v>
      </c>
      <c r="T74" s="398">
        <f t="shared" si="141"/>
        <v>4.1890000000000001</v>
      </c>
      <c r="U74" s="125">
        <v>4.1890000000000001</v>
      </c>
      <c r="V74" s="125"/>
      <c r="W74" t="str">
        <f>IFERROR(#REF!*J74,"")</f>
        <v/>
      </c>
      <c r="X74">
        <f t="shared" si="17"/>
        <v>3.6750000000000003</v>
      </c>
      <c r="Y74">
        <f t="shared" si="18"/>
        <v>3.75</v>
      </c>
      <c r="Z74" s="125">
        <f t="shared" si="19"/>
        <v>1.5</v>
      </c>
      <c r="AA74" s="125">
        <f t="shared" si="20"/>
        <v>5.1750000000000007</v>
      </c>
      <c r="AB74" s="125">
        <f t="shared" si="21"/>
        <v>0.80850000000000022</v>
      </c>
      <c r="AC74" s="125">
        <f t="shared" si="22"/>
        <v>0.29999999999999993</v>
      </c>
      <c r="AD74" s="125">
        <f t="shared" si="23"/>
        <v>6.2835000000000001</v>
      </c>
      <c r="AF74" s="125" t="str">
        <f>IFERROR(W74*'FlightConfig '!$K$3,"")</f>
        <v/>
      </c>
      <c r="AG74" s="125">
        <f>IFERROR(X74*'FlightConfig '!$K$23,"")</f>
        <v>1337.7</v>
      </c>
      <c r="AH74" s="125">
        <f>IFERROR(Y74*'FlightConfig '!$K$23,"")</f>
        <v>1365</v>
      </c>
      <c r="AI74" s="125">
        <f>IFERROR(Z74*'FlightConfig '!$K$23,"")</f>
        <v>546</v>
      </c>
      <c r="AJ74" s="125">
        <f>IFERROR(AA74*'FlightConfig '!$K$23,"")</f>
        <v>1883.7000000000003</v>
      </c>
      <c r="AK74" s="125">
        <f>IFERROR(AB74*'FlightConfig '!$K$23,"")</f>
        <v>294.2940000000001</v>
      </c>
    </row>
    <row r="75" spans="1:37" ht="18.75" customHeight="1" x14ac:dyDescent="0.25">
      <c r="A75" t="s">
        <v>189</v>
      </c>
      <c r="B75" s="169">
        <v>1</v>
      </c>
      <c r="C75" s="174" t="str">
        <f t="shared" si="125"/>
        <v>CABIN CREW CLASS1110</v>
      </c>
      <c r="D75" s="290"/>
      <c r="E75" s="301">
        <v>1278</v>
      </c>
      <c r="F75" s="306">
        <v>110</v>
      </c>
      <c r="G75" t="str">
        <f>VLOOKUP(E75,'FG MASTER'!$A:$AB,2,0)</f>
        <v>2026 CREW CY2 TURKEY SANDWICH</v>
      </c>
      <c r="H75" s="282">
        <v>1</v>
      </c>
      <c r="I75" s="171">
        <v>0.16</v>
      </c>
      <c r="J75" s="288">
        <f>IFERROR(IF(I75="std",H75,HLOOKUP(A75,'FlightConfig '!$B$34:$G$35,2,0)*I75),"")</f>
        <v>0.96</v>
      </c>
      <c r="K75" s="242">
        <f>VLOOKUP(Food!E75,'FG MASTER'!$A$1:$AC$737,16,0)</f>
        <v>1.63</v>
      </c>
      <c r="L75" s="243">
        <f>VLOOKUP(Food!E75,'FG MASTER'!$A$10:$AC$737,17,0)</f>
        <v>1.43</v>
      </c>
      <c r="M75" s="130">
        <f t="shared" si="139"/>
        <v>0.57199999999999995</v>
      </c>
      <c r="N75" s="130">
        <f t="shared" ref="N75:N81" si="145">IFERROR((K75)+M75,"")</f>
        <v>2.202</v>
      </c>
      <c r="O75" s="130">
        <f t="shared" si="143"/>
        <v>0.35860000000000003</v>
      </c>
      <c r="P75" s="130">
        <f t="shared" ref="P75:P82" si="146">IFERROR($M75*(1+$P$2)-$M75,0)</f>
        <v>0.11439999999999995</v>
      </c>
      <c r="Q75" s="130">
        <f t="shared" ref="Q75:Q139" si="147">SUM(N75:P75)</f>
        <v>2.6749999999999998</v>
      </c>
      <c r="R75" s="398">
        <f t="shared" si="144"/>
        <v>1.9885999999999999</v>
      </c>
      <c r="S75" s="398">
        <f t="shared" ref="S75:S81" si="148">M75*(1+$P$2)</f>
        <v>0.6863999999999999</v>
      </c>
      <c r="T75" s="398">
        <f t="shared" ref="T75:T81" si="149">R75+S75</f>
        <v>2.6749999999999998</v>
      </c>
      <c r="U75" s="125"/>
      <c r="V75" s="125"/>
      <c r="W75" t="str">
        <f>IFERROR(#REF!*J75,"")</f>
        <v/>
      </c>
      <c r="X75">
        <f t="shared" si="17"/>
        <v>1.5647999999999997</v>
      </c>
      <c r="Y75">
        <f t="shared" si="18"/>
        <v>1.3727999999999998</v>
      </c>
      <c r="Z75" s="125">
        <f t="shared" si="19"/>
        <v>0.54911999999999994</v>
      </c>
      <c r="AA75" s="125">
        <f t="shared" si="20"/>
        <v>2.1139199999999998</v>
      </c>
      <c r="AB75" s="125">
        <f t="shared" si="21"/>
        <v>0.34425600000000001</v>
      </c>
      <c r="AC75" s="125">
        <f t="shared" si="22"/>
        <v>0.10982399999999995</v>
      </c>
      <c r="AD75" s="125">
        <f t="shared" si="23"/>
        <v>2.5679999999999996</v>
      </c>
      <c r="AF75" s="125" t="str">
        <f>IFERROR(W75*'FlightConfig '!$K$3,"")</f>
        <v/>
      </c>
      <c r="AG75" s="125">
        <f>IFERROR(X75*'FlightConfig '!$K$23,"")</f>
        <v>569.58719999999994</v>
      </c>
      <c r="AH75" s="125">
        <f>IFERROR(Y75*'FlightConfig '!$K$23,"")</f>
        <v>499.69919999999991</v>
      </c>
      <c r="AI75" s="125">
        <f>IFERROR(Z75*'FlightConfig '!$K$23,"")</f>
        <v>199.87967999999998</v>
      </c>
      <c r="AJ75" s="125">
        <f>IFERROR(AA75*'FlightConfig '!$K$23,"")</f>
        <v>769.46687999999995</v>
      </c>
      <c r="AK75" s="125">
        <f>IFERROR(AB75*'FlightConfig '!$K$23,"")</f>
        <v>125.309184</v>
      </c>
    </row>
    <row r="76" spans="1:37" ht="18.75" customHeight="1" x14ac:dyDescent="0.25">
      <c r="A76" t="s">
        <v>189</v>
      </c>
      <c r="B76" s="169">
        <v>1</v>
      </c>
      <c r="C76" s="174" t="str">
        <f t="shared" si="125"/>
        <v>CABIN CREW CLASS1110</v>
      </c>
      <c r="D76" s="290"/>
      <c r="E76" s="301">
        <v>1279</v>
      </c>
      <c r="F76" s="306">
        <v>110</v>
      </c>
      <c r="G76" t="str">
        <f>VLOOKUP(E76,'FG MASTER'!$A:$AB,2,0)</f>
        <v>2026 CREW CY2 ROAST BEEF HOAGIE</v>
      </c>
      <c r="H76" s="282">
        <v>1</v>
      </c>
      <c r="I76" s="171">
        <v>0.16</v>
      </c>
      <c r="J76" s="288">
        <f>IFERROR(IF(I76="std",H76,HLOOKUP(A76,'FlightConfig '!$B$34:$G$35,2,0)*I76),"")</f>
        <v>0.96</v>
      </c>
      <c r="K76" s="242">
        <f>VLOOKUP(Food!E76,'FG MASTER'!$A$1:$AC$737,16,0)</f>
        <v>3.1</v>
      </c>
      <c r="L76" s="243">
        <f>VLOOKUP(Food!E76,'FG MASTER'!$A$10:$AC$737,17,0)</f>
        <v>1.43</v>
      </c>
      <c r="M76" s="130">
        <f t="shared" si="139"/>
        <v>0.57199999999999995</v>
      </c>
      <c r="N76" s="130">
        <f t="shared" si="145"/>
        <v>3.6720000000000002</v>
      </c>
      <c r="O76" s="130">
        <f t="shared" si="143"/>
        <v>0.68199999999999994</v>
      </c>
      <c r="P76" s="130">
        <f t="shared" si="146"/>
        <v>0.11439999999999995</v>
      </c>
      <c r="Q76" s="130">
        <f t="shared" si="147"/>
        <v>4.4683999999999999</v>
      </c>
      <c r="R76" s="398">
        <f t="shared" si="144"/>
        <v>3.782</v>
      </c>
      <c r="S76" s="398">
        <f t="shared" si="148"/>
        <v>0.6863999999999999</v>
      </c>
      <c r="T76" s="398">
        <f t="shared" si="149"/>
        <v>4.4683999999999999</v>
      </c>
      <c r="U76" s="125"/>
      <c r="V76" s="125"/>
      <c r="W76" t="str">
        <f>IFERROR(#REF!*J76,"")</f>
        <v/>
      </c>
      <c r="X76">
        <f t="shared" ref="X76:X81" si="150">IFERROR(K76*J76,"")</f>
        <v>2.976</v>
      </c>
      <c r="Y76">
        <f t="shared" ref="Y76:Y81" si="151">IFERROR(+L76*J76,"")</f>
        <v>1.3727999999999998</v>
      </c>
      <c r="Z76" s="125">
        <f t="shared" ref="Z76:Z81" si="152">IFERROR(+M76*J76,"")</f>
        <v>0.54911999999999994</v>
      </c>
      <c r="AA76" s="125">
        <f t="shared" ref="AA76:AA81" si="153">IFERROR(+N76*J76,"")</f>
        <v>3.5251199999999998</v>
      </c>
      <c r="AB76" s="125">
        <f t="shared" ref="AB76:AB81" si="154">IFERROR(O76*$J76,"")</f>
        <v>0.65471999999999997</v>
      </c>
      <c r="AC76" s="125">
        <f t="shared" ref="AC76:AC81" si="155">IFERROR(P76*$J76,"")</f>
        <v>0.10982399999999995</v>
      </c>
      <c r="AD76" s="125">
        <f t="shared" ref="AD76:AD81" si="156">IFERROR(+Q76*J76,"")</f>
        <v>4.2896640000000001</v>
      </c>
      <c r="AF76" s="125" t="str">
        <f>IFERROR(W76*'FlightConfig '!$K$3,"")</f>
        <v/>
      </c>
      <c r="AG76" s="125">
        <f>IFERROR(X76*'FlightConfig '!$K$23,"")</f>
        <v>1083.2639999999999</v>
      </c>
      <c r="AH76" s="125">
        <f>IFERROR(Y76*'FlightConfig '!$K$23,"")</f>
        <v>499.69919999999991</v>
      </c>
      <c r="AI76" s="125">
        <f>IFERROR(Z76*'FlightConfig '!$K$23,"")</f>
        <v>199.87967999999998</v>
      </c>
      <c r="AJ76" s="125">
        <f>IFERROR(AA76*'FlightConfig '!$K$23,"")</f>
        <v>1283.1436799999999</v>
      </c>
      <c r="AK76" s="125">
        <f>IFERROR(AB76*'FlightConfig '!$K$23,"")</f>
        <v>238.31807999999998</v>
      </c>
    </row>
    <row r="77" spans="1:37" ht="18.75" customHeight="1" x14ac:dyDescent="0.25">
      <c r="A77" t="s">
        <v>189</v>
      </c>
      <c r="B77" s="169">
        <v>1</v>
      </c>
      <c r="C77" s="174" t="str">
        <f>CONCATENATE(A77&amp;B77&amp;F77)</f>
        <v>CABIN CREW CLASS1110</v>
      </c>
      <c r="D77" s="290"/>
      <c r="E77" s="301">
        <v>1280</v>
      </c>
      <c r="F77" s="306">
        <v>110</v>
      </c>
      <c r="G77" t="str">
        <f>VLOOKUP(E77,'FG MASTER'!$A:$AB,2,0)</f>
        <v>2026 CREW CY2 CHICKEN SALAD CROISSANT</v>
      </c>
      <c r="H77" s="282">
        <v>1</v>
      </c>
      <c r="I77" s="171">
        <v>0.16</v>
      </c>
      <c r="J77" s="288">
        <f>IFERROR(IF(I77="std",H77,HLOOKUP(A77,'FlightConfig '!$B$34:$G$35,2,0)*I77),"")</f>
        <v>0.96</v>
      </c>
      <c r="K77" s="242">
        <f>VLOOKUP(Food!E77,'FG MASTER'!$A$1:$AC$737,16,0)</f>
        <v>1.99</v>
      </c>
      <c r="L77" s="243">
        <f>VLOOKUP(Food!E77,'FG MASTER'!$A$10:$AC$737,17,0)</f>
        <v>1.43</v>
      </c>
      <c r="M77" s="130">
        <f t="shared" si="139"/>
        <v>0.57199999999999995</v>
      </c>
      <c r="N77" s="130">
        <f t="shared" si="145"/>
        <v>2.5619999999999998</v>
      </c>
      <c r="O77" s="130">
        <f t="shared" si="143"/>
        <v>0.43779999999999997</v>
      </c>
      <c r="P77" s="130">
        <f t="shared" si="146"/>
        <v>0.11439999999999995</v>
      </c>
      <c r="Q77" s="130">
        <f t="shared" si="147"/>
        <v>3.1141999999999994</v>
      </c>
      <c r="R77" s="266">
        <v>2.29</v>
      </c>
      <c r="S77" s="398">
        <f t="shared" si="148"/>
        <v>0.6863999999999999</v>
      </c>
      <c r="T77" s="266">
        <f t="shared" si="149"/>
        <v>2.9763999999999999</v>
      </c>
      <c r="U77" s="429" t="s">
        <v>356</v>
      </c>
      <c r="V77" s="125"/>
      <c r="W77" t="str">
        <f>IFERROR(#REF!*J77,"")</f>
        <v/>
      </c>
      <c r="X77">
        <f t="shared" si="150"/>
        <v>1.9103999999999999</v>
      </c>
      <c r="Y77">
        <f t="shared" si="151"/>
        <v>1.3727999999999998</v>
      </c>
      <c r="Z77" s="125">
        <f t="shared" si="152"/>
        <v>0.54911999999999994</v>
      </c>
      <c r="AA77" s="125">
        <f t="shared" si="153"/>
        <v>2.4595199999999999</v>
      </c>
      <c r="AB77" s="125">
        <f t="shared" si="154"/>
        <v>0.42028799999999994</v>
      </c>
      <c r="AC77" s="125">
        <f t="shared" si="155"/>
        <v>0.10982399999999995</v>
      </c>
      <c r="AD77" s="125">
        <f t="shared" si="156"/>
        <v>2.9896319999999994</v>
      </c>
      <c r="AF77" s="125" t="str">
        <f>IFERROR(W77*'FlightConfig '!$K$3,"")</f>
        <v/>
      </c>
      <c r="AG77" s="125">
        <f>IFERROR(X77*'FlightConfig '!$K$23,"")</f>
        <v>695.38559999999995</v>
      </c>
      <c r="AH77" s="125">
        <f>IFERROR(Y77*'FlightConfig '!$K$23,"")</f>
        <v>499.69919999999991</v>
      </c>
      <c r="AI77" s="125">
        <f>IFERROR(Z77*'FlightConfig '!$K$23,"")</f>
        <v>199.87967999999998</v>
      </c>
      <c r="AJ77" s="125">
        <f>IFERROR(AA77*'FlightConfig '!$K$23,"")</f>
        <v>895.26527999999996</v>
      </c>
      <c r="AK77" s="125">
        <f>IFERROR(AB77*'FlightConfig '!$K$23,"")</f>
        <v>152.98483199999998</v>
      </c>
    </row>
    <row r="78" spans="1:37" ht="18.75" customHeight="1" x14ac:dyDescent="0.25">
      <c r="A78" t="s">
        <v>189</v>
      </c>
      <c r="B78" s="169">
        <v>1</v>
      </c>
      <c r="C78" s="174" t="str">
        <f t="shared" ref="C78:C81" si="157">CONCATENATE(A78&amp;B78&amp;F78)</f>
        <v>CABIN CREW CLASS1110</v>
      </c>
      <c r="D78" s="290"/>
      <c r="E78" s="301">
        <v>1281</v>
      </c>
      <c r="F78" s="306">
        <v>110</v>
      </c>
      <c r="G78" t="str">
        <f>VLOOKUP(E78,'FG MASTER'!$A:$AB,2,0)</f>
        <v>2026 CREW CY2 HUMMUS ON CIABATTA</v>
      </c>
      <c r="H78" s="282">
        <v>1</v>
      </c>
      <c r="I78" s="171">
        <v>0.16</v>
      </c>
      <c r="J78" s="288">
        <f>IFERROR(IF(I78="std",H78,HLOOKUP(A78,'FlightConfig '!$B$34:$G$35,2,0)*I78),"")</f>
        <v>0.96</v>
      </c>
      <c r="K78" s="242">
        <f>VLOOKUP(Food!E78,'FG MASTER'!$A$1:$AC$737,16,0)</f>
        <v>1.17</v>
      </c>
      <c r="L78" s="243">
        <f>VLOOKUP(Food!E78,'FG MASTER'!$A$10:$AC$737,17,0)</f>
        <v>1.43</v>
      </c>
      <c r="M78" s="130">
        <f t="shared" si="139"/>
        <v>0.57199999999999995</v>
      </c>
      <c r="N78" s="130">
        <f t="shared" si="145"/>
        <v>1.742</v>
      </c>
      <c r="O78" s="130">
        <f t="shared" si="143"/>
        <v>0.25739999999999985</v>
      </c>
      <c r="P78" s="130">
        <f t="shared" si="146"/>
        <v>0.11439999999999995</v>
      </c>
      <c r="Q78" s="130">
        <f t="shared" si="147"/>
        <v>2.1137999999999999</v>
      </c>
      <c r="R78" s="398">
        <f t="shared" si="144"/>
        <v>1.4273999999999998</v>
      </c>
      <c r="S78" s="398">
        <f t="shared" si="148"/>
        <v>0.6863999999999999</v>
      </c>
      <c r="T78" s="398">
        <f t="shared" si="149"/>
        <v>2.1137999999999995</v>
      </c>
      <c r="U78" s="125"/>
      <c r="V78" s="125"/>
      <c r="W78" t="str">
        <f>IFERROR(#REF!*J78,"")</f>
        <v/>
      </c>
      <c r="X78">
        <f t="shared" si="150"/>
        <v>1.1232</v>
      </c>
      <c r="Y78">
        <f t="shared" si="151"/>
        <v>1.3727999999999998</v>
      </c>
      <c r="Z78" s="125">
        <f t="shared" si="152"/>
        <v>0.54911999999999994</v>
      </c>
      <c r="AA78" s="125">
        <f t="shared" si="153"/>
        <v>1.67232</v>
      </c>
      <c r="AB78" s="125">
        <f t="shared" si="154"/>
        <v>0.24710399999999985</v>
      </c>
      <c r="AC78" s="125">
        <f t="shared" si="155"/>
        <v>0.10982399999999995</v>
      </c>
      <c r="AD78" s="125">
        <f t="shared" si="156"/>
        <v>2.0292479999999999</v>
      </c>
      <c r="AF78" s="125" t="str">
        <f>IFERROR(W78*'FlightConfig '!$K$3,"")</f>
        <v/>
      </c>
      <c r="AG78" s="125">
        <f>IFERROR(X78*'FlightConfig '!$K$23,"")</f>
        <v>408.84479999999996</v>
      </c>
      <c r="AH78" s="125">
        <f>IFERROR(Y78*'FlightConfig '!$K$23,"")</f>
        <v>499.69919999999991</v>
      </c>
      <c r="AI78" s="125">
        <f>IFERROR(Z78*'FlightConfig '!$K$23,"")</f>
        <v>199.87967999999998</v>
      </c>
      <c r="AJ78" s="125">
        <f>IFERROR(AA78*'FlightConfig '!$K$23,"")</f>
        <v>608.72447999999997</v>
      </c>
      <c r="AK78" s="125">
        <f>IFERROR(AB78*'FlightConfig '!$K$23,"")</f>
        <v>89.945855999999949</v>
      </c>
    </row>
    <row r="79" spans="1:37" ht="18.75" customHeight="1" x14ac:dyDescent="0.25">
      <c r="A79" t="s">
        <v>189</v>
      </c>
      <c r="B79" s="169">
        <v>1</v>
      </c>
      <c r="C79" s="174" t="str">
        <f t="shared" si="157"/>
        <v>CABIN CREW CLASS1110</v>
      </c>
      <c r="D79" s="290"/>
      <c r="E79" s="301">
        <v>1282</v>
      </c>
      <c r="F79" s="306">
        <v>110</v>
      </c>
      <c r="G79" t="str">
        <f>VLOOKUP(E79,'FG MASTER'!$A:$AB,2,0)</f>
        <v>2026 CERW CY2 CREAM CHEESE CUCUMBER ON WHOLE WHEAT</v>
      </c>
      <c r="H79" s="282">
        <v>1</v>
      </c>
      <c r="I79" s="171">
        <v>0.16</v>
      </c>
      <c r="J79" s="288">
        <f>IFERROR(IF(I79="std",H79,HLOOKUP(A79,'FlightConfig '!$B$34:$G$35,2,0)*I79),"")</f>
        <v>0.96</v>
      </c>
      <c r="K79" s="242">
        <f>VLOOKUP(Food!E79,'FG MASTER'!$A$1:$AC$737,16,0)</f>
        <v>1</v>
      </c>
      <c r="L79" s="243">
        <f>VLOOKUP(Food!E79,'FG MASTER'!$A$10:$AC$737,17,0)</f>
        <v>1.43</v>
      </c>
      <c r="M79" s="130">
        <f t="shared" si="139"/>
        <v>0.57199999999999995</v>
      </c>
      <c r="N79" s="130">
        <f t="shared" si="145"/>
        <v>1.5720000000000001</v>
      </c>
      <c r="O79" s="130">
        <f t="shared" si="143"/>
        <v>0.21999999999999997</v>
      </c>
      <c r="P79" s="130">
        <f t="shared" si="146"/>
        <v>0.11439999999999995</v>
      </c>
      <c r="Q79" s="130">
        <f t="shared" si="147"/>
        <v>1.9064000000000001</v>
      </c>
      <c r="R79" s="398">
        <f t="shared" si="144"/>
        <v>1.22</v>
      </c>
      <c r="S79" s="398">
        <f t="shared" si="148"/>
        <v>0.6863999999999999</v>
      </c>
      <c r="T79" s="398">
        <f t="shared" si="149"/>
        <v>1.9063999999999999</v>
      </c>
      <c r="U79" s="125"/>
      <c r="V79" s="125"/>
      <c r="W79" t="str">
        <f>IFERROR(#REF!*J79,"")</f>
        <v/>
      </c>
      <c r="X79">
        <f t="shared" si="150"/>
        <v>0.96</v>
      </c>
      <c r="Y79">
        <f t="shared" si="151"/>
        <v>1.3727999999999998</v>
      </c>
      <c r="Z79" s="125">
        <f t="shared" si="152"/>
        <v>0.54911999999999994</v>
      </c>
      <c r="AA79" s="125">
        <f t="shared" si="153"/>
        <v>1.50912</v>
      </c>
      <c r="AB79" s="125">
        <f t="shared" si="154"/>
        <v>0.21119999999999997</v>
      </c>
      <c r="AC79" s="125">
        <f t="shared" si="155"/>
        <v>0.10982399999999995</v>
      </c>
      <c r="AD79" s="125">
        <f t="shared" si="156"/>
        <v>1.830144</v>
      </c>
      <c r="AF79" s="125" t="str">
        <f>IFERROR(W79*'FlightConfig '!$K$3,"")</f>
        <v/>
      </c>
      <c r="AG79" s="125">
        <f>IFERROR(X79*'FlightConfig '!$K$23,"")</f>
        <v>349.44</v>
      </c>
      <c r="AH79" s="125">
        <f>IFERROR(Y79*'FlightConfig '!$K$23,"")</f>
        <v>499.69919999999991</v>
      </c>
      <c r="AI79" s="125">
        <f>IFERROR(Z79*'FlightConfig '!$K$23,"")</f>
        <v>199.87967999999998</v>
      </c>
      <c r="AJ79" s="125">
        <f>IFERROR(AA79*'FlightConfig '!$K$23,"")</f>
        <v>549.31968000000006</v>
      </c>
      <c r="AK79" s="125">
        <f>IFERROR(AB79*'FlightConfig '!$K$23,"")</f>
        <v>76.876799999999989</v>
      </c>
    </row>
    <row r="80" spans="1:37" ht="18.75" customHeight="1" x14ac:dyDescent="0.25">
      <c r="A80" t="s">
        <v>189</v>
      </c>
      <c r="B80" s="169">
        <v>1</v>
      </c>
      <c r="C80" s="174" t="str">
        <f t="shared" si="157"/>
        <v>CABIN CREW CLASS1110</v>
      </c>
      <c r="D80" s="290"/>
      <c r="E80" s="301">
        <v>1283</v>
      </c>
      <c r="F80" s="306">
        <v>110</v>
      </c>
      <c r="G80" t="str">
        <f>VLOOKUP(E80,'FG MASTER'!$A:$AB,2,0)</f>
        <v xml:space="preserve">2026 CREW CY2 ENGLISH MUFFIN SAUSAGE PATTY </v>
      </c>
      <c r="H80" s="282">
        <v>1</v>
      </c>
      <c r="I80" s="171">
        <v>0.16</v>
      </c>
      <c r="J80" s="288">
        <f>IFERROR(IF(I80="std",H80,HLOOKUP(A80,'FlightConfig '!$B$34:$G$35,2,0)*I80),"")</f>
        <v>0.96</v>
      </c>
      <c r="K80" s="242">
        <f>VLOOKUP(Food!E80,'FG MASTER'!$A$1:$AC$737,16,0)</f>
        <v>1.08</v>
      </c>
      <c r="L80" s="243">
        <f>VLOOKUP(Food!E80,'FG MASTER'!$A$10:$AC$737,17,0)</f>
        <v>2</v>
      </c>
      <c r="M80" s="130">
        <f t="shared" si="139"/>
        <v>0.8</v>
      </c>
      <c r="N80" s="130">
        <f t="shared" si="145"/>
        <v>1.8800000000000001</v>
      </c>
      <c r="O80" s="130">
        <f t="shared" si="143"/>
        <v>0.23760000000000003</v>
      </c>
      <c r="P80" s="130">
        <f t="shared" si="146"/>
        <v>0.15999999999999992</v>
      </c>
      <c r="Q80" s="130">
        <f t="shared" si="147"/>
        <v>2.2776000000000005</v>
      </c>
      <c r="R80" s="398">
        <f t="shared" si="144"/>
        <v>1.3176000000000001</v>
      </c>
      <c r="S80" s="398">
        <f t="shared" si="148"/>
        <v>0.96</v>
      </c>
      <c r="T80" s="398">
        <f t="shared" si="149"/>
        <v>2.2776000000000001</v>
      </c>
      <c r="U80" s="125"/>
      <c r="V80" s="125"/>
      <c r="W80" t="str">
        <f>IFERROR(#REF!*J80,"")</f>
        <v/>
      </c>
      <c r="X80">
        <f t="shared" si="150"/>
        <v>1.0367999999999999</v>
      </c>
      <c r="Y80">
        <f t="shared" si="151"/>
        <v>1.92</v>
      </c>
      <c r="Z80" s="125">
        <f t="shared" si="152"/>
        <v>0.76800000000000002</v>
      </c>
      <c r="AA80" s="125">
        <f t="shared" si="153"/>
        <v>1.8048</v>
      </c>
      <c r="AB80" s="125">
        <f t="shared" si="154"/>
        <v>0.22809600000000002</v>
      </c>
      <c r="AC80" s="125">
        <f t="shared" si="155"/>
        <v>0.15359999999999993</v>
      </c>
      <c r="AD80" s="125">
        <f t="shared" si="156"/>
        <v>2.1864960000000004</v>
      </c>
      <c r="AF80" s="125" t="str">
        <f>IFERROR(W80*'FlightConfig '!$K$3,"")</f>
        <v/>
      </c>
      <c r="AG80" s="125">
        <f>IFERROR(X80*'FlightConfig '!$K$23,"")</f>
        <v>377.39519999999999</v>
      </c>
      <c r="AH80" s="125">
        <f>IFERROR(Y80*'FlightConfig '!$K$23,"")</f>
        <v>698.88</v>
      </c>
      <c r="AI80" s="125">
        <f>IFERROR(Z80*'FlightConfig '!$K$23,"")</f>
        <v>279.55200000000002</v>
      </c>
      <c r="AJ80" s="125">
        <f>IFERROR(AA80*'FlightConfig '!$K$23,"")</f>
        <v>656.94719999999995</v>
      </c>
      <c r="AK80" s="125">
        <f>IFERROR(AB80*'FlightConfig '!$K$23,"")</f>
        <v>83.026944000000015</v>
      </c>
    </row>
    <row r="81" spans="1:37" ht="18.75" customHeight="1" x14ac:dyDescent="0.25">
      <c r="A81" t="s">
        <v>189</v>
      </c>
      <c r="B81" s="169">
        <v>1</v>
      </c>
      <c r="C81" s="174" t="str">
        <f t="shared" si="157"/>
        <v>CABIN CREW CLASS1110</v>
      </c>
      <c r="D81" s="290"/>
      <c r="E81" s="301">
        <v>1284</v>
      </c>
      <c r="F81" s="306">
        <v>110</v>
      </c>
      <c r="G81" t="str">
        <f>VLOOKUP(E81,'FG MASTER'!$A:$AB,2,0)</f>
        <v>2026 CREW CY2 TOMATO PESTO EGG SANDWICH</v>
      </c>
      <c r="H81" s="282">
        <v>1</v>
      </c>
      <c r="I81" s="171">
        <v>0.16</v>
      </c>
      <c r="J81" s="288">
        <f>IFERROR(IF(I81="std",H81,HLOOKUP(A81,'FlightConfig '!$B$34:$G$35,2,0)*I81),"")</f>
        <v>0.96</v>
      </c>
      <c r="K81" s="242">
        <f>VLOOKUP(Food!E81,'FG MASTER'!$A$1:$AC$737,16,0)</f>
        <v>1.39</v>
      </c>
      <c r="L81" s="243">
        <f>VLOOKUP(Food!E81,'FG MASTER'!$A$10:$AC$737,17,0)</f>
        <v>1.43</v>
      </c>
      <c r="M81" s="130">
        <f t="shared" si="139"/>
        <v>0.57199999999999995</v>
      </c>
      <c r="N81" s="130">
        <f t="shared" si="145"/>
        <v>1.9619999999999997</v>
      </c>
      <c r="O81" s="130">
        <f t="shared" si="143"/>
        <v>0.30579999999999985</v>
      </c>
      <c r="P81" s="130">
        <f t="shared" si="146"/>
        <v>0.11439999999999995</v>
      </c>
      <c r="Q81" s="130">
        <f t="shared" si="147"/>
        <v>2.3821999999999992</v>
      </c>
      <c r="R81" s="398">
        <f t="shared" si="144"/>
        <v>1.6957999999999998</v>
      </c>
      <c r="S81" s="398">
        <f t="shared" si="148"/>
        <v>0.6863999999999999</v>
      </c>
      <c r="T81" s="398">
        <f t="shared" si="149"/>
        <v>2.3821999999999997</v>
      </c>
      <c r="U81" s="125"/>
      <c r="V81" s="125"/>
      <c r="W81" t="str">
        <f>IFERROR(#REF!*J81,"")</f>
        <v/>
      </c>
      <c r="X81">
        <f t="shared" si="150"/>
        <v>1.3343999999999998</v>
      </c>
      <c r="Y81">
        <f t="shared" si="151"/>
        <v>1.3727999999999998</v>
      </c>
      <c r="Z81" s="125">
        <f t="shared" si="152"/>
        <v>0.54911999999999994</v>
      </c>
      <c r="AA81" s="125">
        <f t="shared" si="153"/>
        <v>1.8835199999999996</v>
      </c>
      <c r="AB81" s="125">
        <f t="shared" si="154"/>
        <v>0.29356799999999983</v>
      </c>
      <c r="AC81" s="125">
        <f t="shared" si="155"/>
        <v>0.10982399999999995</v>
      </c>
      <c r="AD81" s="125">
        <f t="shared" si="156"/>
        <v>2.2869119999999992</v>
      </c>
      <c r="AF81" s="125" t="str">
        <f>IFERROR(W81*'FlightConfig '!$K$3,"")</f>
        <v/>
      </c>
      <c r="AG81" s="125">
        <f>IFERROR(X81*'FlightConfig '!$K$23,"")</f>
        <v>485.72159999999991</v>
      </c>
      <c r="AH81" s="125">
        <f>IFERROR(Y81*'FlightConfig '!$K$23,"")</f>
        <v>499.69919999999991</v>
      </c>
      <c r="AI81" s="125">
        <f>IFERROR(Z81*'FlightConfig '!$K$23,"")</f>
        <v>199.87967999999998</v>
      </c>
      <c r="AJ81" s="125">
        <f>IFERROR(AA81*'FlightConfig '!$K$23,"")</f>
        <v>685.60127999999986</v>
      </c>
      <c r="AK81" s="125">
        <f>IFERROR(AB81*'FlightConfig '!$K$23,"")</f>
        <v>106.85875199999994</v>
      </c>
    </row>
    <row r="82" spans="1:37" ht="18.75" customHeight="1" x14ac:dyDescent="0.25">
      <c r="A82" t="s">
        <v>189</v>
      </c>
      <c r="B82" s="169">
        <v>1</v>
      </c>
      <c r="C82" s="174" t="str">
        <f t="shared" ref="C82" si="158">CONCATENATE(A82&amp;B82&amp;F82)</f>
        <v>CABIN CREW CLASS1110</v>
      </c>
      <c r="D82" s="290"/>
      <c r="E82" s="300">
        <v>1285</v>
      </c>
      <c r="F82" s="306">
        <v>110</v>
      </c>
      <c r="G82" t="str">
        <f>VLOOKUP(E82,'FG MASTER'!$A:$AB,2,0)</f>
        <v xml:space="preserve">2026 CREW CY2 BACON ROLL </v>
      </c>
      <c r="H82" s="282">
        <v>1</v>
      </c>
      <c r="I82" s="171">
        <v>0.16</v>
      </c>
      <c r="J82" s="288">
        <f>IFERROR(IF(I82="std",H82,HLOOKUP(A82,'FlightConfig '!$B$34:$G$35,2,0)*I82),"")</f>
        <v>0.96</v>
      </c>
      <c r="K82" s="242">
        <f>VLOOKUP(Food!E82,'FG MASTER'!$A$1:$AC$737,16,0)</f>
        <v>1.79</v>
      </c>
      <c r="L82" s="243">
        <f>VLOOKUP(Food!E82,'FG MASTER'!$A$10:$AC$737,17,0)</f>
        <v>2</v>
      </c>
      <c r="M82" s="130">
        <f t="shared" ref="M82" si="159">IFERROR(L82*$M$2,"")</f>
        <v>0.8</v>
      </c>
      <c r="N82" s="130">
        <f t="shared" ref="N82" si="160">IFERROR((K82)+M82,"")</f>
        <v>2.59</v>
      </c>
      <c r="O82" s="130">
        <f t="shared" si="143"/>
        <v>0.39380000000000015</v>
      </c>
      <c r="P82" s="130">
        <f t="shared" si="146"/>
        <v>0.15999999999999992</v>
      </c>
      <c r="Q82" s="130">
        <f t="shared" si="147"/>
        <v>3.1437999999999997</v>
      </c>
      <c r="R82" s="266">
        <v>2.17</v>
      </c>
      <c r="S82" s="266">
        <v>1.1499999999999999</v>
      </c>
      <c r="T82" s="266">
        <f t="shared" ref="T82" si="161">R82+S82</f>
        <v>3.32</v>
      </c>
      <c r="U82" s="429" t="s">
        <v>356</v>
      </c>
      <c r="V82" s="125"/>
      <c r="W82" t="str">
        <f>IFERROR(#REF!*J82,"")</f>
        <v/>
      </c>
      <c r="X82">
        <f t="shared" ref="X82" si="162">IFERROR(K82*J82,"")</f>
        <v>1.7183999999999999</v>
      </c>
      <c r="Y82">
        <f t="shared" ref="Y82" si="163">IFERROR(+L82*J82,"")</f>
        <v>1.92</v>
      </c>
      <c r="Z82" s="125">
        <f t="shared" ref="Z82" si="164">IFERROR(+M82*J82,"")</f>
        <v>0.76800000000000002</v>
      </c>
      <c r="AA82" s="125">
        <f t="shared" ref="AA82" si="165">IFERROR(+N82*J82,"")</f>
        <v>2.4863999999999997</v>
      </c>
      <c r="AB82" s="125">
        <f t="shared" ref="AB82" si="166">IFERROR(O82*$J82,"")</f>
        <v>0.37804800000000011</v>
      </c>
      <c r="AC82" s="125">
        <f t="shared" ref="AC82" si="167">IFERROR(P82*$J82,"")</f>
        <v>0.15359999999999993</v>
      </c>
      <c r="AD82" s="125">
        <f t="shared" ref="AD82" si="168">IFERROR(+Q82*J82,"")</f>
        <v>3.0180479999999994</v>
      </c>
      <c r="AF82" s="125" t="str">
        <f>IFERROR(W82*'FlightConfig '!$K$3,"")</f>
        <v/>
      </c>
      <c r="AG82" s="125">
        <f>IFERROR(X82*'FlightConfig '!$K$23,"")</f>
        <v>625.49759999999992</v>
      </c>
      <c r="AH82" s="125">
        <f>IFERROR(Y82*'FlightConfig '!$K$23,"")</f>
        <v>698.88</v>
      </c>
      <c r="AI82" s="125">
        <f>IFERROR(Z82*'FlightConfig '!$K$23,"")</f>
        <v>279.55200000000002</v>
      </c>
      <c r="AJ82" s="125">
        <f>IFERROR(AA82*'FlightConfig '!$K$23,"")</f>
        <v>905.04959999999994</v>
      </c>
      <c r="AK82" s="125">
        <f>IFERROR(AB82*'FlightConfig '!$K$23,"")</f>
        <v>137.60947200000004</v>
      </c>
    </row>
    <row r="83" spans="1:37" ht="17.25" customHeight="1" x14ac:dyDescent="0.25">
      <c r="A83" s="417"/>
      <c r="B83" s="418"/>
      <c r="C83" s="419"/>
      <c r="D83" s="420"/>
      <c r="E83" s="421"/>
      <c r="F83" s="422"/>
      <c r="G83" s="417"/>
      <c r="H83" s="423"/>
      <c r="I83" s="424"/>
      <c r="J83" s="425"/>
      <c r="K83" s="426"/>
      <c r="L83" s="427"/>
      <c r="M83" s="428"/>
      <c r="N83" s="428"/>
      <c r="O83" s="428"/>
      <c r="P83" s="428"/>
      <c r="Q83" s="428"/>
      <c r="R83" s="428"/>
      <c r="S83" s="428"/>
      <c r="T83" s="428"/>
      <c r="U83" s="125"/>
      <c r="V83" s="125"/>
      <c r="W83" s="125"/>
      <c r="X83" s="125"/>
      <c r="Z83" s="125"/>
      <c r="AA83" s="125"/>
      <c r="AB83" s="125"/>
      <c r="AC83" s="125"/>
      <c r="AD83" s="125"/>
      <c r="AG83" s="125"/>
      <c r="AH83" s="125"/>
      <c r="AI83" s="125"/>
      <c r="AJ83" s="125"/>
      <c r="AK83" s="125"/>
    </row>
    <row r="84" spans="1:37" x14ac:dyDescent="0.25">
      <c r="A84" t="s">
        <v>156</v>
      </c>
      <c r="B84" s="169">
        <v>1</v>
      </c>
      <c r="C84" s="174" t="str">
        <f>CONCATENATE(A84&amp;B84&amp;F84)</f>
        <v>BUSINESS CLASS1104</v>
      </c>
      <c r="D84" s="170"/>
      <c r="E84" s="301">
        <v>1205</v>
      </c>
      <c r="F84" s="306">
        <v>104</v>
      </c>
      <c r="G84" t="str">
        <f>VLOOKUP(E84,'FG MASTER'!$A:$AB,2,0)</f>
        <v>BC DINNER TRAY SET UP</v>
      </c>
      <c r="H84" s="282">
        <v>1</v>
      </c>
      <c r="I84" s="171">
        <v>1</v>
      </c>
      <c r="J84" s="288">
        <f>IFERROR(IF(I84="std",H84,HLOOKUP(A84,'FlightConfig '!$B$34:$G$35,2,0)*I84),"")</f>
        <v>30</v>
      </c>
      <c r="K84" s="242">
        <f>VLOOKUP(Food!E84,'FG MASTER'!$A$1:$AC$737,16,0)</f>
        <v>0</v>
      </c>
      <c r="L84" s="243">
        <f>VLOOKUP(Food!E84,'FG MASTER'!$A$10:$AC$737,17,0)</f>
        <v>0</v>
      </c>
      <c r="M84" s="130">
        <f t="shared" ref="M84:M99" si="169">IFERROR(L84*$M$2,"")</f>
        <v>0</v>
      </c>
      <c r="N84" s="130">
        <f t="shared" ref="N84:N112" si="170">IFERROR((K84)+M84,"")</f>
        <v>0</v>
      </c>
      <c r="O84" s="130">
        <f t="shared" si="143"/>
        <v>0</v>
      </c>
      <c r="P84" s="130">
        <f t="shared" ref="P84:P147" si="171">IFERROR($M84*(1+$P$2)-$M84,0)</f>
        <v>0</v>
      </c>
      <c r="Q84" s="130">
        <f t="shared" si="147"/>
        <v>0</v>
      </c>
      <c r="R84" s="398">
        <f t="shared" si="144"/>
        <v>0</v>
      </c>
      <c r="S84" s="398">
        <f t="shared" ref="S84:S147" si="172">M84*(1+$P$2)</f>
        <v>0</v>
      </c>
      <c r="T84" s="398">
        <f t="shared" ref="T84:T147" si="173">R84+S84</f>
        <v>0</v>
      </c>
      <c r="U84" s="125"/>
      <c r="V84" s="125"/>
      <c r="W84" t="str">
        <f>IFERROR(#REF!*J84,"")</f>
        <v/>
      </c>
      <c r="X84">
        <f t="shared" ref="X84:X148" si="174">IFERROR(K84*J84,"")</f>
        <v>0</v>
      </c>
      <c r="Y84">
        <f t="shared" ref="Y84:Y148" si="175">IFERROR(+L84*J84,"")</f>
        <v>0</v>
      </c>
      <c r="Z84" s="125">
        <f t="shared" ref="Z84:Z148" si="176">IFERROR(+M84*J84,"")</f>
        <v>0</v>
      </c>
      <c r="AA84" s="125">
        <f t="shared" ref="AA84:AA148" si="177">IFERROR(+N84*J84,"")</f>
        <v>0</v>
      </c>
      <c r="AB84" s="125">
        <f t="shared" ref="AB84:AB148" si="178">IFERROR(O84*$J84,"")</f>
        <v>0</v>
      </c>
      <c r="AC84" s="125">
        <f t="shared" ref="AC84:AC148" si="179">IFERROR(P84*$J84,"")</f>
        <v>0</v>
      </c>
      <c r="AD84" s="125">
        <f t="shared" ref="AD84:AD148" si="180">IFERROR(+Q84*J84,"")</f>
        <v>0</v>
      </c>
      <c r="AF84" s="125" t="str">
        <f>IFERROR(W84*'FlightConfig '!$K$3,"")</f>
        <v/>
      </c>
      <c r="AG84" s="125">
        <f>IFERROR(X84*'FlightConfig '!$K$23,"")</f>
        <v>0</v>
      </c>
      <c r="AH84" s="125">
        <f>IFERROR(Y84*'FlightConfig '!$K$23,"")</f>
        <v>0</v>
      </c>
      <c r="AI84" s="125">
        <f>IFERROR(Z84*'FlightConfig '!$K$23,"")</f>
        <v>0</v>
      </c>
      <c r="AJ84" s="125">
        <f>IFERROR(AA84*'FlightConfig '!$K$23,"")</f>
        <v>0</v>
      </c>
      <c r="AK84" s="125">
        <f>IFERROR(AB84*'FlightConfig '!$K$23,"")</f>
        <v>0</v>
      </c>
    </row>
    <row r="85" spans="1:37" x14ac:dyDescent="0.25">
      <c r="A85" t="s">
        <v>156</v>
      </c>
      <c r="B85" s="169">
        <v>1</v>
      </c>
      <c r="C85" s="174" t="str">
        <f>CONCATENATE(A85&amp;B85&amp;F85)</f>
        <v>BUSINESS CLASS1104</v>
      </c>
      <c r="D85" s="170"/>
      <c r="E85" s="301">
        <v>1156</v>
      </c>
      <c r="F85" s="306">
        <v>104</v>
      </c>
      <c r="G85" t="str">
        <f>VLOOKUP(E85,'FG MASTER'!$A:$AB,2,0)</f>
        <v>BC C1 DINNER PLAIN WHIPPED BUTTER WITH FLAKE SALT</v>
      </c>
      <c r="H85" s="282">
        <v>1</v>
      </c>
      <c r="I85" s="171">
        <v>1</v>
      </c>
      <c r="J85" s="288">
        <f>IFERROR(IF(I85="std",H85,HLOOKUP(A85,'FlightConfig '!$B$34:$G$35,2,0)*I85),"")</f>
        <v>30</v>
      </c>
      <c r="K85" s="242">
        <f>VLOOKUP(Food!E85,'FG MASTER'!$A$1:$AC$737,16,0)</f>
        <v>0.2</v>
      </c>
      <c r="L85" s="243">
        <f>VLOOKUP(Food!E85,'FG MASTER'!$A$10:$AC$737,17,0)</f>
        <v>0.5</v>
      </c>
      <c r="M85" s="130">
        <f t="shared" si="169"/>
        <v>0.2</v>
      </c>
      <c r="N85" s="130">
        <f t="shared" si="170"/>
        <v>0.4</v>
      </c>
      <c r="O85" s="130">
        <f t="shared" si="143"/>
        <v>4.3999999999999984E-2</v>
      </c>
      <c r="P85" s="130">
        <f t="shared" si="171"/>
        <v>3.999999999999998E-2</v>
      </c>
      <c r="Q85" s="130">
        <f t="shared" si="147"/>
        <v>0.48399999999999999</v>
      </c>
      <c r="R85" s="398">
        <f t="shared" si="144"/>
        <v>0.24399999999999999</v>
      </c>
      <c r="S85" s="398">
        <f t="shared" si="172"/>
        <v>0.24</v>
      </c>
      <c r="T85" s="398">
        <f t="shared" si="173"/>
        <v>0.48399999999999999</v>
      </c>
      <c r="U85" s="125"/>
      <c r="V85" s="125"/>
      <c r="W85" t="str">
        <f>IFERROR(#REF!*J85,"")</f>
        <v/>
      </c>
      <c r="X85">
        <f t="shared" si="174"/>
        <v>6</v>
      </c>
      <c r="Y85">
        <f t="shared" si="175"/>
        <v>15</v>
      </c>
      <c r="Z85" s="125">
        <f t="shared" si="176"/>
        <v>6</v>
      </c>
      <c r="AA85" s="125">
        <f t="shared" si="177"/>
        <v>12</v>
      </c>
      <c r="AB85" s="125">
        <f t="shared" si="178"/>
        <v>1.3199999999999994</v>
      </c>
      <c r="AC85" s="125">
        <f t="shared" si="179"/>
        <v>1.1999999999999993</v>
      </c>
      <c r="AD85" s="125">
        <f t="shared" si="180"/>
        <v>14.52</v>
      </c>
      <c r="AF85" s="125" t="str">
        <f>IFERROR(W85*'FlightConfig '!$K$3,"")</f>
        <v/>
      </c>
      <c r="AG85" s="125">
        <f>IFERROR(X85*'FlightConfig '!$K$23,"")</f>
        <v>2184</v>
      </c>
      <c r="AH85" s="125">
        <f>IFERROR(Y85*'FlightConfig '!$K$23,"")</f>
        <v>5460</v>
      </c>
      <c r="AI85" s="125">
        <f>IFERROR(Z85*'FlightConfig '!$K$23,"")</f>
        <v>2184</v>
      </c>
      <c r="AJ85" s="125">
        <f>IFERROR(AA85*'FlightConfig '!$K$23,"")</f>
        <v>4368</v>
      </c>
      <c r="AK85" s="125">
        <f>IFERROR(AB85*'FlightConfig '!$K$23,"")</f>
        <v>480.47999999999979</v>
      </c>
    </row>
    <row r="86" spans="1:37" x14ac:dyDescent="0.25">
      <c r="A86" t="s">
        <v>156</v>
      </c>
      <c r="B86" s="169">
        <v>1</v>
      </c>
      <c r="C86" s="174" t="str">
        <f t="shared" ref="C86:C107" si="181">CONCATENATE(A86&amp;B86&amp;F86)</f>
        <v>BUSINESS CLASS1104</v>
      </c>
      <c r="D86" s="170"/>
      <c r="E86" s="301">
        <v>1226</v>
      </c>
      <c r="F86" s="306">
        <v>104</v>
      </c>
      <c r="G86" t="str">
        <f>VLOOKUP(E86,'FG MASTER'!$A:$AB,2,0)</f>
        <v xml:space="preserve">2026 BC CY1 PARKER HOUSE KISS ROLL </v>
      </c>
      <c r="H86" s="282">
        <v>1</v>
      </c>
      <c r="I86" s="171">
        <v>0.5</v>
      </c>
      <c r="J86" s="288">
        <f>IFERROR(IF(I86="std",H86,HLOOKUP(A86,'FlightConfig '!$B$34:$G$35,2,0)*I86),"")</f>
        <v>15</v>
      </c>
      <c r="K86" s="242">
        <f>VLOOKUP(Food!E86,'FG MASTER'!$A$1:$AC$737,16,0)</f>
        <v>0.2</v>
      </c>
      <c r="L86" s="243">
        <f>VLOOKUP(Food!E86,'FG MASTER'!$A$10:$AC$737,17,0)</f>
        <v>0.25</v>
      </c>
      <c r="M86" s="130">
        <f t="shared" si="169"/>
        <v>0.1</v>
      </c>
      <c r="N86" s="130">
        <f t="shared" si="170"/>
        <v>0.30000000000000004</v>
      </c>
      <c r="O86" s="130">
        <f t="shared" si="143"/>
        <v>4.3999999999999984E-2</v>
      </c>
      <c r="P86" s="130">
        <f t="shared" si="171"/>
        <v>1.999999999999999E-2</v>
      </c>
      <c r="Q86" s="130">
        <f t="shared" si="147"/>
        <v>0.36399999999999999</v>
      </c>
      <c r="R86" s="398">
        <f t="shared" si="144"/>
        <v>0.24399999999999999</v>
      </c>
      <c r="S86" s="398">
        <f t="shared" si="172"/>
        <v>0.12</v>
      </c>
      <c r="T86" s="398">
        <f t="shared" si="173"/>
        <v>0.36399999999999999</v>
      </c>
      <c r="U86" s="125"/>
      <c r="V86" s="125"/>
      <c r="W86" t="str">
        <f>IFERROR(#REF!*J86,"")</f>
        <v/>
      </c>
      <c r="X86">
        <f t="shared" si="174"/>
        <v>3</v>
      </c>
      <c r="Y86">
        <f t="shared" si="175"/>
        <v>3.75</v>
      </c>
      <c r="Z86" s="125">
        <f t="shared" si="176"/>
        <v>1.5</v>
      </c>
      <c r="AA86" s="125">
        <f t="shared" si="177"/>
        <v>4.5000000000000009</v>
      </c>
      <c r="AB86" s="125">
        <f t="shared" si="178"/>
        <v>0.6599999999999997</v>
      </c>
      <c r="AC86" s="125">
        <f t="shared" si="179"/>
        <v>0.29999999999999982</v>
      </c>
      <c r="AD86" s="125">
        <f t="shared" si="180"/>
        <v>5.46</v>
      </c>
      <c r="AF86" s="125" t="str">
        <f>IFERROR(W86*'FlightConfig '!$K$3,"")</f>
        <v/>
      </c>
      <c r="AG86" s="125">
        <f>IFERROR(X86*'FlightConfig '!$K$23,"")</f>
        <v>1092</v>
      </c>
      <c r="AH86" s="125">
        <f>IFERROR(Y86*'FlightConfig '!$K$23,"")</f>
        <v>1365</v>
      </c>
      <c r="AI86" s="125">
        <f>IFERROR(Z86*'FlightConfig '!$K$23,"")</f>
        <v>546</v>
      </c>
      <c r="AJ86" s="125">
        <f>IFERROR(AA86*'FlightConfig '!$K$23,"")</f>
        <v>1638.0000000000002</v>
      </c>
      <c r="AK86" s="125">
        <f>IFERROR(AB86*'FlightConfig '!$K$23,"")</f>
        <v>240.2399999999999</v>
      </c>
    </row>
    <row r="87" spans="1:37" x14ac:dyDescent="0.25">
      <c r="A87" t="s">
        <v>156</v>
      </c>
      <c r="B87" s="169">
        <v>1</v>
      </c>
      <c r="C87" s="174" t="str">
        <f t="shared" si="181"/>
        <v>BUSINESS CLASS1104</v>
      </c>
      <c r="D87" s="170"/>
      <c r="E87" s="301">
        <v>1227</v>
      </c>
      <c r="F87" s="306">
        <v>104</v>
      </c>
      <c r="G87" t="str">
        <f>VLOOKUP(E87,'FG MASTER'!$A:$AB,2,0)</f>
        <v xml:space="preserve">2026 BC CY1 HAWAIIAN ROLL </v>
      </c>
      <c r="H87" s="282">
        <v>1</v>
      </c>
      <c r="I87" s="171">
        <v>0.5</v>
      </c>
      <c r="J87" s="288">
        <f>IFERROR(IF(I87="std",H87,HLOOKUP(A87,'FlightConfig '!$B$34:$G$35,2,0)*I87),"")</f>
        <v>15</v>
      </c>
      <c r="K87" s="242">
        <f>VLOOKUP(Food!E87,'FG MASTER'!$A$1:$AC$737,16,0)</f>
        <v>0.24</v>
      </c>
      <c r="L87" s="243">
        <f>VLOOKUP(Food!E87,'FG MASTER'!$A$10:$AC$737,17,0)</f>
        <v>0.25</v>
      </c>
      <c r="M87" s="130">
        <f t="shared" si="169"/>
        <v>0.1</v>
      </c>
      <c r="N87" s="130">
        <f t="shared" si="170"/>
        <v>0.33999999999999997</v>
      </c>
      <c r="O87" s="130">
        <f t="shared" si="143"/>
        <v>5.2800000000000014E-2</v>
      </c>
      <c r="P87" s="130">
        <f t="shared" si="171"/>
        <v>1.999999999999999E-2</v>
      </c>
      <c r="Q87" s="130">
        <f t="shared" si="147"/>
        <v>0.41279999999999994</v>
      </c>
      <c r="R87" s="398">
        <f t="shared" si="144"/>
        <v>0.2928</v>
      </c>
      <c r="S87" s="398">
        <f t="shared" si="172"/>
        <v>0.12</v>
      </c>
      <c r="T87" s="398">
        <f t="shared" si="173"/>
        <v>0.4128</v>
      </c>
      <c r="U87" s="125"/>
      <c r="V87" s="125"/>
      <c r="W87" t="str">
        <f>IFERROR(#REF!*J87,"")</f>
        <v/>
      </c>
      <c r="X87">
        <f t="shared" si="174"/>
        <v>3.5999999999999996</v>
      </c>
      <c r="Y87">
        <f t="shared" si="175"/>
        <v>3.75</v>
      </c>
      <c r="Z87" s="125">
        <f t="shared" si="176"/>
        <v>1.5</v>
      </c>
      <c r="AA87" s="125">
        <f t="shared" si="177"/>
        <v>5.0999999999999996</v>
      </c>
      <c r="AB87" s="125">
        <f t="shared" si="178"/>
        <v>0.79200000000000026</v>
      </c>
      <c r="AC87" s="125">
        <f t="shared" si="179"/>
        <v>0.29999999999999982</v>
      </c>
      <c r="AD87" s="125">
        <f t="shared" si="180"/>
        <v>6.1919999999999993</v>
      </c>
      <c r="AF87" s="125" t="str">
        <f>IFERROR(W87*'FlightConfig '!$K$3,"")</f>
        <v/>
      </c>
      <c r="AG87" s="125">
        <f>IFERROR(X87*'FlightConfig '!$K$23,"")</f>
        <v>1310.3999999999999</v>
      </c>
      <c r="AH87" s="125">
        <f>IFERROR(Y87*'FlightConfig '!$K$23,"")</f>
        <v>1365</v>
      </c>
      <c r="AI87" s="125">
        <f>IFERROR(Z87*'FlightConfig '!$K$23,"")</f>
        <v>546</v>
      </c>
      <c r="AJ87" s="125">
        <f>IFERROR(AA87*'FlightConfig '!$K$23,"")</f>
        <v>1856.3999999999999</v>
      </c>
      <c r="AK87" s="125">
        <f>IFERROR(AB87*'FlightConfig '!$K$23,"")</f>
        <v>288.28800000000007</v>
      </c>
    </row>
    <row r="88" spans="1:37" x14ac:dyDescent="0.25">
      <c r="A88" t="s">
        <v>156</v>
      </c>
      <c r="B88" s="169">
        <v>1</v>
      </c>
      <c r="C88" s="174" t="str">
        <f t="shared" si="181"/>
        <v>BUSINESS CLASS1104</v>
      </c>
      <c r="D88" s="170"/>
      <c r="E88" s="301">
        <v>1228</v>
      </c>
      <c r="F88" s="306">
        <v>104</v>
      </c>
      <c r="G88" t="str">
        <f>VLOOKUP(E88,'FG MASTER'!$A:$AB,2,0)</f>
        <v xml:space="preserve">2026 BC CY1 SIX GRAIN ROLL </v>
      </c>
      <c r="H88" s="282">
        <v>1</v>
      </c>
      <c r="I88" s="171">
        <v>0.5</v>
      </c>
      <c r="J88" s="288">
        <f>IFERROR(IF(I88="std",H88,HLOOKUP(A88,'FlightConfig '!$B$34:$G$35,2,0)*I88),"")</f>
        <v>15</v>
      </c>
      <c r="K88" s="242">
        <f>VLOOKUP(Food!E88,'FG MASTER'!$A$1:$AC$737,16,0)</f>
        <v>0.17</v>
      </c>
      <c r="L88" s="243">
        <f>VLOOKUP(Food!E88,'FG MASTER'!$A$10:$AC$737,17,0)</f>
        <v>0.25</v>
      </c>
      <c r="M88" s="130">
        <f t="shared" si="169"/>
        <v>0.1</v>
      </c>
      <c r="N88" s="130">
        <f t="shared" si="170"/>
        <v>0.27</v>
      </c>
      <c r="O88" s="130">
        <f t="shared" si="143"/>
        <v>3.7399999999999989E-2</v>
      </c>
      <c r="P88" s="130">
        <f t="shared" si="171"/>
        <v>1.999999999999999E-2</v>
      </c>
      <c r="Q88" s="130">
        <f t="shared" si="147"/>
        <v>0.32740000000000002</v>
      </c>
      <c r="R88" s="398">
        <f t="shared" si="144"/>
        <v>0.2074</v>
      </c>
      <c r="S88" s="398">
        <f t="shared" si="172"/>
        <v>0.12</v>
      </c>
      <c r="T88" s="398">
        <f t="shared" si="173"/>
        <v>0.32740000000000002</v>
      </c>
      <c r="U88" s="125"/>
      <c r="V88" s="125"/>
      <c r="W88" t="str">
        <f>IFERROR(#REF!*J88,"")</f>
        <v/>
      </c>
      <c r="X88">
        <f t="shared" si="174"/>
        <v>2.5500000000000003</v>
      </c>
      <c r="Y88">
        <f t="shared" si="175"/>
        <v>3.75</v>
      </c>
      <c r="Z88" s="125">
        <f t="shared" si="176"/>
        <v>1.5</v>
      </c>
      <c r="AA88" s="125">
        <f t="shared" si="177"/>
        <v>4.0500000000000007</v>
      </c>
      <c r="AB88" s="125">
        <f t="shared" si="178"/>
        <v>0.56099999999999983</v>
      </c>
      <c r="AC88" s="125">
        <f t="shared" si="179"/>
        <v>0.29999999999999982</v>
      </c>
      <c r="AD88" s="125">
        <f t="shared" si="180"/>
        <v>4.9110000000000005</v>
      </c>
      <c r="AF88" s="125" t="str">
        <f>IFERROR(W88*'FlightConfig '!$K$3,"")</f>
        <v/>
      </c>
      <c r="AG88" s="125">
        <f>IFERROR(X88*'FlightConfig '!$K$23,"")</f>
        <v>928.2</v>
      </c>
      <c r="AH88" s="125">
        <f>IFERROR(Y88*'FlightConfig '!$K$23,"")</f>
        <v>1365</v>
      </c>
      <c r="AI88" s="125">
        <f>IFERROR(Z88*'FlightConfig '!$K$23,"")</f>
        <v>546</v>
      </c>
      <c r="AJ88" s="125">
        <f>IFERROR(AA88*'FlightConfig '!$K$23,"")</f>
        <v>1474.2000000000003</v>
      </c>
      <c r="AK88" s="125">
        <f>IFERROR(AB88*'FlightConfig '!$K$23,"")</f>
        <v>204.20399999999995</v>
      </c>
    </row>
    <row r="89" spans="1:37" ht="18.75" customHeight="1" x14ac:dyDescent="0.25">
      <c r="A89" t="s">
        <v>156</v>
      </c>
      <c r="B89" s="169">
        <v>1</v>
      </c>
      <c r="C89" s="174" t="str">
        <f t="shared" si="181"/>
        <v>BUSINESS CLASS1104</v>
      </c>
      <c r="D89" s="170"/>
      <c r="E89" s="301">
        <v>1229</v>
      </c>
      <c r="F89" s="306">
        <v>104</v>
      </c>
      <c r="G89" t="str">
        <f>VLOOKUP(E89,'FG MASTER'!$A:$AB,2,0)</f>
        <v>2026 BC CY1 COLD STARTER 1 BLINI, SMOKED SALMON, SALMON ROE, LEMON DILL CRÈME FRIACHE, EGG, PICKLED RED ONION</v>
      </c>
      <c r="H89" s="282">
        <v>1</v>
      </c>
      <c r="I89" s="171">
        <v>0.55000000000000004</v>
      </c>
      <c r="J89" s="288">
        <f>IFERROR(IF(I89="std",H89,HLOOKUP(A89,'FlightConfig '!$B$34:$G$35,2,0)*I89),"")</f>
        <v>16.5</v>
      </c>
      <c r="K89" s="242">
        <f>VLOOKUP(Food!E89,'FG MASTER'!$A$1:$AC$737,16,0)</f>
        <v>3.56</v>
      </c>
      <c r="L89" s="243">
        <f>VLOOKUP(Food!E89,'FG MASTER'!$A$10:$AC$737,17,0)</f>
        <v>1.75</v>
      </c>
      <c r="M89" s="130">
        <f t="shared" si="169"/>
        <v>0.70000000000000007</v>
      </c>
      <c r="N89" s="130">
        <f t="shared" si="170"/>
        <v>4.26</v>
      </c>
      <c r="O89" s="130">
        <f t="shared" si="143"/>
        <v>0.78320000000000034</v>
      </c>
      <c r="P89" s="130">
        <f t="shared" si="171"/>
        <v>0.14000000000000001</v>
      </c>
      <c r="Q89" s="130">
        <f t="shared" si="147"/>
        <v>5.1832000000000003</v>
      </c>
      <c r="R89" s="398">
        <f t="shared" si="144"/>
        <v>4.3432000000000004</v>
      </c>
      <c r="S89" s="398">
        <f t="shared" si="172"/>
        <v>0.84000000000000008</v>
      </c>
      <c r="T89" s="398">
        <f t="shared" si="173"/>
        <v>5.1832000000000003</v>
      </c>
      <c r="U89" s="125"/>
      <c r="V89" s="125"/>
      <c r="W89" t="str">
        <f>IFERROR(#REF!*J89,"")</f>
        <v/>
      </c>
      <c r="X89">
        <f t="shared" si="174"/>
        <v>58.74</v>
      </c>
      <c r="Y89">
        <f t="shared" si="175"/>
        <v>28.875</v>
      </c>
      <c r="Z89" s="125">
        <f t="shared" si="176"/>
        <v>11.55</v>
      </c>
      <c r="AA89" s="125">
        <f t="shared" si="177"/>
        <v>70.289999999999992</v>
      </c>
      <c r="AB89" s="125">
        <f t="shared" si="178"/>
        <v>12.922800000000006</v>
      </c>
      <c r="AC89" s="125">
        <f t="shared" si="179"/>
        <v>2.31</v>
      </c>
      <c r="AD89" s="125">
        <f t="shared" si="180"/>
        <v>85.522800000000004</v>
      </c>
      <c r="AF89" s="125" t="str">
        <f>IFERROR(W89*'FlightConfig '!$K$3,"")</f>
        <v/>
      </c>
      <c r="AG89" s="125">
        <f>IFERROR(X89*'FlightConfig '!$K$23,"")</f>
        <v>21381.360000000001</v>
      </c>
      <c r="AH89" s="125">
        <f>IFERROR(Y89*'FlightConfig '!$K$23,"")</f>
        <v>10510.5</v>
      </c>
      <c r="AI89" s="125">
        <f>IFERROR(Z89*'FlightConfig '!$K$23,"")</f>
        <v>4204.2</v>
      </c>
      <c r="AJ89" s="125">
        <f>IFERROR(AA89*'FlightConfig '!$K$23,"")</f>
        <v>25585.559999999998</v>
      </c>
      <c r="AK89" s="125">
        <f>IFERROR(AB89*'FlightConfig '!$K$23,"")</f>
        <v>4703.8992000000026</v>
      </c>
    </row>
    <row r="90" spans="1:37" ht="18.75" customHeight="1" x14ac:dyDescent="0.25">
      <c r="A90" t="s">
        <v>156</v>
      </c>
      <c r="B90" s="169">
        <v>1</v>
      </c>
      <c r="C90" s="174" t="str">
        <f t="shared" si="181"/>
        <v>BUSINESS CLASS1104</v>
      </c>
      <c r="D90" s="170"/>
      <c r="E90" s="301">
        <v>1230</v>
      </c>
      <c r="F90" s="306">
        <v>104</v>
      </c>
      <c r="G90" t="str">
        <f>VLOOKUP(E90,'FG MASTER'!$A:$AB,2,0)</f>
        <v>2026 BC CY1 HOT STARTER 1 CARAMELIZED SHALLOT MUSHROOM TART, PUFF PASTRY CRUST</v>
      </c>
      <c r="H90" s="282">
        <v>1</v>
      </c>
      <c r="I90" s="171">
        <v>0.55000000000000004</v>
      </c>
      <c r="J90" s="288">
        <f>IFERROR(IF(I90="std",H90,HLOOKUP(A90,'FlightConfig '!$B$34:$G$35,2,0)*I90),"")</f>
        <v>16.5</v>
      </c>
      <c r="K90" s="242">
        <f>VLOOKUP(Food!E90,'FG MASTER'!$A$1:$AC$737,16,0)</f>
        <v>1.6800000000000002</v>
      </c>
      <c r="L90" s="243">
        <f>VLOOKUP(Food!E90,'FG MASTER'!$A$10:$AC$737,17,0)</f>
        <v>1.75</v>
      </c>
      <c r="M90" s="130">
        <f t="shared" si="169"/>
        <v>0.70000000000000007</v>
      </c>
      <c r="N90" s="130">
        <f t="shared" si="170"/>
        <v>2.3800000000000003</v>
      </c>
      <c r="O90" s="130">
        <f t="shared" si="143"/>
        <v>0.36960000000000015</v>
      </c>
      <c r="P90" s="130">
        <f t="shared" si="171"/>
        <v>0.14000000000000001</v>
      </c>
      <c r="Q90" s="130">
        <f t="shared" si="147"/>
        <v>2.8896000000000006</v>
      </c>
      <c r="R90" s="398">
        <f t="shared" si="144"/>
        <v>2.0496000000000003</v>
      </c>
      <c r="S90" s="398">
        <f t="shared" si="172"/>
        <v>0.84000000000000008</v>
      </c>
      <c r="T90" s="398">
        <f t="shared" si="173"/>
        <v>2.8896000000000006</v>
      </c>
      <c r="U90" s="125"/>
      <c r="V90" s="125"/>
      <c r="W90" t="str">
        <f>IFERROR(#REF!*J90,"")</f>
        <v/>
      </c>
      <c r="X90">
        <f t="shared" si="174"/>
        <v>27.720000000000002</v>
      </c>
      <c r="Y90">
        <f t="shared" si="175"/>
        <v>28.875</v>
      </c>
      <c r="Z90" s="125">
        <f t="shared" si="176"/>
        <v>11.55</v>
      </c>
      <c r="AA90" s="125">
        <f t="shared" si="177"/>
        <v>39.270000000000003</v>
      </c>
      <c r="AB90" s="125">
        <f t="shared" si="178"/>
        <v>6.0984000000000025</v>
      </c>
      <c r="AC90" s="125">
        <f t="shared" si="179"/>
        <v>2.31</v>
      </c>
      <c r="AD90" s="125">
        <f t="shared" si="180"/>
        <v>47.678400000000011</v>
      </c>
      <c r="AF90" s="125" t="str">
        <f>IFERROR(W90*'FlightConfig '!$K$3,"")</f>
        <v/>
      </c>
      <c r="AG90" s="125">
        <f>IFERROR(X90*'FlightConfig '!$K$23,"")</f>
        <v>10090.080000000002</v>
      </c>
      <c r="AH90" s="125">
        <f>IFERROR(Y90*'FlightConfig '!$K$23,"")</f>
        <v>10510.5</v>
      </c>
      <c r="AI90" s="125">
        <f>IFERROR(Z90*'FlightConfig '!$K$23,"")</f>
        <v>4204.2</v>
      </c>
      <c r="AJ90" s="125">
        <f>IFERROR(AA90*'FlightConfig '!$K$23,"")</f>
        <v>14294.28</v>
      </c>
      <c r="AK90" s="125">
        <f>IFERROR(AB90*'FlightConfig '!$K$23,"")</f>
        <v>2219.8176000000008</v>
      </c>
    </row>
    <row r="91" spans="1:37" ht="18.75" customHeight="1" x14ac:dyDescent="0.25">
      <c r="A91" t="s">
        <v>156</v>
      </c>
      <c r="B91" s="169">
        <v>1</v>
      </c>
      <c r="C91" s="174" t="str">
        <f t="shared" si="181"/>
        <v>BUSINESS CLASS1104</v>
      </c>
      <c r="D91" s="170"/>
      <c r="E91" s="301">
        <v>1231</v>
      </c>
      <c r="F91" s="306">
        <v>104</v>
      </c>
      <c r="G91" t="str">
        <f>VLOOKUP(E91,'FG MASTER'!$A:$AB,2,0)</f>
        <v xml:space="preserve">2026 BC CY1 STARTER GARNISH 1 FRISEE AND DRESSING </v>
      </c>
      <c r="H91" s="282">
        <v>1</v>
      </c>
      <c r="I91" s="171">
        <v>0</v>
      </c>
      <c r="J91" s="288">
        <f>IFERROR(IF(I91="std",H91,HLOOKUP(A91,'FlightConfig '!$B$34:$G$35,2,0)*I91),"")</f>
        <v>0</v>
      </c>
      <c r="K91" s="242">
        <f>VLOOKUP(Food!E91,'FG MASTER'!$A$1:$AC$737,16,0)</f>
        <v>0.85</v>
      </c>
      <c r="L91" s="243">
        <f>VLOOKUP(Food!E91,'FG MASTER'!$A$10:$AC$737,17,0)</f>
        <v>0.5</v>
      </c>
      <c r="M91" s="130">
        <f t="shared" si="169"/>
        <v>0.2</v>
      </c>
      <c r="N91" s="130">
        <f t="shared" si="170"/>
        <v>1.05</v>
      </c>
      <c r="O91" s="130">
        <f t="shared" si="143"/>
        <v>0.18699999999999994</v>
      </c>
      <c r="P91" s="130">
        <f t="shared" si="171"/>
        <v>3.999999999999998E-2</v>
      </c>
      <c r="Q91" s="130">
        <f t="shared" si="147"/>
        <v>1.2770000000000001</v>
      </c>
      <c r="R91" s="398">
        <f t="shared" si="144"/>
        <v>1.0369999999999999</v>
      </c>
      <c r="S91" s="398">
        <f t="shared" si="172"/>
        <v>0.24</v>
      </c>
      <c r="T91" s="398">
        <f t="shared" si="173"/>
        <v>1.2769999999999999</v>
      </c>
      <c r="U91" s="125"/>
      <c r="V91" s="125"/>
      <c r="W91" t="str">
        <f>IFERROR(#REF!*J91,"")</f>
        <v/>
      </c>
      <c r="X91">
        <f t="shared" si="174"/>
        <v>0</v>
      </c>
      <c r="Y91">
        <f t="shared" si="175"/>
        <v>0</v>
      </c>
      <c r="Z91" s="125">
        <f t="shared" si="176"/>
        <v>0</v>
      </c>
      <c r="AA91" s="125">
        <f t="shared" si="177"/>
        <v>0</v>
      </c>
      <c r="AB91" s="125">
        <f t="shared" si="178"/>
        <v>0</v>
      </c>
      <c r="AC91" s="125">
        <f t="shared" si="179"/>
        <v>0</v>
      </c>
      <c r="AD91" s="125">
        <f t="shared" si="180"/>
        <v>0</v>
      </c>
      <c r="AF91" s="125" t="str">
        <f>IFERROR(W91*'FlightConfig '!$K$3,"")</f>
        <v/>
      </c>
      <c r="AG91" s="125">
        <f>IFERROR(X91*'FlightConfig '!$K$23,"")</f>
        <v>0</v>
      </c>
      <c r="AH91" s="125">
        <f>IFERROR(Y91*'FlightConfig '!$K$23,"")</f>
        <v>0</v>
      </c>
      <c r="AI91" s="125">
        <f>IFERROR(Z91*'FlightConfig '!$K$23,"")</f>
        <v>0</v>
      </c>
      <c r="AJ91" s="125">
        <f>IFERROR(AA91*'FlightConfig '!$K$23,"")</f>
        <v>0</v>
      </c>
      <c r="AK91" s="125">
        <f>IFERROR(AB91*'FlightConfig '!$K$23,"")</f>
        <v>0</v>
      </c>
    </row>
    <row r="92" spans="1:37" ht="18.75" customHeight="1" x14ac:dyDescent="0.25">
      <c r="A92" t="s">
        <v>156</v>
      </c>
      <c r="B92" s="169">
        <v>1</v>
      </c>
      <c r="C92" s="174" t="str">
        <f t="shared" si="181"/>
        <v>BUSINESS CLASS1104</v>
      </c>
      <c r="D92" s="170"/>
      <c r="E92" s="301">
        <v>1232</v>
      </c>
      <c r="F92" s="306">
        <v>104</v>
      </c>
      <c r="G92" t="str">
        <f>VLOOKUP(E92,'FG MASTER'!$A:$AB,2,0)</f>
        <v>2026 BC CY1 COLD STARTER 2 GOLDEN BEET, MANDARIN SEGMENT, FRISEE, GOAT CHEESE MOUSSE, CHIVES</v>
      </c>
      <c r="H92" s="282">
        <v>1</v>
      </c>
      <c r="I92" s="171">
        <v>0.55000000000000004</v>
      </c>
      <c r="J92" s="288">
        <f>IFERROR(IF(I92="std",H92,HLOOKUP(A92,'FlightConfig '!$B$34:$G$35,2,0)*I92),"")</f>
        <v>16.5</v>
      </c>
      <c r="K92" s="242">
        <f>VLOOKUP(Food!E92,'FG MASTER'!$A$1:$AC$737,16,0)</f>
        <v>1.06</v>
      </c>
      <c r="L92" s="243">
        <f>VLOOKUP(Food!E92,'FG MASTER'!$A$10:$AC$737,17,0)</f>
        <v>2.25</v>
      </c>
      <c r="M92" s="130">
        <f t="shared" si="169"/>
        <v>0.9</v>
      </c>
      <c r="N92" s="130">
        <f t="shared" si="170"/>
        <v>1.96</v>
      </c>
      <c r="O92" s="130">
        <f t="shared" si="143"/>
        <v>0.23320000000000007</v>
      </c>
      <c r="P92" s="130">
        <f t="shared" si="171"/>
        <v>0.18000000000000005</v>
      </c>
      <c r="Q92" s="130">
        <f t="shared" si="147"/>
        <v>2.3732000000000002</v>
      </c>
      <c r="R92" s="398">
        <f t="shared" si="144"/>
        <v>1.2932000000000001</v>
      </c>
      <c r="S92" s="398">
        <f t="shared" si="172"/>
        <v>1.08</v>
      </c>
      <c r="T92" s="398">
        <f t="shared" si="173"/>
        <v>2.3732000000000002</v>
      </c>
      <c r="U92" s="125"/>
      <c r="V92" s="125"/>
      <c r="W92" t="str">
        <f>IFERROR(#REF!*J92,"")</f>
        <v/>
      </c>
      <c r="X92">
        <f t="shared" si="174"/>
        <v>17.490000000000002</v>
      </c>
      <c r="Y92">
        <f t="shared" si="175"/>
        <v>37.125</v>
      </c>
      <c r="Z92" s="125">
        <f t="shared" si="176"/>
        <v>14.85</v>
      </c>
      <c r="AA92" s="125">
        <f t="shared" si="177"/>
        <v>32.339999999999996</v>
      </c>
      <c r="AB92" s="125">
        <f t="shared" si="178"/>
        <v>3.8478000000000012</v>
      </c>
      <c r="AC92" s="125">
        <f t="shared" si="179"/>
        <v>2.9700000000000006</v>
      </c>
      <c r="AD92" s="125">
        <f t="shared" si="180"/>
        <v>39.157800000000002</v>
      </c>
      <c r="AF92" s="125" t="str">
        <f>IFERROR(W92*'FlightConfig '!$K$3,"")</f>
        <v/>
      </c>
      <c r="AG92" s="125">
        <f>IFERROR(X92*'FlightConfig '!$K$23,"")</f>
        <v>6366.3600000000006</v>
      </c>
      <c r="AH92" s="125">
        <f>IFERROR(Y92*'FlightConfig '!$K$23,"")</f>
        <v>13513.5</v>
      </c>
      <c r="AI92" s="125">
        <f>IFERROR(Z92*'FlightConfig '!$K$23,"")</f>
        <v>5405.4</v>
      </c>
      <c r="AJ92" s="125">
        <f>IFERROR(AA92*'FlightConfig '!$K$23,"")</f>
        <v>11771.759999999998</v>
      </c>
      <c r="AK92" s="125">
        <f>IFERROR(AB92*'FlightConfig '!$K$23,"")</f>
        <v>1400.5992000000003</v>
      </c>
    </row>
    <row r="93" spans="1:37" ht="18.75" customHeight="1" x14ac:dyDescent="0.25">
      <c r="A93" t="s">
        <v>156</v>
      </c>
      <c r="B93" s="169">
        <v>1</v>
      </c>
      <c r="C93" s="174" t="str">
        <f t="shared" si="181"/>
        <v>BUSINESS CLASS1104</v>
      </c>
      <c r="D93" s="170"/>
      <c r="E93" s="301">
        <v>1233</v>
      </c>
      <c r="F93" s="306">
        <v>104</v>
      </c>
      <c r="G93" t="str">
        <f>VLOOKUP(E93,'FG MASTER'!$A:$AB,2,0)</f>
        <v>2026 BC CY1 HOT STARTER 2 POACHED SHRIMP, CAJUN BUTTER SAUCE, FINGERLING POTATO, CHARRED CORN, CHICKEN ANDOUILLE SAUSAGE, CROSTINI</v>
      </c>
      <c r="H93" s="282">
        <v>1</v>
      </c>
      <c r="I93" s="171">
        <v>0</v>
      </c>
      <c r="J93" s="288">
        <f>IFERROR(IF(I93="std",H93,HLOOKUP(A93,'FlightConfig '!$B$34:$G$35,2,0)*I93),"")</f>
        <v>0</v>
      </c>
      <c r="K93" s="242">
        <f>VLOOKUP(Food!E93,'FG MASTER'!$A$1:$AC$737,16,0)</f>
        <v>2.35</v>
      </c>
      <c r="L93" s="243">
        <f>VLOOKUP(Food!E93,'FG MASTER'!$A$10:$AC$737,17,0)</f>
        <v>2.5</v>
      </c>
      <c r="M93" s="130">
        <f t="shared" si="169"/>
        <v>1</v>
      </c>
      <c r="N93" s="130">
        <f t="shared" si="170"/>
        <v>3.35</v>
      </c>
      <c r="O93" s="130">
        <f t="shared" si="143"/>
        <v>0.5169999999999999</v>
      </c>
      <c r="P93" s="130">
        <f t="shared" si="171"/>
        <v>0.19999999999999996</v>
      </c>
      <c r="Q93" s="130">
        <f t="shared" si="147"/>
        <v>4.0670000000000002</v>
      </c>
      <c r="R93" s="398">
        <f t="shared" si="144"/>
        <v>2.867</v>
      </c>
      <c r="S93" s="398">
        <f t="shared" si="172"/>
        <v>1.2</v>
      </c>
      <c r="T93" s="398">
        <f t="shared" si="173"/>
        <v>4.0670000000000002</v>
      </c>
      <c r="U93" s="125"/>
      <c r="V93" s="125"/>
      <c r="W93" t="str">
        <f>IFERROR(#REF!*J93,"")</f>
        <v/>
      </c>
      <c r="X93">
        <f t="shared" si="174"/>
        <v>0</v>
      </c>
      <c r="Y93">
        <f t="shared" si="175"/>
        <v>0</v>
      </c>
      <c r="Z93" s="125">
        <f t="shared" si="176"/>
        <v>0</v>
      </c>
      <c r="AA93" s="125">
        <f t="shared" si="177"/>
        <v>0</v>
      </c>
      <c r="AB93" s="125">
        <f t="shared" si="178"/>
        <v>0</v>
      </c>
      <c r="AC93" s="125">
        <f t="shared" si="179"/>
        <v>0</v>
      </c>
      <c r="AD93" s="125">
        <f t="shared" si="180"/>
        <v>0</v>
      </c>
      <c r="AF93" s="125" t="str">
        <f>IFERROR(W93*'FlightConfig '!$K$3,"")</f>
        <v/>
      </c>
      <c r="AG93" s="125">
        <f>IFERROR(X93*'FlightConfig '!$K$23,"")</f>
        <v>0</v>
      </c>
      <c r="AH93" s="125">
        <f>IFERROR(Y93*'FlightConfig '!$K$23,"")</f>
        <v>0</v>
      </c>
      <c r="AI93" s="125">
        <f>IFERROR(Z93*'FlightConfig '!$K$23,"")</f>
        <v>0</v>
      </c>
      <c r="AJ93" s="125">
        <f>IFERROR(AA93*'FlightConfig '!$K$23,"")</f>
        <v>0</v>
      </c>
      <c r="AK93" s="125">
        <f>IFERROR(AB93*'FlightConfig '!$K$23,"")</f>
        <v>0</v>
      </c>
    </row>
    <row r="94" spans="1:37" ht="18.75" customHeight="1" x14ac:dyDescent="0.25">
      <c r="A94" t="s">
        <v>156</v>
      </c>
      <c r="B94" s="169">
        <v>1</v>
      </c>
      <c r="C94" s="174" t="str">
        <f t="shared" si="181"/>
        <v>BUSINESS CLASS1104</v>
      </c>
      <c r="D94" s="170"/>
      <c r="E94" s="301">
        <v>1234</v>
      </c>
      <c r="F94" s="306">
        <v>104</v>
      </c>
      <c r="G94" t="str">
        <f>VLOOKUP(E94,'FG MASTER'!$A:$AB,2,0)</f>
        <v>2026 BC CY1 STARTER GARNISH 2 CHIVE</v>
      </c>
      <c r="H94" s="282">
        <v>1</v>
      </c>
      <c r="I94" s="171">
        <v>0</v>
      </c>
      <c r="J94" s="288">
        <f>IFERROR(IF(I94="std",H94,HLOOKUP(A94,'FlightConfig '!$B$34:$G$35,2,0)*I94),"")</f>
        <v>0</v>
      </c>
      <c r="K94" s="242">
        <f>VLOOKUP(Food!E94,'FG MASTER'!$A$1:$AC$737,16,0)</f>
        <v>2</v>
      </c>
      <c r="L94" s="243">
        <f>VLOOKUP(Food!E94,'FG MASTER'!$A$10:$AC$737,17,0)</f>
        <v>0.5</v>
      </c>
      <c r="M94" s="130">
        <f t="shared" si="169"/>
        <v>0.2</v>
      </c>
      <c r="N94" s="130">
        <f t="shared" si="170"/>
        <v>2.2000000000000002</v>
      </c>
      <c r="O94" s="130">
        <f t="shared" si="143"/>
        <v>0.43999999999999995</v>
      </c>
      <c r="P94" s="130">
        <f t="shared" si="171"/>
        <v>3.999999999999998E-2</v>
      </c>
      <c r="Q94" s="130">
        <f t="shared" si="147"/>
        <v>2.68</v>
      </c>
      <c r="R94" s="398">
        <f t="shared" si="144"/>
        <v>2.44</v>
      </c>
      <c r="S94" s="398">
        <f t="shared" si="172"/>
        <v>0.24</v>
      </c>
      <c r="T94" s="398">
        <f t="shared" si="173"/>
        <v>2.6799999999999997</v>
      </c>
      <c r="U94" s="125"/>
      <c r="V94" s="125"/>
      <c r="W94" t="str">
        <f>IFERROR(#REF!*J94,"")</f>
        <v/>
      </c>
      <c r="X94">
        <f t="shared" si="174"/>
        <v>0</v>
      </c>
      <c r="Y94">
        <f t="shared" si="175"/>
        <v>0</v>
      </c>
      <c r="Z94" s="125">
        <f t="shared" si="176"/>
        <v>0</v>
      </c>
      <c r="AA94" s="125">
        <f t="shared" si="177"/>
        <v>0</v>
      </c>
      <c r="AB94" s="125">
        <f t="shared" si="178"/>
        <v>0</v>
      </c>
      <c r="AC94" s="125">
        <f t="shared" si="179"/>
        <v>0</v>
      </c>
      <c r="AD94" s="125">
        <f t="shared" si="180"/>
        <v>0</v>
      </c>
      <c r="AF94" s="125" t="str">
        <f>IFERROR(W94*'FlightConfig '!$K$3,"")</f>
        <v/>
      </c>
      <c r="AG94" s="125">
        <f>IFERROR(X94*'FlightConfig '!$K$23,"")</f>
        <v>0</v>
      </c>
      <c r="AH94" s="125">
        <f>IFERROR(Y94*'FlightConfig '!$K$23,"")</f>
        <v>0</v>
      </c>
      <c r="AI94" s="125">
        <f>IFERROR(Z94*'FlightConfig '!$K$23,"")</f>
        <v>0</v>
      </c>
      <c r="AJ94" s="125">
        <f>IFERROR(AA94*'FlightConfig '!$K$23,"")</f>
        <v>0</v>
      </c>
      <c r="AK94" s="125">
        <f>IFERROR(AB94*'FlightConfig '!$K$23,"")</f>
        <v>0</v>
      </c>
    </row>
    <row r="95" spans="1:37" ht="18.75" customHeight="1" x14ac:dyDescent="0.25">
      <c r="A95" t="s">
        <v>156</v>
      </c>
      <c r="B95" s="169">
        <v>1</v>
      </c>
      <c r="C95" s="174" t="str">
        <f t="shared" si="181"/>
        <v>BUSINESS CLASS1104</v>
      </c>
      <c r="D95" s="170"/>
      <c r="E95" s="301">
        <v>1235</v>
      </c>
      <c r="F95" s="306">
        <v>104</v>
      </c>
      <c r="G95" t="str">
        <f>VLOOKUP(E95,'FG MASTER'!$A:$AB,2,0)</f>
        <v>2026 BC CY1 ENTRÉE 1 CHICKEN BREAST, SWEET CORN CREAM, SPRING GREEN, ROASTED TOMATO, SWEET POTATO SOUFFLE</v>
      </c>
      <c r="H95" s="282">
        <v>1</v>
      </c>
      <c r="I95" s="171">
        <v>0.6</v>
      </c>
      <c r="J95" s="288">
        <f>IFERROR(IF(I95="std",H95,HLOOKUP(A95,'FlightConfig '!$B$34:$G$35,2,0)*I95),"")</f>
        <v>18</v>
      </c>
      <c r="K95" s="242">
        <f>VLOOKUP(Food!E95,'FG MASTER'!$A$1:$AC$737,16,0)</f>
        <v>3.9</v>
      </c>
      <c r="L95" s="243">
        <f>VLOOKUP(Food!E95,'FG MASTER'!$A$10:$AC$737,17,0)</f>
        <v>5</v>
      </c>
      <c r="M95" s="130">
        <f t="shared" si="169"/>
        <v>2</v>
      </c>
      <c r="N95" s="130">
        <f t="shared" si="170"/>
        <v>5.9</v>
      </c>
      <c r="O95" s="130">
        <f t="shared" si="143"/>
        <v>0.8580000000000001</v>
      </c>
      <c r="P95" s="130">
        <f t="shared" si="171"/>
        <v>0.39999999999999991</v>
      </c>
      <c r="Q95" s="130">
        <f t="shared" si="147"/>
        <v>7.1580000000000013</v>
      </c>
      <c r="R95" s="398">
        <f t="shared" si="144"/>
        <v>4.758</v>
      </c>
      <c r="S95" s="398">
        <f t="shared" si="172"/>
        <v>2.4</v>
      </c>
      <c r="T95" s="398">
        <f t="shared" si="173"/>
        <v>7.1579999999999995</v>
      </c>
      <c r="U95" s="125"/>
      <c r="V95" s="125"/>
      <c r="W95" t="str">
        <f>IFERROR(#REF!*J95,"")</f>
        <v/>
      </c>
      <c r="X95">
        <f t="shared" si="174"/>
        <v>70.2</v>
      </c>
      <c r="Y95">
        <f t="shared" si="175"/>
        <v>90</v>
      </c>
      <c r="Z95" s="125">
        <f t="shared" si="176"/>
        <v>36</v>
      </c>
      <c r="AA95" s="125">
        <f t="shared" si="177"/>
        <v>106.2</v>
      </c>
      <c r="AB95" s="125">
        <f t="shared" si="178"/>
        <v>15.444000000000003</v>
      </c>
      <c r="AC95" s="125">
        <f t="shared" si="179"/>
        <v>7.1999999999999984</v>
      </c>
      <c r="AD95" s="125">
        <f t="shared" si="180"/>
        <v>128.84400000000002</v>
      </c>
      <c r="AF95" s="125" t="str">
        <f>IFERROR(W95*'FlightConfig '!$K$3,"")</f>
        <v/>
      </c>
      <c r="AG95" s="125">
        <f>IFERROR(X95*'FlightConfig '!$K$23,"")</f>
        <v>25552.799999999999</v>
      </c>
      <c r="AH95" s="125">
        <f>IFERROR(Y95*'FlightConfig '!$K$23,"")</f>
        <v>32760</v>
      </c>
      <c r="AI95" s="125">
        <f>IFERROR(Z95*'FlightConfig '!$K$23,"")</f>
        <v>13104</v>
      </c>
      <c r="AJ95" s="125">
        <f>IFERROR(AA95*'FlightConfig '!$K$23,"")</f>
        <v>38656.800000000003</v>
      </c>
      <c r="AK95" s="125">
        <f>IFERROR(AB95*'FlightConfig '!$K$23,"")</f>
        <v>5621.6160000000009</v>
      </c>
    </row>
    <row r="96" spans="1:37" ht="18.75" customHeight="1" x14ac:dyDescent="0.25">
      <c r="A96" t="s">
        <v>156</v>
      </c>
      <c r="B96" s="169">
        <v>1</v>
      </c>
      <c r="C96" s="174" t="str">
        <f t="shared" si="181"/>
        <v>BUSINESS CLASS1104</v>
      </c>
      <c r="D96" s="170"/>
      <c r="E96" s="301">
        <v>1236</v>
      </c>
      <c r="F96" s="306">
        <v>104</v>
      </c>
      <c r="G96" t="str">
        <f>VLOOKUP(E96,'FG MASTER'!$A:$AB,2,0)</f>
        <v>2026 BC CY1 ENTRÉE 2 SALMON, TOMATO CHORONE SAUCE, SPINACH, COCANNON MASH</v>
      </c>
      <c r="H96" s="282">
        <v>1</v>
      </c>
      <c r="I96" s="171">
        <v>0.3</v>
      </c>
      <c r="J96" s="288">
        <f>IFERROR(IF(I96="std",H96,HLOOKUP(A96,'FlightConfig '!$B$34:$G$35,2,0)*I96),"")</f>
        <v>9</v>
      </c>
      <c r="K96" s="242">
        <f>VLOOKUP(Food!E96,'FG MASTER'!$A$1:$AC$737,16,0)</f>
        <v>7.5</v>
      </c>
      <c r="L96" s="243">
        <f>VLOOKUP(Food!E96,'FG MASTER'!$A$10:$AC$737,17,0)</f>
        <v>5</v>
      </c>
      <c r="M96" s="130">
        <f t="shared" si="169"/>
        <v>2</v>
      </c>
      <c r="N96" s="130">
        <f t="shared" si="170"/>
        <v>9.5</v>
      </c>
      <c r="O96" s="130">
        <f t="shared" si="143"/>
        <v>1.6500000000000004</v>
      </c>
      <c r="P96" s="130">
        <f t="shared" si="171"/>
        <v>0.39999999999999991</v>
      </c>
      <c r="Q96" s="130">
        <f t="shared" si="147"/>
        <v>11.55</v>
      </c>
      <c r="R96" s="398">
        <f t="shared" si="144"/>
        <v>9.15</v>
      </c>
      <c r="S96" s="398">
        <f t="shared" si="172"/>
        <v>2.4</v>
      </c>
      <c r="T96" s="398">
        <f t="shared" si="173"/>
        <v>11.55</v>
      </c>
      <c r="U96" s="125"/>
      <c r="V96" s="125"/>
      <c r="W96" t="str">
        <f>IFERROR(#REF!*J96,"")</f>
        <v/>
      </c>
      <c r="X96">
        <f t="shared" si="174"/>
        <v>67.5</v>
      </c>
      <c r="Y96">
        <f t="shared" si="175"/>
        <v>45</v>
      </c>
      <c r="Z96" s="125">
        <f t="shared" si="176"/>
        <v>18</v>
      </c>
      <c r="AA96" s="125">
        <f t="shared" si="177"/>
        <v>85.5</v>
      </c>
      <c r="AB96" s="125">
        <f t="shared" si="178"/>
        <v>14.850000000000003</v>
      </c>
      <c r="AC96" s="125">
        <f t="shared" si="179"/>
        <v>3.5999999999999992</v>
      </c>
      <c r="AD96" s="125">
        <f t="shared" si="180"/>
        <v>103.95</v>
      </c>
      <c r="AF96" s="125" t="str">
        <f>IFERROR(W96*'FlightConfig '!$K$3,"")</f>
        <v/>
      </c>
      <c r="AG96" s="125">
        <f>IFERROR(X96*'FlightConfig '!$K$23,"")</f>
        <v>24570</v>
      </c>
      <c r="AH96" s="125">
        <f>IFERROR(Y96*'FlightConfig '!$K$23,"")</f>
        <v>16380</v>
      </c>
      <c r="AI96" s="125">
        <f>IFERROR(Z96*'FlightConfig '!$K$23,"")</f>
        <v>6552</v>
      </c>
      <c r="AJ96" s="125">
        <f>IFERROR(AA96*'FlightConfig '!$K$23,"")</f>
        <v>31122</v>
      </c>
      <c r="AK96" s="125">
        <f>IFERROR(AB96*'FlightConfig '!$K$23,"")</f>
        <v>5405.4000000000015</v>
      </c>
    </row>
    <row r="97" spans="1:37" ht="18.75" customHeight="1" x14ac:dyDescent="0.25">
      <c r="A97" t="s">
        <v>156</v>
      </c>
      <c r="B97" s="169">
        <v>1</v>
      </c>
      <c r="C97" s="174" t="str">
        <f t="shared" si="181"/>
        <v>BUSINESS CLASS1104</v>
      </c>
      <c r="D97" s="170"/>
      <c r="E97" s="302">
        <v>1237</v>
      </c>
      <c r="F97" s="306">
        <v>104</v>
      </c>
      <c r="G97" t="str">
        <f>VLOOKUP(E97,'FG MASTER'!$A:$AB,2,0)</f>
        <v>2026 BC CY1 ENTRÉE 3 SHITAKE SNAP PEA RISOTTO, BUETTE BLANC, ASPARAGUS, TOATED TOMATO</v>
      </c>
      <c r="H97" s="282">
        <v>1</v>
      </c>
      <c r="I97" s="171">
        <v>0.3</v>
      </c>
      <c r="J97" s="288">
        <f>IFERROR(IF(I97="std",H97,HLOOKUP(A97,'FlightConfig '!$B$34:$G$35,2,0)*I97),"")</f>
        <v>9</v>
      </c>
      <c r="K97" s="242">
        <f>VLOOKUP(Food!E97,'FG MASTER'!$A$1:$AC$737,16,0)</f>
        <v>2.74</v>
      </c>
      <c r="L97" s="243">
        <f>VLOOKUP(Food!E97,'FG MASTER'!$A$10:$AC$737,17,0)</f>
        <v>4.75</v>
      </c>
      <c r="M97" s="130">
        <f t="shared" si="169"/>
        <v>1.9000000000000001</v>
      </c>
      <c r="N97" s="130">
        <f t="shared" si="170"/>
        <v>4.6400000000000006</v>
      </c>
      <c r="O97" s="130">
        <f t="shared" si="143"/>
        <v>0.60279999999999978</v>
      </c>
      <c r="P97" s="130">
        <f t="shared" si="171"/>
        <v>0.38000000000000012</v>
      </c>
      <c r="Q97" s="130">
        <f t="shared" si="147"/>
        <v>5.6228000000000007</v>
      </c>
      <c r="R97" s="398">
        <f t="shared" si="144"/>
        <v>3.3428</v>
      </c>
      <c r="S97" s="398">
        <f t="shared" si="172"/>
        <v>2.2800000000000002</v>
      </c>
      <c r="T97" s="398">
        <f t="shared" si="173"/>
        <v>5.6227999999999998</v>
      </c>
      <c r="U97" s="125"/>
      <c r="V97" s="125"/>
      <c r="W97" t="str">
        <f>IFERROR(#REF!*J97,"")</f>
        <v/>
      </c>
      <c r="X97">
        <f t="shared" si="174"/>
        <v>24.660000000000004</v>
      </c>
      <c r="Y97">
        <f t="shared" si="175"/>
        <v>42.75</v>
      </c>
      <c r="Z97" s="125">
        <f t="shared" si="176"/>
        <v>17.100000000000001</v>
      </c>
      <c r="AA97" s="125">
        <f t="shared" si="177"/>
        <v>41.760000000000005</v>
      </c>
      <c r="AB97" s="125">
        <f t="shared" si="178"/>
        <v>5.4251999999999985</v>
      </c>
      <c r="AC97" s="125">
        <f t="shared" si="179"/>
        <v>3.4200000000000008</v>
      </c>
      <c r="AD97" s="125">
        <f t="shared" si="180"/>
        <v>50.605200000000004</v>
      </c>
      <c r="AF97" s="125" t="str">
        <f>IFERROR(W97*'FlightConfig '!$K$3,"")</f>
        <v/>
      </c>
      <c r="AG97" s="125">
        <f>IFERROR(X97*'FlightConfig '!$K$23,"")</f>
        <v>8976.2400000000016</v>
      </c>
      <c r="AH97" s="125">
        <f>IFERROR(Y97*'FlightConfig '!$K$23,"")</f>
        <v>15561</v>
      </c>
      <c r="AI97" s="125">
        <f>IFERROR(Z97*'FlightConfig '!$K$23,"")</f>
        <v>6224.4000000000005</v>
      </c>
      <c r="AJ97" s="125">
        <f>IFERROR(AA97*'FlightConfig '!$K$23,"")</f>
        <v>15200.640000000001</v>
      </c>
      <c r="AK97" s="125">
        <f>IFERROR(AB97*'FlightConfig '!$K$23,"")</f>
        <v>1974.7727999999995</v>
      </c>
    </row>
    <row r="98" spans="1:37" ht="18.75" customHeight="1" x14ac:dyDescent="0.25">
      <c r="A98" t="s">
        <v>156</v>
      </c>
      <c r="B98" s="169">
        <v>1</v>
      </c>
      <c r="C98" s="174" t="str">
        <f t="shared" si="181"/>
        <v>BUSINESS CLASS1104</v>
      </c>
      <c r="D98" s="170"/>
      <c r="E98" s="302">
        <v>1238</v>
      </c>
      <c r="F98" s="306">
        <v>104</v>
      </c>
      <c r="G98" t="str">
        <f>VLOOKUP(E98,'FG MASTER'!$A:$AB,2,0)</f>
        <v>2026 BC CY1 ENTRÉE 4 TOAST POINT, CHEDDAR CHEESE SLICE, PIEMENTO CHEESE, PEPPER JELLY, RED PEPPER BISQUE</v>
      </c>
      <c r="H98" s="282">
        <v>1</v>
      </c>
      <c r="I98" s="171">
        <v>0.2</v>
      </c>
      <c r="J98" s="288">
        <f>IFERROR(IF(I98="std",H98,HLOOKUP(A98,'FlightConfig '!$B$34:$G$35,2,0)*I98),"")</f>
        <v>6</v>
      </c>
      <c r="K98" s="242">
        <f>VLOOKUP(Food!E98,'FG MASTER'!$A$1:$AC$737,16,0)</f>
        <v>1.52</v>
      </c>
      <c r="L98" s="243">
        <f>VLOOKUP(Food!E98,'FG MASTER'!$A$10:$AC$737,17,0)</f>
        <v>2.75</v>
      </c>
      <c r="M98" s="130">
        <f t="shared" si="169"/>
        <v>1.1000000000000001</v>
      </c>
      <c r="N98" s="130">
        <f t="shared" si="170"/>
        <v>2.62</v>
      </c>
      <c r="O98" s="130">
        <f t="shared" si="143"/>
        <v>0.33440000000000003</v>
      </c>
      <c r="P98" s="130">
        <f t="shared" si="171"/>
        <v>0.21999999999999997</v>
      </c>
      <c r="Q98" s="130">
        <f t="shared" si="147"/>
        <v>3.1744000000000003</v>
      </c>
      <c r="R98" s="398">
        <f t="shared" si="144"/>
        <v>1.8544</v>
      </c>
      <c r="S98" s="398">
        <f t="shared" si="172"/>
        <v>1.32</v>
      </c>
      <c r="T98" s="398">
        <f t="shared" si="173"/>
        <v>3.1744000000000003</v>
      </c>
      <c r="U98" s="125"/>
      <c r="V98" s="125"/>
      <c r="W98" t="str">
        <f>IFERROR(#REF!*J98,"")</f>
        <v/>
      </c>
      <c r="X98">
        <f t="shared" si="174"/>
        <v>9.120000000000001</v>
      </c>
      <c r="Y98">
        <f t="shared" si="175"/>
        <v>16.5</v>
      </c>
      <c r="Z98" s="125">
        <f t="shared" si="176"/>
        <v>6.6000000000000005</v>
      </c>
      <c r="AA98" s="125">
        <f t="shared" si="177"/>
        <v>15.72</v>
      </c>
      <c r="AB98" s="125">
        <f t="shared" si="178"/>
        <v>2.0064000000000002</v>
      </c>
      <c r="AC98" s="125">
        <f t="shared" si="179"/>
        <v>1.3199999999999998</v>
      </c>
      <c r="AD98" s="125">
        <f t="shared" si="180"/>
        <v>19.046400000000002</v>
      </c>
      <c r="AF98" s="125" t="str">
        <f>IFERROR(W98*'FlightConfig '!$K$3,"")</f>
        <v/>
      </c>
      <c r="AG98" s="125">
        <f>IFERROR(X98*'FlightConfig '!$K$23,"")</f>
        <v>3319.6800000000003</v>
      </c>
      <c r="AH98" s="125">
        <f>IFERROR(Y98*'FlightConfig '!$K$23,"")</f>
        <v>6006</v>
      </c>
      <c r="AI98" s="125">
        <f>IFERROR(Z98*'FlightConfig '!$K$23,"")</f>
        <v>2402.4</v>
      </c>
      <c r="AJ98" s="125">
        <f>IFERROR(AA98*'FlightConfig '!$K$23,"")</f>
        <v>5722.08</v>
      </c>
      <c r="AK98" s="125">
        <f>IFERROR(AB98*'FlightConfig '!$K$23,"")</f>
        <v>730.32960000000003</v>
      </c>
    </row>
    <row r="99" spans="1:37" ht="18.75" customHeight="1" x14ac:dyDescent="0.25">
      <c r="A99" t="s">
        <v>156</v>
      </c>
      <c r="B99" s="169">
        <v>1</v>
      </c>
      <c r="C99" s="174" t="str">
        <f t="shared" si="181"/>
        <v>BUSINESS CLASS1104</v>
      </c>
      <c r="D99" s="170"/>
      <c r="E99" s="300">
        <v>1239</v>
      </c>
      <c r="F99" s="306">
        <v>104</v>
      </c>
      <c r="G99" t="str">
        <f>VLOOKUP(E99,'FG MASTER'!$A:$AB,2,0)</f>
        <v>2026 BC CY1 ENTRÉE GARNISH RAINBOW MICROGREEN 42G</v>
      </c>
      <c r="H99" s="282">
        <v>1</v>
      </c>
      <c r="I99" s="171">
        <v>0</v>
      </c>
      <c r="J99" s="288">
        <f>IFERROR(IF(I99="std",H99,HLOOKUP(A99,'FlightConfig '!$B$34:$G$35,2,0)*I99),"")</f>
        <v>0</v>
      </c>
      <c r="K99" s="242">
        <f>VLOOKUP(Food!E99,'FG MASTER'!$A$1:$AC$737,16,0)</f>
        <v>4.62</v>
      </c>
      <c r="L99" s="243">
        <f>VLOOKUP(Food!E99,'FG MASTER'!$A$10:$AC$737,17,0)</f>
        <v>0.5</v>
      </c>
      <c r="M99" s="130">
        <f t="shared" si="169"/>
        <v>0.2</v>
      </c>
      <c r="N99" s="130">
        <f t="shared" si="170"/>
        <v>4.82</v>
      </c>
      <c r="O99" s="130">
        <f t="shared" si="143"/>
        <v>1.0164</v>
      </c>
      <c r="P99" s="130">
        <f t="shared" si="171"/>
        <v>3.999999999999998E-2</v>
      </c>
      <c r="Q99" s="130">
        <f t="shared" si="147"/>
        <v>5.8764000000000003</v>
      </c>
      <c r="R99" s="398">
        <f t="shared" si="144"/>
        <v>5.6364000000000001</v>
      </c>
      <c r="S99" s="398">
        <f t="shared" si="172"/>
        <v>0.24</v>
      </c>
      <c r="T99" s="398">
        <f t="shared" si="173"/>
        <v>5.8764000000000003</v>
      </c>
      <c r="U99" s="125"/>
      <c r="W99" t="str">
        <f>IFERROR(#REF!*J99,"")</f>
        <v/>
      </c>
      <c r="X99">
        <f t="shared" si="174"/>
        <v>0</v>
      </c>
      <c r="Y99">
        <f t="shared" si="175"/>
        <v>0</v>
      </c>
      <c r="Z99" s="125">
        <f t="shared" si="176"/>
        <v>0</v>
      </c>
      <c r="AA99" s="125">
        <f t="shared" si="177"/>
        <v>0</v>
      </c>
      <c r="AB99" s="125">
        <f t="shared" si="178"/>
        <v>0</v>
      </c>
      <c r="AC99" s="125">
        <f t="shared" si="179"/>
        <v>0</v>
      </c>
      <c r="AD99" s="125">
        <f t="shared" si="180"/>
        <v>0</v>
      </c>
      <c r="AF99" s="125" t="str">
        <f>IFERROR(W99*'FlightConfig '!$K$3,"")</f>
        <v/>
      </c>
      <c r="AG99" s="125">
        <f>IFERROR(X99*'FlightConfig '!$K$23,"")</f>
        <v>0</v>
      </c>
      <c r="AH99" s="125">
        <f>IFERROR(Y99*'FlightConfig '!$K$23,"")</f>
        <v>0</v>
      </c>
      <c r="AI99" s="125">
        <f>IFERROR(Z99*'FlightConfig '!$K$23,"")</f>
        <v>0</v>
      </c>
      <c r="AJ99" s="125">
        <f>IFERROR(AA99*'FlightConfig '!$K$23,"")</f>
        <v>0</v>
      </c>
      <c r="AK99" s="125">
        <f>IFERROR(AB99*'FlightConfig '!$K$23,"")</f>
        <v>0</v>
      </c>
    </row>
    <row r="100" spans="1:37" ht="18.75" customHeight="1" x14ac:dyDescent="0.25">
      <c r="A100" t="s">
        <v>156</v>
      </c>
      <c r="B100" s="169">
        <v>1</v>
      </c>
      <c r="C100" s="174" t="str">
        <f t="shared" si="181"/>
        <v>BUSINESS CLASS1104</v>
      </c>
      <c r="D100" s="170"/>
      <c r="E100" s="302">
        <v>1240</v>
      </c>
      <c r="F100" s="306">
        <v>104</v>
      </c>
      <c r="G100" t="str">
        <f>VLOOKUP(E100,'FG MASTER'!$A:$AB,2,0)</f>
        <v>2026 BC CY1 COLD DESSERT 1 RED VELVET CAKE, CHANTILLY CREAM, CHOCOLATE PEARL</v>
      </c>
      <c r="H100" s="282">
        <v>1</v>
      </c>
      <c r="I100" s="171">
        <v>0.5</v>
      </c>
      <c r="J100" s="288">
        <f>IFERROR(IF(I100="std",H100,HLOOKUP(A100,'FlightConfig '!$B$34:$G$35,2,0)*I100),"")</f>
        <v>15</v>
      </c>
      <c r="K100" s="242">
        <f>VLOOKUP(Food!E100,'FG MASTER'!$A$1:$AC$737,16,0)</f>
        <v>0.81</v>
      </c>
      <c r="L100" s="243">
        <f>VLOOKUP(Food!E100,'FG MASTER'!$A$10:$AC$737,17,0)</f>
        <v>1.5</v>
      </c>
      <c r="M100" s="130">
        <f>IFERROR(L100*$M$2,"")</f>
        <v>0.60000000000000009</v>
      </c>
      <c r="N100" s="130">
        <f t="shared" si="170"/>
        <v>1.4100000000000001</v>
      </c>
      <c r="O100" s="130">
        <f t="shared" si="143"/>
        <v>0.17820000000000003</v>
      </c>
      <c r="P100" s="130">
        <f t="shared" si="171"/>
        <v>0.12</v>
      </c>
      <c r="Q100" s="130">
        <f t="shared" si="147"/>
        <v>1.7082000000000002</v>
      </c>
      <c r="R100" s="398">
        <f t="shared" si="144"/>
        <v>0.98820000000000008</v>
      </c>
      <c r="S100" s="398">
        <f t="shared" si="172"/>
        <v>0.72000000000000008</v>
      </c>
      <c r="T100" s="398">
        <f t="shared" si="173"/>
        <v>1.7082000000000002</v>
      </c>
      <c r="U100" s="125"/>
      <c r="V100" s="125"/>
      <c r="W100" t="str">
        <f>IFERROR(#REF!*J100,"")</f>
        <v/>
      </c>
      <c r="X100">
        <f t="shared" si="174"/>
        <v>12.15</v>
      </c>
      <c r="Y100">
        <f t="shared" si="175"/>
        <v>22.5</v>
      </c>
      <c r="Z100" s="125">
        <f t="shared" si="176"/>
        <v>9.0000000000000018</v>
      </c>
      <c r="AA100" s="125">
        <f t="shared" si="177"/>
        <v>21.150000000000002</v>
      </c>
      <c r="AB100" s="125">
        <f t="shared" si="178"/>
        <v>2.6730000000000005</v>
      </c>
      <c r="AC100" s="125">
        <f t="shared" si="179"/>
        <v>1.7999999999999998</v>
      </c>
      <c r="AD100" s="125">
        <f t="shared" si="180"/>
        <v>25.623000000000001</v>
      </c>
      <c r="AF100" s="125" t="str">
        <f>IFERROR(W100*'FlightConfig '!$K$3,"")</f>
        <v/>
      </c>
      <c r="AG100" s="125">
        <f>IFERROR(X100*'FlightConfig '!$K$23,"")</f>
        <v>4422.6000000000004</v>
      </c>
      <c r="AH100" s="125">
        <f>IFERROR(Y100*'FlightConfig '!$K$23,"")</f>
        <v>8190</v>
      </c>
      <c r="AI100" s="125">
        <f>IFERROR(Z100*'FlightConfig '!$K$23,"")</f>
        <v>3276.0000000000005</v>
      </c>
      <c r="AJ100" s="125">
        <f>IFERROR(AA100*'FlightConfig '!$K$23,"")</f>
        <v>7698.6</v>
      </c>
      <c r="AK100" s="125">
        <f>IFERROR(AB100*'FlightConfig '!$K$23,"")</f>
        <v>972.97200000000021</v>
      </c>
    </row>
    <row r="101" spans="1:37" ht="18.75" customHeight="1" x14ac:dyDescent="0.25">
      <c r="A101" t="s">
        <v>156</v>
      </c>
      <c r="B101" s="169">
        <v>1</v>
      </c>
      <c r="C101" s="174" t="str">
        <f t="shared" si="181"/>
        <v>BUSINESS CLASS1104</v>
      </c>
      <c r="D101" s="170"/>
      <c r="E101" s="300">
        <v>1241</v>
      </c>
      <c r="F101" s="306">
        <v>104</v>
      </c>
      <c r="G101" t="str">
        <f>VLOOKUP(E101,'FG MASTER'!$A:$AB,2,0)</f>
        <v>2026 BC CY1 HOT DESSERT 1 MIX BERRY BREAD PUDDING, VANILLA ICE CREAM</v>
      </c>
      <c r="H101" s="282">
        <v>1</v>
      </c>
      <c r="I101" s="171">
        <v>0.5</v>
      </c>
      <c r="J101" s="288">
        <f>IFERROR(IF(I101="std",H101,HLOOKUP(A101,'FlightConfig '!$B$34:$G$35,2,0)*I101),"")</f>
        <v>15</v>
      </c>
      <c r="K101" s="242">
        <f>VLOOKUP(Food!E101,'FG MASTER'!$A$1:$AC$737,16,0)</f>
        <v>1.83</v>
      </c>
      <c r="L101" s="243">
        <f>VLOOKUP(Food!E101,'FG MASTER'!$A$10:$AC$737,17,0)</f>
        <v>1.5</v>
      </c>
      <c r="M101" s="130">
        <f t="shared" ref="M101:M112" si="182">IFERROR(L101*$M$2,"")</f>
        <v>0.60000000000000009</v>
      </c>
      <c r="N101" s="130">
        <f t="shared" si="170"/>
        <v>2.4300000000000002</v>
      </c>
      <c r="O101" s="130">
        <f t="shared" si="143"/>
        <v>0.40260000000000007</v>
      </c>
      <c r="P101" s="130">
        <f t="shared" si="171"/>
        <v>0.12</v>
      </c>
      <c r="Q101" s="130">
        <f t="shared" si="147"/>
        <v>2.9526000000000003</v>
      </c>
      <c r="R101" s="398">
        <f t="shared" si="144"/>
        <v>2.2326000000000001</v>
      </c>
      <c r="S101" s="398">
        <f t="shared" si="172"/>
        <v>0.72000000000000008</v>
      </c>
      <c r="T101" s="398">
        <f t="shared" si="173"/>
        <v>2.9526000000000003</v>
      </c>
      <c r="U101" s="125"/>
      <c r="V101" s="125"/>
      <c r="W101" t="str">
        <f>IFERROR(#REF!*J101,"")</f>
        <v/>
      </c>
      <c r="X101">
        <f t="shared" si="174"/>
        <v>27.450000000000003</v>
      </c>
      <c r="Y101">
        <f t="shared" si="175"/>
        <v>22.5</v>
      </c>
      <c r="Z101" s="125">
        <f t="shared" si="176"/>
        <v>9.0000000000000018</v>
      </c>
      <c r="AA101" s="125">
        <f t="shared" si="177"/>
        <v>36.450000000000003</v>
      </c>
      <c r="AB101" s="125">
        <f t="shared" si="178"/>
        <v>6.0390000000000015</v>
      </c>
      <c r="AC101" s="125">
        <f t="shared" si="179"/>
        <v>1.7999999999999998</v>
      </c>
      <c r="AD101" s="125">
        <f t="shared" si="180"/>
        <v>44.289000000000001</v>
      </c>
      <c r="AF101" s="125" t="str">
        <f>IFERROR(W101*'FlightConfig '!$K$3,"")</f>
        <v/>
      </c>
      <c r="AG101" s="125">
        <f>IFERROR(X101*'FlightConfig '!$K$23,"")</f>
        <v>9991.8000000000011</v>
      </c>
      <c r="AH101" s="125">
        <f>IFERROR(Y101*'FlightConfig '!$K$23,"")</f>
        <v>8190</v>
      </c>
      <c r="AI101" s="125">
        <f>IFERROR(Z101*'FlightConfig '!$K$23,"")</f>
        <v>3276.0000000000005</v>
      </c>
      <c r="AJ101" s="125">
        <f>IFERROR(AA101*'FlightConfig '!$K$23,"")</f>
        <v>13267.800000000001</v>
      </c>
      <c r="AK101" s="125">
        <f>IFERROR(AB101*'FlightConfig '!$K$23,"")</f>
        <v>2198.1960000000004</v>
      </c>
    </row>
    <row r="102" spans="1:37" ht="18.75" customHeight="1" x14ac:dyDescent="0.25">
      <c r="A102" t="s">
        <v>156</v>
      </c>
      <c r="B102" s="169">
        <v>1</v>
      </c>
      <c r="C102" s="174" t="str">
        <f t="shared" si="181"/>
        <v>BUSINESS CLASS1104</v>
      </c>
      <c r="D102" s="170"/>
      <c r="E102" s="300">
        <v>1242</v>
      </c>
      <c r="F102" s="306">
        <v>104</v>
      </c>
      <c r="G102" t="str">
        <f>VLOOKUP(E102,'FG MASTER'!$A:$AB,2,0)</f>
        <v>2026 BC CY1 COLD DESSERT 2 YUZU MOUSSE WITH TROPICAL FRUIT SALAD</v>
      </c>
      <c r="H102" s="282">
        <v>1</v>
      </c>
      <c r="I102" s="171">
        <v>0</v>
      </c>
      <c r="J102" s="288">
        <f>IFERROR(IF(I102="std",H102,HLOOKUP(A102,'FlightConfig '!$B$34:$G$35,2,0)*I102),"")</f>
        <v>0</v>
      </c>
      <c r="K102" s="242">
        <f>VLOOKUP(Food!E102,'FG MASTER'!$A$1:$AC$737,16,0)</f>
        <v>1.29</v>
      </c>
      <c r="L102" s="243">
        <f>VLOOKUP(Food!E102,'FG MASTER'!$A$10:$AC$737,17,0)</f>
        <v>1.5</v>
      </c>
      <c r="M102" s="130">
        <f t="shared" si="182"/>
        <v>0.60000000000000009</v>
      </c>
      <c r="N102" s="130">
        <f t="shared" si="170"/>
        <v>1.8900000000000001</v>
      </c>
      <c r="O102" s="130">
        <f t="shared" si="143"/>
        <v>0.28380000000000005</v>
      </c>
      <c r="P102" s="130">
        <f t="shared" si="171"/>
        <v>0.12</v>
      </c>
      <c r="Q102" s="130">
        <f t="shared" si="147"/>
        <v>2.2938000000000001</v>
      </c>
      <c r="R102" s="398">
        <f t="shared" si="144"/>
        <v>1.5738000000000001</v>
      </c>
      <c r="S102" s="398">
        <f t="shared" si="172"/>
        <v>0.72000000000000008</v>
      </c>
      <c r="T102" s="398">
        <f t="shared" si="173"/>
        <v>2.2938000000000001</v>
      </c>
      <c r="U102" s="125"/>
      <c r="V102" s="125"/>
      <c r="W102" t="str">
        <f>IFERROR(#REF!*J102,"")</f>
        <v/>
      </c>
      <c r="X102">
        <f t="shared" si="174"/>
        <v>0</v>
      </c>
      <c r="Y102">
        <f t="shared" si="175"/>
        <v>0</v>
      </c>
      <c r="Z102" s="125">
        <f t="shared" si="176"/>
        <v>0</v>
      </c>
      <c r="AA102" s="125">
        <f t="shared" si="177"/>
        <v>0</v>
      </c>
      <c r="AB102" s="125">
        <f t="shared" si="178"/>
        <v>0</v>
      </c>
      <c r="AC102" s="125">
        <f t="shared" si="179"/>
        <v>0</v>
      </c>
      <c r="AD102" s="125">
        <f t="shared" si="180"/>
        <v>0</v>
      </c>
      <c r="AF102" s="125" t="str">
        <f>IFERROR(W102*'FlightConfig '!$K$3,"")</f>
        <v/>
      </c>
      <c r="AG102" s="125">
        <f>IFERROR(X102*'FlightConfig '!$K$23,"")</f>
        <v>0</v>
      </c>
      <c r="AH102" s="125">
        <f>IFERROR(Y102*'FlightConfig '!$K$23,"")</f>
        <v>0</v>
      </c>
      <c r="AI102" s="125">
        <f>IFERROR(Z102*'FlightConfig '!$K$23,"")</f>
        <v>0</v>
      </c>
      <c r="AJ102" s="125">
        <f>IFERROR(AA102*'FlightConfig '!$K$23,"")</f>
        <v>0</v>
      </c>
      <c r="AK102" s="125">
        <f>IFERROR(AB102*'FlightConfig '!$K$23,"")</f>
        <v>0</v>
      </c>
    </row>
    <row r="103" spans="1:37" ht="18.75" customHeight="1" x14ac:dyDescent="0.25">
      <c r="A103" t="s">
        <v>156</v>
      </c>
      <c r="B103" s="169">
        <v>1</v>
      </c>
      <c r="C103" s="174" t="str">
        <f t="shared" si="181"/>
        <v>BUSINESS CLASS1104</v>
      </c>
      <c r="D103" s="170"/>
      <c r="E103" s="300">
        <v>1243</v>
      </c>
      <c r="F103" s="306">
        <v>104</v>
      </c>
      <c r="G103" t="str">
        <f>VLOOKUP(E103,'FG MASTER'!$A:$AB,2,0)</f>
        <v>2026 BC CY1 HOT DESSERT 2 CHOCOLATE SOUFFLE CAKE, VANILLA ICE CREAM SESAME CRUCH</v>
      </c>
      <c r="H103" s="282">
        <v>1</v>
      </c>
      <c r="I103" s="171">
        <v>0</v>
      </c>
      <c r="J103" s="288">
        <f>IFERROR(IF(I103="std",H103,HLOOKUP(A103,'FlightConfig '!$B$34:$G$35,2,0)*I103),"")</f>
        <v>0</v>
      </c>
      <c r="K103" s="242">
        <f>VLOOKUP(Food!E103,'FG MASTER'!$A$1:$AC$737,16,0)</f>
        <v>1.42</v>
      </c>
      <c r="L103" s="243">
        <f>VLOOKUP(Food!E103,'FG MASTER'!$A$10:$AC$737,17,0)</f>
        <v>1.75</v>
      </c>
      <c r="M103" s="130">
        <f t="shared" si="182"/>
        <v>0.70000000000000007</v>
      </c>
      <c r="N103" s="130">
        <f t="shared" si="170"/>
        <v>2.12</v>
      </c>
      <c r="O103" s="130">
        <f t="shared" si="143"/>
        <v>0.31240000000000001</v>
      </c>
      <c r="P103" s="130">
        <f t="shared" si="171"/>
        <v>0.14000000000000001</v>
      </c>
      <c r="Q103" s="130">
        <f t="shared" si="147"/>
        <v>2.5724000000000005</v>
      </c>
      <c r="R103" s="398">
        <f t="shared" si="144"/>
        <v>1.7323999999999999</v>
      </c>
      <c r="S103" s="398">
        <f t="shared" si="172"/>
        <v>0.84000000000000008</v>
      </c>
      <c r="T103" s="398">
        <f t="shared" si="173"/>
        <v>2.5724</v>
      </c>
      <c r="U103" s="125"/>
      <c r="V103" s="125"/>
      <c r="W103" t="str">
        <f>IFERROR(#REF!*J103,"")</f>
        <v/>
      </c>
      <c r="X103">
        <f t="shared" si="174"/>
        <v>0</v>
      </c>
      <c r="Y103">
        <f t="shared" si="175"/>
        <v>0</v>
      </c>
      <c r="Z103" s="125">
        <f t="shared" si="176"/>
        <v>0</v>
      </c>
      <c r="AA103" s="125">
        <f t="shared" si="177"/>
        <v>0</v>
      </c>
      <c r="AB103" s="125">
        <f t="shared" si="178"/>
        <v>0</v>
      </c>
      <c r="AC103" s="125">
        <f t="shared" si="179"/>
        <v>0</v>
      </c>
      <c r="AD103" s="125">
        <f t="shared" si="180"/>
        <v>0</v>
      </c>
      <c r="AF103" s="125" t="str">
        <f>IFERROR(W103*'FlightConfig '!$K$3,"")</f>
        <v/>
      </c>
      <c r="AG103" s="125">
        <f>IFERROR(X103*'FlightConfig '!$K$23,"")</f>
        <v>0</v>
      </c>
      <c r="AH103" s="125">
        <f>IFERROR(Y103*'FlightConfig '!$K$23,"")</f>
        <v>0</v>
      </c>
      <c r="AI103" s="125">
        <f>IFERROR(Z103*'FlightConfig '!$K$23,"")</f>
        <v>0</v>
      </c>
      <c r="AJ103" s="125">
        <f>IFERROR(AA103*'FlightConfig '!$K$23,"")</f>
        <v>0</v>
      </c>
      <c r="AK103" s="125">
        <f>IFERROR(AB103*'FlightConfig '!$K$23,"")</f>
        <v>0</v>
      </c>
    </row>
    <row r="104" spans="1:37" ht="18.75" customHeight="1" x14ac:dyDescent="0.25">
      <c r="A104" t="s">
        <v>156</v>
      </c>
      <c r="B104" s="169">
        <v>1</v>
      </c>
      <c r="C104" s="174" t="str">
        <f t="shared" si="181"/>
        <v>BUSINESS CLASS1104</v>
      </c>
      <c r="D104" s="170"/>
      <c r="E104" s="300">
        <v>1244</v>
      </c>
      <c r="F104" s="306">
        <v>104</v>
      </c>
      <c r="G104" t="str">
        <f>VLOOKUP(E104,'FG MASTER'!$A:$AB,2,0)</f>
        <v>2026 BC CY1 CHEESE PLATE</v>
      </c>
      <c r="H104" s="282">
        <v>1</v>
      </c>
      <c r="I104" s="171">
        <v>0.5</v>
      </c>
      <c r="J104" s="288">
        <f>IFERROR(IF(I104="std",H104,HLOOKUP(A104,'FlightConfig '!$B$34:$G$35,2,0)*I104),"")</f>
        <v>15</v>
      </c>
      <c r="K104" s="242">
        <f>VLOOKUP(Food!E104,'FG MASTER'!$A$1:$AC$737,16,0)</f>
        <v>4.0199999999999996</v>
      </c>
      <c r="L104" s="243">
        <f>VLOOKUP(Food!E104,'FG MASTER'!$A$10:$AC$737,17,0)</f>
        <v>2.5</v>
      </c>
      <c r="M104" s="130">
        <f t="shared" si="182"/>
        <v>1</v>
      </c>
      <c r="N104" s="130">
        <f t="shared" si="170"/>
        <v>5.0199999999999996</v>
      </c>
      <c r="O104" s="130">
        <f t="shared" si="143"/>
        <v>0.88439999999999941</v>
      </c>
      <c r="P104" s="130">
        <f t="shared" si="171"/>
        <v>0.19999999999999996</v>
      </c>
      <c r="Q104" s="130">
        <f t="shared" si="147"/>
        <v>6.1043999999999992</v>
      </c>
      <c r="R104" s="398">
        <f t="shared" si="144"/>
        <v>4.904399999999999</v>
      </c>
      <c r="S104" s="398">
        <f t="shared" si="172"/>
        <v>1.2</v>
      </c>
      <c r="T104" s="398">
        <f t="shared" si="173"/>
        <v>6.1043999999999992</v>
      </c>
      <c r="U104" s="125"/>
      <c r="V104" s="125"/>
      <c r="W104" t="str">
        <f>IFERROR(#REF!*J104,"")</f>
        <v/>
      </c>
      <c r="X104">
        <f t="shared" si="174"/>
        <v>60.3</v>
      </c>
      <c r="Y104">
        <f t="shared" si="175"/>
        <v>37.5</v>
      </c>
      <c r="Z104" s="125">
        <f t="shared" si="176"/>
        <v>15</v>
      </c>
      <c r="AA104" s="125">
        <f t="shared" si="177"/>
        <v>75.3</v>
      </c>
      <c r="AB104" s="125">
        <f t="shared" si="178"/>
        <v>13.265999999999991</v>
      </c>
      <c r="AC104" s="125">
        <f t="shared" si="179"/>
        <v>2.9999999999999991</v>
      </c>
      <c r="AD104" s="125">
        <f t="shared" si="180"/>
        <v>91.565999999999988</v>
      </c>
      <c r="AF104" s="125" t="str">
        <f>IFERROR(W104*'FlightConfig '!$K$3,"")</f>
        <v/>
      </c>
      <c r="AG104" s="125">
        <f>IFERROR(X104*'FlightConfig '!$K$23,"")</f>
        <v>21949.200000000001</v>
      </c>
      <c r="AH104" s="125">
        <f>IFERROR(Y104*'FlightConfig '!$K$23,"")</f>
        <v>13650</v>
      </c>
      <c r="AI104" s="125">
        <f>IFERROR(Z104*'FlightConfig '!$K$23,"")</f>
        <v>5460</v>
      </c>
      <c r="AJ104" s="125">
        <f>IFERROR(AA104*'FlightConfig '!$K$23,"")</f>
        <v>27409.200000000001</v>
      </c>
      <c r="AK104" s="125">
        <f>IFERROR(AB104*'FlightConfig '!$K$23,"")</f>
        <v>4828.8239999999969</v>
      </c>
    </row>
    <row r="105" spans="1:37" ht="18.75" customHeight="1" x14ac:dyDescent="0.25">
      <c r="A105" t="s">
        <v>156</v>
      </c>
      <c r="B105" s="169">
        <v>1</v>
      </c>
      <c r="C105" s="174" t="str">
        <f t="shared" si="181"/>
        <v>BUSINESS CLASS1104</v>
      </c>
      <c r="D105" s="170"/>
      <c r="E105" s="300">
        <v>1209</v>
      </c>
      <c r="F105" s="306">
        <v>104</v>
      </c>
      <c r="G105" t="str">
        <f>VLOOKUP(E105,'FG MASTER'!$A:$AB,2,0)</f>
        <v>BC C2 CRACKER BULK LOAD</v>
      </c>
      <c r="H105" s="282">
        <v>1</v>
      </c>
      <c r="I105" s="171" t="s">
        <v>357</v>
      </c>
      <c r="J105" s="288">
        <f>IFERROR(IF(I105="std",H105,HLOOKUP(A105,'FlightConfig '!$B$34:$G$35,2,0)*I105),"")</f>
        <v>1</v>
      </c>
      <c r="K105" s="242">
        <f>VLOOKUP(Food!E105,'FG MASTER'!$A$1:$AC$737,16,0)</f>
        <v>1.5333000000000001</v>
      </c>
      <c r="L105" s="243">
        <f>VLOOKUP(Food!E105,'FG MASTER'!$A$10:$AC$737,17,0)</f>
        <v>0.25</v>
      </c>
      <c r="M105" s="130">
        <f t="shared" si="182"/>
        <v>0.1</v>
      </c>
      <c r="N105" s="130">
        <f t="shared" si="170"/>
        <v>1.6333000000000002</v>
      </c>
      <c r="O105" s="130">
        <f t="shared" si="143"/>
        <v>0.33732600000000001</v>
      </c>
      <c r="P105" s="130">
        <f t="shared" si="171"/>
        <v>1.999999999999999E-2</v>
      </c>
      <c r="Q105" s="130">
        <f t="shared" si="147"/>
        <v>1.9906260000000002</v>
      </c>
      <c r="R105" s="398">
        <f t="shared" si="144"/>
        <v>1.8706260000000001</v>
      </c>
      <c r="S105" s="398">
        <f t="shared" si="172"/>
        <v>0.12</v>
      </c>
      <c r="T105" s="398">
        <f t="shared" si="173"/>
        <v>1.9906260000000002</v>
      </c>
      <c r="U105" s="125"/>
      <c r="V105" s="125"/>
      <c r="W105" t="str">
        <f>IFERROR(#REF!*J105,"")</f>
        <v/>
      </c>
      <c r="X105">
        <f t="shared" si="174"/>
        <v>1.5333000000000001</v>
      </c>
      <c r="Y105">
        <f t="shared" si="175"/>
        <v>0.25</v>
      </c>
      <c r="Z105" s="125">
        <f t="shared" si="176"/>
        <v>0.1</v>
      </c>
      <c r="AA105" s="125">
        <f t="shared" si="177"/>
        <v>1.6333000000000002</v>
      </c>
      <c r="AB105" s="125">
        <f t="shared" si="178"/>
        <v>0.33732600000000001</v>
      </c>
      <c r="AC105" s="125">
        <f t="shared" si="179"/>
        <v>1.999999999999999E-2</v>
      </c>
      <c r="AD105" s="125">
        <f t="shared" si="180"/>
        <v>1.9906260000000002</v>
      </c>
      <c r="AF105" s="125" t="str">
        <f>IFERROR(W105*'FlightConfig '!$K$3,"")</f>
        <v/>
      </c>
      <c r="AG105" s="125">
        <f>IFERROR(X105*'FlightConfig '!$K$23,"")</f>
        <v>558.12120000000004</v>
      </c>
      <c r="AH105" s="125">
        <f>IFERROR(Y105*'FlightConfig '!$K$23,"")</f>
        <v>91</v>
      </c>
      <c r="AI105" s="125">
        <f>IFERROR(Z105*'FlightConfig '!$K$23,"")</f>
        <v>36.4</v>
      </c>
      <c r="AJ105" s="125">
        <f>IFERROR(AA105*'FlightConfig '!$K$23,"")</f>
        <v>594.52120000000002</v>
      </c>
      <c r="AK105" s="125">
        <f>IFERROR(AB105*'FlightConfig '!$K$23,"")</f>
        <v>122.786664</v>
      </c>
    </row>
    <row r="106" spans="1:37" ht="18.75" customHeight="1" x14ac:dyDescent="0.25">
      <c r="A106" t="s">
        <v>156</v>
      </c>
      <c r="B106" s="169">
        <v>1</v>
      </c>
      <c r="C106" s="174" t="str">
        <f t="shared" si="181"/>
        <v>BUSINESS CLASS1104</v>
      </c>
      <c r="D106" s="170"/>
      <c r="E106" s="300">
        <v>1245</v>
      </c>
      <c r="F106" s="306">
        <v>104</v>
      </c>
      <c r="G106" t="str">
        <f>VLOOKUP(E106,'FG MASTER'!$A:$AB,2,0)</f>
        <v>2026 BC CY1 WHOLE FRUIT PLATE</v>
      </c>
      <c r="H106" s="282">
        <v>1</v>
      </c>
      <c r="I106" s="171" t="s">
        <v>357</v>
      </c>
      <c r="J106" s="288">
        <f>IFERROR(IF(I106="std",H106,HLOOKUP(A106,'FlightConfig '!$B$34:$G$35,2,0)*I106),"")</f>
        <v>1</v>
      </c>
      <c r="K106" s="242">
        <f>VLOOKUP(Food!E106,'FG MASTER'!$A$1:$AC$737,16,0)</f>
        <v>8.3960000000000008</v>
      </c>
      <c r="L106" s="243">
        <f>VLOOKUP(Food!E106,'FG MASTER'!$A$10:$AC$737,17,0)</f>
        <v>0.75</v>
      </c>
      <c r="M106" s="130">
        <f t="shared" si="182"/>
        <v>0.30000000000000004</v>
      </c>
      <c r="N106" s="130">
        <f t="shared" si="170"/>
        <v>8.6960000000000015</v>
      </c>
      <c r="O106" s="130">
        <f t="shared" si="143"/>
        <v>1.8471200000000003</v>
      </c>
      <c r="P106" s="130">
        <f t="shared" si="171"/>
        <v>0.06</v>
      </c>
      <c r="Q106" s="130">
        <f t="shared" si="147"/>
        <v>10.603120000000002</v>
      </c>
      <c r="R106" s="398">
        <f t="shared" si="144"/>
        <v>10.243120000000001</v>
      </c>
      <c r="S106" s="398">
        <f t="shared" si="172"/>
        <v>0.36000000000000004</v>
      </c>
      <c r="T106" s="398">
        <f t="shared" si="173"/>
        <v>10.603120000000001</v>
      </c>
      <c r="U106" s="125"/>
      <c r="V106" s="125"/>
      <c r="W106" t="str">
        <f>IFERROR(#REF!*J106,"")</f>
        <v/>
      </c>
      <c r="X106">
        <f t="shared" si="174"/>
        <v>8.3960000000000008</v>
      </c>
      <c r="Y106">
        <f t="shared" si="175"/>
        <v>0.75</v>
      </c>
      <c r="Z106" s="125">
        <f t="shared" si="176"/>
        <v>0.30000000000000004</v>
      </c>
      <c r="AA106" s="125">
        <f t="shared" si="177"/>
        <v>8.6960000000000015</v>
      </c>
      <c r="AB106" s="125">
        <f t="shared" si="178"/>
        <v>1.8471200000000003</v>
      </c>
      <c r="AC106" s="125">
        <f t="shared" si="179"/>
        <v>0.06</v>
      </c>
      <c r="AD106" s="125">
        <f t="shared" si="180"/>
        <v>10.603120000000002</v>
      </c>
      <c r="AF106" s="125" t="str">
        <f>IFERROR(W106*'FlightConfig '!$K$3,"")</f>
        <v/>
      </c>
      <c r="AG106" s="125">
        <f>IFERROR(X106*'FlightConfig '!$K$23,"")</f>
        <v>3056.1440000000002</v>
      </c>
      <c r="AH106" s="125">
        <f>IFERROR(Y106*'FlightConfig '!$K$23,"")</f>
        <v>273</v>
      </c>
      <c r="AI106" s="125">
        <f>IFERROR(Z106*'FlightConfig '!$K$23,"")</f>
        <v>109.20000000000002</v>
      </c>
      <c r="AJ106" s="125">
        <f>IFERROR(AA106*'FlightConfig '!$K$23,"")</f>
        <v>3165.3440000000005</v>
      </c>
      <c r="AK106" s="125">
        <f>IFERROR(AB106*'FlightConfig '!$K$23,"")</f>
        <v>672.3516800000001</v>
      </c>
    </row>
    <row r="107" spans="1:37" ht="18.75" customHeight="1" x14ac:dyDescent="0.25">
      <c r="A107" t="s">
        <v>156</v>
      </c>
      <c r="B107" s="169">
        <v>1</v>
      </c>
      <c r="C107" s="174" t="str">
        <f t="shared" si="181"/>
        <v>BUSINESS CLASS1104</v>
      </c>
      <c r="D107" s="170"/>
      <c r="E107" s="300">
        <v>1206</v>
      </c>
      <c r="F107" s="306">
        <v>104</v>
      </c>
      <c r="G107" t="str">
        <f>VLOOKUP(E107,'FG MASTER'!$A:$AB,2,0)</f>
        <v>BC BREAKFAST TRAY SET UP</v>
      </c>
      <c r="H107" s="282">
        <v>1</v>
      </c>
      <c r="I107" s="171">
        <v>0.7</v>
      </c>
      <c r="J107" s="288">
        <f>IFERROR(IF(I107="std",H107,HLOOKUP(A107,'FlightConfig '!$B$34:$G$35,2,0)*I107),"")</f>
        <v>21</v>
      </c>
      <c r="K107" s="242">
        <f>VLOOKUP(Food!E107,'FG MASTER'!$A$1:$AC$737,16,0)</f>
        <v>0</v>
      </c>
      <c r="L107" s="243">
        <f>VLOOKUP(Food!E107,'FG MASTER'!$A$10:$AC$737,17,0)</f>
        <v>1.65</v>
      </c>
      <c r="M107" s="130">
        <f t="shared" si="182"/>
        <v>0.66</v>
      </c>
      <c r="N107" s="130">
        <f t="shared" si="170"/>
        <v>0.66</v>
      </c>
      <c r="O107" s="130">
        <f t="shared" si="143"/>
        <v>0</v>
      </c>
      <c r="P107" s="130">
        <f t="shared" si="171"/>
        <v>0.13200000000000001</v>
      </c>
      <c r="Q107" s="130">
        <f t="shared" si="147"/>
        <v>0.79200000000000004</v>
      </c>
      <c r="R107" s="398">
        <f t="shared" si="144"/>
        <v>0</v>
      </c>
      <c r="S107" s="398">
        <f t="shared" si="172"/>
        <v>0.79200000000000004</v>
      </c>
      <c r="T107" s="398">
        <f t="shared" si="173"/>
        <v>0.79200000000000004</v>
      </c>
      <c r="U107" s="125"/>
      <c r="V107" s="125"/>
      <c r="W107" t="str">
        <f>IFERROR(#REF!*J107,"")</f>
        <v/>
      </c>
      <c r="X107">
        <f t="shared" si="174"/>
        <v>0</v>
      </c>
      <c r="Y107">
        <f t="shared" si="175"/>
        <v>34.65</v>
      </c>
      <c r="Z107" s="125">
        <f t="shared" si="176"/>
        <v>13.860000000000001</v>
      </c>
      <c r="AA107" s="125">
        <f t="shared" si="177"/>
        <v>13.860000000000001</v>
      </c>
      <c r="AB107" s="125">
        <f t="shared" si="178"/>
        <v>0</v>
      </c>
      <c r="AC107" s="125">
        <f t="shared" si="179"/>
        <v>2.7720000000000002</v>
      </c>
      <c r="AD107" s="125">
        <f t="shared" si="180"/>
        <v>16.632000000000001</v>
      </c>
      <c r="AF107" s="125" t="str">
        <f>IFERROR(W107*'FlightConfig '!$K$3,"")</f>
        <v/>
      </c>
      <c r="AG107" s="125">
        <f>IFERROR(X107*'FlightConfig '!$K$23,"")</f>
        <v>0</v>
      </c>
      <c r="AH107" s="125">
        <f>IFERROR(Y107*'FlightConfig '!$K$23,"")</f>
        <v>12612.6</v>
      </c>
      <c r="AI107" s="125">
        <f>IFERROR(Z107*'FlightConfig '!$K$23,"")</f>
        <v>5045.0400000000009</v>
      </c>
      <c r="AJ107" s="125">
        <f>IFERROR(AA107*'FlightConfig '!$K$23,"")</f>
        <v>5045.0400000000009</v>
      </c>
      <c r="AK107" s="125">
        <f>IFERROR(AB107*'FlightConfig '!$K$23,"")</f>
        <v>0</v>
      </c>
    </row>
    <row r="108" spans="1:37" ht="18.75" customHeight="1" x14ac:dyDescent="0.25">
      <c r="A108" t="s">
        <v>156</v>
      </c>
      <c r="B108" s="169">
        <v>1</v>
      </c>
      <c r="C108" s="174" t="str">
        <f>CONCATENATE(A108&amp;B108&amp;F108)</f>
        <v>BUSINESS CLASS1104</v>
      </c>
      <c r="D108" s="170"/>
      <c r="E108" s="300">
        <v>1206</v>
      </c>
      <c r="F108" s="306">
        <v>104</v>
      </c>
      <c r="G108" t="str">
        <f>VLOOKUP(E108,'FG MASTER'!$A:$AB,2,0)</f>
        <v>BC BREAKFAST TRAY SET UP</v>
      </c>
      <c r="H108" s="282">
        <v>1</v>
      </c>
      <c r="I108" s="171">
        <v>0.3</v>
      </c>
      <c r="J108" s="288">
        <f>IFERROR(IF(I108="std",H108,HLOOKUP(A108,'FlightConfig '!$B$34:$G$35,2,0)*I108),"")</f>
        <v>9</v>
      </c>
      <c r="K108" s="242">
        <f>VLOOKUP(Food!E108,'FG MASTER'!$A$1:$AC$737,16,0)</f>
        <v>0</v>
      </c>
      <c r="L108" s="243">
        <f>VLOOKUP(Food!E108,'FG MASTER'!$A$10:$AC$737,17,0)</f>
        <v>1.65</v>
      </c>
      <c r="M108" s="130">
        <f t="shared" si="182"/>
        <v>0.66</v>
      </c>
      <c r="N108" s="130">
        <f t="shared" si="170"/>
        <v>0.66</v>
      </c>
      <c r="O108" s="130">
        <f t="shared" si="143"/>
        <v>0</v>
      </c>
      <c r="P108" s="130">
        <f t="shared" si="171"/>
        <v>0.13200000000000001</v>
      </c>
      <c r="Q108" s="130">
        <f t="shared" si="147"/>
        <v>0.79200000000000004</v>
      </c>
      <c r="R108" s="398">
        <f t="shared" si="144"/>
        <v>0</v>
      </c>
      <c r="S108" s="398">
        <f t="shared" si="172"/>
        <v>0.79200000000000004</v>
      </c>
      <c r="T108" s="398">
        <f t="shared" si="173"/>
        <v>0.79200000000000004</v>
      </c>
      <c r="U108" s="125"/>
      <c r="V108" s="125"/>
      <c r="W108" t="str">
        <f>IFERROR(#REF!*J108,"")</f>
        <v/>
      </c>
      <c r="X108">
        <f t="shared" si="174"/>
        <v>0</v>
      </c>
      <c r="Y108">
        <f t="shared" si="175"/>
        <v>14.85</v>
      </c>
      <c r="Z108" s="125">
        <f t="shared" si="176"/>
        <v>5.94</v>
      </c>
      <c r="AA108" s="125">
        <f t="shared" si="177"/>
        <v>5.94</v>
      </c>
      <c r="AB108" s="125">
        <f t="shared" si="178"/>
        <v>0</v>
      </c>
      <c r="AC108" s="125">
        <f t="shared" si="179"/>
        <v>1.1880000000000002</v>
      </c>
      <c r="AD108" s="125">
        <f t="shared" si="180"/>
        <v>7.1280000000000001</v>
      </c>
      <c r="AF108" s="125" t="str">
        <f>IFERROR(W108*'FlightConfig '!$K$3,"")</f>
        <v/>
      </c>
      <c r="AG108" s="125">
        <f>IFERROR(X108*'FlightConfig '!$K$23,"")</f>
        <v>0</v>
      </c>
      <c r="AH108" s="125">
        <f>IFERROR(Y108*'FlightConfig '!$K$23,"")</f>
        <v>5405.4</v>
      </c>
      <c r="AI108" s="125">
        <f>IFERROR(Z108*'FlightConfig '!$K$23,"")</f>
        <v>2162.1600000000003</v>
      </c>
      <c r="AJ108" s="125">
        <f>IFERROR(AA108*'FlightConfig '!$K$23,"")</f>
        <v>2162.1600000000003</v>
      </c>
      <c r="AK108" s="125">
        <f>IFERROR(AB108*'FlightConfig '!$K$23,"")</f>
        <v>0</v>
      </c>
    </row>
    <row r="109" spans="1:37" ht="18.75" customHeight="1" x14ac:dyDescent="0.25">
      <c r="A109" t="s">
        <v>156</v>
      </c>
      <c r="B109" s="169">
        <v>1</v>
      </c>
      <c r="C109" s="174" t="str">
        <f t="shared" ref="C109" si="183">CONCATENATE(A109&amp;B109&amp;F109)</f>
        <v>BUSINESS CLASS1104</v>
      </c>
      <c r="D109" s="170"/>
      <c r="E109" s="300">
        <v>1246</v>
      </c>
      <c r="F109" s="306">
        <v>104</v>
      </c>
      <c r="G109" t="str">
        <f>VLOOKUP(E109,'FG MASTER'!$A:$AB,2,0)</f>
        <v>2026 BC CY1 BRK COLD PLATE NOVA CURED SALMON</v>
      </c>
      <c r="H109" s="282">
        <v>1</v>
      </c>
      <c r="I109" s="171">
        <v>0.3</v>
      </c>
      <c r="J109" s="288">
        <f>IFERROR(IF(I109="std",H109,HLOOKUP(A109,'FlightConfig '!$B$34:$G$35,2,0)*I109),"")</f>
        <v>9</v>
      </c>
      <c r="K109" s="242">
        <f>VLOOKUP(Food!E109,'FG MASTER'!$A$1:$AC$737,16,0)</f>
        <v>2.9</v>
      </c>
      <c r="L109" s="243">
        <f>VLOOKUP(Food!E109,'FG MASTER'!$A$10:$AC$737,17,0)</f>
        <v>3</v>
      </c>
      <c r="M109" s="130">
        <f t="shared" si="182"/>
        <v>1.2000000000000002</v>
      </c>
      <c r="N109" s="130">
        <f t="shared" si="170"/>
        <v>4.0999999999999996</v>
      </c>
      <c r="O109" s="130">
        <f t="shared" si="143"/>
        <v>0.6379999999999999</v>
      </c>
      <c r="P109" s="130">
        <f t="shared" si="171"/>
        <v>0.24</v>
      </c>
      <c r="Q109" s="130">
        <f t="shared" si="147"/>
        <v>4.9779999999999998</v>
      </c>
      <c r="R109" s="398">
        <f t="shared" si="144"/>
        <v>3.5379999999999998</v>
      </c>
      <c r="S109" s="398">
        <f t="shared" si="172"/>
        <v>1.4400000000000002</v>
      </c>
      <c r="T109" s="398">
        <f t="shared" si="173"/>
        <v>4.9779999999999998</v>
      </c>
      <c r="U109" s="125"/>
      <c r="V109" s="125"/>
      <c r="W109" t="str">
        <f>IFERROR(#REF!*J109,"")</f>
        <v/>
      </c>
      <c r="X109">
        <f t="shared" si="174"/>
        <v>26.099999999999998</v>
      </c>
      <c r="Y109">
        <f t="shared" si="175"/>
        <v>27</v>
      </c>
      <c r="Z109" s="125">
        <f t="shared" si="176"/>
        <v>10.8</v>
      </c>
      <c r="AA109" s="125">
        <f t="shared" si="177"/>
        <v>36.9</v>
      </c>
      <c r="AB109" s="125">
        <f t="shared" si="178"/>
        <v>5.7419999999999991</v>
      </c>
      <c r="AC109" s="125">
        <f t="shared" si="179"/>
        <v>2.16</v>
      </c>
      <c r="AD109" s="125">
        <f t="shared" si="180"/>
        <v>44.802</v>
      </c>
      <c r="AF109" s="125" t="str">
        <f>IFERROR(W109*'FlightConfig '!$K$3,"")</f>
        <v/>
      </c>
      <c r="AG109" s="125">
        <f>IFERROR(X109*'FlightConfig '!$K$23,"")</f>
        <v>9500.4</v>
      </c>
      <c r="AH109" s="125">
        <f>IFERROR(Y109*'FlightConfig '!$K$23,"")</f>
        <v>9828</v>
      </c>
      <c r="AI109" s="125">
        <f>IFERROR(Z109*'FlightConfig '!$K$23,"")</f>
        <v>3931.2000000000003</v>
      </c>
      <c r="AJ109" s="125">
        <f>IFERROR(AA109*'FlightConfig '!$K$23,"")</f>
        <v>13431.6</v>
      </c>
      <c r="AK109" s="125">
        <f>IFERROR(AB109*'FlightConfig '!$K$23,"")</f>
        <v>2090.0879999999997</v>
      </c>
    </row>
    <row r="110" spans="1:37" ht="18.75" customHeight="1" x14ac:dyDescent="0.25">
      <c r="A110" t="s">
        <v>156</v>
      </c>
      <c r="B110" s="169">
        <v>1</v>
      </c>
      <c r="C110" s="174" t="str">
        <f>CONCATENATE(A110&amp;B110&amp;F110)</f>
        <v>BUSINESS CLASS1104</v>
      </c>
      <c r="D110" s="170"/>
      <c r="E110" s="300">
        <v>1247</v>
      </c>
      <c r="F110" s="306">
        <v>104</v>
      </c>
      <c r="G110" t="str">
        <f>VLOOKUP(E110,'FG MASTER'!$A:$AB,2,0)</f>
        <v>2026 BC CY1 BRK HHH ENGLEMANS ROLL, SPOTTED TROTTER - BACON, HP SAUCE</v>
      </c>
      <c r="H110" s="282">
        <v>1</v>
      </c>
      <c r="I110" s="171">
        <v>0.6</v>
      </c>
      <c r="J110" s="288">
        <f>IFERROR(IF(I110="std",H110,HLOOKUP(A110,'FlightConfig '!$B$34:$G$35,2,0)*I110),"")</f>
        <v>18</v>
      </c>
      <c r="K110" s="242">
        <f>VLOOKUP(Food!E110,'FG MASTER'!$A$1:$AC$737,16,0)</f>
        <v>1.97</v>
      </c>
      <c r="L110" s="243">
        <f>VLOOKUP(Food!E110,'FG MASTER'!$A$10:$AC$737,17,0)</f>
        <v>2.12</v>
      </c>
      <c r="M110" s="130">
        <f t="shared" si="182"/>
        <v>0.84800000000000009</v>
      </c>
      <c r="N110" s="130">
        <f t="shared" si="170"/>
        <v>2.8180000000000001</v>
      </c>
      <c r="O110" s="130">
        <f t="shared" si="143"/>
        <v>0.43340000000000001</v>
      </c>
      <c r="P110" s="130">
        <f t="shared" si="171"/>
        <v>0.16959999999999997</v>
      </c>
      <c r="Q110" s="130">
        <f t="shared" si="147"/>
        <v>3.4210000000000003</v>
      </c>
      <c r="R110" s="398">
        <f t="shared" si="144"/>
        <v>2.4034</v>
      </c>
      <c r="S110" s="398">
        <f t="shared" si="172"/>
        <v>1.0176000000000001</v>
      </c>
      <c r="T110" s="398">
        <f t="shared" si="173"/>
        <v>3.4210000000000003</v>
      </c>
      <c r="U110" s="125"/>
      <c r="V110" s="125"/>
      <c r="W110" t="str">
        <f>IFERROR(#REF!*J110,"")</f>
        <v/>
      </c>
      <c r="X110">
        <f t="shared" si="174"/>
        <v>35.46</v>
      </c>
      <c r="Y110">
        <f t="shared" si="175"/>
        <v>38.160000000000004</v>
      </c>
      <c r="Z110" s="125">
        <f t="shared" si="176"/>
        <v>15.264000000000001</v>
      </c>
      <c r="AA110" s="125">
        <f t="shared" si="177"/>
        <v>50.724000000000004</v>
      </c>
      <c r="AB110" s="125">
        <f t="shared" si="178"/>
        <v>7.8011999999999997</v>
      </c>
      <c r="AC110" s="125">
        <f t="shared" si="179"/>
        <v>3.0527999999999995</v>
      </c>
      <c r="AD110" s="125">
        <f t="shared" si="180"/>
        <v>61.578000000000003</v>
      </c>
      <c r="AF110" s="125" t="str">
        <f>IFERROR(W110*'FlightConfig '!$K$3,"")</f>
        <v/>
      </c>
      <c r="AG110" s="125">
        <f>IFERROR(X110*'FlightConfig '!$K$23,"")</f>
        <v>12907.44</v>
      </c>
      <c r="AH110" s="125">
        <f>IFERROR(Y110*'FlightConfig '!$K$23,"")</f>
        <v>13890.240000000002</v>
      </c>
      <c r="AI110" s="125">
        <f>IFERROR(Z110*'FlightConfig '!$K$23,"")</f>
        <v>5556.0960000000005</v>
      </c>
      <c r="AJ110" s="125">
        <f>IFERROR(AA110*'FlightConfig '!$K$23,"")</f>
        <v>18463.536</v>
      </c>
      <c r="AK110" s="125">
        <f>IFERROR(AB110*'FlightConfig '!$K$23,"")</f>
        <v>2839.6367999999998</v>
      </c>
    </row>
    <row r="111" spans="1:37" ht="18.75" customHeight="1" x14ac:dyDescent="0.25">
      <c r="A111" t="s">
        <v>156</v>
      </c>
      <c r="B111" s="169">
        <v>1</v>
      </c>
      <c r="C111" s="174" t="str">
        <f t="shared" ref="C111:C112" si="184">CONCATENATE(A111&amp;B111&amp;F111)</f>
        <v>BUSINESS CLASS1104</v>
      </c>
      <c r="D111" s="170"/>
      <c r="E111" s="300">
        <v>1248</v>
      </c>
      <c r="F111" s="306">
        <v>104</v>
      </c>
      <c r="G111" t="str">
        <f>VLOOKUP(E111,'FG MASTER'!$A:$AB,2,0)</f>
        <v>2026 BC CY1 BRK HHH CIABATTA, EGG PATTY, SUN DRIED TOMATO PESTO, SPINACH, SWISS CHEESE</v>
      </c>
      <c r="H111" s="282">
        <v>1</v>
      </c>
      <c r="I111" s="171">
        <v>0.6</v>
      </c>
      <c r="J111" s="288">
        <f>IFERROR(IF(I111="std",H111,HLOOKUP(A111,'FlightConfig '!$B$34:$G$35,2,0)*I111),"")</f>
        <v>18</v>
      </c>
      <c r="K111" s="242">
        <f>VLOOKUP(Food!E111,'FG MASTER'!$A$1:$AC$737,16,0)</f>
        <v>1.39</v>
      </c>
      <c r="L111" s="243">
        <f>VLOOKUP(Food!E111,'FG MASTER'!$A$10:$AC$737,17,0)</f>
        <v>2</v>
      </c>
      <c r="M111" s="130">
        <f t="shared" si="182"/>
        <v>0.8</v>
      </c>
      <c r="N111" s="130">
        <f t="shared" si="170"/>
        <v>2.19</v>
      </c>
      <c r="O111" s="130">
        <f t="shared" si="143"/>
        <v>0.30579999999999985</v>
      </c>
      <c r="P111" s="130">
        <f t="shared" si="171"/>
        <v>0.15999999999999992</v>
      </c>
      <c r="Q111" s="130">
        <f t="shared" si="147"/>
        <v>2.6558000000000002</v>
      </c>
      <c r="R111" s="398">
        <f t="shared" si="144"/>
        <v>1.6957999999999998</v>
      </c>
      <c r="S111" s="398">
        <f t="shared" si="172"/>
        <v>0.96</v>
      </c>
      <c r="T111" s="398">
        <f t="shared" si="173"/>
        <v>2.6557999999999997</v>
      </c>
      <c r="U111" s="125"/>
      <c r="V111" s="125"/>
      <c r="W111" t="str">
        <f>IFERROR(#REF!*J111,"")</f>
        <v/>
      </c>
      <c r="X111">
        <f t="shared" si="174"/>
        <v>25.02</v>
      </c>
      <c r="Y111">
        <f t="shared" si="175"/>
        <v>36</v>
      </c>
      <c r="Z111" s="125">
        <f t="shared" si="176"/>
        <v>14.4</v>
      </c>
      <c r="AA111" s="125">
        <f t="shared" si="177"/>
        <v>39.42</v>
      </c>
      <c r="AB111" s="125">
        <f t="shared" si="178"/>
        <v>5.5043999999999969</v>
      </c>
      <c r="AC111" s="125">
        <f t="shared" si="179"/>
        <v>2.8799999999999986</v>
      </c>
      <c r="AD111" s="125">
        <f t="shared" si="180"/>
        <v>47.804400000000001</v>
      </c>
      <c r="AF111" s="125" t="str">
        <f>IFERROR(W111*'FlightConfig '!$K$3,"")</f>
        <v/>
      </c>
      <c r="AG111" s="125">
        <f>IFERROR(X111*'FlightConfig '!$K$23,"")</f>
        <v>9107.2800000000007</v>
      </c>
      <c r="AH111" s="125">
        <f>IFERROR(Y111*'FlightConfig '!$K$23,"")</f>
        <v>13104</v>
      </c>
      <c r="AI111" s="125">
        <f>IFERROR(Z111*'FlightConfig '!$K$23,"")</f>
        <v>5241.6000000000004</v>
      </c>
      <c r="AJ111" s="125">
        <f>IFERROR(AA111*'FlightConfig '!$K$23,"")</f>
        <v>14348.880000000001</v>
      </c>
      <c r="AK111" s="125">
        <f>IFERROR(AB111*'FlightConfig '!$K$23,"")</f>
        <v>2003.6015999999988</v>
      </c>
    </row>
    <row r="112" spans="1:37" ht="18.75" customHeight="1" x14ac:dyDescent="0.25">
      <c r="A112" t="s">
        <v>156</v>
      </c>
      <c r="B112" s="169">
        <v>1</v>
      </c>
      <c r="C112" s="174" t="str">
        <f t="shared" si="184"/>
        <v>BUSINESS CLASS1104</v>
      </c>
      <c r="D112" s="170"/>
      <c r="E112" s="300">
        <v>1250</v>
      </c>
      <c r="F112" s="306">
        <v>104</v>
      </c>
      <c r="G112" t="str">
        <f>VLOOKUP(E112,'FG MASTER'!$A:$AB,2,0)</f>
        <v>2026 BC CY1 BRK LAYERED YOGURT</v>
      </c>
      <c r="H112" s="282">
        <v>1</v>
      </c>
      <c r="I112" s="171">
        <v>1</v>
      </c>
      <c r="J112" s="288">
        <f>IFERROR(IF(I112="std",H112,HLOOKUP(A112,'FlightConfig '!$B$34:$G$35,2,0)*I112),"")</f>
        <v>30</v>
      </c>
      <c r="K112" s="242">
        <f>VLOOKUP(Food!E112,'FG MASTER'!$A$1:$AC$737,16,0)</f>
        <v>0.99</v>
      </c>
      <c r="L112" s="243">
        <f>VLOOKUP(Food!E112,'FG MASTER'!$A$10:$AC$737,17,0)</f>
        <v>1.25</v>
      </c>
      <c r="M112" s="130">
        <f t="shared" si="182"/>
        <v>0.5</v>
      </c>
      <c r="N112" s="130">
        <f t="shared" si="170"/>
        <v>1.49</v>
      </c>
      <c r="O112" s="130">
        <f t="shared" si="143"/>
        <v>0.21779999999999999</v>
      </c>
      <c r="P112" s="130">
        <f t="shared" si="171"/>
        <v>9.9999999999999978E-2</v>
      </c>
      <c r="Q112" s="130">
        <f t="shared" si="147"/>
        <v>1.8077999999999999</v>
      </c>
      <c r="R112" s="398">
        <f t="shared" si="144"/>
        <v>1.2078</v>
      </c>
      <c r="S112" s="398">
        <f t="shared" si="172"/>
        <v>0.6</v>
      </c>
      <c r="T112" s="398">
        <f t="shared" si="173"/>
        <v>1.8077999999999999</v>
      </c>
      <c r="U112" s="125"/>
      <c r="V112" s="125"/>
      <c r="W112" t="str">
        <f>IFERROR(#REF!*J112,"")</f>
        <v/>
      </c>
      <c r="X112">
        <f t="shared" si="174"/>
        <v>29.7</v>
      </c>
      <c r="Y112">
        <f t="shared" si="175"/>
        <v>37.5</v>
      </c>
      <c r="Z112" s="125">
        <f t="shared" si="176"/>
        <v>15</v>
      </c>
      <c r="AA112" s="125">
        <f t="shared" si="177"/>
        <v>44.7</v>
      </c>
      <c r="AB112" s="125">
        <f t="shared" si="178"/>
        <v>6.5339999999999998</v>
      </c>
      <c r="AC112" s="125">
        <f t="shared" si="179"/>
        <v>2.9999999999999991</v>
      </c>
      <c r="AD112" s="125">
        <f t="shared" si="180"/>
        <v>54.233999999999995</v>
      </c>
      <c r="AF112" s="125" t="str">
        <f>IFERROR(W112*'FlightConfig '!$K$3,"")</f>
        <v/>
      </c>
      <c r="AG112" s="125">
        <f>IFERROR(X112*'FlightConfig '!$K$23,"")</f>
        <v>10810.8</v>
      </c>
      <c r="AH112" s="125">
        <f>IFERROR(Y112*'FlightConfig '!$K$23,"")</f>
        <v>13650</v>
      </c>
      <c r="AI112" s="125">
        <f>IFERROR(Z112*'FlightConfig '!$K$23,"")</f>
        <v>5460</v>
      </c>
      <c r="AJ112" s="125">
        <f>IFERROR(AA112*'FlightConfig '!$K$23,"")</f>
        <v>16270.800000000001</v>
      </c>
      <c r="AK112" s="125">
        <f>IFERROR(AB112*'FlightConfig '!$K$23,"")</f>
        <v>2378.3759999999997</v>
      </c>
    </row>
    <row r="113" spans="1:37" ht="18.75" customHeight="1" x14ac:dyDescent="0.25">
      <c r="A113" t="s">
        <v>156</v>
      </c>
      <c r="B113" s="169">
        <v>1</v>
      </c>
      <c r="C113" s="174" t="str">
        <f>CONCATENATE(A113&amp;B113&amp;F113)</f>
        <v>BUSINESS CLASS1104</v>
      </c>
      <c r="D113" s="170"/>
      <c r="E113" s="300">
        <v>1179</v>
      </c>
      <c r="F113" s="306">
        <v>104</v>
      </c>
      <c r="G113" t="str">
        <f>VLOOKUP(E113,'FG MASTER'!$A:$AB,2,0)</f>
        <v>BC C2 BRK SIDE ITEM MINI JAM JAR</v>
      </c>
      <c r="H113" s="282">
        <v>1</v>
      </c>
      <c r="I113" s="171">
        <v>1</v>
      </c>
      <c r="J113" s="288">
        <f>IFERROR(IF(I113="std",H113,HLOOKUP(A113,'FlightConfig '!$B$34:$G$35,2,0)*I113),"")</f>
        <v>30</v>
      </c>
      <c r="K113" s="242">
        <f>VLOOKUP(Food!E113,'FG MASTER'!$A$1:$AC$737,16,0)</f>
        <v>0.42724489795918363</v>
      </c>
      <c r="L113" s="243">
        <f>VLOOKUP(Food!E113,'FG MASTER'!$A$10:$AC$737,17,0)</f>
        <v>0.25</v>
      </c>
      <c r="M113" s="130">
        <f>IFERROR(L113*$M$2,"")</f>
        <v>0.1</v>
      </c>
      <c r="N113" s="130">
        <f>IFERROR((K113)+M113,"")</f>
        <v>0.52724489795918361</v>
      </c>
      <c r="O113" s="130">
        <f t="shared" si="143"/>
        <v>9.3993877551020399E-2</v>
      </c>
      <c r="P113" s="130">
        <f t="shared" si="171"/>
        <v>1.999999999999999E-2</v>
      </c>
      <c r="Q113" s="130">
        <f t="shared" si="147"/>
        <v>0.64123877551020403</v>
      </c>
      <c r="R113" s="398">
        <f t="shared" si="144"/>
        <v>0.52123877551020403</v>
      </c>
      <c r="S113" s="398">
        <f t="shared" si="172"/>
        <v>0.12</v>
      </c>
      <c r="T113" s="398">
        <f t="shared" si="173"/>
        <v>0.64123877551020403</v>
      </c>
      <c r="U113" s="125"/>
      <c r="V113" s="125"/>
      <c r="W113" t="str">
        <f>IFERROR(#REF!*J113,"")</f>
        <v/>
      </c>
      <c r="X113">
        <f t="shared" si="174"/>
        <v>12.817346938775509</v>
      </c>
      <c r="Y113">
        <f t="shared" si="175"/>
        <v>7.5</v>
      </c>
      <c r="Z113" s="125">
        <f t="shared" si="176"/>
        <v>3</v>
      </c>
      <c r="AA113" s="125">
        <f t="shared" si="177"/>
        <v>15.817346938775508</v>
      </c>
      <c r="AB113" s="125">
        <f t="shared" si="178"/>
        <v>2.8198163265306118</v>
      </c>
      <c r="AC113" s="125">
        <f t="shared" si="179"/>
        <v>0.59999999999999964</v>
      </c>
      <c r="AD113" s="125">
        <f t="shared" si="180"/>
        <v>19.237163265306123</v>
      </c>
      <c r="AF113" s="125" t="str">
        <f>IFERROR(W113*'FlightConfig '!$K$3,"")</f>
        <v/>
      </c>
      <c r="AG113" s="125">
        <f>IFERROR(X113*'FlightConfig '!$K$23,"")</f>
        <v>4665.5142857142855</v>
      </c>
      <c r="AH113" s="125">
        <f>IFERROR(Y113*'FlightConfig '!$K$23,"")</f>
        <v>2730</v>
      </c>
      <c r="AI113" s="125">
        <f>IFERROR(Z113*'FlightConfig '!$K$23,"")</f>
        <v>1092</v>
      </c>
      <c r="AJ113" s="125">
        <f>IFERROR(AA113*'FlightConfig '!$K$23,"")</f>
        <v>5757.5142857142846</v>
      </c>
      <c r="AK113" s="125">
        <f>IFERROR(AB113*'FlightConfig '!$K$23,"")</f>
        <v>1026.4131428571427</v>
      </c>
    </row>
    <row r="114" spans="1:37" ht="18.75" customHeight="1" x14ac:dyDescent="0.25">
      <c r="A114" t="s">
        <v>156</v>
      </c>
      <c r="B114" s="169">
        <v>1</v>
      </c>
      <c r="C114" s="174" t="str">
        <f t="shared" ref="C114:C128" si="185">CONCATENATE(A114&amp;B114&amp;F114)</f>
        <v>BUSINESS CLASS1104</v>
      </c>
      <c r="D114" s="170"/>
      <c r="E114" s="300">
        <v>1174</v>
      </c>
      <c r="F114" s="306">
        <v>104</v>
      </c>
      <c r="G114" t="str">
        <f>VLOOKUP(E114,'FG MASTER'!$A:$AB,2,0)</f>
        <v>BC C2 BRK PASTRIES - CROISSANT</v>
      </c>
      <c r="H114" s="282">
        <v>1</v>
      </c>
      <c r="I114" s="171">
        <v>1</v>
      </c>
      <c r="J114" s="288">
        <f>IFERROR(IF(I114="std",H114,HLOOKUP(A114,'FlightConfig '!$B$34:$G$35,2,0)*I114),"")</f>
        <v>30</v>
      </c>
      <c r="K114" s="242">
        <f>VLOOKUP(Food!E114,'FG MASTER'!$A$1:$AC$737,16,0)</f>
        <v>1.2553338435374155</v>
      </c>
      <c r="L114" s="243">
        <f>VLOOKUP(Food!E114,'FG MASTER'!$A$10:$AC$737,17,0)</f>
        <v>0.5</v>
      </c>
      <c r="M114" s="130">
        <f t="shared" ref="M114:M142" si="186">IFERROR(L114*$M$2,"")</f>
        <v>0.2</v>
      </c>
      <c r="N114" s="130">
        <f t="shared" ref="N114:N128" si="187">IFERROR((K114)+M114,"")</f>
        <v>1.4553338435374155</v>
      </c>
      <c r="O114" s="130">
        <f t="shared" si="143"/>
        <v>0.27617344557823142</v>
      </c>
      <c r="P114" s="130">
        <f t="shared" si="171"/>
        <v>3.999999999999998E-2</v>
      </c>
      <c r="Q114" s="130">
        <f t="shared" si="147"/>
        <v>1.7715072891156469</v>
      </c>
      <c r="R114" s="398">
        <f t="shared" si="144"/>
        <v>1.5315072891156469</v>
      </c>
      <c r="S114" s="398">
        <f t="shared" si="172"/>
        <v>0.24</v>
      </c>
      <c r="T114" s="398">
        <f t="shared" si="173"/>
        <v>1.7715072891156469</v>
      </c>
      <c r="U114" s="125"/>
      <c r="V114" s="125"/>
      <c r="W114" t="str">
        <f>IFERROR(#REF!*J114,"")</f>
        <v/>
      </c>
      <c r="X114">
        <f t="shared" si="174"/>
        <v>37.660015306122467</v>
      </c>
      <c r="Y114">
        <f t="shared" si="175"/>
        <v>15</v>
      </c>
      <c r="Z114" s="125">
        <f t="shared" si="176"/>
        <v>6</v>
      </c>
      <c r="AA114" s="125">
        <f t="shared" si="177"/>
        <v>43.66001530612246</v>
      </c>
      <c r="AB114" s="125">
        <f t="shared" si="178"/>
        <v>8.2852033673469432</v>
      </c>
      <c r="AC114" s="125">
        <f t="shared" si="179"/>
        <v>1.1999999999999993</v>
      </c>
      <c r="AD114" s="125">
        <f t="shared" si="180"/>
        <v>53.145218673469408</v>
      </c>
      <c r="AF114" s="125" t="str">
        <f>IFERROR(W114*'FlightConfig '!$K$3,"")</f>
        <v/>
      </c>
      <c r="AG114" s="125">
        <f>IFERROR(X114*'FlightConfig '!$K$23,"")</f>
        <v>13708.245571428579</v>
      </c>
      <c r="AH114" s="125">
        <f>IFERROR(Y114*'FlightConfig '!$K$23,"")</f>
        <v>5460</v>
      </c>
      <c r="AI114" s="125">
        <f>IFERROR(Z114*'FlightConfig '!$K$23,"")</f>
        <v>2184</v>
      </c>
      <c r="AJ114" s="125">
        <f>IFERROR(AA114*'FlightConfig '!$K$23,"")</f>
        <v>15892.245571428575</v>
      </c>
      <c r="AK114" s="125">
        <f>IFERROR(AB114*'FlightConfig '!$K$23,"")</f>
        <v>3015.8140257142873</v>
      </c>
    </row>
    <row r="115" spans="1:37" ht="18.75" customHeight="1" x14ac:dyDescent="0.25">
      <c r="A115" t="s">
        <v>156</v>
      </c>
      <c r="B115" s="169">
        <v>1</v>
      </c>
      <c r="C115" s="174" t="str">
        <f t="shared" si="185"/>
        <v>BUSINESS CLASS1104</v>
      </c>
      <c r="D115" s="170"/>
      <c r="E115" s="300">
        <v>1204</v>
      </c>
      <c r="F115" s="306">
        <v>104</v>
      </c>
      <c r="G115" t="str">
        <f>VLOOKUP(E115,'FG MASTER'!$A:$AB,2,0)</f>
        <v>BC C2 GARNISH GRAPEFRUIT SEGMENT 20CT</v>
      </c>
      <c r="H115" s="282">
        <v>1</v>
      </c>
      <c r="I115" s="171" t="s">
        <v>357</v>
      </c>
      <c r="J115" s="288">
        <f>IFERROR(IF(I115="std",H115,HLOOKUP(A115,'FlightConfig '!$B$34:$G$35,2,0)*I115),"")</f>
        <v>1</v>
      </c>
      <c r="K115" s="242">
        <f>VLOOKUP(Food!E115,'FG MASTER'!$A$1:$AC$737,16,0)</f>
        <v>4.9882500000000007</v>
      </c>
      <c r="L115" s="243">
        <f>VLOOKUP(Food!E115,'FG MASTER'!$A$10:$AC$737,17,0)</f>
        <v>0.5</v>
      </c>
      <c r="M115" s="130">
        <f t="shared" si="186"/>
        <v>0.2</v>
      </c>
      <c r="N115" s="130">
        <f t="shared" si="187"/>
        <v>5.1882500000000009</v>
      </c>
      <c r="O115" s="130">
        <f t="shared" si="143"/>
        <v>1.0974149999999998</v>
      </c>
      <c r="P115" s="130">
        <f t="shared" si="171"/>
        <v>3.999999999999998E-2</v>
      </c>
      <c r="Q115" s="130">
        <f t="shared" si="147"/>
        <v>6.3256650000000008</v>
      </c>
      <c r="R115" s="398">
        <f t="shared" si="144"/>
        <v>6.0856650000000005</v>
      </c>
      <c r="S115" s="398">
        <f t="shared" si="172"/>
        <v>0.24</v>
      </c>
      <c r="T115" s="398">
        <f t="shared" si="173"/>
        <v>6.3256650000000008</v>
      </c>
      <c r="U115" s="125"/>
      <c r="V115" s="125"/>
      <c r="W115" t="str">
        <f>IFERROR(#REF!*J115,"")</f>
        <v/>
      </c>
      <c r="X115">
        <f t="shared" si="174"/>
        <v>4.9882500000000007</v>
      </c>
      <c r="Y115">
        <f t="shared" si="175"/>
        <v>0.5</v>
      </c>
      <c r="Z115" s="125">
        <f t="shared" si="176"/>
        <v>0.2</v>
      </c>
      <c r="AA115" s="125">
        <f t="shared" si="177"/>
        <v>5.1882500000000009</v>
      </c>
      <c r="AB115" s="125">
        <f t="shared" si="178"/>
        <v>1.0974149999999998</v>
      </c>
      <c r="AC115" s="125">
        <f t="shared" si="179"/>
        <v>3.999999999999998E-2</v>
      </c>
      <c r="AD115" s="125">
        <f t="shared" si="180"/>
        <v>6.3256650000000008</v>
      </c>
      <c r="AF115" s="125" t="str">
        <f>IFERROR(W115*'FlightConfig '!$K$3,"")</f>
        <v/>
      </c>
      <c r="AG115" s="125">
        <f>IFERROR(X115*'FlightConfig '!$K$23,"")</f>
        <v>1815.7230000000002</v>
      </c>
      <c r="AH115" s="125">
        <f>IFERROR(Y115*'FlightConfig '!$K$23,"")</f>
        <v>182</v>
      </c>
      <c r="AI115" s="125">
        <f>IFERROR(Z115*'FlightConfig '!$K$23,"")</f>
        <v>72.8</v>
      </c>
      <c r="AJ115" s="125">
        <f>IFERROR(AA115*'FlightConfig '!$K$23,"")</f>
        <v>1888.5230000000004</v>
      </c>
      <c r="AK115" s="125">
        <f>IFERROR(AB115*'FlightConfig '!$K$23,"")</f>
        <v>399.45905999999991</v>
      </c>
    </row>
    <row r="116" spans="1:37" ht="18.75" customHeight="1" x14ac:dyDescent="0.25">
      <c r="A116" t="s">
        <v>157</v>
      </c>
      <c r="B116" s="169">
        <v>1</v>
      </c>
      <c r="C116" s="174" t="str">
        <f t="shared" si="185"/>
        <v>PREMIUM ECONOMY CLASS1104</v>
      </c>
      <c r="D116" s="307"/>
      <c r="E116" s="301">
        <v>1111</v>
      </c>
      <c r="F116" s="306">
        <v>104</v>
      </c>
      <c r="G116" t="str">
        <f>VLOOKUP(E116,'FG MASTER'!$A:$AB,2,0)</f>
        <v>PY C1 DINNER TSU</v>
      </c>
      <c r="H116" s="282">
        <v>1</v>
      </c>
      <c r="I116" s="171">
        <v>1</v>
      </c>
      <c r="J116" s="288">
        <f>IFERROR(IF(I116="std",H116,HLOOKUP(A116,'FlightConfig '!$B$34:$G$35,2,0)*I116),"")</f>
        <v>44</v>
      </c>
      <c r="K116" s="242">
        <f>VLOOKUP(Food!E116,'FG MASTER'!$A$1:$AC$737,16,0)</f>
        <v>0</v>
      </c>
      <c r="L116" s="243">
        <f>VLOOKUP(Food!E116,'FG MASTER'!$A$10:$AC$737,17,0)</f>
        <v>1.5</v>
      </c>
      <c r="M116" s="130">
        <f t="shared" si="186"/>
        <v>0.60000000000000009</v>
      </c>
      <c r="N116" s="130">
        <f t="shared" si="187"/>
        <v>0.60000000000000009</v>
      </c>
      <c r="O116" s="130">
        <f t="shared" si="143"/>
        <v>0</v>
      </c>
      <c r="P116" s="130">
        <f t="shared" si="171"/>
        <v>0.12</v>
      </c>
      <c r="Q116" s="130">
        <f t="shared" si="147"/>
        <v>0.72000000000000008</v>
      </c>
      <c r="R116" s="398">
        <f t="shared" si="144"/>
        <v>0</v>
      </c>
      <c r="S116" s="398">
        <f t="shared" si="172"/>
        <v>0.72000000000000008</v>
      </c>
      <c r="T116" s="398">
        <f t="shared" si="173"/>
        <v>0.72000000000000008</v>
      </c>
      <c r="U116" s="125"/>
      <c r="V116" s="125"/>
      <c r="W116" t="str">
        <f>IFERROR(#REF!*J116,"")</f>
        <v/>
      </c>
      <c r="X116">
        <f t="shared" si="174"/>
        <v>0</v>
      </c>
      <c r="Y116">
        <f t="shared" si="175"/>
        <v>66</v>
      </c>
      <c r="Z116" s="125">
        <f t="shared" si="176"/>
        <v>26.400000000000006</v>
      </c>
      <c r="AA116" s="125">
        <f t="shared" si="177"/>
        <v>26.400000000000006</v>
      </c>
      <c r="AB116" s="125">
        <f t="shared" si="178"/>
        <v>0</v>
      </c>
      <c r="AC116" s="125">
        <f t="shared" si="179"/>
        <v>5.2799999999999994</v>
      </c>
      <c r="AD116" s="125">
        <f t="shared" si="180"/>
        <v>31.680000000000003</v>
      </c>
      <c r="AF116" s="125" t="str">
        <f>IFERROR(W116*'FlightConfig '!$K$3,"")</f>
        <v/>
      </c>
      <c r="AG116" s="125">
        <f>IFERROR(X116*'FlightConfig '!$K$23,"")</f>
        <v>0</v>
      </c>
      <c r="AH116" s="125">
        <f>IFERROR(Y116*'FlightConfig '!$K$23,"")</f>
        <v>24024</v>
      </c>
      <c r="AI116" s="125">
        <f>IFERROR(Z116*'FlightConfig '!$K$23,"")</f>
        <v>9609.6000000000022</v>
      </c>
      <c r="AJ116" s="125">
        <f>IFERROR(AA116*'FlightConfig '!$K$23,"")</f>
        <v>9609.6000000000022</v>
      </c>
      <c r="AK116" s="125">
        <f>IFERROR(AB116*'FlightConfig '!$K$23,"")</f>
        <v>0</v>
      </c>
    </row>
    <row r="117" spans="1:37" ht="18.75" customHeight="1" x14ac:dyDescent="0.25">
      <c r="A117" t="s">
        <v>157</v>
      </c>
      <c r="B117" s="169">
        <v>1</v>
      </c>
      <c r="C117" s="174" t="str">
        <f t="shared" si="185"/>
        <v>PREMIUM ECONOMY CLASS1104</v>
      </c>
      <c r="D117" s="307"/>
      <c r="E117" s="301">
        <v>1113</v>
      </c>
      <c r="F117" s="306">
        <v>104</v>
      </c>
      <c r="G117" t="str">
        <f>VLOOKUP(E117,'FG MASTER'!$A:$AB,2,0)</f>
        <v>PY C1 DINNER BUTTER</v>
      </c>
      <c r="H117" s="282">
        <v>1</v>
      </c>
      <c r="I117" s="171">
        <v>1</v>
      </c>
      <c r="J117" s="288">
        <f>IFERROR(IF(I117="std",H117,HLOOKUP(A117,'FlightConfig '!$B$34:$G$35,2,0)*I117),"")</f>
        <v>44</v>
      </c>
      <c r="K117" s="242">
        <f>VLOOKUP(Food!E117,'FG MASTER'!$A$1:$AC$737,16,0)</f>
        <v>0.3</v>
      </c>
      <c r="L117" s="243">
        <f>VLOOKUP(Food!E117,'FG MASTER'!$A$10:$AC$737,17,0)</f>
        <v>0.25</v>
      </c>
      <c r="M117" s="130">
        <f t="shared" si="186"/>
        <v>0.1</v>
      </c>
      <c r="N117" s="130">
        <f t="shared" si="187"/>
        <v>0.4</v>
      </c>
      <c r="O117" s="130">
        <f t="shared" si="143"/>
        <v>6.6000000000000003E-2</v>
      </c>
      <c r="P117" s="130">
        <f t="shared" si="171"/>
        <v>1.999999999999999E-2</v>
      </c>
      <c r="Q117" s="130">
        <f t="shared" si="147"/>
        <v>0.48599999999999999</v>
      </c>
      <c r="R117" s="398">
        <f t="shared" si="144"/>
        <v>0.36599999999999999</v>
      </c>
      <c r="S117" s="398">
        <f t="shared" si="172"/>
        <v>0.12</v>
      </c>
      <c r="T117" s="398">
        <f t="shared" si="173"/>
        <v>0.48599999999999999</v>
      </c>
      <c r="U117" s="125"/>
      <c r="V117" s="125"/>
      <c r="W117" t="str">
        <f>IFERROR(#REF!*J117,"")</f>
        <v/>
      </c>
      <c r="X117">
        <f t="shared" si="174"/>
        <v>13.2</v>
      </c>
      <c r="Y117">
        <f t="shared" si="175"/>
        <v>11</v>
      </c>
      <c r="Z117" s="125">
        <f t="shared" si="176"/>
        <v>4.4000000000000004</v>
      </c>
      <c r="AA117" s="125">
        <f t="shared" si="177"/>
        <v>17.600000000000001</v>
      </c>
      <c r="AB117" s="125">
        <f t="shared" si="178"/>
        <v>2.9039999999999999</v>
      </c>
      <c r="AC117" s="125">
        <f t="shared" si="179"/>
        <v>0.87999999999999956</v>
      </c>
      <c r="AD117" s="125">
        <f t="shared" si="180"/>
        <v>21.384</v>
      </c>
      <c r="AF117" s="125" t="str">
        <f>IFERROR(W117*'FlightConfig '!$K$3,"")</f>
        <v/>
      </c>
      <c r="AG117" s="125">
        <f>IFERROR(X117*'FlightConfig '!$K$23,"")</f>
        <v>4804.8</v>
      </c>
      <c r="AH117" s="125">
        <f>IFERROR(Y117*'FlightConfig '!$K$23,"")</f>
        <v>4004</v>
      </c>
      <c r="AI117" s="125">
        <f>IFERROR(Z117*'FlightConfig '!$K$23,"")</f>
        <v>1601.6000000000001</v>
      </c>
      <c r="AJ117" s="125">
        <f>IFERROR(AA117*'FlightConfig '!$K$23,"")</f>
        <v>6406.4000000000005</v>
      </c>
      <c r="AK117" s="125">
        <f>IFERROR(AB117*'FlightConfig '!$K$23,"")</f>
        <v>1057.056</v>
      </c>
    </row>
    <row r="118" spans="1:37" ht="18.75" customHeight="1" x14ac:dyDescent="0.25">
      <c r="A118" t="s">
        <v>157</v>
      </c>
      <c r="B118" s="169">
        <v>1</v>
      </c>
      <c r="C118" s="174" t="str">
        <f>CONCATENATE(A118&amp;B118&amp;F118)</f>
        <v>PREMIUM ECONOMY CLASS1104</v>
      </c>
      <c r="D118" s="307"/>
      <c r="E118" s="301">
        <v>1225</v>
      </c>
      <c r="F118" s="306">
        <v>104</v>
      </c>
      <c r="G118" t="str">
        <f>VLOOKUP(E118,'FG MASTER'!$A:$AB,2,0)</f>
        <v>WATER 250ML (FROM MLCO</v>
      </c>
      <c r="H118" s="282">
        <v>1</v>
      </c>
      <c r="I118" s="171">
        <v>1</v>
      </c>
      <c r="J118" s="288">
        <f>IFERROR(IF(I118="std",H118,HLOOKUP(A118,'FlightConfig '!$B$34:$G$35,2,0)*I118),"")</f>
        <v>44</v>
      </c>
      <c r="K118" s="242">
        <f>VLOOKUP(Food!E118,'FG MASTER'!$A$1:$AC$737,16,0)</f>
        <v>0.29363333333333336</v>
      </c>
      <c r="L118" s="243">
        <f>VLOOKUP(Food!E118,'FG MASTER'!$A$10:$AC$737,17,0)</f>
        <v>0.25</v>
      </c>
      <c r="M118" s="130">
        <f t="shared" ref="M118" si="188">IFERROR(L118*$M$2,"")</f>
        <v>0.1</v>
      </c>
      <c r="N118" s="130">
        <f>IFERROR((K118)+M118,"")</f>
        <v>0.39363333333333339</v>
      </c>
      <c r="O118" s="130">
        <f>IFERROR($K118*(1+$O$2)-$K118,0)</f>
        <v>6.4599333333333342E-2</v>
      </c>
      <c r="P118" s="130">
        <f>IFERROR($M118*(1+$P$2)-$M118,0)</f>
        <v>1.999999999999999E-2</v>
      </c>
      <c r="Q118" s="130">
        <f t="shared" ref="Q118" si="189">SUM(N118:P118)</f>
        <v>0.47823266666666675</v>
      </c>
      <c r="R118" s="398">
        <f t="shared" ref="R118" si="190">K118*(1+$O$2)</f>
        <v>0.3582326666666667</v>
      </c>
      <c r="S118" s="398">
        <f t="shared" ref="S118" si="191">M118*(1+$P$2)</f>
        <v>0.12</v>
      </c>
      <c r="T118" s="398">
        <f t="shared" ref="T118" si="192">R118+S118</f>
        <v>0.47823266666666669</v>
      </c>
      <c r="U118" s="125"/>
      <c r="V118" s="125"/>
      <c r="W118" t="str">
        <f>IFERROR(#REF!*J118,"")</f>
        <v/>
      </c>
      <c r="X118">
        <f t="shared" ref="X118" si="193">IFERROR(K118*J118,"")</f>
        <v>12.919866666666667</v>
      </c>
      <c r="Y118">
        <f t="shared" ref="Y118" si="194">IFERROR(+L118*J118,"")</f>
        <v>11</v>
      </c>
      <c r="Z118" s="125">
        <f t="shared" ref="Z118" si="195">IFERROR(+M118*J118,"")</f>
        <v>4.4000000000000004</v>
      </c>
      <c r="AA118" s="125">
        <f t="shared" ref="AA118" si="196">IFERROR(+N118*J118,"")</f>
        <v>17.31986666666667</v>
      </c>
      <c r="AB118" s="125">
        <f>IFERROR(O118*$J118,"")</f>
        <v>2.842370666666667</v>
      </c>
      <c r="AC118" s="125">
        <f>IFERROR(P118*$J118,"")</f>
        <v>0.87999999999999956</v>
      </c>
      <c r="AD118" s="125">
        <f t="shared" ref="AD118" si="197">IFERROR(+Q118*J118,"")</f>
        <v>21.042237333333336</v>
      </c>
      <c r="AF118" s="125" t="str">
        <f>IFERROR(W118*'FlightConfig '!$K$3,"")</f>
        <v/>
      </c>
      <c r="AG118" s="125">
        <f>IFERROR(X118*'FlightConfig '!$K$23,"")</f>
        <v>4702.8314666666665</v>
      </c>
      <c r="AH118" s="125">
        <f>IFERROR(Y118*'FlightConfig '!$K$23,"")</f>
        <v>4004</v>
      </c>
      <c r="AI118" s="125">
        <f>IFERROR(Z118*'FlightConfig '!$K$23,"")</f>
        <v>1601.6000000000001</v>
      </c>
      <c r="AJ118" s="125">
        <f>IFERROR(AA118*'FlightConfig '!$K$23,"")</f>
        <v>6304.4314666666678</v>
      </c>
      <c r="AK118" s="125">
        <f>IFERROR(AB118*'FlightConfig '!$K$23,"")</f>
        <v>1034.6229226666669</v>
      </c>
    </row>
    <row r="119" spans="1:37" ht="18.75" customHeight="1" x14ac:dyDescent="0.25">
      <c r="A119" t="s">
        <v>157</v>
      </c>
      <c r="B119" s="169">
        <v>1</v>
      </c>
      <c r="C119" s="174" t="str">
        <f t="shared" si="185"/>
        <v>PREMIUM ECONOMY CLASS1104</v>
      </c>
      <c r="D119" s="307"/>
      <c r="E119" s="301">
        <v>1251</v>
      </c>
      <c r="F119" s="306">
        <v>104</v>
      </c>
      <c r="G119" t="str">
        <f>VLOOKUP(E119,'FG MASTER'!$A:$AB,2,0)</f>
        <v>2026 PY CY1 BABY GEM LETTUCE, FETA CHEESE, GRAPE TOMATO, PICKLED ONION</v>
      </c>
      <c r="H119" s="282">
        <v>1</v>
      </c>
      <c r="I119" s="171">
        <v>1</v>
      </c>
      <c r="J119" s="288">
        <f>IFERROR(IF(I119="std",H119,HLOOKUP(A119,'FlightConfig '!$B$34:$G$35,2,0)*I119),"")</f>
        <v>44</v>
      </c>
      <c r="K119" s="242">
        <f>VLOOKUP(Food!E119,'FG MASTER'!$A$1:$AC$737,16,0)</f>
        <v>0.5</v>
      </c>
      <c r="L119" s="243">
        <f>VLOOKUP(Food!E119,'FG MASTER'!$A$10:$AC$737,17,0)</f>
        <v>1</v>
      </c>
      <c r="M119" s="130">
        <f t="shared" si="186"/>
        <v>0.4</v>
      </c>
      <c r="N119" s="130">
        <f t="shared" si="187"/>
        <v>0.9</v>
      </c>
      <c r="O119" s="130">
        <f t="shared" si="143"/>
        <v>0.10999999999999999</v>
      </c>
      <c r="P119" s="130">
        <f t="shared" si="171"/>
        <v>7.999999999999996E-2</v>
      </c>
      <c r="Q119" s="130">
        <f t="shared" si="147"/>
        <v>1.0899999999999999</v>
      </c>
      <c r="R119" s="398">
        <f t="shared" si="144"/>
        <v>0.61</v>
      </c>
      <c r="S119" s="398">
        <f t="shared" si="172"/>
        <v>0.48</v>
      </c>
      <c r="T119" s="398">
        <f t="shared" si="173"/>
        <v>1.0899999999999999</v>
      </c>
      <c r="U119" s="125"/>
      <c r="V119" s="125"/>
      <c r="W119" t="str">
        <f>IFERROR(#REF!*J119,"")</f>
        <v/>
      </c>
      <c r="X119">
        <f t="shared" si="174"/>
        <v>22</v>
      </c>
      <c r="Y119">
        <f t="shared" si="175"/>
        <v>44</v>
      </c>
      <c r="Z119" s="125">
        <f t="shared" si="176"/>
        <v>17.600000000000001</v>
      </c>
      <c r="AA119" s="125">
        <f t="shared" si="177"/>
        <v>39.6</v>
      </c>
      <c r="AB119" s="125">
        <f t="shared" si="178"/>
        <v>4.84</v>
      </c>
      <c r="AC119" s="125">
        <f t="shared" si="179"/>
        <v>3.5199999999999982</v>
      </c>
      <c r="AD119" s="125">
        <f t="shared" si="180"/>
        <v>47.959999999999994</v>
      </c>
      <c r="AF119" s="125" t="str">
        <f>IFERROR(W119*'FlightConfig '!$K$3,"")</f>
        <v/>
      </c>
      <c r="AG119" s="125">
        <f>IFERROR(X119*'FlightConfig '!$K$23,"")</f>
        <v>8008</v>
      </c>
      <c r="AH119" s="125">
        <f>IFERROR(Y119*'FlightConfig '!$K$23,"")</f>
        <v>16016</v>
      </c>
      <c r="AI119" s="125">
        <f>IFERROR(Z119*'FlightConfig '!$K$23,"")</f>
        <v>6406.4000000000005</v>
      </c>
      <c r="AJ119" s="125">
        <f>IFERROR(AA119*'FlightConfig '!$K$23,"")</f>
        <v>14414.4</v>
      </c>
      <c r="AK119" s="125">
        <f>IFERROR(AB119*'FlightConfig '!$K$23,"")</f>
        <v>1761.76</v>
      </c>
    </row>
    <row r="120" spans="1:37" ht="18.75" customHeight="1" x14ac:dyDescent="0.25">
      <c r="A120" t="s">
        <v>157</v>
      </c>
      <c r="B120" s="169">
        <v>1</v>
      </c>
      <c r="C120" s="174" t="str">
        <f t="shared" si="185"/>
        <v>PREMIUM ECONOMY CLASS1104</v>
      </c>
      <c r="D120" s="307"/>
      <c r="E120" s="301">
        <v>1252</v>
      </c>
      <c r="F120" s="306">
        <v>104</v>
      </c>
      <c r="G120" t="str">
        <f>VLOOKUP(E120,'FG MASTER'!$A:$AB,2,0)</f>
        <v>2026 PY CY1 ENTREE 1 CHICKEN ROULADE, RISOTTO, GREEN BEAN, LEMON CHICKEN JUS, MUSHROOM CONSERVA</v>
      </c>
      <c r="H120" s="282">
        <v>1</v>
      </c>
      <c r="I120" s="171">
        <v>0.3</v>
      </c>
      <c r="J120" s="288">
        <f>IFERROR(IF(I120="std",H120,HLOOKUP(A120,'FlightConfig '!$B$34:$G$35,2,0)*I120),"")</f>
        <v>13.2</v>
      </c>
      <c r="K120" s="242">
        <f>VLOOKUP(Food!E120,'FG MASTER'!$A$1:$AC$737,16,0)</f>
        <v>1.81</v>
      </c>
      <c r="L120" s="243">
        <f>VLOOKUP(Food!E120,'FG MASTER'!$A$10:$AC$737,17,0)</f>
        <v>4.5</v>
      </c>
      <c r="M120" s="130">
        <f t="shared" si="186"/>
        <v>1.8</v>
      </c>
      <c r="N120" s="130">
        <f t="shared" si="187"/>
        <v>3.6100000000000003</v>
      </c>
      <c r="O120" s="130">
        <f t="shared" si="143"/>
        <v>0.39820000000000011</v>
      </c>
      <c r="P120" s="130">
        <f t="shared" si="171"/>
        <v>0.3600000000000001</v>
      </c>
      <c r="Q120" s="130">
        <f t="shared" si="147"/>
        <v>4.3682000000000007</v>
      </c>
      <c r="R120" s="398">
        <f t="shared" si="144"/>
        <v>2.2082000000000002</v>
      </c>
      <c r="S120" s="398">
        <f t="shared" si="172"/>
        <v>2.16</v>
      </c>
      <c r="T120" s="398">
        <f t="shared" si="173"/>
        <v>4.3681999999999999</v>
      </c>
      <c r="U120" s="125"/>
      <c r="V120" s="125"/>
      <c r="W120" t="str">
        <f>IFERROR(#REF!*J120,"")</f>
        <v/>
      </c>
      <c r="X120">
        <f t="shared" si="174"/>
        <v>23.891999999999999</v>
      </c>
      <c r="Y120">
        <f t="shared" si="175"/>
        <v>59.4</v>
      </c>
      <c r="Z120" s="125">
        <f t="shared" si="176"/>
        <v>23.759999999999998</v>
      </c>
      <c r="AA120" s="125">
        <f t="shared" si="177"/>
        <v>47.652000000000001</v>
      </c>
      <c r="AB120" s="125">
        <f t="shared" si="178"/>
        <v>5.2562400000000009</v>
      </c>
      <c r="AC120" s="125">
        <f t="shared" si="179"/>
        <v>4.7520000000000007</v>
      </c>
      <c r="AD120" s="125">
        <f t="shared" si="180"/>
        <v>57.660240000000009</v>
      </c>
      <c r="AF120" s="125" t="str">
        <f>IFERROR(W120*'FlightConfig '!$K$3,"")</f>
        <v/>
      </c>
      <c r="AG120" s="125">
        <f>IFERROR(X120*'FlightConfig '!$K$23,"")</f>
        <v>8696.6880000000001</v>
      </c>
      <c r="AH120" s="125">
        <f>IFERROR(Y120*'FlightConfig '!$K$23,"")</f>
        <v>21621.599999999999</v>
      </c>
      <c r="AI120" s="125">
        <f>IFERROR(Z120*'FlightConfig '!$K$23,"")</f>
        <v>8648.64</v>
      </c>
      <c r="AJ120" s="125">
        <f>IFERROR(AA120*'FlightConfig '!$K$23,"")</f>
        <v>17345.328000000001</v>
      </c>
      <c r="AK120" s="125">
        <f>IFERROR(AB120*'FlightConfig '!$K$23,"")</f>
        <v>1913.2713600000004</v>
      </c>
    </row>
    <row r="121" spans="1:37" ht="18.75" customHeight="1" x14ac:dyDescent="0.25">
      <c r="A121" t="s">
        <v>157</v>
      </c>
      <c r="B121" s="169">
        <v>1</v>
      </c>
      <c r="C121" s="174" t="str">
        <f t="shared" si="185"/>
        <v>PREMIUM ECONOMY CLASS1104</v>
      </c>
      <c r="D121" s="307"/>
      <c r="E121" s="301">
        <v>1253</v>
      </c>
      <c r="F121" s="306">
        <v>104</v>
      </c>
      <c r="G121" t="str">
        <f>VLOOKUP(E121,'FG MASTER'!$A:$AB,2,0)</f>
        <v>2026 PY CY1 ENTRÉE 2 COD, SHRIMP, AND FISHERMAN STEW, GOLD RICE, FENNEL CAPER RELISH</v>
      </c>
      <c r="H121" s="282">
        <v>1</v>
      </c>
      <c r="I121" s="171">
        <v>0.5</v>
      </c>
      <c r="J121" s="288">
        <f>IFERROR(IF(I121="std",H121,HLOOKUP(A121,'FlightConfig '!$B$34:$G$35,2,0)*I121),"")</f>
        <v>22</v>
      </c>
      <c r="K121" s="242">
        <f>VLOOKUP(Food!E121,'FG MASTER'!$A$1:$AC$737,16,0)</f>
        <v>3.21</v>
      </c>
      <c r="L121" s="243">
        <f>VLOOKUP(Food!E121,'FG MASTER'!$A$10:$AC$737,17,0)</f>
        <v>4.5</v>
      </c>
      <c r="M121" s="130">
        <f t="shared" si="186"/>
        <v>1.8</v>
      </c>
      <c r="N121" s="130">
        <f t="shared" si="187"/>
        <v>5.01</v>
      </c>
      <c r="O121" s="130">
        <f t="shared" si="143"/>
        <v>0.70619999999999994</v>
      </c>
      <c r="P121" s="130">
        <f t="shared" si="171"/>
        <v>0.3600000000000001</v>
      </c>
      <c r="Q121" s="130">
        <f t="shared" si="147"/>
        <v>6.0762</v>
      </c>
      <c r="R121" s="398">
        <f t="shared" si="144"/>
        <v>3.9161999999999999</v>
      </c>
      <c r="S121" s="398">
        <f t="shared" si="172"/>
        <v>2.16</v>
      </c>
      <c r="T121" s="398">
        <f t="shared" si="173"/>
        <v>6.0762</v>
      </c>
      <c r="U121" s="125"/>
      <c r="V121" s="125"/>
      <c r="W121" t="str">
        <f>IFERROR(#REF!*J121,"")</f>
        <v/>
      </c>
      <c r="X121">
        <f t="shared" si="174"/>
        <v>70.62</v>
      </c>
      <c r="Y121">
        <f t="shared" si="175"/>
        <v>99</v>
      </c>
      <c r="Z121" s="125">
        <f t="shared" si="176"/>
        <v>39.6</v>
      </c>
      <c r="AA121" s="125">
        <f t="shared" si="177"/>
        <v>110.22</v>
      </c>
      <c r="AB121" s="125">
        <f t="shared" si="178"/>
        <v>15.536399999999999</v>
      </c>
      <c r="AC121" s="125">
        <f t="shared" si="179"/>
        <v>7.9200000000000017</v>
      </c>
      <c r="AD121" s="125">
        <f t="shared" si="180"/>
        <v>133.6764</v>
      </c>
      <c r="AF121" s="125" t="str">
        <f>IFERROR(W121*'FlightConfig '!$K$3,"")</f>
        <v/>
      </c>
      <c r="AG121" s="125">
        <f>IFERROR(X121*'FlightConfig '!$K$23,"")</f>
        <v>25705.68</v>
      </c>
      <c r="AH121" s="125">
        <f>IFERROR(Y121*'FlightConfig '!$K$23,"")</f>
        <v>36036</v>
      </c>
      <c r="AI121" s="125">
        <f>IFERROR(Z121*'FlightConfig '!$K$23,"")</f>
        <v>14414.4</v>
      </c>
      <c r="AJ121" s="125">
        <f>IFERROR(AA121*'FlightConfig '!$K$23,"")</f>
        <v>40120.080000000002</v>
      </c>
      <c r="AK121" s="125">
        <f>IFERROR(AB121*'FlightConfig '!$K$23,"")</f>
        <v>5655.2495999999992</v>
      </c>
    </row>
    <row r="122" spans="1:37" ht="18.75" customHeight="1" x14ac:dyDescent="0.25">
      <c r="A122" t="s">
        <v>157</v>
      </c>
      <c r="B122" s="169">
        <v>1</v>
      </c>
      <c r="C122" s="174" t="str">
        <f t="shared" si="185"/>
        <v>PREMIUM ECONOMY CLASS1104</v>
      </c>
      <c r="D122" s="307"/>
      <c r="E122" s="301">
        <v>1254</v>
      </c>
      <c r="F122" s="306">
        <v>104</v>
      </c>
      <c r="G122" t="str">
        <f>VLOOKUP(E122,'FG MASTER'!$A:$AB,2,0)</f>
        <v>2026 PY CY1 ENTRÉE 3 SPINACH CANNELLONI, RATATOUILLE, SAN MARZANO SAUCE, MOZZARELLA CHEESE</v>
      </c>
      <c r="H122" s="282">
        <v>1</v>
      </c>
      <c r="I122" s="171">
        <v>0.35</v>
      </c>
      <c r="J122" s="288">
        <f>IFERROR(IF(I122="std",H122,HLOOKUP(A122,'FlightConfig '!$B$34:$G$35,2,0)*I122),"")</f>
        <v>15.399999999999999</v>
      </c>
      <c r="K122" s="242">
        <f>VLOOKUP(Food!E122,'FG MASTER'!$A$1:$AC$737,16,0)</f>
        <v>2.4500000000000002</v>
      </c>
      <c r="L122" s="243">
        <f>VLOOKUP(Food!E122,'FG MASTER'!$A$10:$AC$737,17,0)</f>
        <v>2.5</v>
      </c>
      <c r="M122" s="130">
        <f t="shared" si="186"/>
        <v>1</v>
      </c>
      <c r="N122" s="130">
        <f t="shared" si="187"/>
        <v>3.45</v>
      </c>
      <c r="O122" s="130">
        <f t="shared" si="143"/>
        <v>0.53900000000000015</v>
      </c>
      <c r="P122" s="130">
        <f t="shared" si="171"/>
        <v>0.19999999999999996</v>
      </c>
      <c r="Q122" s="130">
        <f t="shared" si="147"/>
        <v>4.1890000000000001</v>
      </c>
      <c r="R122" s="398">
        <f t="shared" si="144"/>
        <v>2.9890000000000003</v>
      </c>
      <c r="S122" s="398">
        <f t="shared" si="172"/>
        <v>1.2</v>
      </c>
      <c r="T122" s="398">
        <f t="shared" si="173"/>
        <v>4.1890000000000001</v>
      </c>
      <c r="U122" s="125"/>
      <c r="V122" s="125"/>
      <c r="W122" t="str">
        <f>IFERROR(#REF!*J122,"")</f>
        <v/>
      </c>
      <c r="X122">
        <f t="shared" si="174"/>
        <v>37.729999999999997</v>
      </c>
      <c r="Y122">
        <f t="shared" si="175"/>
        <v>38.5</v>
      </c>
      <c r="Z122" s="125">
        <f t="shared" si="176"/>
        <v>15.399999999999999</v>
      </c>
      <c r="AA122" s="125">
        <f t="shared" si="177"/>
        <v>53.129999999999995</v>
      </c>
      <c r="AB122" s="125">
        <f t="shared" si="178"/>
        <v>8.3006000000000011</v>
      </c>
      <c r="AC122" s="125">
        <f t="shared" si="179"/>
        <v>3.0799999999999992</v>
      </c>
      <c r="AD122" s="125">
        <f t="shared" si="180"/>
        <v>64.510599999999997</v>
      </c>
      <c r="AF122" s="125" t="str">
        <f>IFERROR(W122*'FlightConfig '!$K$3,"")</f>
        <v/>
      </c>
      <c r="AG122" s="125">
        <f>IFERROR(X122*'FlightConfig '!$K$23,"")</f>
        <v>13733.72</v>
      </c>
      <c r="AH122" s="125">
        <f>IFERROR(Y122*'FlightConfig '!$K$23,"")</f>
        <v>14014</v>
      </c>
      <c r="AI122" s="125">
        <f>IFERROR(Z122*'FlightConfig '!$K$23,"")</f>
        <v>5605.5999999999995</v>
      </c>
      <c r="AJ122" s="125">
        <f>IFERROR(AA122*'FlightConfig '!$K$23,"")</f>
        <v>19339.32</v>
      </c>
      <c r="AK122" s="125">
        <f>IFERROR(AB122*'FlightConfig '!$K$23,"")</f>
        <v>3021.4184000000005</v>
      </c>
    </row>
    <row r="123" spans="1:37" ht="18.75" customHeight="1" x14ac:dyDescent="0.25">
      <c r="A123" t="s">
        <v>157</v>
      </c>
      <c r="B123" s="169">
        <v>1</v>
      </c>
      <c r="C123" s="174" t="str">
        <f t="shared" si="185"/>
        <v>PREMIUM ECONOMY CLASS1104</v>
      </c>
      <c r="D123" s="307"/>
      <c r="E123" s="301">
        <v>1255</v>
      </c>
      <c r="F123" s="306">
        <v>104</v>
      </c>
      <c r="G123" t="str">
        <f>VLOOKUP(E123,'FG MASTER'!$A:$AB,2,0)</f>
        <v>2026 PY CY1 STRAWBERRY SWIRL CHEESE CAKE</v>
      </c>
      <c r="H123" s="282">
        <v>1</v>
      </c>
      <c r="I123" s="171">
        <v>1</v>
      </c>
      <c r="J123" s="288">
        <f>IFERROR(IF(I123="std",H123,HLOOKUP(A123,'FlightConfig '!$B$34:$G$35,2,0)*I123),"")</f>
        <v>44</v>
      </c>
      <c r="K123" s="242">
        <f>VLOOKUP(Food!E123,'FG MASTER'!$A$1:$AC$737,16,0)</f>
        <v>0.66</v>
      </c>
      <c r="L123" s="243">
        <f>VLOOKUP(Food!E123,'FG MASTER'!$A$10:$AC$737,17,0)</f>
        <v>1.5</v>
      </c>
      <c r="M123" s="130">
        <f t="shared" si="186"/>
        <v>0.60000000000000009</v>
      </c>
      <c r="N123" s="130">
        <f t="shared" si="187"/>
        <v>1.2600000000000002</v>
      </c>
      <c r="O123" s="130">
        <f t="shared" si="143"/>
        <v>0.1452</v>
      </c>
      <c r="P123" s="130">
        <f t="shared" si="171"/>
        <v>0.12</v>
      </c>
      <c r="Q123" s="130">
        <f t="shared" si="147"/>
        <v>1.5252000000000003</v>
      </c>
      <c r="R123" s="398">
        <f t="shared" si="144"/>
        <v>0.80520000000000003</v>
      </c>
      <c r="S123" s="398">
        <f t="shared" si="172"/>
        <v>0.72000000000000008</v>
      </c>
      <c r="T123" s="398">
        <f t="shared" si="173"/>
        <v>1.5252000000000001</v>
      </c>
      <c r="U123" s="125"/>
      <c r="V123" s="125"/>
      <c r="W123" t="str">
        <f>IFERROR(#REF!*J123,"")</f>
        <v/>
      </c>
      <c r="X123">
        <f t="shared" si="174"/>
        <v>29.040000000000003</v>
      </c>
      <c r="Y123">
        <f t="shared" si="175"/>
        <v>66</v>
      </c>
      <c r="Z123" s="125">
        <f t="shared" si="176"/>
        <v>26.400000000000006</v>
      </c>
      <c r="AA123" s="125">
        <f t="shared" si="177"/>
        <v>55.440000000000012</v>
      </c>
      <c r="AB123" s="125">
        <f t="shared" si="178"/>
        <v>6.3887999999999998</v>
      </c>
      <c r="AC123" s="125">
        <f t="shared" si="179"/>
        <v>5.2799999999999994</v>
      </c>
      <c r="AD123" s="125">
        <f t="shared" si="180"/>
        <v>67.108800000000016</v>
      </c>
      <c r="AF123" s="125" t="str">
        <f>IFERROR(W123*'FlightConfig '!$K$3,"")</f>
        <v/>
      </c>
      <c r="AG123" s="125">
        <f>IFERROR(X123*'FlightConfig '!$K$23,"")</f>
        <v>10570.560000000001</v>
      </c>
      <c r="AH123" s="125">
        <f>IFERROR(Y123*'FlightConfig '!$K$23,"")</f>
        <v>24024</v>
      </c>
      <c r="AI123" s="125">
        <f>IFERROR(Z123*'FlightConfig '!$K$23,"")</f>
        <v>9609.6000000000022</v>
      </c>
      <c r="AJ123" s="125">
        <f>IFERROR(AA123*'FlightConfig '!$K$23,"")</f>
        <v>20180.160000000003</v>
      </c>
      <c r="AK123" s="125">
        <f>IFERROR(AB123*'FlightConfig '!$K$23,"")</f>
        <v>2325.5232000000001</v>
      </c>
    </row>
    <row r="124" spans="1:37" ht="18.75" customHeight="1" x14ac:dyDescent="0.25">
      <c r="A124" t="s">
        <v>157</v>
      </c>
      <c r="B124" s="169">
        <v>1</v>
      </c>
      <c r="C124" s="174" t="str">
        <f t="shared" si="185"/>
        <v>PREMIUM ECONOMY CLASS1104</v>
      </c>
      <c r="D124" s="307"/>
      <c r="E124" s="301">
        <v>1256</v>
      </c>
      <c r="F124" s="306">
        <v>104</v>
      </c>
      <c r="G124" t="str">
        <f>VLOOKUP(E124,'FG MASTER'!$A:$AB,2,0)</f>
        <v>2026 PY CY1 CHEESE PLATE</v>
      </c>
      <c r="H124" s="282">
        <v>1</v>
      </c>
      <c r="I124" s="171">
        <v>1</v>
      </c>
      <c r="J124" s="288">
        <f>IFERROR(IF(I124="std",H124,HLOOKUP(A124,'FlightConfig '!$B$34:$G$35,2,0)*I124),"")</f>
        <v>44</v>
      </c>
      <c r="K124" s="242">
        <f>VLOOKUP(Food!E124,'FG MASTER'!$A$1:$AC$737,16,0)</f>
        <v>1.51</v>
      </c>
      <c r="L124" s="243">
        <f>VLOOKUP(Food!E124,'FG MASTER'!$A$10:$AC$737,17,0)</f>
        <v>1.5</v>
      </c>
      <c r="M124" s="130">
        <f t="shared" si="186"/>
        <v>0.60000000000000009</v>
      </c>
      <c r="N124" s="130">
        <f t="shared" si="187"/>
        <v>2.1100000000000003</v>
      </c>
      <c r="O124" s="130">
        <f t="shared" si="143"/>
        <v>0.33220000000000005</v>
      </c>
      <c r="P124" s="130">
        <f t="shared" si="171"/>
        <v>0.12</v>
      </c>
      <c r="Q124" s="130">
        <f t="shared" si="147"/>
        <v>2.5622000000000007</v>
      </c>
      <c r="R124" s="398">
        <f t="shared" si="144"/>
        <v>1.8422000000000001</v>
      </c>
      <c r="S124" s="398">
        <f t="shared" si="172"/>
        <v>0.72000000000000008</v>
      </c>
      <c r="T124" s="398">
        <f t="shared" si="173"/>
        <v>2.5622000000000003</v>
      </c>
      <c r="U124" s="125"/>
      <c r="V124" s="125"/>
      <c r="W124" t="str">
        <f>IFERROR(#REF!*J124,"")</f>
        <v/>
      </c>
      <c r="X124">
        <f t="shared" si="174"/>
        <v>66.44</v>
      </c>
      <c r="Y124">
        <f t="shared" si="175"/>
        <v>66</v>
      </c>
      <c r="Z124" s="125">
        <f t="shared" si="176"/>
        <v>26.400000000000006</v>
      </c>
      <c r="AA124" s="125">
        <f t="shared" si="177"/>
        <v>92.840000000000018</v>
      </c>
      <c r="AB124" s="125">
        <f t="shared" si="178"/>
        <v>14.616800000000001</v>
      </c>
      <c r="AC124" s="125">
        <f t="shared" si="179"/>
        <v>5.2799999999999994</v>
      </c>
      <c r="AD124" s="125">
        <f t="shared" si="180"/>
        <v>112.73680000000003</v>
      </c>
      <c r="AF124" s="125" t="str">
        <f>IFERROR(W124*'FlightConfig '!$K$3,"")</f>
        <v/>
      </c>
      <c r="AG124" s="125">
        <f>IFERROR(X124*'FlightConfig '!$K$23,"")</f>
        <v>24184.16</v>
      </c>
      <c r="AH124" s="125">
        <f>IFERROR(Y124*'FlightConfig '!$K$23,"")</f>
        <v>24024</v>
      </c>
      <c r="AI124" s="125">
        <f>IFERROR(Z124*'FlightConfig '!$K$23,"")</f>
        <v>9609.6000000000022</v>
      </c>
      <c r="AJ124" s="125">
        <f>IFERROR(AA124*'FlightConfig '!$K$23,"")</f>
        <v>33793.760000000009</v>
      </c>
      <c r="AK124" s="125">
        <f>IFERROR(AB124*'FlightConfig '!$K$23,"")</f>
        <v>5320.5152000000007</v>
      </c>
    </row>
    <row r="125" spans="1:37" ht="18.75" customHeight="1" x14ac:dyDescent="0.25">
      <c r="A125" t="s">
        <v>157</v>
      </c>
      <c r="B125" s="169">
        <v>1</v>
      </c>
      <c r="C125" s="174" t="str">
        <f t="shared" si="185"/>
        <v>PREMIUM ECONOMY CLASS1104</v>
      </c>
      <c r="D125" s="307"/>
      <c r="E125" s="301">
        <v>1120</v>
      </c>
      <c r="F125" s="306">
        <v>104</v>
      </c>
      <c r="G125" t="str">
        <f>VLOOKUP(E125,'FG MASTER'!$A:$AB,2,0)</f>
        <v>PY C1 BREAKFAST TSU</v>
      </c>
      <c r="H125" s="282">
        <v>1</v>
      </c>
      <c r="I125" s="171">
        <v>1</v>
      </c>
      <c r="J125" s="288">
        <f>IFERROR(IF(I125="std",H125,HLOOKUP(A125,'FlightConfig '!$B$34:$G$35,2,0)*I125),"")</f>
        <v>44</v>
      </c>
      <c r="K125" s="242">
        <f>VLOOKUP(Food!E125,'FG MASTER'!$A$1:$AC$737,16,0)</f>
        <v>0</v>
      </c>
      <c r="L125" s="243">
        <f>VLOOKUP(Food!E125,'FG MASTER'!$A$10:$AC$737,17,0)</f>
        <v>1.25</v>
      </c>
      <c r="M125" s="130">
        <f t="shared" si="186"/>
        <v>0.5</v>
      </c>
      <c r="N125" s="130">
        <f t="shared" si="187"/>
        <v>0.5</v>
      </c>
      <c r="O125" s="130">
        <f t="shared" si="143"/>
        <v>0</v>
      </c>
      <c r="P125" s="130">
        <f t="shared" si="171"/>
        <v>9.9999999999999978E-2</v>
      </c>
      <c r="Q125" s="130">
        <f t="shared" si="147"/>
        <v>0.6</v>
      </c>
      <c r="R125" s="398">
        <f t="shared" si="144"/>
        <v>0</v>
      </c>
      <c r="S125" s="398">
        <f t="shared" si="172"/>
        <v>0.6</v>
      </c>
      <c r="T125" s="398">
        <f t="shared" si="173"/>
        <v>0.6</v>
      </c>
      <c r="U125" s="125"/>
      <c r="V125" s="125"/>
      <c r="W125" t="str">
        <f>IFERROR(#REF!*J125,"")</f>
        <v/>
      </c>
      <c r="X125">
        <f t="shared" si="174"/>
        <v>0</v>
      </c>
      <c r="Y125">
        <f t="shared" si="175"/>
        <v>55</v>
      </c>
      <c r="Z125" s="125">
        <f t="shared" si="176"/>
        <v>22</v>
      </c>
      <c r="AA125" s="125">
        <f t="shared" si="177"/>
        <v>22</v>
      </c>
      <c r="AB125" s="125">
        <f t="shared" si="178"/>
        <v>0</v>
      </c>
      <c r="AC125" s="125">
        <f t="shared" si="179"/>
        <v>4.3999999999999986</v>
      </c>
      <c r="AD125" s="125">
        <f t="shared" si="180"/>
        <v>26.4</v>
      </c>
      <c r="AF125" s="125" t="str">
        <f>IFERROR(W125*'FlightConfig '!$K$3,"")</f>
        <v/>
      </c>
      <c r="AG125" s="125">
        <f>IFERROR(X125*'FlightConfig '!$K$23,"")</f>
        <v>0</v>
      </c>
      <c r="AH125" s="125">
        <f>IFERROR(Y125*'FlightConfig '!$K$23,"")</f>
        <v>20020</v>
      </c>
      <c r="AI125" s="125">
        <f>IFERROR(Z125*'FlightConfig '!$K$23,"")</f>
        <v>8008</v>
      </c>
      <c r="AJ125" s="125">
        <f>IFERROR(AA125*'FlightConfig '!$K$23,"")</f>
        <v>8008</v>
      </c>
      <c r="AK125" s="125">
        <f>IFERROR(AB125*'FlightConfig '!$K$23,"")</f>
        <v>0</v>
      </c>
    </row>
    <row r="126" spans="1:37" ht="18.75" customHeight="1" x14ac:dyDescent="0.25">
      <c r="A126" t="s">
        <v>157</v>
      </c>
      <c r="B126" s="169">
        <v>1</v>
      </c>
      <c r="C126" s="174" t="str">
        <f t="shared" si="185"/>
        <v>PREMIUM ECONOMY CLASS1104</v>
      </c>
      <c r="D126" s="307"/>
      <c r="E126" s="301">
        <v>1257</v>
      </c>
      <c r="F126" s="306">
        <v>104</v>
      </c>
      <c r="G126" t="str">
        <f>VLOOKUP(E126,'FG MASTER'!$A:$AB,2,0)</f>
        <v>2026 PY CY1 ENGLISH MUFFIN, EGG PATTY WITH CHICKEN SAUSAGE PATTY AND CHEDDAR CHEESE</v>
      </c>
      <c r="H126" s="282">
        <v>1</v>
      </c>
      <c r="I126" s="171">
        <v>0.5</v>
      </c>
      <c r="J126" s="288">
        <f>IFERROR(IF(I126="std",H126,HLOOKUP(A126,'FlightConfig '!$B$34:$G$35,2,0)*I126),"")</f>
        <v>22</v>
      </c>
      <c r="K126" s="242">
        <f>VLOOKUP(Food!E126,'FG MASTER'!$A$1:$AC$737,16,0)</f>
        <v>1.08</v>
      </c>
      <c r="L126" s="243">
        <f>VLOOKUP(Food!E126,'FG MASTER'!$A$10:$AC$737,17,0)</f>
        <v>2</v>
      </c>
      <c r="M126" s="130">
        <f t="shared" si="186"/>
        <v>0.8</v>
      </c>
      <c r="N126" s="130">
        <f t="shared" si="187"/>
        <v>1.8800000000000001</v>
      </c>
      <c r="O126" s="130">
        <f t="shared" si="143"/>
        <v>0.23760000000000003</v>
      </c>
      <c r="P126" s="130">
        <f t="shared" si="171"/>
        <v>0.15999999999999992</v>
      </c>
      <c r="Q126" s="130">
        <f t="shared" si="147"/>
        <v>2.2776000000000005</v>
      </c>
      <c r="R126" s="398">
        <f t="shared" si="144"/>
        <v>1.3176000000000001</v>
      </c>
      <c r="S126" s="398">
        <f t="shared" si="172"/>
        <v>0.96</v>
      </c>
      <c r="T126" s="398">
        <f t="shared" si="173"/>
        <v>2.2776000000000001</v>
      </c>
      <c r="U126" s="125"/>
      <c r="V126" s="125"/>
      <c r="W126" t="str">
        <f>IFERROR(#REF!*J126,"")</f>
        <v/>
      </c>
      <c r="X126">
        <f t="shared" si="174"/>
        <v>23.76</v>
      </c>
      <c r="Y126">
        <f t="shared" si="175"/>
        <v>44</v>
      </c>
      <c r="Z126" s="125">
        <f t="shared" si="176"/>
        <v>17.600000000000001</v>
      </c>
      <c r="AA126" s="125">
        <f t="shared" si="177"/>
        <v>41.36</v>
      </c>
      <c r="AB126" s="125">
        <f t="shared" si="178"/>
        <v>5.2272000000000007</v>
      </c>
      <c r="AC126" s="125">
        <f t="shared" si="179"/>
        <v>3.5199999999999982</v>
      </c>
      <c r="AD126" s="125">
        <f t="shared" si="180"/>
        <v>50.107200000000013</v>
      </c>
      <c r="AF126" s="125" t="str">
        <f>IFERROR(W126*'FlightConfig '!$K$3,"")</f>
        <v/>
      </c>
      <c r="AG126" s="125">
        <f>IFERROR(X126*'FlightConfig '!$K$23,"")</f>
        <v>8648.6400000000012</v>
      </c>
      <c r="AH126" s="125">
        <f>IFERROR(Y126*'FlightConfig '!$K$23,"")</f>
        <v>16016</v>
      </c>
      <c r="AI126" s="125">
        <f>IFERROR(Z126*'FlightConfig '!$K$23,"")</f>
        <v>6406.4000000000005</v>
      </c>
      <c r="AJ126" s="125">
        <f>IFERROR(AA126*'FlightConfig '!$K$23,"")</f>
        <v>15055.039999999999</v>
      </c>
      <c r="AK126" s="125">
        <f>IFERROR(AB126*'FlightConfig '!$K$23,"")</f>
        <v>1902.7008000000003</v>
      </c>
    </row>
    <row r="127" spans="1:37" ht="18.75" customHeight="1" x14ac:dyDescent="0.25">
      <c r="A127" t="s">
        <v>157</v>
      </c>
      <c r="B127" s="169">
        <v>1</v>
      </c>
      <c r="C127" s="174" t="str">
        <f t="shared" si="185"/>
        <v>PREMIUM ECONOMY CLASS1104</v>
      </c>
      <c r="D127" s="307"/>
      <c r="E127" s="301">
        <v>1258</v>
      </c>
      <c r="F127" s="306">
        <v>104</v>
      </c>
      <c r="G127" t="str">
        <f>VLOOKUP(E127,'FG MASTER'!$A:$AB,2,0)</f>
        <v>2026 PY CY1 CIABATTA, EGG PATTY, SUN DRIED TOMATO PESTO, SPINACH, SWISS CHEESE</v>
      </c>
      <c r="H127" s="282">
        <v>1</v>
      </c>
      <c r="I127" s="171">
        <v>0.5</v>
      </c>
      <c r="J127" s="288">
        <f>IFERROR(IF(I127="std",H127,HLOOKUP(A127,'FlightConfig '!$B$34:$G$35,2,0)*I127),"")</f>
        <v>22</v>
      </c>
      <c r="K127" s="242">
        <f>VLOOKUP(Food!E127,'FG MASTER'!$A$1:$AC$737,16,0)</f>
        <v>1.39</v>
      </c>
      <c r="L127" s="243">
        <f>VLOOKUP(Food!E127,'FG MASTER'!$A$10:$AC$737,17,0)</f>
        <v>2</v>
      </c>
      <c r="M127" s="130">
        <f t="shared" si="186"/>
        <v>0.8</v>
      </c>
      <c r="N127" s="130">
        <f t="shared" si="187"/>
        <v>2.19</v>
      </c>
      <c r="O127" s="130">
        <f t="shared" si="143"/>
        <v>0.30579999999999985</v>
      </c>
      <c r="P127" s="130">
        <f t="shared" si="171"/>
        <v>0.15999999999999992</v>
      </c>
      <c r="Q127" s="130">
        <f t="shared" si="147"/>
        <v>2.6558000000000002</v>
      </c>
      <c r="R127" s="398">
        <f t="shared" si="144"/>
        <v>1.6957999999999998</v>
      </c>
      <c r="S127" s="398">
        <f t="shared" si="172"/>
        <v>0.96</v>
      </c>
      <c r="T127" s="398">
        <f t="shared" si="173"/>
        <v>2.6557999999999997</v>
      </c>
      <c r="U127" s="125"/>
      <c r="V127" s="125"/>
      <c r="W127" t="str">
        <f>IFERROR(#REF!*J127,"")</f>
        <v/>
      </c>
      <c r="X127">
        <f t="shared" si="174"/>
        <v>30.58</v>
      </c>
      <c r="Y127">
        <f t="shared" si="175"/>
        <v>44</v>
      </c>
      <c r="Z127" s="125">
        <f t="shared" si="176"/>
        <v>17.600000000000001</v>
      </c>
      <c r="AA127" s="125">
        <f t="shared" si="177"/>
        <v>48.18</v>
      </c>
      <c r="AB127" s="125">
        <f t="shared" si="178"/>
        <v>6.7275999999999971</v>
      </c>
      <c r="AC127" s="125">
        <f t="shared" si="179"/>
        <v>3.5199999999999982</v>
      </c>
      <c r="AD127" s="125">
        <f t="shared" si="180"/>
        <v>58.427600000000005</v>
      </c>
      <c r="AF127" s="125" t="str">
        <f>IFERROR(W127*'FlightConfig '!$K$3,"")</f>
        <v/>
      </c>
      <c r="AG127" s="125">
        <f>IFERROR(X127*'FlightConfig '!$K$23,"")</f>
        <v>11131.119999999999</v>
      </c>
      <c r="AH127" s="125">
        <f>IFERROR(Y127*'FlightConfig '!$K$23,"")</f>
        <v>16016</v>
      </c>
      <c r="AI127" s="125">
        <f>IFERROR(Z127*'FlightConfig '!$K$23,"")</f>
        <v>6406.4000000000005</v>
      </c>
      <c r="AJ127" s="125">
        <f>IFERROR(AA127*'FlightConfig '!$K$23,"")</f>
        <v>17537.52</v>
      </c>
      <c r="AK127" s="125">
        <f>IFERROR(AB127*'FlightConfig '!$K$23,"")</f>
        <v>2448.846399999999</v>
      </c>
    </row>
    <row r="128" spans="1:37" ht="18.75" customHeight="1" x14ac:dyDescent="0.25">
      <c r="A128" t="s">
        <v>157</v>
      </c>
      <c r="B128" s="169">
        <v>1</v>
      </c>
      <c r="C128" s="174" t="str">
        <f t="shared" si="185"/>
        <v>PREMIUM ECONOMY CLASS1104</v>
      </c>
      <c r="D128" s="307"/>
      <c r="E128" s="301">
        <v>1259</v>
      </c>
      <c r="F128" s="306">
        <v>104</v>
      </c>
      <c r="G128" t="str">
        <f>VLOOKUP(E128,'FG MASTER'!$A:$AB,2,0)</f>
        <v>2026 PY CY1 LAYERED YOGURT, KIWI, STRAWBERRY, BLUEBERRY AND GRANOLA</v>
      </c>
      <c r="H128" s="282">
        <v>1</v>
      </c>
      <c r="I128" s="171">
        <v>1</v>
      </c>
      <c r="J128" s="288">
        <f>IFERROR(IF(I128="std",H128,HLOOKUP(A128,'FlightConfig '!$B$34:$G$35,2,0)*I128),"")</f>
        <v>44</v>
      </c>
      <c r="K128" s="242">
        <f>VLOOKUP(Food!E128,'FG MASTER'!$A$1:$AC$737,16,0)</f>
        <v>0.99</v>
      </c>
      <c r="L128" s="243">
        <f>VLOOKUP(Food!E128,'FG MASTER'!$A$10:$AC$737,17,0)</f>
        <v>1.25</v>
      </c>
      <c r="M128" s="130">
        <f t="shared" si="186"/>
        <v>0.5</v>
      </c>
      <c r="N128" s="130">
        <f t="shared" si="187"/>
        <v>1.49</v>
      </c>
      <c r="O128" s="130">
        <f t="shared" si="143"/>
        <v>0.21779999999999999</v>
      </c>
      <c r="P128" s="130">
        <f t="shared" si="171"/>
        <v>9.9999999999999978E-2</v>
      </c>
      <c r="Q128" s="130">
        <f t="shared" si="147"/>
        <v>1.8077999999999999</v>
      </c>
      <c r="R128" s="398">
        <f t="shared" si="144"/>
        <v>1.2078</v>
      </c>
      <c r="S128" s="398">
        <f t="shared" si="172"/>
        <v>0.6</v>
      </c>
      <c r="T128" s="398">
        <f t="shared" si="173"/>
        <v>1.8077999999999999</v>
      </c>
      <c r="U128" s="125"/>
      <c r="V128" s="125"/>
      <c r="W128" t="str">
        <f>IFERROR(#REF!*J128,"")</f>
        <v/>
      </c>
      <c r="X128">
        <f t="shared" si="174"/>
        <v>43.56</v>
      </c>
      <c r="Y128">
        <f t="shared" si="175"/>
        <v>55</v>
      </c>
      <c r="Z128" s="125">
        <f t="shared" si="176"/>
        <v>22</v>
      </c>
      <c r="AA128" s="125">
        <f t="shared" si="177"/>
        <v>65.56</v>
      </c>
      <c r="AB128" s="125">
        <f t="shared" si="178"/>
        <v>9.5831999999999997</v>
      </c>
      <c r="AC128" s="125">
        <f t="shared" si="179"/>
        <v>4.3999999999999986</v>
      </c>
      <c r="AD128" s="125">
        <f t="shared" si="180"/>
        <v>79.543199999999999</v>
      </c>
      <c r="AF128" s="125" t="str">
        <f>IFERROR(W128*'FlightConfig '!$K$3,"")</f>
        <v/>
      </c>
      <c r="AG128" s="125">
        <f>IFERROR(X128*'FlightConfig '!$K$23,"")</f>
        <v>15855.84</v>
      </c>
      <c r="AH128" s="125">
        <f>IFERROR(Y128*'FlightConfig '!$K$23,"")</f>
        <v>20020</v>
      </c>
      <c r="AI128" s="125">
        <f>IFERROR(Z128*'FlightConfig '!$K$23,"")</f>
        <v>8008</v>
      </c>
      <c r="AJ128" s="125">
        <f>IFERROR(AA128*'FlightConfig '!$K$23,"")</f>
        <v>23863.84</v>
      </c>
      <c r="AK128" s="125">
        <f>IFERROR(AB128*'FlightConfig '!$K$23,"")</f>
        <v>3488.2847999999999</v>
      </c>
    </row>
    <row r="129" spans="1:37" ht="18.75" customHeight="1" x14ac:dyDescent="0.25">
      <c r="A129" t="s">
        <v>158</v>
      </c>
      <c r="B129" s="169">
        <v>1</v>
      </c>
      <c r="C129" s="174" t="str">
        <f>CONCATENATE(A129&amp;B129&amp;F129)</f>
        <v>ECONOMY CLASS1104</v>
      </c>
      <c r="D129" s="307"/>
      <c r="E129" s="301">
        <v>1127</v>
      </c>
      <c r="F129" s="306">
        <v>104</v>
      </c>
      <c r="G129" t="str">
        <f>VLOOKUP(E129,'FG MASTER'!$A:$AB,2,0)</f>
        <v>YC C1 DINNER TSU</v>
      </c>
      <c r="H129" s="282">
        <v>1</v>
      </c>
      <c r="I129" s="171">
        <v>1</v>
      </c>
      <c r="J129" s="288">
        <f>IFERROR(IF(I129="std",H129,HLOOKUP(A129,'FlightConfig '!$B$34:$G$35,2,0)*I129),"")</f>
        <v>184</v>
      </c>
      <c r="K129" s="242">
        <f>VLOOKUP(Food!E129,'FG MASTER'!$A$1:$AC$737,16,0)</f>
        <v>0</v>
      </c>
      <c r="L129" s="243">
        <f>VLOOKUP(Food!E129,'FG MASTER'!$A$10:$AC$737,17,0)</f>
        <v>0.5</v>
      </c>
      <c r="M129" s="130">
        <f t="shared" si="186"/>
        <v>0.2</v>
      </c>
      <c r="N129" s="130">
        <f>IFERROR((K129)+M129,"")</f>
        <v>0.2</v>
      </c>
      <c r="O129" s="130">
        <f t="shared" si="143"/>
        <v>0</v>
      </c>
      <c r="P129" s="130">
        <f t="shared" si="171"/>
        <v>3.999999999999998E-2</v>
      </c>
      <c r="Q129" s="130">
        <f t="shared" si="147"/>
        <v>0.24</v>
      </c>
      <c r="R129" s="398">
        <f t="shared" si="144"/>
        <v>0</v>
      </c>
      <c r="S129" s="398">
        <f t="shared" si="172"/>
        <v>0.24</v>
      </c>
      <c r="T129" s="398">
        <f t="shared" si="173"/>
        <v>0.24</v>
      </c>
      <c r="U129" s="125"/>
      <c r="V129" s="125"/>
      <c r="W129" t="str">
        <f>IFERROR(#REF!*J129,"")</f>
        <v/>
      </c>
      <c r="X129">
        <f t="shared" si="174"/>
        <v>0</v>
      </c>
      <c r="Y129">
        <f t="shared" si="175"/>
        <v>92</v>
      </c>
      <c r="Z129" s="125">
        <f t="shared" si="176"/>
        <v>36.800000000000004</v>
      </c>
      <c r="AA129" s="125">
        <f t="shared" si="177"/>
        <v>36.800000000000004</v>
      </c>
      <c r="AB129" s="125">
        <f t="shared" si="178"/>
        <v>0</v>
      </c>
      <c r="AC129" s="125">
        <f t="shared" si="179"/>
        <v>7.3599999999999959</v>
      </c>
      <c r="AD129" s="125">
        <f t="shared" si="180"/>
        <v>44.16</v>
      </c>
      <c r="AF129" s="125" t="str">
        <f>IFERROR(W129*'FlightConfig '!$K$3,"")</f>
        <v/>
      </c>
      <c r="AG129" s="125">
        <f>IFERROR(X129*'FlightConfig '!$K$23,"")</f>
        <v>0</v>
      </c>
      <c r="AH129" s="125">
        <f>IFERROR(Y129*'FlightConfig '!$K$23,"")</f>
        <v>33488</v>
      </c>
      <c r="AI129" s="125">
        <f>IFERROR(Z129*'FlightConfig '!$K$23,"")</f>
        <v>13395.2</v>
      </c>
      <c r="AJ129" s="125">
        <f>IFERROR(AA129*'FlightConfig '!$K$23,"")</f>
        <v>13395.2</v>
      </c>
      <c r="AK129" s="125">
        <f>IFERROR(AB129*'FlightConfig '!$K$23,"")</f>
        <v>0</v>
      </c>
    </row>
    <row r="130" spans="1:37" ht="18.75" customHeight="1" x14ac:dyDescent="0.25">
      <c r="A130" t="s">
        <v>158</v>
      </c>
      <c r="B130" s="169">
        <v>1</v>
      </c>
      <c r="C130" s="174" t="str">
        <f t="shared" ref="C130" si="198">CONCATENATE(A130&amp;B130&amp;F130)</f>
        <v>ECONOMY CLASS1104</v>
      </c>
      <c r="D130" s="307"/>
      <c r="E130" s="301">
        <v>1225</v>
      </c>
      <c r="F130" s="306">
        <v>104</v>
      </c>
      <c r="G130" t="str">
        <f>VLOOKUP(E130,'FG MASTER'!$A:$AB,2,0)</f>
        <v>WATER 250ML (FROM MLCO</v>
      </c>
      <c r="H130" s="282">
        <v>1</v>
      </c>
      <c r="I130" s="171">
        <v>1</v>
      </c>
      <c r="J130" s="288">
        <f>IFERROR(IF(I130="std",H130,HLOOKUP(A130,'FlightConfig '!$B$34:$G$35,2,0)*I130),"")</f>
        <v>184</v>
      </c>
      <c r="K130" s="242">
        <f>VLOOKUP(Food!E130,'FG MASTER'!$A$1:$AC$737,16,0)</f>
        <v>0.29363333333333336</v>
      </c>
      <c r="L130" s="243">
        <f>VLOOKUP(Food!E130,'FG MASTER'!$A$10:$AC$737,17,0)</f>
        <v>0.25</v>
      </c>
      <c r="M130" s="130">
        <f t="shared" si="186"/>
        <v>0.1</v>
      </c>
      <c r="N130" s="130">
        <f t="shared" ref="N130" si="199">IFERROR((K130)+M130,"")</f>
        <v>0.39363333333333339</v>
      </c>
      <c r="O130" s="130">
        <f t="shared" si="143"/>
        <v>6.4599333333333342E-2</v>
      </c>
      <c r="P130" s="130">
        <f t="shared" si="171"/>
        <v>1.999999999999999E-2</v>
      </c>
      <c r="Q130" s="130">
        <f t="shared" si="147"/>
        <v>0.47823266666666675</v>
      </c>
      <c r="R130" s="398">
        <f t="shared" si="144"/>
        <v>0.3582326666666667</v>
      </c>
      <c r="S130" s="398">
        <f t="shared" si="172"/>
        <v>0.12</v>
      </c>
      <c r="T130" s="398">
        <f t="shared" si="173"/>
        <v>0.47823266666666669</v>
      </c>
      <c r="U130" s="125"/>
      <c r="V130" s="125"/>
      <c r="W130" t="str">
        <f>IFERROR(#REF!*J130,"")</f>
        <v/>
      </c>
      <c r="X130">
        <f t="shared" si="174"/>
        <v>54.028533333333336</v>
      </c>
      <c r="Y130">
        <f t="shared" si="175"/>
        <v>46</v>
      </c>
      <c r="Z130" s="125">
        <f t="shared" si="176"/>
        <v>18.400000000000002</v>
      </c>
      <c r="AA130" s="125">
        <f t="shared" si="177"/>
        <v>72.428533333333348</v>
      </c>
      <c r="AB130" s="125">
        <f t="shared" si="178"/>
        <v>11.886277333333336</v>
      </c>
      <c r="AC130" s="125">
        <f t="shared" si="179"/>
        <v>3.6799999999999979</v>
      </c>
      <c r="AD130" s="125">
        <f t="shared" si="180"/>
        <v>87.99481066666668</v>
      </c>
      <c r="AF130" s="125" t="str">
        <f>IFERROR(W130*'FlightConfig '!$K$3,"")</f>
        <v/>
      </c>
      <c r="AG130" s="125">
        <f>IFERROR(X130*'FlightConfig '!$K$23,"")</f>
        <v>19666.386133333333</v>
      </c>
      <c r="AH130" s="125">
        <f>IFERROR(Y130*'FlightConfig '!$K$23,"")</f>
        <v>16744</v>
      </c>
      <c r="AI130" s="125">
        <f>IFERROR(Z130*'FlightConfig '!$K$23,"")</f>
        <v>6697.6</v>
      </c>
      <c r="AJ130" s="125">
        <f>IFERROR(AA130*'FlightConfig '!$K$23,"")</f>
        <v>26363.986133333339</v>
      </c>
      <c r="AK130" s="125">
        <f>IFERROR(AB130*'FlightConfig '!$K$23,"")</f>
        <v>4326.6049493333339</v>
      </c>
    </row>
    <row r="131" spans="1:37" ht="18.75" customHeight="1" x14ac:dyDescent="0.25">
      <c r="A131" t="s">
        <v>158</v>
      </c>
      <c r="B131" s="169">
        <v>1</v>
      </c>
      <c r="C131" s="174" t="str">
        <f>CONCATENATE(A131&amp;B131&amp;F131)</f>
        <v>ECONOMY CLASS1104</v>
      </c>
      <c r="D131" s="307"/>
      <c r="E131" s="301">
        <v>1129</v>
      </c>
      <c r="F131" s="306">
        <v>104</v>
      </c>
      <c r="G131" t="str">
        <f>VLOOKUP(E131,'FG MASTER'!$A:$AB,2,0)</f>
        <v>YC C1 DINNER BUTTER</v>
      </c>
      <c r="H131" s="282">
        <v>1</v>
      </c>
      <c r="I131" s="171">
        <v>1</v>
      </c>
      <c r="J131" s="288">
        <f>IFERROR(IF(I131="std",H131,HLOOKUP(A131,'FlightConfig '!$B$34:$G$35,2,0)*I131),"")</f>
        <v>184</v>
      </c>
      <c r="K131" s="242">
        <f>VLOOKUP(Food!E131,'FG MASTER'!$A$1:$AC$737,16,0)</f>
        <v>0.3</v>
      </c>
      <c r="L131" s="243">
        <f>VLOOKUP(Food!E131,'FG MASTER'!$A$10:$AC$737,17,0)</f>
        <v>0.25</v>
      </c>
      <c r="M131" s="130">
        <f t="shared" si="186"/>
        <v>0.1</v>
      </c>
      <c r="N131" s="130">
        <f>IFERROR((K131)+M131,"")</f>
        <v>0.4</v>
      </c>
      <c r="O131" s="130">
        <f t="shared" si="143"/>
        <v>6.6000000000000003E-2</v>
      </c>
      <c r="P131" s="130">
        <f t="shared" si="171"/>
        <v>1.999999999999999E-2</v>
      </c>
      <c r="Q131" s="130">
        <f t="shared" si="147"/>
        <v>0.48599999999999999</v>
      </c>
      <c r="R131" s="398">
        <f t="shared" si="144"/>
        <v>0.36599999999999999</v>
      </c>
      <c r="S131" s="398">
        <f t="shared" si="172"/>
        <v>0.12</v>
      </c>
      <c r="T131" s="398">
        <f t="shared" si="173"/>
        <v>0.48599999999999999</v>
      </c>
      <c r="U131" s="125"/>
      <c r="V131" s="125"/>
      <c r="W131" t="str">
        <f>IFERROR(#REF!*J131,"")</f>
        <v/>
      </c>
      <c r="X131">
        <f t="shared" si="174"/>
        <v>55.199999999999996</v>
      </c>
      <c r="Y131">
        <f t="shared" si="175"/>
        <v>46</v>
      </c>
      <c r="Z131" s="125">
        <f t="shared" si="176"/>
        <v>18.400000000000002</v>
      </c>
      <c r="AA131" s="125">
        <f t="shared" si="177"/>
        <v>73.600000000000009</v>
      </c>
      <c r="AB131" s="125">
        <f t="shared" si="178"/>
        <v>12.144</v>
      </c>
      <c r="AC131" s="125">
        <f t="shared" si="179"/>
        <v>3.6799999999999979</v>
      </c>
      <c r="AD131" s="125">
        <f t="shared" si="180"/>
        <v>89.423999999999992</v>
      </c>
      <c r="AF131" s="125" t="str">
        <f>IFERROR(W131*'FlightConfig '!$K$3,"")</f>
        <v/>
      </c>
      <c r="AG131" s="125">
        <f>IFERROR(X131*'FlightConfig '!$K$23,"")</f>
        <v>20092.8</v>
      </c>
      <c r="AH131" s="125">
        <f>IFERROR(Y131*'FlightConfig '!$K$23,"")</f>
        <v>16744</v>
      </c>
      <c r="AI131" s="125">
        <f>IFERROR(Z131*'FlightConfig '!$K$23,"")</f>
        <v>6697.6</v>
      </c>
      <c r="AJ131" s="125">
        <f>IFERROR(AA131*'FlightConfig '!$K$23,"")</f>
        <v>26790.400000000001</v>
      </c>
      <c r="AK131" s="125">
        <f>IFERROR(AB131*'FlightConfig '!$K$23,"")</f>
        <v>4420.4160000000002</v>
      </c>
    </row>
    <row r="132" spans="1:37" ht="18.75" customHeight="1" x14ac:dyDescent="0.25">
      <c r="A132" t="s">
        <v>158</v>
      </c>
      <c r="B132" s="169">
        <v>1</v>
      </c>
      <c r="C132" s="174" t="str">
        <f>CONCATENATE(A132&amp;B132&amp;F132)</f>
        <v>ECONOMY CLASS1104</v>
      </c>
      <c r="D132" s="307"/>
      <c r="E132" s="301">
        <v>1261</v>
      </c>
      <c r="F132" s="306">
        <v>104</v>
      </c>
      <c r="G132" t="str">
        <f>VLOOKUP(E132,'FG MASTER'!$A:$AB,2,0)</f>
        <v>2026 YC CY1 SALAD DRESSING</v>
      </c>
      <c r="H132" s="282">
        <v>1</v>
      </c>
      <c r="I132" s="171">
        <v>1</v>
      </c>
      <c r="J132" s="288">
        <f>IFERROR(IF(I132="std",H132,HLOOKUP(A132,'FlightConfig '!$B$34:$G$35,2,0)*I132),"")</f>
        <v>184</v>
      </c>
      <c r="K132" s="242">
        <f>VLOOKUP(Food!E132,'FG MASTER'!$A$1:$AC$737,16,0)</f>
        <v>0.05</v>
      </c>
      <c r="L132" s="243">
        <f>VLOOKUP(Food!E132,'FG MASTER'!$A$10:$AC$737,17,0)</f>
        <v>0.15</v>
      </c>
      <c r="M132" s="130">
        <f t="shared" si="186"/>
        <v>0.06</v>
      </c>
      <c r="N132" s="130">
        <f>IFERROR((K132)+M132,"")</f>
        <v>0.11</v>
      </c>
      <c r="O132" s="130">
        <f t="shared" si="143"/>
        <v>1.0999999999999996E-2</v>
      </c>
      <c r="P132" s="130">
        <f t="shared" si="171"/>
        <v>1.1999999999999997E-2</v>
      </c>
      <c r="Q132" s="130">
        <f t="shared" si="147"/>
        <v>0.13300000000000001</v>
      </c>
      <c r="R132" s="398">
        <f t="shared" si="144"/>
        <v>6.0999999999999999E-2</v>
      </c>
      <c r="S132" s="398">
        <f t="shared" si="172"/>
        <v>7.1999999999999995E-2</v>
      </c>
      <c r="T132" s="398">
        <f t="shared" si="173"/>
        <v>0.13300000000000001</v>
      </c>
      <c r="U132" s="429" t="s">
        <v>358</v>
      </c>
      <c r="V132" s="125"/>
      <c r="W132" t="str">
        <f>IFERROR(#REF!*J132,"")</f>
        <v/>
      </c>
      <c r="X132">
        <f t="shared" si="174"/>
        <v>9.2000000000000011</v>
      </c>
      <c r="Y132">
        <f t="shared" si="175"/>
        <v>27.599999999999998</v>
      </c>
      <c r="Z132" s="125">
        <f t="shared" si="176"/>
        <v>11.04</v>
      </c>
      <c r="AA132" s="125">
        <f t="shared" si="177"/>
        <v>20.239999999999998</v>
      </c>
      <c r="AB132" s="125">
        <f t="shared" si="178"/>
        <v>2.0239999999999991</v>
      </c>
      <c r="AC132" s="125">
        <f t="shared" si="179"/>
        <v>2.2079999999999993</v>
      </c>
      <c r="AD132" s="125">
        <f t="shared" si="180"/>
        <v>24.472000000000001</v>
      </c>
      <c r="AF132" s="125" t="str">
        <f>IFERROR(W132*'FlightConfig '!$K$3,"")</f>
        <v/>
      </c>
      <c r="AG132" s="125">
        <f>IFERROR(X132*'FlightConfig '!$K$23,"")</f>
        <v>3348.8</v>
      </c>
      <c r="AH132" s="125">
        <f>IFERROR(Y132*'FlightConfig '!$K$23,"")</f>
        <v>10046.4</v>
      </c>
      <c r="AI132" s="125">
        <f>IFERROR(Z132*'FlightConfig '!$K$23,"")</f>
        <v>4018.5599999999995</v>
      </c>
      <c r="AJ132" s="125">
        <f>IFERROR(AA132*'FlightConfig '!$K$23,"")</f>
        <v>7367.36</v>
      </c>
      <c r="AK132" s="125">
        <f>IFERROR(AB132*'FlightConfig '!$K$23,"")</f>
        <v>736.73599999999965</v>
      </c>
    </row>
    <row r="133" spans="1:37" ht="18.75" customHeight="1" x14ac:dyDescent="0.25">
      <c r="A133" t="s">
        <v>158</v>
      </c>
      <c r="B133" s="169">
        <v>1</v>
      </c>
      <c r="C133" s="174" t="str">
        <f>CONCATENATE(A133&amp;B133&amp;F133)</f>
        <v>ECONOMY CLASS1104</v>
      </c>
      <c r="D133" s="307"/>
      <c r="E133" s="301">
        <v>1288</v>
      </c>
      <c r="F133" s="306">
        <v>104</v>
      </c>
      <c r="G133" t="str">
        <f>VLOOKUP(E133,'FG MASTER'!$A:$AB,2,0)</f>
        <v>2026 YC CRACKER OPTION 2</v>
      </c>
      <c r="H133" s="282">
        <v>1</v>
      </c>
      <c r="I133" s="171">
        <v>1</v>
      </c>
      <c r="J133" s="288">
        <f>IFERROR(IF(I133="std",H133,HLOOKUP(A133,'FlightConfig '!$B$34:$G$35,2,0)*I133),"")</f>
        <v>184</v>
      </c>
      <c r="K133" s="242">
        <f>VLOOKUP(Food!E133,'FG MASTER'!$A$1:$AC$737,16,0)</f>
        <v>0.34</v>
      </c>
      <c r="L133" s="243">
        <f>VLOOKUP(Food!E133,'FG MASTER'!$A$10:$AC$737,17,0)</f>
        <v>0.25</v>
      </c>
      <c r="M133" s="130">
        <f t="shared" si="186"/>
        <v>0.1</v>
      </c>
      <c r="N133" s="130">
        <f>IFERROR((K133)+M133,"")</f>
        <v>0.44000000000000006</v>
      </c>
      <c r="O133" s="130">
        <f t="shared" si="143"/>
        <v>7.4799999999999978E-2</v>
      </c>
      <c r="P133" s="130">
        <f t="shared" si="171"/>
        <v>1.999999999999999E-2</v>
      </c>
      <c r="Q133" s="130">
        <f t="shared" si="147"/>
        <v>0.53480000000000005</v>
      </c>
      <c r="R133" s="398">
        <f t="shared" si="144"/>
        <v>0.4148</v>
      </c>
      <c r="S133" s="398">
        <f t="shared" si="172"/>
        <v>0.12</v>
      </c>
      <c r="T133" s="398">
        <f t="shared" si="173"/>
        <v>0.53479999999999994</v>
      </c>
      <c r="U133" s="125"/>
      <c r="V133" s="125"/>
      <c r="W133" t="str">
        <f>IFERROR(#REF!*J133,"")</f>
        <v/>
      </c>
      <c r="X133">
        <f t="shared" si="174"/>
        <v>62.56</v>
      </c>
      <c r="Y133">
        <f t="shared" si="175"/>
        <v>46</v>
      </c>
      <c r="Z133" s="125">
        <f t="shared" si="176"/>
        <v>18.400000000000002</v>
      </c>
      <c r="AA133" s="125">
        <f t="shared" si="177"/>
        <v>80.960000000000008</v>
      </c>
      <c r="AB133" s="125">
        <f t="shared" si="178"/>
        <v>13.763199999999996</v>
      </c>
      <c r="AC133" s="125">
        <f t="shared" si="179"/>
        <v>3.6799999999999979</v>
      </c>
      <c r="AD133" s="125">
        <f t="shared" si="180"/>
        <v>98.403200000000012</v>
      </c>
      <c r="AF133" s="125" t="str">
        <f>IFERROR(W133*'FlightConfig '!$K$3,"")</f>
        <v/>
      </c>
      <c r="AG133" s="125">
        <f>IFERROR(X133*'FlightConfig '!$K$23,"")</f>
        <v>22771.84</v>
      </c>
      <c r="AH133" s="125">
        <f>IFERROR(Y133*'FlightConfig '!$K$23,"")</f>
        <v>16744</v>
      </c>
      <c r="AI133" s="125">
        <f>IFERROR(Z133*'FlightConfig '!$K$23,"")</f>
        <v>6697.6</v>
      </c>
      <c r="AJ133" s="125">
        <f>IFERROR(AA133*'FlightConfig '!$K$23,"")</f>
        <v>29469.440000000002</v>
      </c>
      <c r="AK133" s="125">
        <f>IFERROR(AB133*'FlightConfig '!$K$23,"")</f>
        <v>5009.8047999999981</v>
      </c>
    </row>
    <row r="134" spans="1:37" ht="18.75" customHeight="1" x14ac:dyDescent="0.25">
      <c r="A134" t="s">
        <v>158</v>
      </c>
      <c r="B134" s="169">
        <v>1</v>
      </c>
      <c r="C134" s="174" t="str">
        <f>CONCATENATE(A134&amp;B134&amp;F134)</f>
        <v>ECONOMY CLASS1104</v>
      </c>
      <c r="D134" s="307"/>
      <c r="E134" s="301">
        <v>1153</v>
      </c>
      <c r="F134" s="306">
        <v>104</v>
      </c>
      <c r="G134" t="str">
        <f>VLOOKUP(E134,'FG MASTER'!$A:$AB,2,0)</f>
        <v>YC C1 DINNER TILLAMOOK CHEESE</v>
      </c>
      <c r="H134" s="282">
        <v>1</v>
      </c>
      <c r="I134" s="171">
        <v>1</v>
      </c>
      <c r="J134" s="288">
        <f>IFERROR(IF(I134="std",H134,HLOOKUP(A134,'FlightConfig '!$B$34:$G$35,2,0)*I134),"")</f>
        <v>184</v>
      </c>
      <c r="K134" s="242">
        <f>VLOOKUP(Food!E134,'FG MASTER'!$A$1:$AC$737,16,0)</f>
        <v>0.5</v>
      </c>
      <c r="L134" s="243">
        <f>VLOOKUP(Food!E134,'FG MASTER'!$A$10:$AC$737,17,0)</f>
        <v>0.25</v>
      </c>
      <c r="M134" s="130">
        <f t="shared" si="186"/>
        <v>0.1</v>
      </c>
      <c r="N134" s="130">
        <f>IFERROR((K134)+M134,"")</f>
        <v>0.6</v>
      </c>
      <c r="O134" s="130">
        <f t="shared" si="143"/>
        <v>0.10999999999999999</v>
      </c>
      <c r="P134" s="130">
        <f t="shared" si="171"/>
        <v>1.999999999999999E-2</v>
      </c>
      <c r="Q134" s="130">
        <f t="shared" si="147"/>
        <v>0.73</v>
      </c>
      <c r="R134" s="398">
        <f t="shared" si="144"/>
        <v>0.61</v>
      </c>
      <c r="S134" s="398">
        <f t="shared" si="172"/>
        <v>0.12</v>
      </c>
      <c r="T134" s="398">
        <f t="shared" si="173"/>
        <v>0.73</v>
      </c>
      <c r="U134" s="125"/>
      <c r="V134" s="125"/>
      <c r="W134" t="str">
        <f>IFERROR(#REF!*J134,"")</f>
        <v/>
      </c>
      <c r="X134">
        <f t="shared" si="174"/>
        <v>92</v>
      </c>
      <c r="Y134">
        <f t="shared" si="175"/>
        <v>46</v>
      </c>
      <c r="Z134" s="125">
        <f t="shared" si="176"/>
        <v>18.400000000000002</v>
      </c>
      <c r="AA134" s="125">
        <f t="shared" si="177"/>
        <v>110.39999999999999</v>
      </c>
      <c r="AB134" s="125">
        <f t="shared" si="178"/>
        <v>20.239999999999998</v>
      </c>
      <c r="AC134" s="125">
        <f t="shared" si="179"/>
        <v>3.6799999999999979</v>
      </c>
      <c r="AD134" s="125">
        <f t="shared" si="180"/>
        <v>134.32</v>
      </c>
      <c r="AF134" s="125" t="str">
        <f>IFERROR(W134*'FlightConfig '!$K$3,"")</f>
        <v/>
      </c>
      <c r="AG134" s="125">
        <f>IFERROR(X134*'FlightConfig '!$K$23,"")</f>
        <v>33488</v>
      </c>
      <c r="AH134" s="125">
        <f>IFERROR(Y134*'FlightConfig '!$K$23,"")</f>
        <v>16744</v>
      </c>
      <c r="AI134" s="125">
        <f>IFERROR(Z134*'FlightConfig '!$K$23,"")</f>
        <v>6697.6</v>
      </c>
      <c r="AJ134" s="125">
        <f>IFERROR(AA134*'FlightConfig '!$K$23,"")</f>
        <v>40185.599999999999</v>
      </c>
      <c r="AK134" s="125">
        <f>IFERROR(AB134*'FlightConfig '!$K$23,"")</f>
        <v>7367.36</v>
      </c>
    </row>
    <row r="135" spans="1:37" ht="18.75" customHeight="1" x14ac:dyDescent="0.25">
      <c r="A135" t="s">
        <v>158</v>
      </c>
      <c r="B135" s="169">
        <v>1</v>
      </c>
      <c r="C135" s="174" t="str">
        <f t="shared" ref="C135:C152" si="200">CONCATENATE(A135&amp;B135&amp;F135)</f>
        <v>ECONOMY CLASS1104</v>
      </c>
      <c r="D135" s="307"/>
      <c r="E135" s="301">
        <v>1263</v>
      </c>
      <c r="F135" s="306">
        <v>104</v>
      </c>
      <c r="G135" t="str">
        <f>VLOOKUP(E135,'FG MASTER'!$A:$AB,2,0)</f>
        <v>2026 YC CY1 BABY ARUGULA WITH QUINOA SALAD</v>
      </c>
      <c r="H135" s="282">
        <v>1</v>
      </c>
      <c r="I135" s="171">
        <v>1</v>
      </c>
      <c r="J135" s="288">
        <f>IFERROR(IF(I135="std",H135,HLOOKUP(A135,'FlightConfig '!$B$34:$G$35,2,0)*I135),"")</f>
        <v>184</v>
      </c>
      <c r="K135" s="242">
        <f>VLOOKUP(Food!E135,'FG MASTER'!$A$1:$AC$737,16,0)</f>
        <v>0.45</v>
      </c>
      <c r="L135" s="243">
        <f>VLOOKUP(Food!E135,'FG MASTER'!$A$10:$AC$737,17,0)</f>
        <v>0.75</v>
      </c>
      <c r="M135" s="130">
        <f t="shared" si="186"/>
        <v>0.30000000000000004</v>
      </c>
      <c r="N135" s="130">
        <f t="shared" ref="N135:N158" si="201">IFERROR((K135)+M135,"")</f>
        <v>0.75</v>
      </c>
      <c r="O135" s="130">
        <f t="shared" si="143"/>
        <v>9.9000000000000032E-2</v>
      </c>
      <c r="P135" s="130">
        <f t="shared" si="171"/>
        <v>0.06</v>
      </c>
      <c r="Q135" s="130">
        <f t="shared" si="147"/>
        <v>0.90900000000000003</v>
      </c>
      <c r="R135" s="398">
        <f t="shared" si="144"/>
        <v>0.54900000000000004</v>
      </c>
      <c r="S135" s="398">
        <f t="shared" si="172"/>
        <v>0.36000000000000004</v>
      </c>
      <c r="T135" s="398">
        <f t="shared" si="173"/>
        <v>0.90900000000000003</v>
      </c>
      <c r="U135" s="429" t="s">
        <v>358</v>
      </c>
      <c r="V135" s="125"/>
      <c r="W135" t="str">
        <f>IFERROR(#REF!*J135,"")</f>
        <v/>
      </c>
      <c r="X135">
        <f t="shared" si="174"/>
        <v>82.8</v>
      </c>
      <c r="Y135">
        <f t="shared" si="175"/>
        <v>138</v>
      </c>
      <c r="Z135" s="125">
        <f t="shared" si="176"/>
        <v>55.20000000000001</v>
      </c>
      <c r="AA135" s="125">
        <f t="shared" si="177"/>
        <v>138</v>
      </c>
      <c r="AB135" s="125">
        <f t="shared" si="178"/>
        <v>18.216000000000005</v>
      </c>
      <c r="AC135" s="125">
        <f t="shared" si="179"/>
        <v>11.04</v>
      </c>
      <c r="AD135" s="125">
        <f t="shared" si="180"/>
        <v>167.256</v>
      </c>
      <c r="AF135" s="125" t="str">
        <f>IFERROR(W135*'FlightConfig '!$K$3,"")</f>
        <v/>
      </c>
      <c r="AG135" s="125">
        <f>IFERROR(X135*'FlightConfig '!$K$23,"")</f>
        <v>30139.200000000001</v>
      </c>
      <c r="AH135" s="125">
        <f>IFERROR(Y135*'FlightConfig '!$K$23,"")</f>
        <v>50232</v>
      </c>
      <c r="AI135" s="125">
        <f>IFERROR(Z135*'FlightConfig '!$K$23,"")</f>
        <v>20092.800000000003</v>
      </c>
      <c r="AJ135" s="125">
        <f>IFERROR(AA135*'FlightConfig '!$K$23,"")</f>
        <v>50232</v>
      </c>
      <c r="AK135" s="125">
        <f>IFERROR(AB135*'FlightConfig '!$K$23,"")</f>
        <v>6630.6240000000016</v>
      </c>
    </row>
    <row r="136" spans="1:37" ht="18.75" customHeight="1" x14ac:dyDescent="0.25">
      <c r="A136" t="s">
        <v>158</v>
      </c>
      <c r="B136" s="169">
        <v>1</v>
      </c>
      <c r="C136" s="174" t="str">
        <f t="shared" si="200"/>
        <v>ECONOMY CLASS1104</v>
      </c>
      <c r="D136" s="307"/>
      <c r="E136" s="301">
        <v>1264</v>
      </c>
      <c r="F136" s="306">
        <v>104</v>
      </c>
      <c r="G136" t="str">
        <f>VLOOKUP(E136,'FG MASTER'!$A:$AB,2,0)</f>
        <v>2026 YC CY1 ENTRÉE 1 CHICKEN BREAST, CHICKEN PIE VEG FILING WITH MASHED POTATO AND CHEESE CRUMB TOPPING</v>
      </c>
      <c r="H136" s="282">
        <v>1</v>
      </c>
      <c r="I136" s="171">
        <v>0.7</v>
      </c>
      <c r="J136" s="288">
        <f>IFERROR(IF(I136="std",H136,HLOOKUP(A136,'FlightConfig '!$B$34:$G$35,2,0)*I136),"")</f>
        <v>128.79999999999998</v>
      </c>
      <c r="K136" s="242">
        <f>VLOOKUP(Food!E136,'FG MASTER'!$A$1:$AC$737,16,0)</f>
        <v>1.87</v>
      </c>
      <c r="L136" s="243">
        <f>VLOOKUP(Food!E136,'FG MASTER'!$A$10:$AC$737,17,0)</f>
        <v>3.5</v>
      </c>
      <c r="M136" s="130">
        <f t="shared" si="186"/>
        <v>1.4000000000000001</v>
      </c>
      <c r="N136" s="130">
        <f t="shared" si="201"/>
        <v>3.2700000000000005</v>
      </c>
      <c r="O136" s="130">
        <f t="shared" si="143"/>
        <v>0.41139999999999999</v>
      </c>
      <c r="P136" s="130">
        <f t="shared" si="171"/>
        <v>0.28000000000000003</v>
      </c>
      <c r="Q136" s="130">
        <f t="shared" si="147"/>
        <v>3.9614000000000003</v>
      </c>
      <c r="R136" s="398">
        <f t="shared" si="144"/>
        <v>2.2814000000000001</v>
      </c>
      <c r="S136" s="398">
        <f t="shared" si="172"/>
        <v>1.6800000000000002</v>
      </c>
      <c r="T136" s="398">
        <f t="shared" si="173"/>
        <v>3.9614000000000003</v>
      </c>
      <c r="U136" s="125"/>
      <c r="V136" s="125"/>
      <c r="W136" t="str">
        <f>IFERROR(#REF!*J136,"")</f>
        <v/>
      </c>
      <c r="X136">
        <f t="shared" si="174"/>
        <v>240.85599999999999</v>
      </c>
      <c r="Y136">
        <f t="shared" si="175"/>
        <v>450.79999999999995</v>
      </c>
      <c r="Z136" s="125">
        <f t="shared" si="176"/>
        <v>180.32</v>
      </c>
      <c r="AA136" s="125">
        <f t="shared" si="177"/>
        <v>421.17599999999999</v>
      </c>
      <c r="AB136" s="125">
        <f t="shared" si="178"/>
        <v>52.988319999999995</v>
      </c>
      <c r="AC136" s="125">
        <f t="shared" si="179"/>
        <v>36.064</v>
      </c>
      <c r="AD136" s="125">
        <f t="shared" si="180"/>
        <v>510.22831999999994</v>
      </c>
      <c r="AF136" s="125" t="str">
        <f>IFERROR(W136*'FlightConfig '!$K$3,"")</f>
        <v/>
      </c>
      <c r="AG136" s="125">
        <f>IFERROR(X136*'FlightConfig '!$K$23,"")</f>
        <v>87671.584000000003</v>
      </c>
      <c r="AH136" s="125">
        <f>IFERROR(Y136*'FlightConfig '!$K$23,"")</f>
        <v>164091.19999999998</v>
      </c>
      <c r="AI136" s="125">
        <f>IFERROR(Z136*'FlightConfig '!$K$23,"")</f>
        <v>65636.479999999996</v>
      </c>
      <c r="AJ136" s="125">
        <f>IFERROR(AA136*'FlightConfig '!$K$23,"")</f>
        <v>153308.06399999998</v>
      </c>
      <c r="AK136" s="125">
        <f>IFERROR(AB136*'FlightConfig '!$K$23,"")</f>
        <v>19287.748479999998</v>
      </c>
    </row>
    <row r="137" spans="1:37" ht="18.75" customHeight="1" x14ac:dyDescent="0.25">
      <c r="A137" t="s">
        <v>158</v>
      </c>
      <c r="B137" s="169">
        <v>1</v>
      </c>
      <c r="C137" s="174" t="str">
        <f t="shared" si="200"/>
        <v>ECONOMY CLASS1104</v>
      </c>
      <c r="D137" s="307"/>
      <c r="E137" s="301">
        <v>1265</v>
      </c>
      <c r="F137" s="306">
        <v>104</v>
      </c>
      <c r="G137" t="str">
        <f>VLOOKUP(E137,'FG MASTER'!$A:$AB,2,0)</f>
        <v>2026 YC CY1 ENTRÉE 2 SPINACH RICOTTA RAVIOLI, ROSE SAUCE WITH ARTICHOKE HEART AND MUSHROOM, PARMESAN CHEESE</v>
      </c>
      <c r="H137" s="282">
        <v>1</v>
      </c>
      <c r="I137" s="171">
        <v>0.3</v>
      </c>
      <c r="J137" s="288">
        <f>IFERROR(IF(I137="std",H137,HLOOKUP(A137,'FlightConfig '!$B$34:$G$35,2,0)*I137),"")</f>
        <v>55.199999999999996</v>
      </c>
      <c r="K137" s="242">
        <f>VLOOKUP(Food!E137,'FG MASTER'!$A$1:$AC$737,16,0)</f>
        <v>2.23</v>
      </c>
      <c r="L137" s="243">
        <f>VLOOKUP(Food!E137,'FG MASTER'!$A$10:$AC$737,17,0)</f>
        <v>2.25</v>
      </c>
      <c r="M137" s="130">
        <f t="shared" si="186"/>
        <v>0.9</v>
      </c>
      <c r="N137" s="130">
        <f t="shared" si="201"/>
        <v>3.13</v>
      </c>
      <c r="O137" s="130">
        <f t="shared" si="143"/>
        <v>0.49060000000000015</v>
      </c>
      <c r="P137" s="130">
        <f t="shared" si="171"/>
        <v>0.18000000000000005</v>
      </c>
      <c r="Q137" s="130">
        <f t="shared" si="147"/>
        <v>3.8006000000000002</v>
      </c>
      <c r="R137" s="398">
        <f t="shared" si="144"/>
        <v>2.7206000000000001</v>
      </c>
      <c r="S137" s="398">
        <f t="shared" si="172"/>
        <v>1.08</v>
      </c>
      <c r="T137" s="398">
        <f t="shared" si="173"/>
        <v>3.8006000000000002</v>
      </c>
      <c r="U137" s="125"/>
      <c r="V137" s="125"/>
      <c r="W137" t="str">
        <f>IFERROR(#REF!*J137,"")</f>
        <v/>
      </c>
      <c r="X137">
        <f t="shared" si="174"/>
        <v>123.09599999999999</v>
      </c>
      <c r="Y137">
        <f t="shared" si="175"/>
        <v>124.19999999999999</v>
      </c>
      <c r="Z137" s="125">
        <f t="shared" si="176"/>
        <v>49.68</v>
      </c>
      <c r="AA137" s="125">
        <f t="shared" si="177"/>
        <v>172.77599999999998</v>
      </c>
      <c r="AB137" s="125">
        <f t="shared" si="178"/>
        <v>27.081120000000006</v>
      </c>
      <c r="AC137" s="125">
        <f t="shared" si="179"/>
        <v>9.9360000000000017</v>
      </c>
      <c r="AD137" s="125">
        <f t="shared" si="180"/>
        <v>209.79311999999999</v>
      </c>
      <c r="AF137" s="125" t="str">
        <f>IFERROR(W137*'FlightConfig '!$K$3,"")</f>
        <v/>
      </c>
      <c r="AG137" s="125">
        <f>IFERROR(X137*'FlightConfig '!$K$23,"")</f>
        <v>44806.943999999996</v>
      </c>
      <c r="AH137" s="125">
        <f>IFERROR(Y137*'FlightConfig '!$K$23,"")</f>
        <v>45208.799999999996</v>
      </c>
      <c r="AI137" s="125">
        <f>IFERROR(Z137*'FlightConfig '!$K$23,"")</f>
        <v>18083.52</v>
      </c>
      <c r="AJ137" s="125">
        <f>IFERROR(AA137*'FlightConfig '!$K$23,"")</f>
        <v>62890.463999999993</v>
      </c>
      <c r="AK137" s="125">
        <f>IFERROR(AB137*'FlightConfig '!$K$23,"")</f>
        <v>9857.5276800000029</v>
      </c>
    </row>
    <row r="138" spans="1:37" ht="18.75" customHeight="1" x14ac:dyDescent="0.25">
      <c r="A138" t="s">
        <v>158</v>
      </c>
      <c r="B138" s="169">
        <v>1</v>
      </c>
      <c r="C138" s="174" t="str">
        <f t="shared" si="200"/>
        <v>ECONOMY CLASS1104</v>
      </c>
      <c r="D138" s="307"/>
      <c r="E138" s="301">
        <v>1266</v>
      </c>
      <c r="F138" s="306">
        <v>104</v>
      </c>
      <c r="G138" t="str">
        <f>VLOOKUP(E138,'FG MASTER'!$A:$AB,2,0)</f>
        <v>2026 YC CY1 CHEESECAKE BROWNIE BAR</v>
      </c>
      <c r="H138" s="282">
        <v>1</v>
      </c>
      <c r="I138" s="171">
        <v>1</v>
      </c>
      <c r="J138" s="288">
        <f>IFERROR(IF(I138="std",H138,HLOOKUP(A138,'FlightConfig '!$B$34:$G$35,2,0)*I138),"")</f>
        <v>184</v>
      </c>
      <c r="K138" s="242">
        <f>VLOOKUP(Food!E138,'FG MASTER'!$A$1:$AC$737,16,0)</f>
        <v>0.53</v>
      </c>
      <c r="L138" s="243">
        <f>VLOOKUP(Food!E138,'FG MASTER'!$A$10:$AC$737,17,0)</f>
        <v>0.75</v>
      </c>
      <c r="M138" s="130">
        <f t="shared" si="186"/>
        <v>0.30000000000000004</v>
      </c>
      <c r="N138" s="130">
        <f t="shared" si="201"/>
        <v>0.83000000000000007</v>
      </c>
      <c r="O138" s="130">
        <f t="shared" ref="O138:O158" si="202">IFERROR($K138*(1+$O$2)-$K138,0)</f>
        <v>0.11660000000000004</v>
      </c>
      <c r="P138" s="130">
        <f t="shared" si="171"/>
        <v>0.06</v>
      </c>
      <c r="Q138" s="130">
        <f t="shared" si="147"/>
        <v>1.0066000000000002</v>
      </c>
      <c r="R138" s="398">
        <f t="shared" si="144"/>
        <v>0.64660000000000006</v>
      </c>
      <c r="S138" s="398">
        <f t="shared" si="172"/>
        <v>0.36000000000000004</v>
      </c>
      <c r="T138" s="398">
        <f t="shared" si="173"/>
        <v>1.0066000000000002</v>
      </c>
      <c r="U138" s="125"/>
      <c r="V138" s="125"/>
      <c r="W138" t="str">
        <f>IFERROR(#REF!*J138,"")</f>
        <v/>
      </c>
      <c r="X138">
        <f t="shared" si="174"/>
        <v>97.52000000000001</v>
      </c>
      <c r="Y138">
        <f t="shared" si="175"/>
        <v>138</v>
      </c>
      <c r="Z138" s="125">
        <f t="shared" si="176"/>
        <v>55.20000000000001</v>
      </c>
      <c r="AA138" s="125">
        <f t="shared" si="177"/>
        <v>152.72000000000003</v>
      </c>
      <c r="AB138" s="125">
        <f t="shared" si="178"/>
        <v>21.454400000000007</v>
      </c>
      <c r="AC138" s="125">
        <f t="shared" si="179"/>
        <v>11.04</v>
      </c>
      <c r="AD138" s="125">
        <f t="shared" si="180"/>
        <v>185.21440000000004</v>
      </c>
      <c r="AF138" s="125" t="str">
        <f>IFERROR(W138*'FlightConfig '!$K$3,"")</f>
        <v/>
      </c>
      <c r="AG138" s="125">
        <f>IFERROR(X138*'FlightConfig '!$K$23,"")</f>
        <v>35497.280000000006</v>
      </c>
      <c r="AH138" s="125">
        <f>IFERROR(Y138*'FlightConfig '!$K$23,"")</f>
        <v>50232</v>
      </c>
      <c r="AI138" s="125">
        <f>IFERROR(Z138*'FlightConfig '!$K$23,"")</f>
        <v>20092.800000000003</v>
      </c>
      <c r="AJ138" s="125">
        <f>IFERROR(AA138*'FlightConfig '!$K$23,"")</f>
        <v>55590.080000000009</v>
      </c>
      <c r="AK138" s="125">
        <f>IFERROR(AB138*'FlightConfig '!$K$23,"")</f>
        <v>7809.4016000000029</v>
      </c>
    </row>
    <row r="139" spans="1:37" ht="18.75" customHeight="1" x14ac:dyDescent="0.25">
      <c r="A139" t="s">
        <v>158</v>
      </c>
      <c r="B139" s="169">
        <v>1</v>
      </c>
      <c r="C139" s="174" t="str">
        <f t="shared" si="200"/>
        <v>ECONOMY CLASS1104</v>
      </c>
      <c r="D139" s="307"/>
      <c r="E139" s="301">
        <v>1134</v>
      </c>
      <c r="F139" s="306">
        <v>104</v>
      </c>
      <c r="G139" t="str">
        <f>VLOOKUP(E139,'FG MASTER'!$A:$AB,2,0)</f>
        <v>YC C1 BREAKFAST TSU</v>
      </c>
      <c r="H139" s="282">
        <v>1</v>
      </c>
      <c r="I139" s="171">
        <v>1</v>
      </c>
      <c r="J139" s="288">
        <f>IFERROR(IF(I139="std",H139,HLOOKUP(A139,'FlightConfig '!$B$34:$G$35,2,0)*I139),"")</f>
        <v>184</v>
      </c>
      <c r="K139" s="242">
        <f>VLOOKUP(Food!E139,'FG MASTER'!$A$1:$AC$737,16,0)</f>
        <v>0</v>
      </c>
      <c r="L139" s="243">
        <f>VLOOKUP(Food!E139,'FG MASTER'!$A$10:$AC$737,17,0)</f>
        <v>0.3</v>
      </c>
      <c r="M139" s="130">
        <f t="shared" si="186"/>
        <v>0.12</v>
      </c>
      <c r="N139" s="130">
        <f t="shared" si="201"/>
        <v>0.12</v>
      </c>
      <c r="O139" s="130">
        <f t="shared" si="202"/>
        <v>0</v>
      </c>
      <c r="P139" s="130">
        <f t="shared" si="171"/>
        <v>2.3999999999999994E-2</v>
      </c>
      <c r="Q139" s="130">
        <f t="shared" si="147"/>
        <v>0.14399999999999999</v>
      </c>
      <c r="R139" s="398">
        <f t="shared" ref="R139:R158" si="203">K139*(1+$O$2)</f>
        <v>0</v>
      </c>
      <c r="S139" s="398">
        <f t="shared" si="172"/>
        <v>0.14399999999999999</v>
      </c>
      <c r="T139" s="398">
        <f t="shared" si="173"/>
        <v>0.14399999999999999</v>
      </c>
      <c r="U139" s="125"/>
      <c r="V139" s="125"/>
      <c r="W139" t="str">
        <f>IFERROR(#REF!*J139,"")</f>
        <v/>
      </c>
      <c r="X139">
        <f t="shared" si="174"/>
        <v>0</v>
      </c>
      <c r="Y139">
        <f t="shared" si="175"/>
        <v>55.199999999999996</v>
      </c>
      <c r="Z139" s="125">
        <f t="shared" si="176"/>
        <v>22.08</v>
      </c>
      <c r="AA139" s="125">
        <f t="shared" si="177"/>
        <v>22.08</v>
      </c>
      <c r="AB139" s="125">
        <f t="shared" si="178"/>
        <v>0</v>
      </c>
      <c r="AC139" s="125">
        <f t="shared" si="179"/>
        <v>4.4159999999999986</v>
      </c>
      <c r="AD139" s="125">
        <f t="shared" si="180"/>
        <v>26.495999999999999</v>
      </c>
      <c r="AF139" s="125" t="str">
        <f>IFERROR(W139*'FlightConfig '!$K$3,"")</f>
        <v/>
      </c>
      <c r="AG139" s="125">
        <f>IFERROR(X139*'FlightConfig '!$K$23,"")</f>
        <v>0</v>
      </c>
      <c r="AH139" s="125">
        <f>IFERROR(Y139*'FlightConfig '!$K$23,"")</f>
        <v>20092.8</v>
      </c>
      <c r="AI139" s="125">
        <f>IFERROR(Z139*'FlightConfig '!$K$23,"")</f>
        <v>8037.119999999999</v>
      </c>
      <c r="AJ139" s="125">
        <f>IFERROR(AA139*'FlightConfig '!$K$23,"")</f>
        <v>8037.119999999999</v>
      </c>
      <c r="AK139" s="125">
        <f>IFERROR(AB139*'FlightConfig '!$K$23,"")</f>
        <v>0</v>
      </c>
    </row>
    <row r="140" spans="1:37" ht="18.75" customHeight="1" x14ac:dyDescent="0.25">
      <c r="A140" t="s">
        <v>158</v>
      </c>
      <c r="B140" s="169">
        <v>1</v>
      </c>
      <c r="C140" s="174" t="str">
        <f t="shared" si="200"/>
        <v>ECONOMY CLASS1104</v>
      </c>
      <c r="D140" s="307"/>
      <c r="E140" s="301">
        <v>1267</v>
      </c>
      <c r="F140" s="306">
        <v>104</v>
      </c>
      <c r="G140" t="str">
        <f>VLOOKUP(E140,'FG MASTER'!$A:$AB,2,0)</f>
        <v>2026 YC CY1 BLUEBERRY MUFFIN</v>
      </c>
      <c r="H140" s="282">
        <v>1</v>
      </c>
      <c r="I140" s="171">
        <v>1</v>
      </c>
      <c r="J140" s="288">
        <f>IFERROR(IF(I140="std",H140,HLOOKUP(A140,'FlightConfig '!$B$34:$G$35,2,0)*I140),"")</f>
        <v>184</v>
      </c>
      <c r="K140" s="242">
        <f>VLOOKUP(Food!E140,'FG MASTER'!$A$1:$AC$737,16,0)</f>
        <v>0.75</v>
      </c>
      <c r="L140" s="243">
        <f>VLOOKUP(Food!E140,'FG MASTER'!$A$10:$AC$737,17,0)</f>
        <v>0.25</v>
      </c>
      <c r="M140" s="130">
        <f t="shared" si="186"/>
        <v>0.1</v>
      </c>
      <c r="N140" s="130">
        <f t="shared" si="201"/>
        <v>0.85</v>
      </c>
      <c r="O140" s="130">
        <f t="shared" si="202"/>
        <v>0.16500000000000004</v>
      </c>
      <c r="P140" s="130">
        <f t="shared" si="171"/>
        <v>1.999999999999999E-2</v>
      </c>
      <c r="Q140" s="130">
        <f t="shared" ref="Q140:Q158" si="204">SUM(N140:P140)</f>
        <v>1.0350000000000001</v>
      </c>
      <c r="R140" s="398">
        <f t="shared" si="203"/>
        <v>0.91500000000000004</v>
      </c>
      <c r="S140" s="398">
        <f t="shared" si="172"/>
        <v>0.12</v>
      </c>
      <c r="T140" s="398">
        <f t="shared" si="173"/>
        <v>1.0350000000000001</v>
      </c>
      <c r="U140" s="125"/>
      <c r="V140" s="125"/>
      <c r="W140" t="str">
        <f>IFERROR(#REF!*J140,"")</f>
        <v/>
      </c>
      <c r="X140">
        <f t="shared" si="174"/>
        <v>138</v>
      </c>
      <c r="Y140">
        <f t="shared" si="175"/>
        <v>46</v>
      </c>
      <c r="Z140" s="125">
        <f t="shared" si="176"/>
        <v>18.400000000000002</v>
      </c>
      <c r="AA140" s="125">
        <f t="shared" si="177"/>
        <v>156.4</v>
      </c>
      <c r="AB140" s="125">
        <f t="shared" si="178"/>
        <v>30.360000000000007</v>
      </c>
      <c r="AC140" s="125">
        <f t="shared" si="179"/>
        <v>3.6799999999999979</v>
      </c>
      <c r="AD140" s="125">
        <f t="shared" si="180"/>
        <v>190.44000000000003</v>
      </c>
      <c r="AF140" s="125" t="str">
        <f>IFERROR(W140*'FlightConfig '!$K$3,"")</f>
        <v/>
      </c>
      <c r="AG140" s="125">
        <f>IFERROR(X140*'FlightConfig '!$K$23,"")</f>
        <v>50232</v>
      </c>
      <c r="AH140" s="125">
        <f>IFERROR(Y140*'FlightConfig '!$K$23,"")</f>
        <v>16744</v>
      </c>
      <c r="AI140" s="125">
        <f>IFERROR(Z140*'FlightConfig '!$K$23,"")</f>
        <v>6697.6</v>
      </c>
      <c r="AJ140" s="125">
        <f>IFERROR(AA140*'FlightConfig '!$K$23,"")</f>
        <v>56929.599999999999</v>
      </c>
      <c r="AK140" s="125">
        <f>IFERROR(AB140*'FlightConfig '!$K$23,"")</f>
        <v>11051.040000000003</v>
      </c>
    </row>
    <row r="141" spans="1:37" ht="18.75" customHeight="1" x14ac:dyDescent="0.25">
      <c r="A141" t="s">
        <v>158</v>
      </c>
      <c r="B141" s="169">
        <v>1</v>
      </c>
      <c r="C141" s="174" t="str">
        <f t="shared" si="200"/>
        <v>ECONOMY CLASS1104</v>
      </c>
      <c r="D141" s="307"/>
      <c r="E141" s="301">
        <v>1268</v>
      </c>
      <c r="F141" s="306">
        <v>104</v>
      </c>
      <c r="G141" t="str">
        <f>VLOOKUP(E141,'FG MASTER'!$A:$AB,2,0)</f>
        <v>2026 YC CY1 PLAIN YOGURT WITH STRAWBERRY COMPOTE</v>
      </c>
      <c r="H141" s="282">
        <v>1</v>
      </c>
      <c r="I141" s="171">
        <v>1</v>
      </c>
      <c r="J141" s="288">
        <f>IFERROR(IF(I141="std",H141,HLOOKUP(A141,'FlightConfig '!$B$34:$G$35,2,0)*I141),"")</f>
        <v>184</v>
      </c>
      <c r="K141" s="242">
        <f>VLOOKUP(Food!E141,'FG MASTER'!$A$1:$AC$737,16,0)</f>
        <v>0.34</v>
      </c>
      <c r="L141" s="243">
        <f>VLOOKUP(Food!E141,'FG MASTER'!$A$10:$AC$737,17,0)</f>
        <v>0.5</v>
      </c>
      <c r="M141" s="130">
        <f t="shared" si="186"/>
        <v>0.2</v>
      </c>
      <c r="N141" s="130">
        <f t="shared" si="201"/>
        <v>0.54</v>
      </c>
      <c r="O141" s="130">
        <f t="shared" si="202"/>
        <v>7.4799999999999978E-2</v>
      </c>
      <c r="P141" s="130">
        <f t="shared" si="171"/>
        <v>3.999999999999998E-2</v>
      </c>
      <c r="Q141" s="130">
        <f t="shared" si="204"/>
        <v>0.65480000000000005</v>
      </c>
      <c r="R141" s="398">
        <f t="shared" si="203"/>
        <v>0.4148</v>
      </c>
      <c r="S141" s="398">
        <f t="shared" si="172"/>
        <v>0.24</v>
      </c>
      <c r="T141" s="398">
        <f t="shared" si="173"/>
        <v>0.65480000000000005</v>
      </c>
      <c r="U141" s="125"/>
      <c r="V141" s="125"/>
      <c r="W141" t="str">
        <f>IFERROR(#REF!*J141,"")</f>
        <v/>
      </c>
      <c r="X141">
        <f t="shared" si="174"/>
        <v>62.56</v>
      </c>
      <c r="Y141">
        <f t="shared" si="175"/>
        <v>92</v>
      </c>
      <c r="Z141" s="125">
        <f t="shared" si="176"/>
        <v>36.800000000000004</v>
      </c>
      <c r="AA141" s="125">
        <f t="shared" si="177"/>
        <v>99.360000000000014</v>
      </c>
      <c r="AB141" s="125">
        <f t="shared" si="178"/>
        <v>13.763199999999996</v>
      </c>
      <c r="AC141" s="125">
        <f t="shared" si="179"/>
        <v>7.3599999999999959</v>
      </c>
      <c r="AD141" s="125">
        <f t="shared" si="180"/>
        <v>120.48320000000001</v>
      </c>
      <c r="AF141" s="125" t="str">
        <f>IFERROR(W141*'FlightConfig '!$K$3,"")</f>
        <v/>
      </c>
      <c r="AG141" s="125">
        <f>IFERROR(X141*'FlightConfig '!$K$23,"")</f>
        <v>22771.84</v>
      </c>
      <c r="AH141" s="125">
        <f>IFERROR(Y141*'FlightConfig '!$K$23,"")</f>
        <v>33488</v>
      </c>
      <c r="AI141" s="125">
        <f>IFERROR(Z141*'FlightConfig '!$K$23,"")</f>
        <v>13395.2</v>
      </c>
      <c r="AJ141" s="125">
        <f>IFERROR(AA141*'FlightConfig '!$K$23,"")</f>
        <v>36167.040000000008</v>
      </c>
      <c r="AK141" s="125">
        <f>IFERROR(AB141*'FlightConfig '!$K$23,"")</f>
        <v>5009.8047999999981</v>
      </c>
    </row>
    <row r="142" spans="1:37" ht="18.75" customHeight="1" x14ac:dyDescent="0.25">
      <c r="A142" t="s">
        <v>158</v>
      </c>
      <c r="B142" s="169">
        <v>1</v>
      </c>
      <c r="C142" s="174" t="str">
        <f t="shared" si="200"/>
        <v>ECONOMY CLASS1104</v>
      </c>
      <c r="D142" s="307"/>
      <c r="E142" s="301">
        <v>1269</v>
      </c>
      <c r="F142" s="306">
        <v>104</v>
      </c>
      <c r="G142" t="str">
        <f>VLOOKUP(E142,'FG MASTER'!$A:$AB,2,0)</f>
        <v>2026 YC CY1 GRANOLA PACK</v>
      </c>
      <c r="H142" s="282">
        <v>1</v>
      </c>
      <c r="I142" s="171">
        <v>1</v>
      </c>
      <c r="J142" s="288">
        <f>IFERROR(IF(I142="std",H142,HLOOKUP(A142,'FlightConfig '!$B$34:$G$35,2,0)*I142),"")</f>
        <v>184</v>
      </c>
      <c r="K142" s="242">
        <f>VLOOKUP(Food!E142,'FG MASTER'!$A$1:$AC$737,16,0)</f>
        <v>0.42</v>
      </c>
      <c r="L142" s="243">
        <f>VLOOKUP(Food!E142,'FG MASTER'!$A$10:$AC$737,17,0)</f>
        <v>0.15</v>
      </c>
      <c r="M142" s="130">
        <f t="shared" si="186"/>
        <v>0.06</v>
      </c>
      <c r="N142" s="130">
        <f t="shared" si="201"/>
        <v>0.48</v>
      </c>
      <c r="O142" s="130">
        <f t="shared" si="202"/>
        <v>9.2399999999999982E-2</v>
      </c>
      <c r="P142" s="130">
        <f t="shared" si="171"/>
        <v>1.1999999999999997E-2</v>
      </c>
      <c r="Q142" s="130">
        <f t="shared" si="204"/>
        <v>0.58440000000000003</v>
      </c>
      <c r="R142" s="398">
        <f t="shared" si="203"/>
        <v>0.51239999999999997</v>
      </c>
      <c r="S142" s="398">
        <f t="shared" si="172"/>
        <v>7.1999999999999995E-2</v>
      </c>
      <c r="T142" s="398">
        <f t="shared" si="173"/>
        <v>0.58439999999999992</v>
      </c>
      <c r="U142" s="125"/>
      <c r="V142" s="125"/>
      <c r="W142" t="str">
        <f>IFERROR(#REF!*J142,"")</f>
        <v/>
      </c>
      <c r="X142">
        <f t="shared" si="174"/>
        <v>77.28</v>
      </c>
      <c r="Y142">
        <f t="shared" si="175"/>
        <v>27.599999999999998</v>
      </c>
      <c r="Z142" s="125">
        <f t="shared" si="176"/>
        <v>11.04</v>
      </c>
      <c r="AA142" s="125">
        <f t="shared" si="177"/>
        <v>88.32</v>
      </c>
      <c r="AB142" s="125">
        <f t="shared" si="178"/>
        <v>17.001599999999996</v>
      </c>
      <c r="AC142" s="125">
        <f t="shared" si="179"/>
        <v>2.2079999999999993</v>
      </c>
      <c r="AD142" s="125">
        <f t="shared" si="180"/>
        <v>107.5296</v>
      </c>
      <c r="AF142" s="125" t="str">
        <f>IFERROR(W142*'FlightConfig '!$K$3,"")</f>
        <v/>
      </c>
      <c r="AG142" s="125">
        <f>IFERROR(X142*'FlightConfig '!$K$23,"")</f>
        <v>28129.920000000002</v>
      </c>
      <c r="AH142" s="125">
        <f>IFERROR(Y142*'FlightConfig '!$K$23,"")</f>
        <v>10046.4</v>
      </c>
      <c r="AI142" s="125">
        <f>IFERROR(Z142*'FlightConfig '!$K$23,"")</f>
        <v>4018.5599999999995</v>
      </c>
      <c r="AJ142" s="125">
        <f>IFERROR(AA142*'FlightConfig '!$K$23,"")</f>
        <v>32148.479999999996</v>
      </c>
      <c r="AK142" s="125">
        <f>IFERROR(AB142*'FlightConfig '!$K$23,"")</f>
        <v>6188.5823999999984</v>
      </c>
    </row>
    <row r="143" spans="1:37" ht="18.75" customHeight="1" x14ac:dyDescent="0.25">
      <c r="A143" t="s">
        <v>189</v>
      </c>
      <c r="B143" s="169">
        <v>1</v>
      </c>
      <c r="C143" s="174" t="str">
        <f t="shared" si="200"/>
        <v>CABIN CREW CLASS1104</v>
      </c>
      <c r="D143" s="290"/>
      <c r="E143" s="302">
        <v>1270</v>
      </c>
      <c r="F143" s="306">
        <v>104</v>
      </c>
      <c r="G143" t="str">
        <f>VLOOKUP(E143,'FG MASTER'!$A:$AB,2,0)</f>
        <v>2026 CREW CY2 FRUIT AND CHEESE</v>
      </c>
      <c r="H143" s="282">
        <v>1</v>
      </c>
      <c r="I143" s="171">
        <v>1</v>
      </c>
      <c r="J143" s="288">
        <f>IFERROR(IF(I143="std",H143,HLOOKUP(A143,'FlightConfig '!$B$34:$G$35,2,0)*I143),"")</f>
        <v>6</v>
      </c>
      <c r="K143" s="242">
        <f>VLOOKUP(Food!E143,'FG MASTER'!$A$1:$AC$737,16,0)</f>
        <v>2.19</v>
      </c>
      <c r="L143" s="243">
        <f>VLOOKUP(Food!E143,'FG MASTER'!$A$10:$AC$737,17,0)</f>
        <v>1.43</v>
      </c>
      <c r="M143" s="130">
        <f>IFERROR(L143*$M$2,"")</f>
        <v>0.57199999999999995</v>
      </c>
      <c r="N143" s="130">
        <f t="shared" si="201"/>
        <v>2.762</v>
      </c>
      <c r="O143" s="130">
        <f t="shared" si="202"/>
        <v>0.48179999999999978</v>
      </c>
      <c r="P143" s="130">
        <f t="shared" si="171"/>
        <v>0.11439999999999995</v>
      </c>
      <c r="Q143" s="130">
        <f t="shared" si="204"/>
        <v>3.3581999999999996</v>
      </c>
      <c r="R143" s="398">
        <f t="shared" si="203"/>
        <v>2.6717999999999997</v>
      </c>
      <c r="S143" s="398">
        <f t="shared" si="172"/>
        <v>0.6863999999999999</v>
      </c>
      <c r="T143" s="398">
        <f t="shared" si="173"/>
        <v>3.3581999999999996</v>
      </c>
      <c r="U143" s="125"/>
      <c r="V143" s="125"/>
      <c r="W143" t="str">
        <f>IFERROR(#REF!*J143,"")</f>
        <v/>
      </c>
      <c r="X143">
        <f t="shared" si="174"/>
        <v>13.14</v>
      </c>
      <c r="Y143">
        <f t="shared" si="175"/>
        <v>8.58</v>
      </c>
      <c r="Z143" s="125">
        <f t="shared" si="176"/>
        <v>3.4319999999999995</v>
      </c>
      <c r="AA143" s="125">
        <f t="shared" si="177"/>
        <v>16.571999999999999</v>
      </c>
      <c r="AB143" s="125">
        <f t="shared" si="178"/>
        <v>2.8907999999999987</v>
      </c>
      <c r="AC143" s="125">
        <f t="shared" si="179"/>
        <v>0.68639999999999968</v>
      </c>
      <c r="AD143" s="125">
        <f t="shared" si="180"/>
        <v>20.149199999999997</v>
      </c>
      <c r="AF143" s="125" t="str">
        <f>IFERROR(W143*'FlightConfig '!$K$3,"")</f>
        <v/>
      </c>
      <c r="AG143" s="125">
        <f>IFERROR(X143*'FlightConfig '!$K$23,"")</f>
        <v>4782.96</v>
      </c>
      <c r="AH143" s="125">
        <f>IFERROR(Y143*'FlightConfig '!$K$23,"")</f>
        <v>3123.12</v>
      </c>
      <c r="AI143" s="125">
        <f>IFERROR(Z143*'FlightConfig '!$K$23,"")</f>
        <v>1249.2479999999998</v>
      </c>
      <c r="AJ143" s="125">
        <f>IFERROR(AA143*'FlightConfig '!$K$23,"")</f>
        <v>6032.2079999999996</v>
      </c>
      <c r="AK143" s="125">
        <f>IFERROR(AB143*'FlightConfig '!$K$23,"")</f>
        <v>1052.2511999999995</v>
      </c>
    </row>
    <row r="144" spans="1:37" ht="18.75" customHeight="1" x14ac:dyDescent="0.25">
      <c r="A144" t="s">
        <v>189</v>
      </c>
      <c r="B144" s="169">
        <v>1</v>
      </c>
      <c r="C144" s="174" t="str">
        <f t="shared" si="200"/>
        <v>CABIN CREW CLASS1104</v>
      </c>
      <c r="D144" s="290"/>
      <c r="E144" s="302">
        <v>1271</v>
      </c>
      <c r="F144" s="306">
        <v>104</v>
      </c>
      <c r="G144" t="str">
        <f>VLOOKUP(E144,'FG MASTER'!$A:$AB,2,0)</f>
        <v xml:space="preserve">2026 CREW CY2 PROTEIN SNACK </v>
      </c>
      <c r="H144" s="282">
        <v>1</v>
      </c>
      <c r="I144" s="171">
        <v>1</v>
      </c>
      <c r="J144" s="288">
        <f>IFERROR(IF(I144="std",H144,HLOOKUP(A144,'FlightConfig '!$B$34:$G$35,2,0)*I144),"")</f>
        <v>6</v>
      </c>
      <c r="K144" s="242">
        <f>VLOOKUP(Food!E144,'FG MASTER'!$A$1:$AC$737,16,0)</f>
        <v>2.27</v>
      </c>
      <c r="L144" s="243">
        <f>VLOOKUP(Food!E144,'FG MASTER'!$A$10:$AC$737,17,0)</f>
        <v>1.25</v>
      </c>
      <c r="M144" s="130">
        <f t="shared" ref="M144:M158" si="205">IFERROR(L144*$M$2,"")</f>
        <v>0.5</v>
      </c>
      <c r="N144" s="130">
        <f t="shared" si="201"/>
        <v>2.77</v>
      </c>
      <c r="O144" s="130">
        <f t="shared" si="202"/>
        <v>0.49940000000000007</v>
      </c>
      <c r="P144" s="130">
        <f t="shared" si="171"/>
        <v>9.9999999999999978E-2</v>
      </c>
      <c r="Q144" s="130">
        <f t="shared" si="204"/>
        <v>3.3694000000000002</v>
      </c>
      <c r="R144" s="398">
        <f t="shared" si="203"/>
        <v>2.7694000000000001</v>
      </c>
      <c r="S144" s="398">
        <f t="shared" si="172"/>
        <v>0.6</v>
      </c>
      <c r="T144" s="398">
        <f t="shared" si="173"/>
        <v>3.3694000000000002</v>
      </c>
      <c r="U144" s="125"/>
      <c r="V144" s="125"/>
      <c r="W144" t="str">
        <f>IFERROR(#REF!*J144,"")</f>
        <v/>
      </c>
      <c r="X144">
        <f t="shared" si="174"/>
        <v>13.620000000000001</v>
      </c>
      <c r="Y144">
        <f t="shared" si="175"/>
        <v>7.5</v>
      </c>
      <c r="Z144" s="125">
        <f t="shared" si="176"/>
        <v>3</v>
      </c>
      <c r="AA144" s="125">
        <f t="shared" si="177"/>
        <v>16.62</v>
      </c>
      <c r="AB144" s="125">
        <f t="shared" si="178"/>
        <v>2.9964000000000004</v>
      </c>
      <c r="AC144" s="125">
        <f t="shared" si="179"/>
        <v>0.59999999999999987</v>
      </c>
      <c r="AD144" s="125">
        <f t="shared" si="180"/>
        <v>20.2164</v>
      </c>
      <c r="AF144" s="125" t="str">
        <f>IFERROR(W144*'FlightConfig '!$K$3,"")</f>
        <v/>
      </c>
      <c r="AG144" s="125">
        <f>IFERROR(X144*'FlightConfig '!$K$23,"")</f>
        <v>4957.68</v>
      </c>
      <c r="AH144" s="125">
        <f>IFERROR(Y144*'FlightConfig '!$K$23,"")</f>
        <v>2730</v>
      </c>
      <c r="AI144" s="125">
        <f>IFERROR(Z144*'FlightConfig '!$K$23,"")</f>
        <v>1092</v>
      </c>
      <c r="AJ144" s="125">
        <f>IFERROR(AA144*'FlightConfig '!$K$23,"")</f>
        <v>6049.68</v>
      </c>
      <c r="AK144" s="125">
        <f>IFERROR(AB144*'FlightConfig '!$K$23,"")</f>
        <v>1090.6896000000002</v>
      </c>
    </row>
    <row r="145" spans="1:37" ht="18.75" customHeight="1" x14ac:dyDescent="0.25">
      <c r="A145" t="s">
        <v>189</v>
      </c>
      <c r="B145" s="169">
        <v>1</v>
      </c>
      <c r="C145" s="174" t="str">
        <f t="shared" si="200"/>
        <v>CABIN CREW CLASS1104</v>
      </c>
      <c r="D145" s="290"/>
      <c r="E145" s="300">
        <v>1272</v>
      </c>
      <c r="F145" s="306">
        <v>104</v>
      </c>
      <c r="G145" t="str">
        <f>VLOOKUP(E145,'FG MASTER'!$A:$AB,2,0)</f>
        <v xml:space="preserve">2026 CREW CY2 WHOLE FRESH FRUIT </v>
      </c>
      <c r="H145" s="282">
        <v>1</v>
      </c>
      <c r="I145" s="171">
        <v>1</v>
      </c>
      <c r="J145" s="288">
        <f>IFERROR(IF(I145="std",H145,HLOOKUP(A145,'FlightConfig '!$B$34:$G$35,2,0)*I145),"")</f>
        <v>6</v>
      </c>
      <c r="K145" s="242">
        <f>VLOOKUP(Food!E145,'FG MASTER'!$A$1:$AC$737,16,0)</f>
        <v>1.32</v>
      </c>
      <c r="L145" s="243">
        <f>VLOOKUP(Food!E145,'FG MASTER'!$A$10:$AC$737,17,0)</f>
        <v>1</v>
      </c>
      <c r="M145" s="130">
        <f t="shared" si="205"/>
        <v>0.4</v>
      </c>
      <c r="N145" s="130">
        <f t="shared" si="201"/>
        <v>1.7200000000000002</v>
      </c>
      <c r="O145" s="130">
        <f t="shared" si="202"/>
        <v>0.29039999999999999</v>
      </c>
      <c r="P145" s="130">
        <f t="shared" si="171"/>
        <v>7.999999999999996E-2</v>
      </c>
      <c r="Q145" s="130">
        <f t="shared" si="204"/>
        <v>2.0904000000000003</v>
      </c>
      <c r="R145" s="398">
        <f t="shared" si="203"/>
        <v>1.6104000000000001</v>
      </c>
      <c r="S145" s="398">
        <f t="shared" si="172"/>
        <v>0.48</v>
      </c>
      <c r="T145" s="398">
        <f t="shared" si="173"/>
        <v>2.0903999999999998</v>
      </c>
      <c r="U145" s="125"/>
      <c r="V145" s="125"/>
      <c r="W145" t="str">
        <f>IFERROR(#REF!*J145,"")</f>
        <v/>
      </c>
      <c r="X145">
        <f t="shared" si="174"/>
        <v>7.92</v>
      </c>
      <c r="Y145">
        <f t="shared" si="175"/>
        <v>6</v>
      </c>
      <c r="Z145" s="125">
        <f t="shared" si="176"/>
        <v>2.4000000000000004</v>
      </c>
      <c r="AA145" s="125">
        <f t="shared" si="177"/>
        <v>10.32</v>
      </c>
      <c r="AB145" s="125">
        <f t="shared" si="178"/>
        <v>1.7423999999999999</v>
      </c>
      <c r="AC145" s="125">
        <f t="shared" si="179"/>
        <v>0.47999999999999976</v>
      </c>
      <c r="AD145" s="125">
        <f t="shared" si="180"/>
        <v>12.542400000000001</v>
      </c>
      <c r="AF145" s="125" t="str">
        <f>IFERROR(W145*'FlightConfig '!$K$3,"")</f>
        <v/>
      </c>
      <c r="AG145" s="125">
        <f>IFERROR(X145*'FlightConfig '!$K$23,"")</f>
        <v>2882.88</v>
      </c>
      <c r="AH145" s="125">
        <f>IFERROR(Y145*'FlightConfig '!$K$23,"")</f>
        <v>2184</v>
      </c>
      <c r="AI145" s="125">
        <f>IFERROR(Z145*'FlightConfig '!$K$23,"")</f>
        <v>873.60000000000014</v>
      </c>
      <c r="AJ145" s="125">
        <f>IFERROR(AA145*'FlightConfig '!$K$23,"")</f>
        <v>3756.48</v>
      </c>
      <c r="AK145" s="125">
        <f>IFERROR(AB145*'FlightConfig '!$K$23,"")</f>
        <v>634.23360000000002</v>
      </c>
    </row>
    <row r="146" spans="1:37" ht="18.75" customHeight="1" x14ac:dyDescent="0.25">
      <c r="A146" t="s">
        <v>189</v>
      </c>
      <c r="B146" s="169">
        <v>1</v>
      </c>
      <c r="C146" s="174" t="str">
        <f t="shared" si="200"/>
        <v>CABIN CREW CLASS1104</v>
      </c>
      <c r="D146" s="290"/>
      <c r="E146" s="301">
        <v>1273</v>
      </c>
      <c r="F146" s="306">
        <v>104</v>
      </c>
      <c r="G146" t="str">
        <f>VLOOKUP(E146,'FG MASTER'!$A:$AB,2,0)</f>
        <v>2026 CREW CY2 CHICKEN BREAST</v>
      </c>
      <c r="H146" s="282">
        <v>1</v>
      </c>
      <c r="I146" s="171">
        <v>0.25</v>
      </c>
      <c r="J146" s="288">
        <f>IFERROR(IF(I146="std",H146,HLOOKUP(A146,'FlightConfig '!$B$34:$G$35,2,0)*I146),"")</f>
        <v>1.5</v>
      </c>
      <c r="K146" s="242">
        <f>VLOOKUP(Food!E146,'FG MASTER'!$A$1:$AC$737,16,0)</f>
        <v>3.9</v>
      </c>
      <c r="L146" s="243">
        <f>VLOOKUP(Food!E146,'FG MASTER'!$A$10:$AC$737,17,0)</f>
        <v>5</v>
      </c>
      <c r="M146" s="130">
        <f t="shared" si="205"/>
        <v>2</v>
      </c>
      <c r="N146" s="130">
        <f t="shared" si="201"/>
        <v>5.9</v>
      </c>
      <c r="O146" s="130">
        <f t="shared" si="202"/>
        <v>0.8580000000000001</v>
      </c>
      <c r="P146" s="130">
        <f t="shared" si="171"/>
        <v>0.39999999999999991</v>
      </c>
      <c r="Q146" s="130">
        <f t="shared" si="204"/>
        <v>7.1580000000000013</v>
      </c>
      <c r="R146" s="398">
        <f t="shared" si="203"/>
        <v>4.758</v>
      </c>
      <c r="S146" s="398">
        <f t="shared" si="172"/>
        <v>2.4</v>
      </c>
      <c r="T146" s="398">
        <f t="shared" si="173"/>
        <v>7.1579999999999995</v>
      </c>
      <c r="U146" s="125"/>
      <c r="V146" s="125"/>
      <c r="W146" t="str">
        <f>IFERROR(#REF!*J146,"")</f>
        <v/>
      </c>
      <c r="X146">
        <f t="shared" si="174"/>
        <v>5.85</v>
      </c>
      <c r="Y146">
        <f t="shared" si="175"/>
        <v>7.5</v>
      </c>
      <c r="Z146" s="125">
        <f t="shared" si="176"/>
        <v>3</v>
      </c>
      <c r="AA146" s="125">
        <f t="shared" si="177"/>
        <v>8.8500000000000014</v>
      </c>
      <c r="AB146" s="125">
        <f t="shared" si="178"/>
        <v>1.2870000000000001</v>
      </c>
      <c r="AC146" s="125">
        <f t="shared" si="179"/>
        <v>0.59999999999999987</v>
      </c>
      <c r="AD146" s="125">
        <f t="shared" si="180"/>
        <v>10.737000000000002</v>
      </c>
      <c r="AF146" s="125" t="str">
        <f>IFERROR(W146*'FlightConfig '!$K$3,"")</f>
        <v/>
      </c>
      <c r="AG146" s="125">
        <f>IFERROR(X146*'FlightConfig '!$K$23,"")</f>
        <v>2129.4</v>
      </c>
      <c r="AH146" s="125">
        <f>IFERROR(Y146*'FlightConfig '!$K$23,"")</f>
        <v>2730</v>
      </c>
      <c r="AI146" s="125">
        <f>IFERROR(Z146*'FlightConfig '!$K$23,"")</f>
        <v>1092</v>
      </c>
      <c r="AJ146" s="125">
        <f>IFERROR(AA146*'FlightConfig '!$K$23,"")</f>
        <v>3221.4000000000005</v>
      </c>
      <c r="AK146" s="125">
        <f>IFERROR(AB146*'FlightConfig '!$K$23,"")</f>
        <v>468.46800000000007</v>
      </c>
    </row>
    <row r="147" spans="1:37" ht="18.75" customHeight="1" x14ac:dyDescent="0.25">
      <c r="A147" t="s">
        <v>189</v>
      </c>
      <c r="B147" s="169">
        <v>1</v>
      </c>
      <c r="C147" s="174" t="str">
        <f t="shared" si="200"/>
        <v>CABIN CREW CLASS1104</v>
      </c>
      <c r="D147" s="290"/>
      <c r="E147" s="301">
        <v>1274</v>
      </c>
      <c r="F147" s="306">
        <v>104</v>
      </c>
      <c r="G147" t="str">
        <f>VLOOKUP(E147,'FG MASTER'!$A:$AB,2,0)</f>
        <v>2026 CREW CY2 SALMON</v>
      </c>
      <c r="H147" s="282">
        <v>1</v>
      </c>
      <c r="I147" s="171">
        <v>0.25</v>
      </c>
      <c r="J147" s="288">
        <f>IFERROR(IF(I147="std",H147,HLOOKUP(A147,'FlightConfig '!$B$34:$G$35,2,0)*I147),"")</f>
        <v>1.5</v>
      </c>
      <c r="K147" s="242">
        <f>VLOOKUP(Food!E147,'FG MASTER'!$A$1:$AC$737,16,0)</f>
        <v>7.5</v>
      </c>
      <c r="L147" s="243">
        <f>VLOOKUP(Food!E147,'FG MASTER'!$A$10:$AC$737,17,0)</f>
        <v>5</v>
      </c>
      <c r="M147" s="130">
        <f t="shared" si="205"/>
        <v>2</v>
      </c>
      <c r="N147" s="130">
        <f t="shared" si="201"/>
        <v>9.5</v>
      </c>
      <c r="O147" s="130">
        <f t="shared" si="202"/>
        <v>1.6500000000000004</v>
      </c>
      <c r="P147" s="130">
        <f t="shared" si="171"/>
        <v>0.39999999999999991</v>
      </c>
      <c r="Q147" s="130">
        <f t="shared" si="204"/>
        <v>11.55</v>
      </c>
      <c r="R147" s="398">
        <f t="shared" si="203"/>
        <v>9.15</v>
      </c>
      <c r="S147" s="398">
        <f t="shared" si="172"/>
        <v>2.4</v>
      </c>
      <c r="T147" s="398">
        <f t="shared" si="173"/>
        <v>11.55</v>
      </c>
      <c r="U147" s="125"/>
      <c r="V147" s="125"/>
      <c r="W147" t="str">
        <f>IFERROR(#REF!*J147,"")</f>
        <v/>
      </c>
      <c r="X147">
        <f t="shared" si="174"/>
        <v>11.25</v>
      </c>
      <c r="Y147">
        <f t="shared" si="175"/>
        <v>7.5</v>
      </c>
      <c r="Z147" s="125">
        <f t="shared" si="176"/>
        <v>3</v>
      </c>
      <c r="AA147" s="125">
        <f t="shared" si="177"/>
        <v>14.25</v>
      </c>
      <c r="AB147" s="125">
        <f t="shared" si="178"/>
        <v>2.4750000000000005</v>
      </c>
      <c r="AC147" s="125">
        <f t="shared" si="179"/>
        <v>0.59999999999999987</v>
      </c>
      <c r="AD147" s="125">
        <f t="shared" si="180"/>
        <v>17.325000000000003</v>
      </c>
      <c r="AF147" s="125" t="str">
        <f>IFERROR(W147*'FlightConfig '!$K$3,"")</f>
        <v/>
      </c>
      <c r="AG147" s="125">
        <f>IFERROR(X147*'FlightConfig '!$K$23,"")</f>
        <v>4095</v>
      </c>
      <c r="AH147" s="125">
        <f>IFERROR(Y147*'FlightConfig '!$K$23,"")</f>
        <v>2730</v>
      </c>
      <c r="AI147" s="125">
        <f>IFERROR(Z147*'FlightConfig '!$K$23,"")</f>
        <v>1092</v>
      </c>
      <c r="AJ147" s="125">
        <f>IFERROR(AA147*'FlightConfig '!$K$23,"")</f>
        <v>5187</v>
      </c>
      <c r="AK147" s="125">
        <f>IFERROR(AB147*'FlightConfig '!$K$23,"")</f>
        <v>900.9000000000002</v>
      </c>
    </row>
    <row r="148" spans="1:37" ht="18.75" customHeight="1" x14ac:dyDescent="0.25">
      <c r="A148" t="s">
        <v>189</v>
      </c>
      <c r="B148" s="169">
        <v>1</v>
      </c>
      <c r="C148" s="174" t="str">
        <f t="shared" si="200"/>
        <v>CABIN CREW CLASS1104</v>
      </c>
      <c r="D148" s="290"/>
      <c r="E148" s="302">
        <v>1275</v>
      </c>
      <c r="F148" s="306">
        <v>104</v>
      </c>
      <c r="G148" t="str">
        <f>VLOOKUP(E148,'FG MASTER'!$A:$AB,2,0)</f>
        <v>2026 CREW CY2 RISOTTO</v>
      </c>
      <c r="H148" s="282">
        <v>1</v>
      </c>
      <c r="I148" s="171">
        <v>0.25</v>
      </c>
      <c r="J148" s="288">
        <f>IFERROR(IF(I148="std",H148,HLOOKUP(A148,'FlightConfig '!$B$34:$G$35,2,0)*I148),"")</f>
        <v>1.5</v>
      </c>
      <c r="K148" s="242">
        <f>VLOOKUP(Food!E148,'FG MASTER'!$A$1:$AC$737,16,0)</f>
        <v>2.74</v>
      </c>
      <c r="L148" s="243">
        <f>VLOOKUP(Food!E148,'FG MASTER'!$A$10:$AC$737,17,0)</f>
        <v>4.75</v>
      </c>
      <c r="M148" s="130">
        <f t="shared" si="205"/>
        <v>1.9000000000000001</v>
      </c>
      <c r="N148" s="130">
        <f t="shared" si="201"/>
        <v>4.6400000000000006</v>
      </c>
      <c r="O148" s="130">
        <f t="shared" si="202"/>
        <v>0.60279999999999978</v>
      </c>
      <c r="P148" s="130">
        <f t="shared" ref="P148:P158" si="206">IFERROR($M148*(1+$P$2)-$M148,0)</f>
        <v>0.38000000000000012</v>
      </c>
      <c r="Q148" s="130">
        <f t="shared" si="204"/>
        <v>5.6228000000000007</v>
      </c>
      <c r="R148" s="398">
        <f t="shared" si="203"/>
        <v>3.3428</v>
      </c>
      <c r="S148" s="398">
        <f t="shared" ref="S148:S158" si="207">M148*(1+$P$2)</f>
        <v>2.2800000000000002</v>
      </c>
      <c r="T148" s="398">
        <f t="shared" ref="T148:T158" si="208">R148+S148</f>
        <v>5.6227999999999998</v>
      </c>
      <c r="U148" s="125"/>
      <c r="V148" s="125"/>
      <c r="W148" t="str">
        <f>IFERROR(#REF!*J148,"")</f>
        <v/>
      </c>
      <c r="X148">
        <f t="shared" si="174"/>
        <v>4.1100000000000003</v>
      </c>
      <c r="Y148">
        <f t="shared" si="175"/>
        <v>7.125</v>
      </c>
      <c r="Z148" s="125">
        <f t="shared" si="176"/>
        <v>2.85</v>
      </c>
      <c r="AA148" s="125">
        <f t="shared" si="177"/>
        <v>6.9600000000000009</v>
      </c>
      <c r="AB148" s="125">
        <f t="shared" si="178"/>
        <v>0.90419999999999967</v>
      </c>
      <c r="AC148" s="125">
        <f t="shared" si="179"/>
        <v>0.57000000000000017</v>
      </c>
      <c r="AD148" s="125">
        <f t="shared" si="180"/>
        <v>8.4342000000000006</v>
      </c>
      <c r="AF148" s="125" t="str">
        <f>IFERROR(W148*'FlightConfig '!$K$3,"")</f>
        <v/>
      </c>
      <c r="AG148" s="125">
        <f>IFERROR(X148*'FlightConfig '!$K$23,"")</f>
        <v>1496.0400000000002</v>
      </c>
      <c r="AH148" s="125">
        <f>IFERROR(Y148*'FlightConfig '!$K$23,"")</f>
        <v>2593.5</v>
      </c>
      <c r="AI148" s="125">
        <f>IFERROR(Z148*'FlightConfig '!$K$23,"")</f>
        <v>1037.4000000000001</v>
      </c>
      <c r="AJ148" s="125">
        <f>IFERROR(AA148*'FlightConfig '!$K$23,"")</f>
        <v>2533.4400000000005</v>
      </c>
      <c r="AK148" s="125">
        <f>IFERROR(AB148*'FlightConfig '!$K$23,"")</f>
        <v>329.1287999999999</v>
      </c>
    </row>
    <row r="149" spans="1:37" ht="18.75" customHeight="1" x14ac:dyDescent="0.25">
      <c r="A149" t="s">
        <v>189</v>
      </c>
      <c r="B149" s="169">
        <v>1</v>
      </c>
      <c r="C149" s="174" t="str">
        <f t="shared" si="200"/>
        <v>CABIN CREW CLASS1104</v>
      </c>
      <c r="D149" s="290"/>
      <c r="E149" s="302">
        <v>1276</v>
      </c>
      <c r="F149" s="306">
        <v>104</v>
      </c>
      <c r="G149" t="str">
        <f>VLOOKUP(E149,'FG MASTER'!$A:$AB,2,0)</f>
        <v>2026 CREW CY2 TOAST WITH RED PEPPER BISQUE</v>
      </c>
      <c r="H149" s="282">
        <v>1</v>
      </c>
      <c r="I149" s="171">
        <v>0.25</v>
      </c>
      <c r="J149" s="288">
        <f>IFERROR(IF(I149="std",H149,HLOOKUP(A149,'FlightConfig '!$B$34:$G$35,2,0)*I149),"")</f>
        <v>1.5</v>
      </c>
      <c r="K149" s="242">
        <f>VLOOKUP(Food!E149,'FG MASTER'!$A$1:$AC$737,16,0)</f>
        <v>1.52</v>
      </c>
      <c r="L149" s="243">
        <f>VLOOKUP(Food!E149,'FG MASTER'!$A$10:$AC$737,17,0)</f>
        <v>2.75</v>
      </c>
      <c r="M149" s="130">
        <f t="shared" si="205"/>
        <v>1.1000000000000001</v>
      </c>
      <c r="N149" s="130">
        <f t="shared" si="201"/>
        <v>2.62</v>
      </c>
      <c r="O149" s="130">
        <f t="shared" si="202"/>
        <v>0.33440000000000003</v>
      </c>
      <c r="P149" s="130">
        <f t="shared" si="206"/>
        <v>0.21999999999999997</v>
      </c>
      <c r="Q149" s="130">
        <f t="shared" si="204"/>
        <v>3.1744000000000003</v>
      </c>
      <c r="R149" s="398">
        <f t="shared" si="203"/>
        <v>1.8544</v>
      </c>
      <c r="S149" s="398">
        <f t="shared" si="207"/>
        <v>1.32</v>
      </c>
      <c r="T149" s="398">
        <f t="shared" si="208"/>
        <v>3.1744000000000003</v>
      </c>
      <c r="U149" s="125"/>
      <c r="V149" s="125"/>
      <c r="W149" t="str">
        <f>IFERROR(#REF!*J149,"")</f>
        <v/>
      </c>
      <c r="X149">
        <f t="shared" ref="X149:X158" si="209">IFERROR(K149*J149,"")</f>
        <v>2.2800000000000002</v>
      </c>
      <c r="Y149">
        <f t="shared" ref="Y149:Y158" si="210">IFERROR(+L149*J149,"")</f>
        <v>4.125</v>
      </c>
      <c r="Z149" s="125">
        <f t="shared" ref="Z149:Z158" si="211">IFERROR(+M149*J149,"")</f>
        <v>1.6500000000000001</v>
      </c>
      <c r="AA149" s="125">
        <f t="shared" ref="AA149:AA158" si="212">IFERROR(+N149*J149,"")</f>
        <v>3.93</v>
      </c>
      <c r="AB149" s="125">
        <f t="shared" ref="AB149:AB158" si="213">IFERROR(O149*$J149,"")</f>
        <v>0.50160000000000005</v>
      </c>
      <c r="AC149" s="125">
        <f t="shared" ref="AC149:AC158" si="214">IFERROR(P149*$J149,"")</f>
        <v>0.32999999999999996</v>
      </c>
      <c r="AD149" s="125">
        <f t="shared" ref="AD149:AD158" si="215">IFERROR(+Q149*J149,"")</f>
        <v>4.7616000000000005</v>
      </c>
      <c r="AF149" s="125" t="str">
        <f>IFERROR(W149*'FlightConfig '!$K$3,"")</f>
        <v/>
      </c>
      <c r="AG149" s="125">
        <f>IFERROR(X149*'FlightConfig '!$K$23,"")</f>
        <v>829.92000000000007</v>
      </c>
      <c r="AH149" s="125">
        <f>IFERROR(Y149*'FlightConfig '!$K$23,"")</f>
        <v>1501.5</v>
      </c>
      <c r="AI149" s="125">
        <f>IFERROR(Z149*'FlightConfig '!$K$23,"")</f>
        <v>600.6</v>
      </c>
      <c r="AJ149" s="125">
        <f>IFERROR(AA149*'FlightConfig '!$K$23,"")</f>
        <v>1430.52</v>
      </c>
      <c r="AK149" s="125">
        <f>IFERROR(AB149*'FlightConfig '!$K$23,"")</f>
        <v>182.58240000000001</v>
      </c>
    </row>
    <row r="150" spans="1:37" ht="18.75" customHeight="1" x14ac:dyDescent="0.25">
      <c r="A150" t="s">
        <v>189</v>
      </c>
      <c r="B150" s="169">
        <v>1</v>
      </c>
      <c r="C150" s="174" t="str">
        <f t="shared" si="200"/>
        <v>CABIN CREW CLASS1104</v>
      </c>
      <c r="D150" s="290"/>
      <c r="E150" s="301">
        <v>1277</v>
      </c>
      <c r="F150" s="306">
        <v>104</v>
      </c>
      <c r="G150" t="str">
        <f>VLOOKUP(E150,'FG MASTER'!$A:$AB,2,0)</f>
        <v>2026 CREW CY2 SPINACH CANNELLONI</v>
      </c>
      <c r="H150" s="282">
        <v>1</v>
      </c>
      <c r="I150" s="171">
        <v>0.25</v>
      </c>
      <c r="J150" s="288">
        <f>IFERROR(IF(I150="std",H150,HLOOKUP(A150,'FlightConfig '!$B$34:$G$35,2,0)*I150),"")</f>
        <v>1.5</v>
      </c>
      <c r="K150" s="242">
        <f>VLOOKUP(Food!E150,'FG MASTER'!$A$1:$AC$737,16,0)</f>
        <v>2.4500000000000002</v>
      </c>
      <c r="L150" s="243">
        <f>VLOOKUP(Food!E150,'FG MASTER'!$A$10:$AC$737,17,0)</f>
        <v>2.5</v>
      </c>
      <c r="M150" s="130">
        <f t="shared" si="205"/>
        <v>1</v>
      </c>
      <c r="N150" s="130">
        <f t="shared" si="201"/>
        <v>3.45</v>
      </c>
      <c r="O150" s="130">
        <f t="shared" si="202"/>
        <v>0.53900000000000015</v>
      </c>
      <c r="P150" s="130">
        <f t="shared" si="206"/>
        <v>0.19999999999999996</v>
      </c>
      <c r="Q150" s="130">
        <f t="shared" si="204"/>
        <v>4.1890000000000001</v>
      </c>
      <c r="R150" s="398">
        <f t="shared" si="203"/>
        <v>2.9890000000000003</v>
      </c>
      <c r="S150" s="398">
        <f t="shared" si="207"/>
        <v>1.2</v>
      </c>
      <c r="T150" s="398">
        <f t="shared" si="208"/>
        <v>4.1890000000000001</v>
      </c>
      <c r="U150" s="125"/>
      <c r="V150" s="125"/>
      <c r="W150" t="str">
        <f>IFERROR(#REF!*J150,"")</f>
        <v/>
      </c>
      <c r="X150">
        <f t="shared" si="209"/>
        <v>3.6750000000000003</v>
      </c>
      <c r="Y150">
        <f t="shared" si="210"/>
        <v>3.75</v>
      </c>
      <c r="Z150" s="125">
        <f t="shared" si="211"/>
        <v>1.5</v>
      </c>
      <c r="AA150" s="125">
        <f t="shared" si="212"/>
        <v>5.1750000000000007</v>
      </c>
      <c r="AB150" s="125">
        <f t="shared" si="213"/>
        <v>0.80850000000000022</v>
      </c>
      <c r="AC150" s="125">
        <f t="shared" si="214"/>
        <v>0.29999999999999993</v>
      </c>
      <c r="AD150" s="125">
        <f t="shared" si="215"/>
        <v>6.2835000000000001</v>
      </c>
      <c r="AF150" s="125" t="str">
        <f>IFERROR(W150*'FlightConfig '!$K$3,"")</f>
        <v/>
      </c>
      <c r="AG150" s="125">
        <f>IFERROR(X150*'FlightConfig '!$K$23,"")</f>
        <v>1337.7</v>
      </c>
      <c r="AH150" s="125">
        <f>IFERROR(Y150*'FlightConfig '!$K$23,"")</f>
        <v>1365</v>
      </c>
      <c r="AI150" s="125">
        <f>IFERROR(Z150*'FlightConfig '!$K$23,"")</f>
        <v>546</v>
      </c>
      <c r="AJ150" s="125">
        <f>IFERROR(AA150*'FlightConfig '!$K$23,"")</f>
        <v>1883.7000000000003</v>
      </c>
      <c r="AK150" s="125">
        <f>IFERROR(AB150*'FlightConfig '!$K$23,"")</f>
        <v>294.2940000000001</v>
      </c>
    </row>
    <row r="151" spans="1:37" ht="18.75" customHeight="1" x14ac:dyDescent="0.25">
      <c r="A151" t="s">
        <v>189</v>
      </c>
      <c r="B151" s="169">
        <v>1</v>
      </c>
      <c r="C151" s="174" t="str">
        <f t="shared" si="200"/>
        <v>CABIN CREW CLASS1104</v>
      </c>
      <c r="D151" s="290"/>
      <c r="E151" s="301">
        <v>1278</v>
      </c>
      <c r="F151" s="306">
        <v>104</v>
      </c>
      <c r="G151" t="str">
        <f>VLOOKUP(E151,'FG MASTER'!$A:$AB,2,0)</f>
        <v>2026 CREW CY2 TURKEY SANDWICH</v>
      </c>
      <c r="H151" s="282">
        <v>1</v>
      </c>
      <c r="I151" s="171">
        <v>0.16</v>
      </c>
      <c r="J151" s="288">
        <f>IFERROR(IF(I151="std",H151,HLOOKUP(A151,'FlightConfig '!$B$34:$G$35,2,0)*I151),"")</f>
        <v>0.96</v>
      </c>
      <c r="K151" s="242">
        <f>VLOOKUP(Food!E151,'FG MASTER'!$A$1:$AC$737,16,0)</f>
        <v>1.63</v>
      </c>
      <c r="L151" s="243">
        <f>VLOOKUP(Food!E151,'FG MASTER'!$A$10:$AC$737,17,0)</f>
        <v>1.43</v>
      </c>
      <c r="M151" s="130">
        <f t="shared" si="205"/>
        <v>0.57199999999999995</v>
      </c>
      <c r="N151" s="130">
        <f t="shared" si="201"/>
        <v>2.202</v>
      </c>
      <c r="O151" s="130">
        <f t="shared" si="202"/>
        <v>0.35860000000000003</v>
      </c>
      <c r="P151" s="130">
        <f t="shared" si="206"/>
        <v>0.11439999999999995</v>
      </c>
      <c r="Q151" s="130">
        <f t="shared" si="204"/>
        <v>2.6749999999999998</v>
      </c>
      <c r="R151" s="398">
        <f t="shared" si="203"/>
        <v>1.9885999999999999</v>
      </c>
      <c r="S151" s="398">
        <f t="shared" si="207"/>
        <v>0.6863999999999999</v>
      </c>
      <c r="T151" s="398">
        <f t="shared" si="208"/>
        <v>2.6749999999999998</v>
      </c>
      <c r="U151" s="125"/>
      <c r="V151" s="125"/>
      <c r="W151" t="str">
        <f>IFERROR(#REF!*J151,"")</f>
        <v/>
      </c>
      <c r="X151">
        <f t="shared" si="209"/>
        <v>1.5647999999999997</v>
      </c>
      <c r="Y151">
        <f t="shared" si="210"/>
        <v>1.3727999999999998</v>
      </c>
      <c r="Z151" s="125">
        <f t="shared" si="211"/>
        <v>0.54911999999999994</v>
      </c>
      <c r="AA151" s="125">
        <f t="shared" si="212"/>
        <v>2.1139199999999998</v>
      </c>
      <c r="AB151" s="125">
        <f t="shared" si="213"/>
        <v>0.34425600000000001</v>
      </c>
      <c r="AC151" s="125">
        <f t="shared" si="214"/>
        <v>0.10982399999999995</v>
      </c>
      <c r="AD151" s="125">
        <f t="shared" si="215"/>
        <v>2.5679999999999996</v>
      </c>
      <c r="AF151" s="125" t="str">
        <f>IFERROR(W151*'FlightConfig '!$K$3,"")</f>
        <v/>
      </c>
      <c r="AG151" s="125">
        <f>IFERROR(X151*'FlightConfig '!$K$23,"")</f>
        <v>569.58719999999994</v>
      </c>
      <c r="AH151" s="125">
        <f>IFERROR(Y151*'FlightConfig '!$K$23,"")</f>
        <v>499.69919999999991</v>
      </c>
      <c r="AI151" s="125">
        <f>IFERROR(Z151*'FlightConfig '!$K$23,"")</f>
        <v>199.87967999999998</v>
      </c>
      <c r="AJ151" s="125">
        <f>IFERROR(AA151*'FlightConfig '!$K$23,"")</f>
        <v>769.46687999999995</v>
      </c>
      <c r="AK151" s="125">
        <f>IFERROR(AB151*'FlightConfig '!$K$23,"")</f>
        <v>125.309184</v>
      </c>
    </row>
    <row r="152" spans="1:37" ht="18.75" customHeight="1" x14ac:dyDescent="0.25">
      <c r="A152" t="s">
        <v>189</v>
      </c>
      <c r="B152" s="169">
        <v>1</v>
      </c>
      <c r="C152" s="174" t="str">
        <f t="shared" si="200"/>
        <v>CABIN CREW CLASS1104</v>
      </c>
      <c r="D152" s="290"/>
      <c r="E152" s="301">
        <v>1279</v>
      </c>
      <c r="F152" s="306">
        <v>104</v>
      </c>
      <c r="G152" t="str">
        <f>VLOOKUP(E152,'FG MASTER'!$A:$AB,2,0)</f>
        <v>2026 CREW CY2 ROAST BEEF HOAGIE</v>
      </c>
      <c r="H152" s="282">
        <v>1</v>
      </c>
      <c r="I152" s="171">
        <v>0.16</v>
      </c>
      <c r="J152" s="288">
        <f>IFERROR(IF(I152="std",H152,HLOOKUP(A152,'FlightConfig '!$B$34:$G$35,2,0)*I152),"")</f>
        <v>0.96</v>
      </c>
      <c r="K152" s="242">
        <f>VLOOKUP(Food!E152,'FG MASTER'!$A$1:$AC$737,16,0)</f>
        <v>3.1</v>
      </c>
      <c r="L152" s="243">
        <f>VLOOKUP(Food!E152,'FG MASTER'!$A$10:$AC$737,17,0)</f>
        <v>1.43</v>
      </c>
      <c r="M152" s="130">
        <f t="shared" si="205"/>
        <v>0.57199999999999995</v>
      </c>
      <c r="N152" s="130">
        <f t="shared" si="201"/>
        <v>3.6720000000000002</v>
      </c>
      <c r="O152" s="130">
        <f t="shared" si="202"/>
        <v>0.68199999999999994</v>
      </c>
      <c r="P152" s="130">
        <f t="shared" si="206"/>
        <v>0.11439999999999995</v>
      </c>
      <c r="Q152" s="130">
        <f t="shared" si="204"/>
        <v>4.4683999999999999</v>
      </c>
      <c r="R152" s="398">
        <f t="shared" si="203"/>
        <v>3.782</v>
      </c>
      <c r="S152" s="398">
        <f t="shared" si="207"/>
        <v>0.6863999999999999</v>
      </c>
      <c r="T152" s="398">
        <f t="shared" si="208"/>
        <v>4.4683999999999999</v>
      </c>
      <c r="U152" s="125"/>
      <c r="V152" s="125"/>
      <c r="W152" t="str">
        <f>IFERROR(#REF!*J152,"")</f>
        <v/>
      </c>
      <c r="X152">
        <f t="shared" si="209"/>
        <v>2.976</v>
      </c>
      <c r="Y152">
        <f t="shared" si="210"/>
        <v>1.3727999999999998</v>
      </c>
      <c r="Z152" s="125">
        <f t="shared" si="211"/>
        <v>0.54911999999999994</v>
      </c>
      <c r="AA152" s="125">
        <f t="shared" si="212"/>
        <v>3.5251199999999998</v>
      </c>
      <c r="AB152" s="125">
        <f t="shared" si="213"/>
        <v>0.65471999999999997</v>
      </c>
      <c r="AC152" s="125">
        <f t="shared" si="214"/>
        <v>0.10982399999999995</v>
      </c>
      <c r="AD152" s="125">
        <f t="shared" si="215"/>
        <v>4.2896640000000001</v>
      </c>
      <c r="AF152" s="125" t="str">
        <f>IFERROR(W152*'FlightConfig '!$K$3,"")</f>
        <v/>
      </c>
      <c r="AG152" s="125">
        <f>IFERROR(X152*'FlightConfig '!$K$23,"")</f>
        <v>1083.2639999999999</v>
      </c>
      <c r="AH152" s="125">
        <f>IFERROR(Y152*'FlightConfig '!$K$23,"")</f>
        <v>499.69919999999991</v>
      </c>
      <c r="AI152" s="125">
        <f>IFERROR(Z152*'FlightConfig '!$K$23,"")</f>
        <v>199.87967999999998</v>
      </c>
      <c r="AJ152" s="125">
        <f>IFERROR(AA152*'FlightConfig '!$K$23,"")</f>
        <v>1283.1436799999999</v>
      </c>
      <c r="AK152" s="125">
        <f>IFERROR(AB152*'FlightConfig '!$K$23,"")</f>
        <v>238.31807999999998</v>
      </c>
    </row>
    <row r="153" spans="1:37" ht="18.75" customHeight="1" x14ac:dyDescent="0.25">
      <c r="A153" t="s">
        <v>189</v>
      </c>
      <c r="B153" s="169">
        <v>1</v>
      </c>
      <c r="C153" s="174" t="str">
        <f>CONCATENATE(A153&amp;B153&amp;F153)</f>
        <v>CABIN CREW CLASS1104</v>
      </c>
      <c r="D153" s="290"/>
      <c r="E153" s="301">
        <v>1280</v>
      </c>
      <c r="F153" s="306">
        <v>104</v>
      </c>
      <c r="G153" t="str">
        <f>VLOOKUP(E153,'FG MASTER'!$A:$AB,2,0)</f>
        <v>2026 CREW CY2 CHICKEN SALAD CROISSANT</v>
      </c>
      <c r="H153" s="282">
        <v>1</v>
      </c>
      <c r="I153" s="171">
        <v>0.16</v>
      </c>
      <c r="J153" s="288">
        <f>IFERROR(IF(I153="std",H153,HLOOKUP(A153,'FlightConfig '!$B$34:$G$35,2,0)*I153),"")</f>
        <v>0.96</v>
      </c>
      <c r="K153" s="242">
        <f>VLOOKUP(Food!E153,'FG MASTER'!$A$1:$AC$737,16,0)</f>
        <v>1.99</v>
      </c>
      <c r="L153" s="243">
        <f>VLOOKUP(Food!E153,'FG MASTER'!$A$10:$AC$737,17,0)</f>
        <v>1.43</v>
      </c>
      <c r="M153" s="130">
        <f t="shared" si="205"/>
        <v>0.57199999999999995</v>
      </c>
      <c r="N153" s="130">
        <f t="shared" si="201"/>
        <v>2.5619999999999998</v>
      </c>
      <c r="O153" s="130">
        <f t="shared" si="202"/>
        <v>0.43779999999999997</v>
      </c>
      <c r="P153" s="130">
        <f t="shared" si="206"/>
        <v>0.11439999999999995</v>
      </c>
      <c r="Q153" s="130">
        <f t="shared" si="204"/>
        <v>3.1141999999999994</v>
      </c>
      <c r="R153" s="398">
        <f t="shared" si="203"/>
        <v>2.4278</v>
      </c>
      <c r="S153" s="398">
        <f t="shared" si="207"/>
        <v>0.6863999999999999</v>
      </c>
      <c r="T153" s="398">
        <f t="shared" si="208"/>
        <v>3.1141999999999999</v>
      </c>
      <c r="U153" s="125"/>
      <c r="V153" s="125"/>
      <c r="W153" t="str">
        <f>IFERROR(#REF!*J153,"")</f>
        <v/>
      </c>
      <c r="X153">
        <f t="shared" si="209"/>
        <v>1.9103999999999999</v>
      </c>
      <c r="Y153">
        <f t="shared" si="210"/>
        <v>1.3727999999999998</v>
      </c>
      <c r="Z153" s="125">
        <f t="shared" si="211"/>
        <v>0.54911999999999994</v>
      </c>
      <c r="AA153" s="125">
        <f t="shared" si="212"/>
        <v>2.4595199999999999</v>
      </c>
      <c r="AB153" s="125">
        <f t="shared" si="213"/>
        <v>0.42028799999999994</v>
      </c>
      <c r="AC153" s="125">
        <f t="shared" si="214"/>
        <v>0.10982399999999995</v>
      </c>
      <c r="AD153" s="125">
        <f t="shared" si="215"/>
        <v>2.9896319999999994</v>
      </c>
      <c r="AF153" s="125" t="str">
        <f>IFERROR(W153*'FlightConfig '!$K$3,"")</f>
        <v/>
      </c>
      <c r="AG153" s="125">
        <f>IFERROR(X153*'FlightConfig '!$K$23,"")</f>
        <v>695.38559999999995</v>
      </c>
      <c r="AH153" s="125">
        <f>IFERROR(Y153*'FlightConfig '!$K$23,"")</f>
        <v>499.69919999999991</v>
      </c>
      <c r="AI153" s="125">
        <f>IFERROR(Z153*'FlightConfig '!$K$23,"")</f>
        <v>199.87967999999998</v>
      </c>
      <c r="AJ153" s="125">
        <f>IFERROR(AA153*'FlightConfig '!$K$23,"")</f>
        <v>895.26527999999996</v>
      </c>
      <c r="AK153" s="125">
        <f>IFERROR(AB153*'FlightConfig '!$K$23,"")</f>
        <v>152.98483199999998</v>
      </c>
    </row>
    <row r="154" spans="1:37" ht="18.75" customHeight="1" x14ac:dyDescent="0.25">
      <c r="A154" t="s">
        <v>189</v>
      </c>
      <c r="B154" s="169">
        <v>1</v>
      </c>
      <c r="C154" s="174" t="str">
        <f t="shared" ref="C154:C158" si="216">CONCATENATE(A154&amp;B154&amp;F154)</f>
        <v>CABIN CREW CLASS1104</v>
      </c>
      <c r="D154" s="290"/>
      <c r="E154" s="301">
        <v>1281</v>
      </c>
      <c r="F154" s="306">
        <v>104</v>
      </c>
      <c r="G154" t="str">
        <f>VLOOKUP(E154,'FG MASTER'!$A:$AB,2,0)</f>
        <v>2026 CREW CY2 HUMMUS ON CIABATTA</v>
      </c>
      <c r="H154" s="282">
        <v>1</v>
      </c>
      <c r="I154" s="171">
        <v>0.16</v>
      </c>
      <c r="J154" s="288">
        <f>IFERROR(IF(I154="std",H154,HLOOKUP(A154,'FlightConfig '!$B$34:$G$35,2,0)*I154),"")</f>
        <v>0.96</v>
      </c>
      <c r="K154" s="242">
        <f>VLOOKUP(Food!E154,'FG MASTER'!$A$1:$AC$737,16,0)</f>
        <v>1.17</v>
      </c>
      <c r="L154" s="243">
        <f>VLOOKUP(Food!E154,'FG MASTER'!$A$10:$AC$737,17,0)</f>
        <v>1.43</v>
      </c>
      <c r="M154" s="130">
        <f t="shared" si="205"/>
        <v>0.57199999999999995</v>
      </c>
      <c r="N154" s="130">
        <f t="shared" si="201"/>
        <v>1.742</v>
      </c>
      <c r="O154" s="130">
        <f t="shared" si="202"/>
        <v>0.25739999999999985</v>
      </c>
      <c r="P154" s="130">
        <f t="shared" si="206"/>
        <v>0.11439999999999995</v>
      </c>
      <c r="Q154" s="130">
        <f t="shared" si="204"/>
        <v>2.1137999999999999</v>
      </c>
      <c r="R154" s="398">
        <f t="shared" si="203"/>
        <v>1.4273999999999998</v>
      </c>
      <c r="S154" s="398">
        <f t="shared" si="207"/>
        <v>0.6863999999999999</v>
      </c>
      <c r="T154" s="398">
        <f t="shared" si="208"/>
        <v>2.1137999999999995</v>
      </c>
      <c r="U154" s="125"/>
      <c r="V154" s="125"/>
      <c r="W154" t="str">
        <f>IFERROR(#REF!*J154,"")</f>
        <v/>
      </c>
      <c r="X154">
        <f t="shared" si="209"/>
        <v>1.1232</v>
      </c>
      <c r="Y154">
        <f t="shared" si="210"/>
        <v>1.3727999999999998</v>
      </c>
      <c r="Z154" s="125">
        <f t="shared" si="211"/>
        <v>0.54911999999999994</v>
      </c>
      <c r="AA154" s="125">
        <f t="shared" si="212"/>
        <v>1.67232</v>
      </c>
      <c r="AB154" s="125">
        <f t="shared" si="213"/>
        <v>0.24710399999999985</v>
      </c>
      <c r="AC154" s="125">
        <f t="shared" si="214"/>
        <v>0.10982399999999995</v>
      </c>
      <c r="AD154" s="125">
        <f t="shared" si="215"/>
        <v>2.0292479999999999</v>
      </c>
      <c r="AF154" s="125" t="str">
        <f>IFERROR(W154*'FlightConfig '!$K$3,"")</f>
        <v/>
      </c>
      <c r="AG154" s="125">
        <f>IFERROR(X154*'FlightConfig '!$K$23,"")</f>
        <v>408.84479999999996</v>
      </c>
      <c r="AH154" s="125">
        <f>IFERROR(Y154*'FlightConfig '!$K$23,"")</f>
        <v>499.69919999999991</v>
      </c>
      <c r="AI154" s="125">
        <f>IFERROR(Z154*'FlightConfig '!$K$23,"")</f>
        <v>199.87967999999998</v>
      </c>
      <c r="AJ154" s="125">
        <f>IFERROR(AA154*'FlightConfig '!$K$23,"")</f>
        <v>608.72447999999997</v>
      </c>
      <c r="AK154" s="125">
        <f>IFERROR(AB154*'FlightConfig '!$K$23,"")</f>
        <v>89.945855999999949</v>
      </c>
    </row>
    <row r="155" spans="1:37" ht="18.75" customHeight="1" x14ac:dyDescent="0.25">
      <c r="A155" t="s">
        <v>189</v>
      </c>
      <c r="B155" s="169">
        <v>1</v>
      </c>
      <c r="C155" s="174" t="str">
        <f t="shared" si="216"/>
        <v>CABIN CREW CLASS1104</v>
      </c>
      <c r="D155" s="290"/>
      <c r="E155" s="301">
        <v>1282</v>
      </c>
      <c r="F155" s="306">
        <v>104</v>
      </c>
      <c r="G155" t="str">
        <f>VLOOKUP(E155,'FG MASTER'!$A:$AB,2,0)</f>
        <v>2026 CERW CY2 CREAM CHEESE CUCUMBER ON WHOLE WHEAT</v>
      </c>
      <c r="H155" s="282">
        <v>1</v>
      </c>
      <c r="I155" s="171">
        <v>0.16</v>
      </c>
      <c r="J155" s="288">
        <f>IFERROR(IF(I155="std",H155,HLOOKUP(A155,'FlightConfig '!$B$34:$G$35,2,0)*I155),"")</f>
        <v>0.96</v>
      </c>
      <c r="K155" s="242">
        <f>VLOOKUP(Food!E155,'FG MASTER'!$A$1:$AC$737,16,0)</f>
        <v>1</v>
      </c>
      <c r="L155" s="243">
        <f>VLOOKUP(Food!E155,'FG MASTER'!$A$10:$AC$737,17,0)</f>
        <v>1.43</v>
      </c>
      <c r="M155" s="130">
        <f t="shared" si="205"/>
        <v>0.57199999999999995</v>
      </c>
      <c r="N155" s="130">
        <f t="shared" si="201"/>
        <v>1.5720000000000001</v>
      </c>
      <c r="O155" s="130">
        <f t="shared" si="202"/>
        <v>0.21999999999999997</v>
      </c>
      <c r="P155" s="130">
        <f t="shared" si="206"/>
        <v>0.11439999999999995</v>
      </c>
      <c r="Q155" s="130">
        <f t="shared" si="204"/>
        <v>1.9064000000000001</v>
      </c>
      <c r="R155" s="398">
        <f t="shared" si="203"/>
        <v>1.22</v>
      </c>
      <c r="S155" s="398">
        <f t="shared" si="207"/>
        <v>0.6863999999999999</v>
      </c>
      <c r="T155" s="398">
        <f t="shared" si="208"/>
        <v>1.9063999999999999</v>
      </c>
      <c r="U155" s="125"/>
      <c r="V155" s="125"/>
      <c r="W155" t="str">
        <f>IFERROR(#REF!*J155,"")</f>
        <v/>
      </c>
      <c r="X155">
        <f t="shared" si="209"/>
        <v>0.96</v>
      </c>
      <c r="Y155">
        <f t="shared" si="210"/>
        <v>1.3727999999999998</v>
      </c>
      <c r="Z155" s="125">
        <f t="shared" si="211"/>
        <v>0.54911999999999994</v>
      </c>
      <c r="AA155" s="125">
        <f t="shared" si="212"/>
        <v>1.50912</v>
      </c>
      <c r="AB155" s="125">
        <f t="shared" si="213"/>
        <v>0.21119999999999997</v>
      </c>
      <c r="AC155" s="125">
        <f t="shared" si="214"/>
        <v>0.10982399999999995</v>
      </c>
      <c r="AD155" s="125">
        <f t="shared" si="215"/>
        <v>1.830144</v>
      </c>
      <c r="AF155" s="125" t="str">
        <f>IFERROR(W155*'FlightConfig '!$K$3,"")</f>
        <v/>
      </c>
      <c r="AG155" s="125">
        <f>IFERROR(X155*'FlightConfig '!$K$23,"")</f>
        <v>349.44</v>
      </c>
      <c r="AH155" s="125">
        <f>IFERROR(Y155*'FlightConfig '!$K$23,"")</f>
        <v>499.69919999999991</v>
      </c>
      <c r="AI155" s="125">
        <f>IFERROR(Z155*'FlightConfig '!$K$23,"")</f>
        <v>199.87967999999998</v>
      </c>
      <c r="AJ155" s="125">
        <f>IFERROR(AA155*'FlightConfig '!$K$23,"")</f>
        <v>549.31968000000006</v>
      </c>
      <c r="AK155" s="125">
        <f>IFERROR(AB155*'FlightConfig '!$K$23,"")</f>
        <v>76.876799999999989</v>
      </c>
    </row>
    <row r="156" spans="1:37" ht="18.75" customHeight="1" x14ac:dyDescent="0.25">
      <c r="A156" t="s">
        <v>189</v>
      </c>
      <c r="B156" s="169">
        <v>1</v>
      </c>
      <c r="C156" s="174" t="str">
        <f t="shared" si="216"/>
        <v>CABIN CREW CLASS1104</v>
      </c>
      <c r="D156" s="290"/>
      <c r="E156" s="301">
        <v>1283</v>
      </c>
      <c r="F156" s="306">
        <v>104</v>
      </c>
      <c r="G156" t="str">
        <f>VLOOKUP(E156,'FG MASTER'!$A:$AB,2,0)</f>
        <v xml:space="preserve">2026 CREW CY2 ENGLISH MUFFIN SAUSAGE PATTY </v>
      </c>
      <c r="H156" s="282">
        <v>1</v>
      </c>
      <c r="I156" s="171">
        <v>0.16</v>
      </c>
      <c r="J156" s="288">
        <f>IFERROR(IF(I156="std",H156,HLOOKUP(A156,'FlightConfig '!$B$34:$G$35,2,0)*I156),"")</f>
        <v>0.96</v>
      </c>
      <c r="K156" s="242">
        <f>VLOOKUP(Food!E156,'FG MASTER'!$A$1:$AC$737,16,0)</f>
        <v>1.08</v>
      </c>
      <c r="L156" s="243">
        <f>VLOOKUP(Food!E156,'FG MASTER'!$A$10:$AC$737,17,0)</f>
        <v>2</v>
      </c>
      <c r="M156" s="130">
        <f t="shared" si="205"/>
        <v>0.8</v>
      </c>
      <c r="N156" s="130">
        <f t="shared" si="201"/>
        <v>1.8800000000000001</v>
      </c>
      <c r="O156" s="130">
        <f t="shared" si="202"/>
        <v>0.23760000000000003</v>
      </c>
      <c r="P156" s="130">
        <f t="shared" si="206"/>
        <v>0.15999999999999992</v>
      </c>
      <c r="Q156" s="130">
        <f t="shared" si="204"/>
        <v>2.2776000000000005</v>
      </c>
      <c r="R156" s="398">
        <f t="shared" si="203"/>
        <v>1.3176000000000001</v>
      </c>
      <c r="S156" s="398">
        <f t="shared" si="207"/>
        <v>0.96</v>
      </c>
      <c r="T156" s="398">
        <f t="shared" si="208"/>
        <v>2.2776000000000001</v>
      </c>
      <c r="U156" s="125"/>
      <c r="V156" s="125"/>
      <c r="W156" t="str">
        <f>IFERROR(#REF!*J156,"")</f>
        <v/>
      </c>
      <c r="X156">
        <f t="shared" si="209"/>
        <v>1.0367999999999999</v>
      </c>
      <c r="Y156">
        <f t="shared" si="210"/>
        <v>1.92</v>
      </c>
      <c r="Z156" s="125">
        <f t="shared" si="211"/>
        <v>0.76800000000000002</v>
      </c>
      <c r="AA156" s="125">
        <f t="shared" si="212"/>
        <v>1.8048</v>
      </c>
      <c r="AB156" s="125">
        <f t="shared" si="213"/>
        <v>0.22809600000000002</v>
      </c>
      <c r="AC156" s="125">
        <f t="shared" si="214"/>
        <v>0.15359999999999993</v>
      </c>
      <c r="AD156" s="125">
        <f t="shared" si="215"/>
        <v>2.1864960000000004</v>
      </c>
      <c r="AF156" s="125" t="str">
        <f>IFERROR(W156*'FlightConfig '!$K$3,"")</f>
        <v/>
      </c>
      <c r="AG156" s="125">
        <f>IFERROR(X156*'FlightConfig '!$K$23,"")</f>
        <v>377.39519999999999</v>
      </c>
      <c r="AH156" s="125">
        <f>IFERROR(Y156*'FlightConfig '!$K$23,"")</f>
        <v>698.88</v>
      </c>
      <c r="AI156" s="125">
        <f>IFERROR(Z156*'FlightConfig '!$K$23,"")</f>
        <v>279.55200000000002</v>
      </c>
      <c r="AJ156" s="125">
        <f>IFERROR(AA156*'FlightConfig '!$K$23,"")</f>
        <v>656.94719999999995</v>
      </c>
      <c r="AK156" s="125">
        <f>IFERROR(AB156*'FlightConfig '!$K$23,"")</f>
        <v>83.026944000000015</v>
      </c>
    </row>
    <row r="157" spans="1:37" ht="18.75" customHeight="1" x14ac:dyDescent="0.25">
      <c r="A157" t="s">
        <v>189</v>
      </c>
      <c r="B157" s="169">
        <v>1</v>
      </c>
      <c r="C157" s="174" t="str">
        <f t="shared" si="216"/>
        <v>CABIN CREW CLASS1104</v>
      </c>
      <c r="D157" s="290"/>
      <c r="E157" s="301">
        <v>1284</v>
      </c>
      <c r="F157" s="306">
        <v>104</v>
      </c>
      <c r="G157" t="str">
        <f>VLOOKUP(E157,'FG MASTER'!$A:$AB,2,0)</f>
        <v>2026 CREW CY2 TOMATO PESTO EGG SANDWICH</v>
      </c>
      <c r="H157" s="282">
        <v>1</v>
      </c>
      <c r="I157" s="171">
        <v>0.16</v>
      </c>
      <c r="J157" s="288">
        <f>IFERROR(IF(I157="std",H157,HLOOKUP(A157,'FlightConfig '!$B$34:$G$35,2,0)*I157),"")</f>
        <v>0.96</v>
      </c>
      <c r="K157" s="242">
        <f>VLOOKUP(Food!E157,'FG MASTER'!$A$1:$AC$737,16,0)</f>
        <v>1.39</v>
      </c>
      <c r="L157" s="243">
        <f>VLOOKUP(Food!E157,'FG MASTER'!$A$10:$AC$737,17,0)</f>
        <v>1.43</v>
      </c>
      <c r="M157" s="130">
        <f t="shared" si="205"/>
        <v>0.57199999999999995</v>
      </c>
      <c r="N157" s="130">
        <f t="shared" si="201"/>
        <v>1.9619999999999997</v>
      </c>
      <c r="O157" s="130">
        <f t="shared" si="202"/>
        <v>0.30579999999999985</v>
      </c>
      <c r="P157" s="130">
        <f t="shared" si="206"/>
        <v>0.11439999999999995</v>
      </c>
      <c r="Q157" s="130">
        <f t="shared" si="204"/>
        <v>2.3821999999999992</v>
      </c>
      <c r="R157" s="398">
        <f t="shared" si="203"/>
        <v>1.6957999999999998</v>
      </c>
      <c r="S157" s="398">
        <f t="shared" si="207"/>
        <v>0.6863999999999999</v>
      </c>
      <c r="T157" s="398">
        <f t="shared" si="208"/>
        <v>2.3821999999999997</v>
      </c>
      <c r="U157" s="125"/>
      <c r="V157" s="125"/>
      <c r="W157" t="str">
        <f>IFERROR(#REF!*J157,"")</f>
        <v/>
      </c>
      <c r="X157">
        <f t="shared" si="209"/>
        <v>1.3343999999999998</v>
      </c>
      <c r="Y157">
        <f t="shared" si="210"/>
        <v>1.3727999999999998</v>
      </c>
      <c r="Z157" s="125">
        <f t="shared" si="211"/>
        <v>0.54911999999999994</v>
      </c>
      <c r="AA157" s="125">
        <f t="shared" si="212"/>
        <v>1.8835199999999996</v>
      </c>
      <c r="AB157" s="125">
        <f t="shared" si="213"/>
        <v>0.29356799999999983</v>
      </c>
      <c r="AC157" s="125">
        <f t="shared" si="214"/>
        <v>0.10982399999999995</v>
      </c>
      <c r="AD157" s="125">
        <f t="shared" si="215"/>
        <v>2.2869119999999992</v>
      </c>
      <c r="AF157" s="125" t="str">
        <f>IFERROR(W157*'FlightConfig '!$K$3,"")</f>
        <v/>
      </c>
      <c r="AG157" s="125">
        <f>IFERROR(X157*'FlightConfig '!$K$23,"")</f>
        <v>485.72159999999991</v>
      </c>
      <c r="AH157" s="125">
        <f>IFERROR(Y157*'FlightConfig '!$K$23,"")</f>
        <v>499.69919999999991</v>
      </c>
      <c r="AI157" s="125">
        <f>IFERROR(Z157*'FlightConfig '!$K$23,"")</f>
        <v>199.87967999999998</v>
      </c>
      <c r="AJ157" s="125">
        <f>IFERROR(AA157*'FlightConfig '!$K$23,"")</f>
        <v>685.60127999999986</v>
      </c>
      <c r="AK157" s="125">
        <f>IFERROR(AB157*'FlightConfig '!$K$23,"")</f>
        <v>106.85875199999994</v>
      </c>
    </row>
    <row r="158" spans="1:37" ht="18.75" customHeight="1" x14ac:dyDescent="0.25">
      <c r="A158" t="s">
        <v>189</v>
      </c>
      <c r="B158" s="169">
        <v>1</v>
      </c>
      <c r="C158" s="174" t="str">
        <f t="shared" si="216"/>
        <v>CABIN CREW CLASS1104</v>
      </c>
      <c r="D158" s="290"/>
      <c r="E158" s="300">
        <v>1285</v>
      </c>
      <c r="F158" s="306">
        <v>104</v>
      </c>
      <c r="G158" t="str">
        <f>VLOOKUP(E158,'FG MASTER'!$A:$AB,2,0)</f>
        <v xml:space="preserve">2026 CREW CY2 BACON ROLL </v>
      </c>
      <c r="H158" s="282">
        <v>1</v>
      </c>
      <c r="I158" s="171">
        <v>0.16</v>
      </c>
      <c r="J158" s="288">
        <f>IFERROR(IF(I158="std",H158,HLOOKUP(A158,'FlightConfig '!$B$34:$G$35,2,0)*I158),"")</f>
        <v>0.96</v>
      </c>
      <c r="K158" s="242">
        <f>VLOOKUP(Food!E158,'FG MASTER'!$A$1:$AC$737,16,0)</f>
        <v>1.79</v>
      </c>
      <c r="L158" s="243">
        <f>VLOOKUP(Food!E158,'FG MASTER'!$A$10:$AC$737,17,0)</f>
        <v>2</v>
      </c>
      <c r="M158" s="130">
        <f t="shared" si="205"/>
        <v>0.8</v>
      </c>
      <c r="N158" s="130">
        <f t="shared" si="201"/>
        <v>2.59</v>
      </c>
      <c r="O158" s="130">
        <f t="shared" si="202"/>
        <v>0.39380000000000015</v>
      </c>
      <c r="P158" s="130">
        <f t="shared" si="206"/>
        <v>0.15999999999999992</v>
      </c>
      <c r="Q158" s="130">
        <f t="shared" si="204"/>
        <v>3.1437999999999997</v>
      </c>
      <c r="R158" s="398">
        <f t="shared" si="203"/>
        <v>2.1838000000000002</v>
      </c>
      <c r="S158" s="398">
        <f t="shared" si="207"/>
        <v>0.96</v>
      </c>
      <c r="T158" s="398">
        <f t="shared" si="208"/>
        <v>3.1438000000000001</v>
      </c>
      <c r="U158" s="125"/>
      <c r="V158" s="125"/>
      <c r="W158" t="str">
        <f>IFERROR(#REF!*J158,"")</f>
        <v/>
      </c>
      <c r="X158">
        <f t="shared" si="209"/>
        <v>1.7183999999999999</v>
      </c>
      <c r="Y158">
        <f t="shared" si="210"/>
        <v>1.92</v>
      </c>
      <c r="Z158" s="125">
        <f t="shared" si="211"/>
        <v>0.76800000000000002</v>
      </c>
      <c r="AA158" s="125">
        <f t="shared" si="212"/>
        <v>2.4863999999999997</v>
      </c>
      <c r="AB158" s="125">
        <f t="shared" si="213"/>
        <v>0.37804800000000011</v>
      </c>
      <c r="AC158" s="125">
        <f t="shared" si="214"/>
        <v>0.15359999999999993</v>
      </c>
      <c r="AD158" s="125">
        <f t="shared" si="215"/>
        <v>3.0180479999999994</v>
      </c>
      <c r="AF158" s="125" t="str">
        <f>IFERROR(W158*'FlightConfig '!$K$3,"")</f>
        <v/>
      </c>
      <c r="AG158" s="125">
        <f>IFERROR(X158*'FlightConfig '!$K$23,"")</f>
        <v>625.49759999999992</v>
      </c>
      <c r="AH158" s="125">
        <f>IFERROR(Y158*'FlightConfig '!$K$23,"")</f>
        <v>698.88</v>
      </c>
      <c r="AI158" s="125">
        <f>IFERROR(Z158*'FlightConfig '!$K$23,"")</f>
        <v>279.55200000000002</v>
      </c>
      <c r="AJ158" s="125">
        <f>IFERROR(AA158*'FlightConfig '!$K$23,"")</f>
        <v>905.04959999999994</v>
      </c>
      <c r="AK158" s="125">
        <f>IFERROR(AB158*'FlightConfig '!$K$23,"")</f>
        <v>137.60947200000004</v>
      </c>
    </row>
    <row r="161" spans="2:37" x14ac:dyDescent="0.25">
      <c r="B161" s="411"/>
      <c r="C161" s="412"/>
      <c r="D161" s="290"/>
      <c r="E161" s="300">
        <v>1225</v>
      </c>
      <c r="F161" s="306"/>
      <c r="G161" t="s">
        <v>359</v>
      </c>
      <c r="H161" s="282">
        <v>1</v>
      </c>
      <c r="I161" s="171">
        <v>0.16</v>
      </c>
      <c r="J161" s="413" t="str">
        <f>IFERROR(IF(I161="std",H161,HLOOKUP(A161,'FlightConfig '!$B$34:$G$35,2,0)*I161),"")</f>
        <v/>
      </c>
      <c r="K161" s="242">
        <f>7.66/30*1.15</f>
        <v>0.29363333333333336</v>
      </c>
      <c r="L161" s="243">
        <v>0.25</v>
      </c>
      <c r="M161" s="130">
        <f>IFERROR(L161*$M$2,"")</f>
        <v>0.1</v>
      </c>
      <c r="N161" s="130">
        <f>IFERROR((K161)+M161,"")</f>
        <v>0.39363333333333339</v>
      </c>
      <c r="O161" s="130">
        <f>IFERROR($K161*(1+$O$2)-$K161,0)</f>
        <v>6.4599333333333342E-2</v>
      </c>
      <c r="P161" s="130">
        <f>IFERROR($M161*(1+$P$2)-$M161,0)</f>
        <v>1.999999999999999E-2</v>
      </c>
      <c r="Q161" s="130">
        <f>SUM(N161:P161)</f>
        <v>0.47823266666666675</v>
      </c>
      <c r="R161" s="398">
        <f>K161*(1+$O$2)</f>
        <v>0.3582326666666667</v>
      </c>
      <c r="S161" s="398">
        <f>M161*(1+$P$2)</f>
        <v>0.12</v>
      </c>
      <c r="T161" s="398">
        <f>R161+S161</f>
        <v>0.47823266666666669</v>
      </c>
      <c r="U161" s="125"/>
      <c r="V161" s="125"/>
      <c r="W161" t="str">
        <f>IFERROR(#REF!*J161,"")</f>
        <v/>
      </c>
      <c r="X161" t="str">
        <f>IFERROR(K161*J161,"")</f>
        <v/>
      </c>
      <c r="Y161" t="str">
        <f>IFERROR(+L161*J161,"")</f>
        <v/>
      </c>
      <c r="Z161" s="125" t="str">
        <f>IFERROR(+M161*J161,"")</f>
        <v/>
      </c>
      <c r="AA161" s="125" t="str">
        <f>IFERROR(+N161*J161,"")</f>
        <v/>
      </c>
      <c r="AB161" s="125" t="str">
        <f>IFERROR(O161*$J161,"")</f>
        <v/>
      </c>
      <c r="AC161" s="125" t="str">
        <f>IFERROR(P161*$J161,"")</f>
        <v/>
      </c>
      <c r="AD161" s="125" t="str">
        <f>IFERROR(+Q161*J161,"")</f>
        <v/>
      </c>
      <c r="AF161" s="125" t="str">
        <f>IFERROR(W161*'FlightConfig '!$K$3,"")</f>
        <v/>
      </c>
      <c r="AG161" s="125" t="str">
        <f>IFERROR(X161*'FlightConfig '!$K$23,"")</f>
        <v/>
      </c>
      <c r="AH161" s="125" t="str">
        <f>IFERROR(Y161*'FlightConfig '!$K$23,"")</f>
        <v/>
      </c>
      <c r="AI161" s="125" t="str">
        <f>IFERROR(Z161*'FlightConfig '!$K$23,"")</f>
        <v/>
      </c>
      <c r="AJ161" s="125" t="str">
        <f>IFERROR(AA161*'FlightConfig '!$K$23,"")</f>
        <v/>
      </c>
      <c r="AK161" s="125" t="str">
        <f>IFERROR(AB161*'FlightConfig '!$K$23,"")</f>
        <v/>
      </c>
    </row>
    <row r="162" spans="2:37" x14ac:dyDescent="0.25">
      <c r="B162" s="411"/>
      <c r="C162" s="412"/>
      <c r="D162" s="290"/>
      <c r="E162" s="300">
        <v>1289</v>
      </c>
      <c r="F162" s="306"/>
      <c r="G162" t="str">
        <f>VLOOKUP(E162,'FG MASTER'!$A:$AB,2,0)</f>
        <v xml:space="preserve">2026 BC ORANGE SLICE </v>
      </c>
      <c r="H162" s="282">
        <v>1</v>
      </c>
      <c r="I162" s="171">
        <v>0.16</v>
      </c>
      <c r="J162" s="288" t="str">
        <f>IFERROR(IF(I162="std",H162,HLOOKUP(A162,'FlightConfig '!$B$34:$G$35,2,0)*I162),"")</f>
        <v/>
      </c>
      <c r="K162" s="242">
        <f>VLOOKUP(Food!E162,'FG MASTER'!$A$1:$AC$737,16,0)</f>
        <v>0.38</v>
      </c>
      <c r="L162" s="243">
        <f>VLOOKUP(Food!E162,'FG MASTER'!$A$10:$AC$737,17,0)</f>
        <v>0.5</v>
      </c>
      <c r="M162" s="130">
        <f t="shared" ref="M162" si="217">IFERROR(L162*$M$2,"")</f>
        <v>0.2</v>
      </c>
      <c r="N162" s="130">
        <f t="shared" ref="N162" si="218">IFERROR((K162)+M162,"")</f>
        <v>0.58000000000000007</v>
      </c>
      <c r="O162" s="130">
        <f t="shared" ref="O162" si="219">IFERROR($K162*(1+$O$2)-$K162,0)</f>
        <v>8.3600000000000008E-2</v>
      </c>
      <c r="P162" s="130">
        <f t="shared" ref="P162" si="220">IFERROR($M162*(1+$P$2)-$M162,0)</f>
        <v>3.999999999999998E-2</v>
      </c>
      <c r="Q162" s="130">
        <f t="shared" ref="Q162" si="221">SUM(N162:P162)</f>
        <v>0.7036</v>
      </c>
      <c r="R162" s="398">
        <f t="shared" ref="R162" si="222">K162*(1+$O$2)</f>
        <v>0.46360000000000001</v>
      </c>
      <c r="S162" s="398">
        <f t="shared" ref="S162" si="223">M162*(1+$P$2)</f>
        <v>0.24</v>
      </c>
      <c r="T162" s="398">
        <f t="shared" ref="T162" si="224">R162+S162</f>
        <v>0.7036</v>
      </c>
      <c r="U162" s="125"/>
      <c r="V162" s="125"/>
      <c r="W162" t="str">
        <f>IFERROR(#REF!*J162,"")</f>
        <v/>
      </c>
      <c r="X162" t="str">
        <f>IFERROR(K162*J162,"")</f>
        <v/>
      </c>
      <c r="Y162" t="str">
        <f>IFERROR(+L162*J162,"")</f>
        <v/>
      </c>
      <c r="Z162" s="125" t="str">
        <f>IFERROR(+M162*J162,"")</f>
        <v/>
      </c>
      <c r="AA162" s="125" t="str">
        <f>IFERROR(+N162*J162,"")</f>
        <v/>
      </c>
      <c r="AB162" s="125" t="str">
        <f>IFERROR(O162*$J162,"")</f>
        <v/>
      </c>
      <c r="AC162" s="125" t="str">
        <f>IFERROR(P162*$J162,"")</f>
        <v/>
      </c>
      <c r="AD162" s="125" t="str">
        <f>IFERROR(+Q162*J162,"")</f>
        <v/>
      </c>
      <c r="AF162" s="125" t="str">
        <f>IFERROR(W162*'FlightConfig '!$K$3,"")</f>
        <v/>
      </c>
      <c r="AG162" s="125" t="str">
        <f>IFERROR(X162*'FlightConfig '!$K$23,"")</f>
        <v/>
      </c>
      <c r="AH162" s="125" t="str">
        <f>IFERROR(Y162*'FlightConfig '!$K$23,"")</f>
        <v/>
      </c>
      <c r="AI162" s="125" t="str">
        <f>IFERROR(Z162*'FlightConfig '!$K$23,"")</f>
        <v/>
      </c>
      <c r="AJ162" s="125" t="str">
        <f>IFERROR(AA162*'FlightConfig '!$K$23,"")</f>
        <v/>
      </c>
      <c r="AK162" s="125" t="str">
        <f>IFERROR(AB162*'FlightConfig '!$K$23,"")</f>
        <v/>
      </c>
    </row>
  </sheetData>
  <autoFilter ref="A3:AK155" xr:uid="{D3C12567-11D1-4E03-BF3A-C3241947D3F1}"/>
  <mergeCells count="2">
    <mergeCell ref="X1:AD1"/>
    <mergeCell ref="AG1:AK1"/>
  </mergeCells>
  <phoneticPr fontId="16" type="noConversion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4FA5D-DCE5-44EC-A168-6C93ACA026AD}">
  <sheetPr>
    <tabColor theme="7" tint="0.59999389629810485"/>
  </sheetPr>
  <dimension ref="A1:H8"/>
  <sheetViews>
    <sheetView workbookViewId="0">
      <selection activeCell="H15" sqref="H15"/>
    </sheetView>
  </sheetViews>
  <sheetFormatPr defaultRowHeight="15" x14ac:dyDescent="0.25"/>
  <cols>
    <col min="1" max="1" width="24.28515625" bestFit="1" customWidth="1"/>
    <col min="2" max="2" width="5.42578125" bestFit="1" customWidth="1"/>
    <col min="3" max="3" width="13.42578125" bestFit="1" customWidth="1"/>
    <col min="4" max="4" width="8" bestFit="1" customWidth="1"/>
    <col min="5" max="5" width="9.7109375" bestFit="1" customWidth="1"/>
    <col min="6" max="6" width="12.5703125" bestFit="1" customWidth="1"/>
    <col min="7" max="7" width="9.28515625" bestFit="1" customWidth="1"/>
    <col min="8" max="8" width="12.7109375" bestFit="1" customWidth="1"/>
  </cols>
  <sheetData>
    <row r="1" spans="1:8" x14ac:dyDescent="0.25">
      <c r="A1" s="33" t="s">
        <v>329</v>
      </c>
      <c r="B1" s="33" t="s">
        <v>360</v>
      </c>
      <c r="C1" s="33" t="s">
        <v>361</v>
      </c>
      <c r="D1" s="33" t="s">
        <v>362</v>
      </c>
      <c r="E1" s="33" t="s">
        <v>363</v>
      </c>
      <c r="F1" s="33" t="s">
        <v>364</v>
      </c>
      <c r="G1" s="33" t="s">
        <v>365</v>
      </c>
      <c r="H1" s="33" t="s">
        <v>366</v>
      </c>
    </row>
    <row r="2" spans="1:8" x14ac:dyDescent="0.25">
      <c r="A2" s="33" t="s">
        <v>155</v>
      </c>
      <c r="B2" s="33">
        <v>8</v>
      </c>
      <c r="C2" s="129">
        <f>IFERROR(SUMIF(Food!A:A,A2,Food!AD:AD),"")</f>
        <v>0</v>
      </c>
      <c r="D2" s="131">
        <f>+'FlightConfig '!B5</f>
        <v>0</v>
      </c>
      <c r="E2" s="129" t="str">
        <f t="shared" ref="E2:E7" si="0">IFERROR(C2/D2,"")</f>
        <v/>
      </c>
      <c r="F2" s="128">
        <f>'FlightConfig '!$K$3</f>
        <v>0</v>
      </c>
      <c r="G2" s="33">
        <f>F2*'FlightConfig '!B3</f>
        <v>0</v>
      </c>
      <c r="H2" s="129">
        <f>SUMIF(Food!A:A,A2,Food!AK:AK)</f>
        <v>0</v>
      </c>
    </row>
    <row r="3" spans="1:8" x14ac:dyDescent="0.25">
      <c r="A3" s="33" t="s">
        <v>156</v>
      </c>
      <c r="B3" s="33">
        <v>8</v>
      </c>
      <c r="C3" s="129">
        <f>IFERROR(SUMIF(Food!A:A,A3,Food!AD:AD),"")</f>
        <v>1932.4088248775511</v>
      </c>
      <c r="D3" s="131">
        <f>+'FlightConfig '!C5</f>
        <v>28</v>
      </c>
      <c r="E3" s="129">
        <f t="shared" si="0"/>
        <v>69.014600888483969</v>
      </c>
      <c r="F3" s="128">
        <f>'FlightConfig '!$K$3</f>
        <v>0</v>
      </c>
      <c r="G3" s="33">
        <f>'FlightConfig '!C3*'Avg Per Flight'!F3</f>
        <v>0</v>
      </c>
      <c r="H3" s="129">
        <f>SUMIF(Food!A:A,A3,Food!AK:AK)</f>
        <v>90031.923941142828</v>
      </c>
    </row>
    <row r="4" spans="1:8" x14ac:dyDescent="0.25">
      <c r="A4" s="33" t="s">
        <v>158</v>
      </c>
      <c r="B4" s="33">
        <v>8</v>
      </c>
      <c r="C4" s="129">
        <f>IFERROR(SUMIF(Food!A:A,A4,Food!AD:AD),"")</f>
        <v>3960.1409813333335</v>
      </c>
      <c r="D4" s="131">
        <f>+'FlightConfig '!E5</f>
        <v>159</v>
      </c>
      <c r="E4" s="129">
        <f t="shared" si="0"/>
        <v>24.906547052410904</v>
      </c>
      <c r="F4" s="128">
        <f>'FlightConfig '!$K$3</f>
        <v>0</v>
      </c>
      <c r="G4" s="33">
        <f>F4*'FlightConfig '!E3</f>
        <v>0</v>
      </c>
      <c r="H4" s="129">
        <f>SUMIF(Food!A:A,A4,Food!AK:AK)</f>
        <v>173416.84893866666</v>
      </c>
    </row>
    <row r="5" spans="1:8" x14ac:dyDescent="0.25">
      <c r="A5" s="33" t="s">
        <v>189</v>
      </c>
      <c r="B5" s="33">
        <v>8</v>
      </c>
      <c r="C5" s="129">
        <f>IFERROR(SUMIF(Food!A:A,A5,Food!AD:AD),"")</f>
        <v>243.29488800000001</v>
      </c>
      <c r="D5" s="131">
        <f>+'FlightConfig '!G5</f>
        <v>5</v>
      </c>
      <c r="E5" s="129">
        <f t="shared" si="0"/>
        <v>48.6589776</v>
      </c>
      <c r="F5" s="128">
        <f>'FlightConfig '!$K$3</f>
        <v>0</v>
      </c>
      <c r="G5" s="33">
        <f>F5*'FlightConfig '!G3</f>
        <v>0</v>
      </c>
      <c r="H5" s="129">
        <f>SUMIF(Food!A:A,A5,Food!AK:AK)</f>
        <v>11926.955039999999</v>
      </c>
    </row>
    <row r="6" spans="1:8" x14ac:dyDescent="0.25">
      <c r="A6" s="33" t="s">
        <v>157</v>
      </c>
      <c r="B6" s="33">
        <v>8</v>
      </c>
      <c r="C6" s="129">
        <f>IFERROR(SUMIF(Food!A:A,A6,Food!AD:AD),"")</f>
        <v>1596.3501546666669</v>
      </c>
      <c r="D6" s="131">
        <f>+'FlightConfig '!D5</f>
        <v>39</v>
      </c>
      <c r="E6" s="129">
        <f t="shared" si="0"/>
        <v>40.932055247863254</v>
      </c>
      <c r="F6" s="128">
        <f>'FlightConfig '!$K$3</f>
        <v>0</v>
      </c>
      <c r="G6" s="33">
        <f>F6*'FlightConfig '!D3</f>
        <v>0</v>
      </c>
      <c r="H6" s="129">
        <f>SUMIF(Food!A:A,A6,Food!AK:AK)</f>
        <v>62501.137365333343</v>
      </c>
    </row>
    <row r="7" spans="1:8" x14ac:dyDescent="0.25">
      <c r="A7" s="33" t="s">
        <v>159</v>
      </c>
      <c r="B7" s="33">
        <v>8</v>
      </c>
      <c r="C7" s="129">
        <f>IFERROR(SUMIF(Food!A:A,A7,Food!AD:AD),"")</f>
        <v>0</v>
      </c>
      <c r="D7" s="131">
        <f>+'FlightConfig '!F5</f>
        <v>0</v>
      </c>
      <c r="E7" s="129" t="str">
        <f t="shared" si="0"/>
        <v/>
      </c>
      <c r="F7" s="128">
        <f>'FlightConfig '!$K$3</f>
        <v>0</v>
      </c>
      <c r="G7" s="33">
        <f>F7*2</f>
        <v>0</v>
      </c>
      <c r="H7" s="129">
        <f>SUMIF(Food!A:A,A7,Food!AK:AK)</f>
        <v>0</v>
      </c>
    </row>
    <row r="8" spans="1:8" x14ac:dyDescent="0.25">
      <c r="A8" s="33" t="s">
        <v>367</v>
      </c>
      <c r="B8" s="33">
        <v>8</v>
      </c>
      <c r="C8" s="33">
        <f>IFERROR(SUMIF(Food!A:A,A8,Food!AD:AD),"")</f>
        <v>0</v>
      </c>
      <c r="D8" s="132">
        <v>1</v>
      </c>
      <c r="E8" s="33">
        <f>IFERROR(C8*D8,"")</f>
        <v>0</v>
      </c>
      <c r="F8" s="128">
        <f>'FlightConfig '!$K$3</f>
        <v>0</v>
      </c>
      <c r="G8" s="33">
        <v>312</v>
      </c>
      <c r="H8" s="129">
        <f>SUMIF(Food!A:A,A8,Food!AK:AK)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08656-EC99-438A-BD5C-5611D00A964E}">
  <sheetPr>
    <tabColor rgb="FFFFFF00"/>
  </sheetPr>
  <dimension ref="A1:AD533"/>
  <sheetViews>
    <sheetView topLeftCell="A143" zoomScale="115" zoomScaleNormal="115" workbookViewId="0">
      <selection activeCell="Q144" sqref="Q144"/>
    </sheetView>
  </sheetViews>
  <sheetFormatPr defaultColWidth="9.28515625" defaultRowHeight="15" outlineLevelCol="1" x14ac:dyDescent="0.25"/>
  <cols>
    <col min="1" max="1" width="12.28515625" customWidth="1"/>
    <col min="2" max="2" width="77.5703125" customWidth="1"/>
    <col min="3" max="3" width="14.7109375" hidden="1" customWidth="1"/>
    <col min="4" max="4" width="20.28515625" style="186" hidden="1" customWidth="1" outlineLevel="1"/>
    <col min="5" max="8" width="20.7109375" style="186" hidden="1" customWidth="1" outlineLevel="1"/>
    <col min="9" max="9" width="13.28515625" hidden="1" customWidth="1" outlineLevel="1"/>
    <col min="10" max="10" width="7.7109375" hidden="1" customWidth="1" outlineLevel="1"/>
    <col min="11" max="11" width="19.28515625" hidden="1" customWidth="1" outlineLevel="1"/>
    <col min="12" max="12" width="28" style="186" hidden="1" customWidth="1" outlineLevel="1"/>
    <col min="13" max="13" width="8.28515625" hidden="1" customWidth="1" outlineLevel="1"/>
    <col min="14" max="14" width="3.28515625" hidden="1" customWidth="1" outlineLevel="1"/>
    <col min="15" max="15" width="12" customWidth="1" collapsed="1"/>
    <col min="16" max="16" width="16" customWidth="1" outlineLevel="1"/>
    <col min="17" max="17" width="14" style="185" customWidth="1" outlineLevel="1"/>
    <col min="18" max="18" width="13.28515625" style="186" hidden="1" customWidth="1" outlineLevel="1"/>
    <col min="19" max="20" width="11.7109375" hidden="1" customWidth="1" outlineLevel="1"/>
    <col min="21" max="21" width="11.28515625" hidden="1" customWidth="1" outlineLevel="1"/>
    <col min="22" max="22" width="13.28515625" style="187" hidden="1" customWidth="1" outlineLevel="1"/>
    <col min="23" max="23" width="11.7109375" style="188" hidden="1" customWidth="1" outlineLevel="1"/>
    <col min="24" max="24" width="16.28515625" hidden="1" customWidth="1" outlineLevel="1"/>
    <col min="25" max="25" width="16.5703125" hidden="1" customWidth="1" outlineLevel="1"/>
    <col min="26" max="26" width="13.5703125" hidden="1" customWidth="1"/>
    <col min="27" max="27" width="11.7109375" style="173" hidden="1" customWidth="1"/>
    <col min="28" max="28" width="11.42578125" hidden="1" customWidth="1"/>
    <col min="29" max="29" width="2.7109375" hidden="1" customWidth="1"/>
  </cols>
  <sheetData>
    <row r="1" spans="1:30" ht="29.45" customHeight="1" x14ac:dyDescent="0.35">
      <c r="A1">
        <v>1</v>
      </c>
      <c r="B1">
        <v>2</v>
      </c>
      <c r="C1" s="181">
        <v>3</v>
      </c>
      <c r="D1" s="184">
        <v>4</v>
      </c>
      <c r="E1" s="184">
        <v>5</v>
      </c>
      <c r="F1" s="184">
        <v>6</v>
      </c>
      <c r="G1" s="184">
        <v>7</v>
      </c>
      <c r="H1" s="184">
        <v>8</v>
      </c>
      <c r="I1" s="181">
        <v>9</v>
      </c>
      <c r="J1" s="181">
        <v>10</v>
      </c>
      <c r="K1" s="181">
        <v>11</v>
      </c>
      <c r="L1" s="181">
        <v>12</v>
      </c>
      <c r="M1" s="181">
        <v>13</v>
      </c>
      <c r="N1" s="181">
        <v>14</v>
      </c>
      <c r="O1" s="181">
        <v>15</v>
      </c>
      <c r="P1" s="181">
        <v>16</v>
      </c>
      <c r="Q1" s="185">
        <v>17</v>
      </c>
      <c r="R1" s="186">
        <v>18</v>
      </c>
      <c r="S1" s="181">
        <v>19</v>
      </c>
      <c r="T1" s="181">
        <v>20</v>
      </c>
    </row>
    <row r="2" spans="1:30" ht="21" customHeight="1" x14ac:dyDescent="0.35">
      <c r="A2" s="181" t="s">
        <v>368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2"/>
      <c r="R2" s="181"/>
      <c r="S2" s="181">
        <v>0.42</v>
      </c>
      <c r="T2" s="181"/>
      <c r="U2" s="181"/>
      <c r="V2" s="237">
        <f>'P&amp;L'!R8</f>
        <v>0.22</v>
      </c>
      <c r="W2" s="237">
        <f>'P&amp;L'!R9</f>
        <v>0.2</v>
      </c>
      <c r="X2" s="181"/>
      <c r="Y2" s="181"/>
      <c r="Z2" s="181"/>
      <c r="AA2" s="181"/>
      <c r="AB2" s="181"/>
      <c r="AC2" s="181"/>
    </row>
    <row r="3" spans="1:30" ht="1.1499999999999999" customHeight="1" x14ac:dyDescent="0.35">
      <c r="A3" s="183"/>
      <c r="B3" s="183"/>
      <c r="C3" s="181"/>
      <c r="D3" s="184"/>
      <c r="E3" s="184"/>
      <c r="F3" s="184"/>
      <c r="G3" s="184"/>
      <c r="H3" s="184"/>
      <c r="I3" s="181"/>
      <c r="J3" s="181"/>
      <c r="K3" s="181"/>
      <c r="L3" s="181"/>
      <c r="M3" s="181"/>
      <c r="N3" s="181"/>
    </row>
    <row r="4" spans="1:30" ht="1.1499999999999999" customHeight="1" x14ac:dyDescent="0.35">
      <c r="A4" s="183"/>
      <c r="B4" s="183"/>
      <c r="C4" s="181"/>
      <c r="D4" s="184"/>
      <c r="E4" s="184"/>
      <c r="F4" s="184"/>
      <c r="G4" s="184"/>
      <c r="H4" s="184"/>
      <c r="I4" s="181"/>
      <c r="J4" s="181"/>
      <c r="K4" s="181"/>
      <c r="L4" s="181"/>
      <c r="M4" s="181"/>
      <c r="N4" s="181"/>
    </row>
    <row r="5" spans="1:30" ht="1.1499999999999999" customHeight="1" x14ac:dyDescent="0.35">
      <c r="A5" s="183"/>
      <c r="B5" s="183"/>
      <c r="C5" s="181"/>
      <c r="D5" s="184"/>
      <c r="E5" s="184"/>
      <c r="F5" s="184"/>
      <c r="G5" s="184"/>
      <c r="H5" s="184"/>
      <c r="I5" s="181"/>
      <c r="J5" s="181"/>
      <c r="K5" s="181"/>
      <c r="L5" s="181"/>
      <c r="M5" s="181"/>
      <c r="N5" s="181"/>
    </row>
    <row r="6" spans="1:30" ht="1.1499999999999999" customHeight="1" x14ac:dyDescent="0.35">
      <c r="A6" s="183"/>
      <c r="B6" s="183"/>
      <c r="C6" s="181"/>
      <c r="D6" s="184"/>
      <c r="E6" s="184"/>
      <c r="F6" s="184"/>
      <c r="G6" s="184"/>
      <c r="H6" s="184"/>
      <c r="I6" s="181"/>
      <c r="J6" s="181"/>
      <c r="K6" s="181"/>
      <c r="L6" s="181"/>
      <c r="M6" s="181"/>
      <c r="N6" s="181"/>
    </row>
    <row r="7" spans="1:30" ht="1.1499999999999999" customHeight="1" x14ac:dyDescent="0.35">
      <c r="A7" s="183"/>
      <c r="B7" s="183"/>
      <c r="C7" s="181"/>
      <c r="D7" s="184"/>
      <c r="E7" s="184"/>
      <c r="F7" s="184"/>
      <c r="G7" s="184"/>
      <c r="H7" s="184"/>
      <c r="I7" s="181"/>
      <c r="J7" s="181"/>
      <c r="K7" s="181"/>
      <c r="L7" s="181"/>
      <c r="M7" s="181"/>
      <c r="N7" s="181"/>
    </row>
    <row r="8" spans="1:30" ht="28.5" x14ac:dyDescent="0.45">
      <c r="A8" s="495" t="s">
        <v>369</v>
      </c>
      <c r="B8" s="495"/>
      <c r="C8" s="495"/>
      <c r="D8" s="495"/>
      <c r="E8" s="495"/>
      <c r="F8" s="495"/>
      <c r="G8" s="495"/>
      <c r="H8" s="495"/>
      <c r="I8" s="495"/>
      <c r="J8" s="495"/>
      <c r="K8" s="495"/>
      <c r="L8" s="495"/>
      <c r="M8" s="495"/>
      <c r="N8" s="495"/>
      <c r="O8" s="495"/>
      <c r="P8" s="495"/>
      <c r="Q8" s="495"/>
      <c r="R8" s="495"/>
      <c r="S8" s="495"/>
      <c r="T8" s="495"/>
      <c r="U8" s="495"/>
      <c r="V8" s="495"/>
      <c r="W8" s="495"/>
      <c r="X8" s="495"/>
      <c r="Y8" s="495"/>
      <c r="Z8" s="495"/>
      <c r="AA8" s="495"/>
      <c r="AB8" s="495"/>
      <c r="AC8" s="189"/>
    </row>
    <row r="9" spans="1:30" s="186" customFormat="1" ht="30" x14ac:dyDescent="0.25">
      <c r="A9" s="34" t="s">
        <v>331</v>
      </c>
      <c r="B9" s="34" t="s">
        <v>370</v>
      </c>
      <c r="C9" s="190" t="s">
        <v>371</v>
      </c>
      <c r="D9" s="190" t="s">
        <v>372</v>
      </c>
      <c r="E9" s="190" t="s">
        <v>373</v>
      </c>
      <c r="F9" s="190" t="s">
        <v>374</v>
      </c>
      <c r="G9" s="190" t="s">
        <v>375</v>
      </c>
      <c r="H9" s="190" t="s">
        <v>376</v>
      </c>
      <c r="I9" s="191" t="s">
        <v>377</v>
      </c>
      <c r="J9" s="192" t="s">
        <v>378</v>
      </c>
      <c r="K9" s="190" t="s">
        <v>379</v>
      </c>
      <c r="L9" s="190" t="s">
        <v>380</v>
      </c>
      <c r="M9" s="190" t="s">
        <v>381</v>
      </c>
      <c r="N9" s="186" t="s">
        <v>382</v>
      </c>
      <c r="O9" s="186" t="s">
        <v>383</v>
      </c>
      <c r="P9" s="193" t="s">
        <v>384</v>
      </c>
      <c r="Q9" s="194" t="s">
        <v>385</v>
      </c>
      <c r="R9" s="193" t="s">
        <v>386</v>
      </c>
      <c r="S9" s="193" t="s">
        <v>387</v>
      </c>
      <c r="T9" s="193" t="s">
        <v>388</v>
      </c>
      <c r="U9" s="193" t="s">
        <v>389</v>
      </c>
      <c r="V9" s="195" t="s">
        <v>390</v>
      </c>
      <c r="W9" s="196" t="s">
        <v>391</v>
      </c>
      <c r="X9" s="193" t="s">
        <v>392</v>
      </c>
      <c r="Y9" s="193" t="s">
        <v>393</v>
      </c>
      <c r="Z9" s="193" t="s">
        <v>394</v>
      </c>
      <c r="AA9" s="190" t="s">
        <v>395</v>
      </c>
      <c r="AB9" s="193" t="s">
        <v>396</v>
      </c>
      <c r="AC9" s="186" t="s">
        <v>397</v>
      </c>
      <c r="AD9" s="193" t="s">
        <v>398</v>
      </c>
    </row>
    <row r="10" spans="1:30" x14ac:dyDescent="0.25">
      <c r="A10" s="186">
        <v>1001</v>
      </c>
      <c r="B10" t="s">
        <v>399</v>
      </c>
      <c r="C10" s="186">
        <v>1</v>
      </c>
      <c r="I10" s="186"/>
      <c r="J10" s="186"/>
      <c r="K10" s="186"/>
      <c r="L10" s="197"/>
      <c r="M10" s="186"/>
      <c r="N10" s="198"/>
      <c r="O10" s="199">
        <v>0.33</v>
      </c>
      <c r="P10" s="199">
        <f>Table1[[#This Row],[unit cost]]</f>
        <v>0.33</v>
      </c>
      <c r="Q10" s="409">
        <v>0.5</v>
      </c>
      <c r="R10" s="186">
        <v>1</v>
      </c>
      <c r="S10" s="249">
        <f t="shared" ref="S10:S60" si="0">$S$2</f>
        <v>0.42</v>
      </c>
      <c r="T10" s="201">
        <f>Table1[[#This Row],[man minutes]]*Table1[[#This Row],[labor rate]]</f>
        <v>0.21</v>
      </c>
      <c r="U10" s="201">
        <f t="shared" ref="U10:U15" si="1">P10+T10</f>
        <v>0.54</v>
      </c>
      <c r="V10" s="187">
        <f t="shared" ref="V10:V15" si="2">$V$2</f>
        <v>0.22</v>
      </c>
      <c r="W10" s="250">
        <f t="shared" ref="W10:W61" si="3">$W$2</f>
        <v>0.2</v>
      </c>
      <c r="X10" s="201">
        <f t="shared" ref="X10:X23" si="4">P10*(1+V10)</f>
        <v>0.40260000000000001</v>
      </c>
      <c r="Y10" s="201">
        <f>T10+(T10*W10)</f>
        <v>0.252</v>
      </c>
      <c r="Z10" s="201">
        <f t="shared" ref="Z10:Z15" si="5">IFERROR(ROUNDUP(X10+Y10,2)," ")</f>
        <v>0.66</v>
      </c>
      <c r="AA10" s="203">
        <f>+Table1[[#This Row],[calculated sale price]]</f>
        <v>0.66</v>
      </c>
      <c r="AB10" s="202"/>
      <c r="AC10" s="206"/>
      <c r="AD10" s="414"/>
    </row>
    <row r="11" spans="1:30" x14ac:dyDescent="0.25">
      <c r="A11" s="186">
        <v>1002</v>
      </c>
      <c r="B11" t="s">
        <v>400</v>
      </c>
      <c r="C11" s="186">
        <v>1</v>
      </c>
      <c r="I11" s="186"/>
      <c r="J11" s="186"/>
      <c r="K11" s="186"/>
      <c r="L11" s="197"/>
      <c r="M11" s="186"/>
      <c r="N11" s="198"/>
      <c r="O11" s="199">
        <v>0.3</v>
      </c>
      <c r="P11" s="199">
        <f>Table1[[#This Row],[unit cost]]</f>
        <v>0.3</v>
      </c>
      <c r="Q11" s="409">
        <v>0.25</v>
      </c>
      <c r="R11" s="186">
        <v>1</v>
      </c>
      <c r="S11" s="249">
        <f t="shared" si="0"/>
        <v>0.42</v>
      </c>
      <c r="T11" s="201">
        <f>Table1[[#This Row],[man minutes]]*Table1[[#This Row],[labor rate]]</f>
        <v>0.105</v>
      </c>
      <c r="U11" s="201">
        <f t="shared" si="1"/>
        <v>0.40499999999999997</v>
      </c>
      <c r="V11" s="187">
        <f t="shared" si="2"/>
        <v>0.22</v>
      </c>
      <c r="W11" s="250">
        <f t="shared" si="3"/>
        <v>0.2</v>
      </c>
      <c r="X11" s="201">
        <f t="shared" si="4"/>
        <v>0.36599999999999999</v>
      </c>
      <c r="Y11" s="201">
        <f t="shared" ref="Y11:Y15" si="6">T11+(T11*W11)</f>
        <v>0.126</v>
      </c>
      <c r="Z11" s="201">
        <f t="shared" si="5"/>
        <v>0.5</v>
      </c>
      <c r="AA11" s="203">
        <f>+Table1[[#This Row],[calculated sale price]]</f>
        <v>0.5</v>
      </c>
      <c r="AB11" s="202"/>
      <c r="AC11" s="206"/>
      <c r="AD11" s="414"/>
    </row>
    <row r="12" spans="1:30" x14ac:dyDescent="0.25">
      <c r="A12" s="186">
        <v>1003</v>
      </c>
      <c r="B12" t="s">
        <v>401</v>
      </c>
      <c r="C12" s="186">
        <v>1</v>
      </c>
      <c r="I12" s="186"/>
      <c r="J12" s="186"/>
      <c r="K12" s="186"/>
      <c r="L12" s="197"/>
      <c r="M12" s="186"/>
      <c r="N12" s="198"/>
      <c r="O12" s="199">
        <v>0.14000000000000001</v>
      </c>
      <c r="P12" s="199">
        <f>Table1[[#This Row],[unit cost]]</f>
        <v>0.14000000000000001</v>
      </c>
      <c r="Q12" s="409">
        <v>0.25</v>
      </c>
      <c r="R12" s="186">
        <v>1</v>
      </c>
      <c r="S12" s="249">
        <f t="shared" si="0"/>
        <v>0.42</v>
      </c>
      <c r="T12" s="201">
        <f>Table1[[#This Row],[man minutes]]*Table1[[#This Row],[labor rate]]</f>
        <v>0.105</v>
      </c>
      <c r="U12" s="201">
        <f t="shared" si="1"/>
        <v>0.245</v>
      </c>
      <c r="V12" s="187">
        <f t="shared" si="2"/>
        <v>0.22</v>
      </c>
      <c r="W12" s="250">
        <f t="shared" si="3"/>
        <v>0.2</v>
      </c>
      <c r="X12" s="201">
        <f t="shared" si="4"/>
        <v>0.17080000000000001</v>
      </c>
      <c r="Y12" s="201">
        <f t="shared" si="6"/>
        <v>0.126</v>
      </c>
      <c r="Z12" s="201">
        <f t="shared" si="5"/>
        <v>0.3</v>
      </c>
      <c r="AA12" s="203">
        <f>+Table1[[#This Row],[calculated sale price]]</f>
        <v>0.3</v>
      </c>
      <c r="AB12" s="202"/>
      <c r="AC12" s="206"/>
      <c r="AD12" s="414"/>
    </row>
    <row r="13" spans="1:30" x14ac:dyDescent="0.25">
      <c r="A13" s="186">
        <v>1004</v>
      </c>
      <c r="B13" t="s">
        <v>402</v>
      </c>
      <c r="C13" s="186">
        <v>1</v>
      </c>
      <c r="I13" s="186"/>
      <c r="J13" s="186"/>
      <c r="K13" s="186"/>
      <c r="L13" s="197"/>
      <c r="M13" s="186"/>
      <c r="N13" s="198"/>
      <c r="O13" s="199">
        <v>0.25</v>
      </c>
      <c r="P13" s="199">
        <f>Table1[[#This Row],[unit cost]]</f>
        <v>0.25</v>
      </c>
      <c r="Q13" s="409">
        <v>0.25</v>
      </c>
      <c r="R13" s="186">
        <v>1</v>
      </c>
      <c r="S13" s="249">
        <f t="shared" si="0"/>
        <v>0.42</v>
      </c>
      <c r="T13" s="201">
        <f>Table1[[#This Row],[man minutes]]*Table1[[#This Row],[labor rate]]</f>
        <v>0.105</v>
      </c>
      <c r="U13" s="201">
        <f t="shared" si="1"/>
        <v>0.35499999999999998</v>
      </c>
      <c r="V13" s="187">
        <f t="shared" si="2"/>
        <v>0.22</v>
      </c>
      <c r="W13" s="250">
        <f t="shared" si="3"/>
        <v>0.2</v>
      </c>
      <c r="X13" s="201">
        <f t="shared" si="4"/>
        <v>0.30499999999999999</v>
      </c>
      <c r="Y13" s="201">
        <f t="shared" si="6"/>
        <v>0.126</v>
      </c>
      <c r="Z13" s="201">
        <f t="shared" si="5"/>
        <v>0.44</v>
      </c>
      <c r="AA13" s="203">
        <f>+Table1[[#This Row],[calculated sale price]]</f>
        <v>0.44</v>
      </c>
      <c r="AB13" s="202"/>
      <c r="AC13" s="206"/>
      <c r="AD13" s="414"/>
    </row>
    <row r="14" spans="1:30" x14ac:dyDescent="0.25">
      <c r="A14" s="186">
        <v>1005</v>
      </c>
      <c r="B14" t="s">
        <v>403</v>
      </c>
      <c r="C14" s="186">
        <v>1</v>
      </c>
      <c r="I14" s="186"/>
      <c r="J14" s="186"/>
      <c r="K14" s="186"/>
      <c r="L14" s="197"/>
      <c r="M14" s="186"/>
      <c r="N14" s="198"/>
      <c r="O14" s="199">
        <v>2.87</v>
      </c>
      <c r="P14" s="199">
        <f>Table1[[#This Row],[unit cost]]</f>
        <v>2.87</v>
      </c>
      <c r="Q14" s="409">
        <v>4.25</v>
      </c>
      <c r="R14" s="186">
        <v>1</v>
      </c>
      <c r="S14" s="249">
        <f t="shared" si="0"/>
        <v>0.42</v>
      </c>
      <c r="T14" s="201">
        <f>Table1[[#This Row],[man minutes]]*Table1[[#This Row],[labor rate]]</f>
        <v>1.7849999999999999</v>
      </c>
      <c r="U14" s="201">
        <f t="shared" si="1"/>
        <v>4.6550000000000002</v>
      </c>
      <c r="V14" s="187">
        <f t="shared" si="2"/>
        <v>0.22</v>
      </c>
      <c r="W14" s="250">
        <f t="shared" si="3"/>
        <v>0.2</v>
      </c>
      <c r="X14" s="201">
        <f t="shared" si="4"/>
        <v>3.5013999999999998</v>
      </c>
      <c r="Y14" s="201">
        <f t="shared" si="6"/>
        <v>2.1419999999999999</v>
      </c>
      <c r="Z14" s="201">
        <f t="shared" si="5"/>
        <v>5.6499999999999995</v>
      </c>
      <c r="AA14" s="203">
        <f>+Table1[[#This Row],[calculated sale price]]</f>
        <v>5.6499999999999995</v>
      </c>
      <c r="AB14" s="202"/>
      <c r="AC14" s="206"/>
      <c r="AD14" s="414"/>
    </row>
    <row r="15" spans="1:30" x14ac:dyDescent="0.25">
      <c r="A15" s="186">
        <v>1006</v>
      </c>
      <c r="B15" t="s">
        <v>404</v>
      </c>
      <c r="C15" s="186">
        <v>1</v>
      </c>
      <c r="I15" s="186"/>
      <c r="J15" s="186"/>
      <c r="K15" s="186"/>
      <c r="L15" s="197"/>
      <c r="M15" s="186"/>
      <c r="N15" s="198"/>
      <c r="O15" s="199">
        <v>5.0599999999999996</v>
      </c>
      <c r="P15" s="199">
        <f>Table1[[#This Row],[unit cost]]</f>
        <v>5.0599999999999996</v>
      </c>
      <c r="Q15" s="409">
        <v>2.7</v>
      </c>
      <c r="R15" s="186">
        <v>1</v>
      </c>
      <c r="S15" s="249">
        <f t="shared" si="0"/>
        <v>0.42</v>
      </c>
      <c r="T15" s="201">
        <f>Table1[[#This Row],[man minutes]]*Table1[[#This Row],[labor rate]]</f>
        <v>1.1340000000000001</v>
      </c>
      <c r="U15" s="201">
        <f t="shared" si="1"/>
        <v>6.194</v>
      </c>
      <c r="V15" s="187">
        <f t="shared" si="2"/>
        <v>0.22</v>
      </c>
      <c r="W15" s="250">
        <f t="shared" si="3"/>
        <v>0.2</v>
      </c>
      <c r="X15" s="201">
        <f t="shared" si="4"/>
        <v>6.1731999999999996</v>
      </c>
      <c r="Y15" s="201">
        <f t="shared" si="6"/>
        <v>1.3608000000000002</v>
      </c>
      <c r="Z15" s="201">
        <f t="shared" si="5"/>
        <v>7.54</v>
      </c>
      <c r="AA15" s="203">
        <f>+Table1[[#This Row],[calculated sale price]]</f>
        <v>7.54</v>
      </c>
      <c r="AB15" s="202"/>
      <c r="AC15" s="206"/>
      <c r="AD15" s="414"/>
    </row>
    <row r="16" spans="1:30" x14ac:dyDescent="0.25">
      <c r="A16" s="186">
        <v>1007</v>
      </c>
      <c r="B16" t="s">
        <v>405</v>
      </c>
      <c r="C16" s="186">
        <v>1</v>
      </c>
      <c r="I16" s="186"/>
      <c r="J16" s="186"/>
      <c r="K16" s="186"/>
      <c r="L16" s="197"/>
      <c r="M16" s="186"/>
      <c r="N16" s="198"/>
      <c r="O16" s="199">
        <v>2.95</v>
      </c>
      <c r="P16" s="199">
        <f>Table1[[#This Row],[unit cost]]</f>
        <v>2.95</v>
      </c>
      <c r="Q16" s="409">
        <v>3.75</v>
      </c>
      <c r="R16" s="186">
        <v>1</v>
      </c>
      <c r="S16" s="249">
        <f t="shared" si="0"/>
        <v>0.42</v>
      </c>
      <c r="T16" s="201">
        <f>Table1[[#This Row],[man minutes]]*Table1[[#This Row],[labor rate]]</f>
        <v>1.575</v>
      </c>
      <c r="U16" s="201">
        <f t="shared" ref="U16:U23" si="7">P16+T16</f>
        <v>4.5250000000000004</v>
      </c>
      <c r="V16" s="187">
        <f t="shared" ref="V16:V79" si="8">$V$2</f>
        <v>0.22</v>
      </c>
      <c r="W16" s="250">
        <f t="shared" si="3"/>
        <v>0.2</v>
      </c>
      <c r="X16" s="201">
        <f t="shared" si="4"/>
        <v>3.5990000000000002</v>
      </c>
      <c r="Y16" s="201">
        <f t="shared" ref="Y16:Y23" si="9">T16+(T16*W16)</f>
        <v>1.89</v>
      </c>
      <c r="Z16" s="201">
        <f t="shared" ref="Z16:Z23" si="10">IFERROR(ROUNDUP(X16+Y16,2)," ")</f>
        <v>5.49</v>
      </c>
      <c r="AA16" s="203">
        <f>+Table1[[#This Row],[calculated sale price]]</f>
        <v>5.49</v>
      </c>
      <c r="AB16" s="202"/>
      <c r="AC16" s="206"/>
      <c r="AD16" s="414"/>
    </row>
    <row r="17" spans="1:30" x14ac:dyDescent="0.25">
      <c r="A17" s="186">
        <v>1008</v>
      </c>
      <c r="B17" t="s">
        <v>406</v>
      </c>
      <c r="C17" s="186">
        <v>1</v>
      </c>
      <c r="I17" s="186"/>
      <c r="J17" s="186"/>
      <c r="K17" s="186"/>
      <c r="L17" s="197"/>
      <c r="M17" s="186"/>
      <c r="N17" s="198"/>
      <c r="O17" s="199">
        <v>1.59</v>
      </c>
      <c r="P17" s="199">
        <f>Table1[[#This Row],[unit cost]]</f>
        <v>1.59</v>
      </c>
      <c r="Q17" s="409">
        <v>4</v>
      </c>
      <c r="R17" s="186">
        <v>1</v>
      </c>
      <c r="S17" s="249">
        <f t="shared" si="0"/>
        <v>0.42</v>
      </c>
      <c r="T17" s="201">
        <f>Table1[[#This Row],[man minutes]]*Table1[[#This Row],[labor rate]]</f>
        <v>1.68</v>
      </c>
      <c r="U17" s="201">
        <f t="shared" si="7"/>
        <v>3.27</v>
      </c>
      <c r="V17" s="187">
        <f t="shared" si="8"/>
        <v>0.22</v>
      </c>
      <c r="W17" s="250">
        <f t="shared" si="3"/>
        <v>0.2</v>
      </c>
      <c r="X17" s="201">
        <f t="shared" si="4"/>
        <v>1.9398</v>
      </c>
      <c r="Y17" s="201">
        <f t="shared" si="9"/>
        <v>2.016</v>
      </c>
      <c r="Z17" s="201">
        <f t="shared" si="10"/>
        <v>3.96</v>
      </c>
      <c r="AA17" s="203">
        <f>+Table1[[#This Row],[calculated sale price]]</f>
        <v>3.96</v>
      </c>
      <c r="AB17" s="202"/>
      <c r="AC17" s="206"/>
      <c r="AD17" s="414"/>
    </row>
    <row r="18" spans="1:30" x14ac:dyDescent="0.25">
      <c r="A18" s="186">
        <v>1009</v>
      </c>
      <c r="B18" t="s">
        <v>407</v>
      </c>
      <c r="C18" s="186">
        <v>1</v>
      </c>
      <c r="I18" s="186"/>
      <c r="J18" s="186"/>
      <c r="K18" s="186"/>
      <c r="L18" s="197"/>
      <c r="M18" s="186"/>
      <c r="N18" s="198"/>
      <c r="O18" s="199">
        <v>4.28</v>
      </c>
      <c r="P18" s="199">
        <f>Table1[[#This Row],[unit cost]]</f>
        <v>4.28</v>
      </c>
      <c r="Q18" s="409">
        <v>4.25</v>
      </c>
      <c r="R18" s="186">
        <v>1</v>
      </c>
      <c r="S18" s="249">
        <f t="shared" si="0"/>
        <v>0.42</v>
      </c>
      <c r="T18" s="201">
        <f>Table1[[#This Row],[man minutes]]*Table1[[#This Row],[labor rate]]</f>
        <v>1.7849999999999999</v>
      </c>
      <c r="U18" s="201">
        <f t="shared" si="7"/>
        <v>6.0650000000000004</v>
      </c>
      <c r="V18" s="187">
        <f t="shared" si="8"/>
        <v>0.22</v>
      </c>
      <c r="W18" s="250">
        <f t="shared" si="3"/>
        <v>0.2</v>
      </c>
      <c r="X18" s="201">
        <f t="shared" si="4"/>
        <v>5.2216000000000005</v>
      </c>
      <c r="Y18" s="201">
        <f t="shared" si="9"/>
        <v>2.1419999999999999</v>
      </c>
      <c r="Z18" s="201">
        <f t="shared" si="10"/>
        <v>7.37</v>
      </c>
      <c r="AA18" s="203">
        <f>+Table1[[#This Row],[calculated sale price]]</f>
        <v>7.37</v>
      </c>
      <c r="AB18" s="202"/>
      <c r="AC18" s="206"/>
      <c r="AD18" s="414"/>
    </row>
    <row r="19" spans="1:30" x14ac:dyDescent="0.25">
      <c r="A19" s="186">
        <v>1010</v>
      </c>
      <c r="B19" t="s">
        <v>408</v>
      </c>
      <c r="C19" s="186">
        <v>1</v>
      </c>
      <c r="I19" s="186"/>
      <c r="J19" s="186"/>
      <c r="K19" s="186"/>
      <c r="L19" s="197"/>
      <c r="M19" s="186"/>
      <c r="N19" s="198"/>
      <c r="O19" s="199">
        <v>9.3000000000000007</v>
      </c>
      <c r="P19" s="199">
        <f>Table1[[#This Row],[unit cost]]</f>
        <v>9.3000000000000007</v>
      </c>
      <c r="Q19" s="409">
        <v>7.5</v>
      </c>
      <c r="R19" s="186">
        <v>1</v>
      </c>
      <c r="S19" s="249">
        <f t="shared" si="0"/>
        <v>0.42</v>
      </c>
      <c r="T19" s="201">
        <f>Table1[[#This Row],[man minutes]]*Table1[[#This Row],[labor rate]]</f>
        <v>3.15</v>
      </c>
      <c r="U19" s="201">
        <f t="shared" si="7"/>
        <v>12.450000000000001</v>
      </c>
      <c r="V19" s="187">
        <f t="shared" si="8"/>
        <v>0.22</v>
      </c>
      <c r="W19" s="250">
        <f t="shared" si="3"/>
        <v>0.2</v>
      </c>
      <c r="X19" s="201">
        <f t="shared" si="4"/>
        <v>11.346</v>
      </c>
      <c r="Y19" s="201">
        <f t="shared" si="9"/>
        <v>3.78</v>
      </c>
      <c r="Z19" s="201">
        <f t="shared" si="10"/>
        <v>15.129999999999999</v>
      </c>
      <c r="AA19" s="203">
        <f>+Table1[[#This Row],[calculated sale price]]</f>
        <v>15.129999999999999</v>
      </c>
      <c r="AB19" s="202"/>
      <c r="AC19" s="206"/>
      <c r="AD19" s="414"/>
    </row>
    <row r="20" spans="1:30" x14ac:dyDescent="0.25">
      <c r="A20" s="186">
        <v>1011</v>
      </c>
      <c r="B20" t="s">
        <v>409</v>
      </c>
      <c r="C20" s="186">
        <v>1</v>
      </c>
      <c r="I20" s="186"/>
      <c r="J20" s="186"/>
      <c r="K20" s="186"/>
      <c r="L20" s="197"/>
      <c r="M20" s="186"/>
      <c r="N20" s="198"/>
      <c r="O20" s="199">
        <v>3.41</v>
      </c>
      <c r="P20" s="199">
        <f>Table1[[#This Row],[unit cost]]</f>
        <v>3.41</v>
      </c>
      <c r="Q20" s="409">
        <v>4.25</v>
      </c>
      <c r="R20" s="186">
        <v>1</v>
      </c>
      <c r="S20" s="249">
        <f t="shared" si="0"/>
        <v>0.42</v>
      </c>
      <c r="T20" s="201">
        <f>Table1[[#This Row],[man minutes]]*Table1[[#This Row],[labor rate]]</f>
        <v>1.7849999999999999</v>
      </c>
      <c r="U20" s="201">
        <f t="shared" si="7"/>
        <v>5.1950000000000003</v>
      </c>
      <c r="V20" s="187">
        <f t="shared" si="8"/>
        <v>0.22</v>
      </c>
      <c r="W20" s="250">
        <f t="shared" si="3"/>
        <v>0.2</v>
      </c>
      <c r="X20" s="201">
        <f t="shared" si="4"/>
        <v>4.1601999999999997</v>
      </c>
      <c r="Y20" s="201">
        <f t="shared" si="9"/>
        <v>2.1419999999999999</v>
      </c>
      <c r="Z20" s="201">
        <f t="shared" si="10"/>
        <v>6.31</v>
      </c>
      <c r="AA20" s="203">
        <f>+Table1[[#This Row],[calculated sale price]]</f>
        <v>6.31</v>
      </c>
      <c r="AB20" s="202"/>
      <c r="AC20" s="206"/>
      <c r="AD20" s="414"/>
    </row>
    <row r="21" spans="1:30" x14ac:dyDescent="0.25">
      <c r="A21" s="186">
        <v>1012</v>
      </c>
      <c r="B21" t="s">
        <v>410</v>
      </c>
      <c r="C21" s="186">
        <v>1</v>
      </c>
      <c r="I21" s="186"/>
      <c r="J21" s="186"/>
      <c r="K21" s="186"/>
      <c r="L21" s="197"/>
      <c r="M21" s="186"/>
      <c r="N21" s="198"/>
      <c r="O21" s="199">
        <v>0.98</v>
      </c>
      <c r="P21" s="199">
        <f>Table1[[#This Row],[unit cost]]</f>
        <v>0.98</v>
      </c>
      <c r="Q21" s="409">
        <v>2</v>
      </c>
      <c r="R21" s="186">
        <v>1</v>
      </c>
      <c r="S21" s="249">
        <f t="shared" si="0"/>
        <v>0.42</v>
      </c>
      <c r="T21" s="201">
        <f>Table1[[#This Row],[man minutes]]*Table1[[#This Row],[labor rate]]</f>
        <v>0.84</v>
      </c>
      <c r="U21" s="201">
        <f t="shared" si="7"/>
        <v>1.8199999999999998</v>
      </c>
      <c r="V21" s="187">
        <f t="shared" si="8"/>
        <v>0.22</v>
      </c>
      <c r="W21" s="250">
        <f t="shared" si="3"/>
        <v>0.2</v>
      </c>
      <c r="X21" s="201">
        <f t="shared" si="4"/>
        <v>1.1956</v>
      </c>
      <c r="Y21" s="201">
        <f t="shared" si="9"/>
        <v>1.008</v>
      </c>
      <c r="Z21" s="201">
        <f t="shared" si="10"/>
        <v>2.21</v>
      </c>
      <c r="AA21" s="203">
        <f>+Table1[[#This Row],[calculated sale price]]</f>
        <v>2.21</v>
      </c>
      <c r="AB21" s="202"/>
      <c r="AC21" s="206"/>
      <c r="AD21" s="414"/>
    </row>
    <row r="22" spans="1:30" x14ac:dyDescent="0.25">
      <c r="A22" s="186">
        <v>1013</v>
      </c>
      <c r="B22" t="s">
        <v>411</v>
      </c>
      <c r="C22" s="186">
        <v>1</v>
      </c>
      <c r="I22" s="186"/>
      <c r="J22" s="186"/>
      <c r="K22" s="186"/>
      <c r="L22" s="197"/>
      <c r="M22" s="186"/>
      <c r="N22" s="198"/>
      <c r="O22" s="199">
        <v>1.1599999999999999</v>
      </c>
      <c r="P22" s="199">
        <f>Table1[[#This Row],[unit cost]]</f>
        <v>1.1599999999999999</v>
      </c>
      <c r="Q22" s="409">
        <v>1.5</v>
      </c>
      <c r="R22" s="186">
        <v>1</v>
      </c>
      <c r="S22" s="249">
        <f t="shared" si="0"/>
        <v>0.42</v>
      </c>
      <c r="T22" s="201">
        <f>Table1[[#This Row],[man minutes]]*Table1[[#This Row],[labor rate]]</f>
        <v>0.63</v>
      </c>
      <c r="U22" s="201">
        <f t="shared" si="7"/>
        <v>1.79</v>
      </c>
      <c r="V22" s="187">
        <f t="shared" si="8"/>
        <v>0.22</v>
      </c>
      <c r="W22" s="250">
        <f t="shared" si="3"/>
        <v>0.2</v>
      </c>
      <c r="X22" s="201">
        <f t="shared" si="4"/>
        <v>1.4151999999999998</v>
      </c>
      <c r="Y22" s="201">
        <f t="shared" si="9"/>
        <v>0.75600000000000001</v>
      </c>
      <c r="Z22" s="201">
        <f t="shared" si="10"/>
        <v>2.1799999999999997</v>
      </c>
      <c r="AA22" s="203">
        <f>+Table1[[#This Row],[calculated sale price]]</f>
        <v>2.1799999999999997</v>
      </c>
      <c r="AB22" s="202"/>
      <c r="AC22" s="206"/>
      <c r="AD22" s="414"/>
    </row>
    <row r="23" spans="1:30" x14ac:dyDescent="0.25">
      <c r="A23" s="186">
        <v>1014</v>
      </c>
      <c r="B23" t="s">
        <v>412</v>
      </c>
      <c r="C23" s="186">
        <v>1</v>
      </c>
      <c r="I23" s="186"/>
      <c r="J23" s="186"/>
      <c r="K23" s="186"/>
      <c r="L23" s="197"/>
      <c r="M23" s="186"/>
      <c r="N23" s="198"/>
      <c r="O23" s="199">
        <v>0.88</v>
      </c>
      <c r="P23" s="199">
        <f>Table1[[#This Row],[unit cost]]</f>
        <v>0.88</v>
      </c>
      <c r="Q23" s="409">
        <v>1.5</v>
      </c>
      <c r="R23" s="186">
        <v>1</v>
      </c>
      <c r="S23" s="249">
        <f t="shared" si="0"/>
        <v>0.42</v>
      </c>
      <c r="T23" s="201">
        <f>Table1[[#This Row],[man minutes]]*Table1[[#This Row],[labor rate]]</f>
        <v>0.63</v>
      </c>
      <c r="U23" s="201">
        <f t="shared" si="7"/>
        <v>1.51</v>
      </c>
      <c r="V23" s="187">
        <f t="shared" si="8"/>
        <v>0.22</v>
      </c>
      <c r="W23" s="250">
        <f t="shared" si="3"/>
        <v>0.2</v>
      </c>
      <c r="X23" s="201">
        <f t="shared" si="4"/>
        <v>1.0735999999999999</v>
      </c>
      <c r="Y23" s="201">
        <f t="shared" si="9"/>
        <v>0.75600000000000001</v>
      </c>
      <c r="Z23" s="201">
        <f t="shared" si="10"/>
        <v>1.83</v>
      </c>
      <c r="AA23" s="203">
        <f>+Table1[[#This Row],[calculated sale price]]</f>
        <v>1.83</v>
      </c>
      <c r="AB23" s="202"/>
      <c r="AC23" s="206"/>
      <c r="AD23" s="414"/>
    </row>
    <row r="24" spans="1:30" x14ac:dyDescent="0.25">
      <c r="A24" s="186">
        <v>1015</v>
      </c>
      <c r="B24" t="s">
        <v>413</v>
      </c>
      <c r="C24" s="186">
        <v>1</v>
      </c>
      <c r="I24" s="186"/>
      <c r="J24" s="186"/>
      <c r="K24" s="186"/>
      <c r="L24" s="197"/>
      <c r="M24" s="186"/>
      <c r="N24" s="198"/>
      <c r="O24" s="199">
        <v>2.56</v>
      </c>
      <c r="P24" s="199">
        <f>Table1[[#This Row],[unit cost]]</f>
        <v>2.56</v>
      </c>
      <c r="Q24" s="409">
        <v>1.25</v>
      </c>
      <c r="R24" s="186">
        <v>1</v>
      </c>
      <c r="S24" s="249">
        <f t="shared" si="0"/>
        <v>0.42</v>
      </c>
      <c r="T24" s="201">
        <f>Table1[[#This Row],[man minutes]]*Table1[[#This Row],[labor rate]]</f>
        <v>0.52500000000000002</v>
      </c>
      <c r="U24" s="201">
        <f t="shared" ref="U24:U87" si="11">P24+T24</f>
        <v>3.085</v>
      </c>
      <c r="V24" s="187">
        <f t="shared" si="8"/>
        <v>0.22</v>
      </c>
      <c r="W24" s="250">
        <f t="shared" si="3"/>
        <v>0.2</v>
      </c>
      <c r="X24" s="201">
        <f t="shared" ref="X24:X87" si="12">P24*(1+V24)</f>
        <v>3.1232000000000002</v>
      </c>
      <c r="Y24" s="201">
        <f t="shared" ref="Y24:Y87" si="13">T24+(T24*W24)</f>
        <v>0.63</v>
      </c>
      <c r="Z24" s="201">
        <f t="shared" ref="Z24:Z87" si="14">IFERROR(ROUNDUP(X24+Y24,2)," ")</f>
        <v>3.76</v>
      </c>
      <c r="AA24" s="203">
        <f>+Table1[[#This Row],[calculated sale price]]</f>
        <v>3.76</v>
      </c>
      <c r="AB24" s="202"/>
      <c r="AC24" s="206"/>
      <c r="AD24" s="414"/>
    </row>
    <row r="25" spans="1:30" x14ac:dyDescent="0.25">
      <c r="A25" s="186">
        <v>1016</v>
      </c>
      <c r="B25" t="s">
        <v>414</v>
      </c>
      <c r="C25" s="186">
        <v>1</v>
      </c>
      <c r="I25" s="186"/>
      <c r="J25" s="186"/>
      <c r="K25" s="186"/>
      <c r="L25" s="197"/>
      <c r="M25" s="186"/>
      <c r="N25" s="198"/>
      <c r="O25" s="199">
        <v>2.81</v>
      </c>
      <c r="P25" s="199">
        <f>Table1[[#This Row],[unit cost]]</f>
        <v>2.81</v>
      </c>
      <c r="Q25" s="409">
        <v>2.5</v>
      </c>
      <c r="R25" s="186">
        <v>1</v>
      </c>
      <c r="S25" s="249">
        <f t="shared" si="0"/>
        <v>0.42</v>
      </c>
      <c r="T25" s="201">
        <f>Table1[[#This Row],[man minutes]]*Table1[[#This Row],[labor rate]]</f>
        <v>1.05</v>
      </c>
      <c r="U25" s="201">
        <f t="shared" si="11"/>
        <v>3.8600000000000003</v>
      </c>
      <c r="V25" s="187">
        <f t="shared" si="8"/>
        <v>0.22</v>
      </c>
      <c r="W25" s="250">
        <f t="shared" si="3"/>
        <v>0.2</v>
      </c>
      <c r="X25" s="201">
        <f t="shared" si="12"/>
        <v>3.4281999999999999</v>
      </c>
      <c r="Y25" s="201">
        <f t="shared" si="13"/>
        <v>1.26</v>
      </c>
      <c r="Z25" s="201">
        <f t="shared" si="14"/>
        <v>4.6899999999999995</v>
      </c>
      <c r="AA25" s="203">
        <f>+Table1[[#This Row],[calculated sale price]]</f>
        <v>4.6899999999999995</v>
      </c>
      <c r="AB25" s="202"/>
      <c r="AC25" s="206"/>
      <c r="AD25" s="414"/>
    </row>
    <row r="26" spans="1:30" x14ac:dyDescent="0.25">
      <c r="A26" s="186">
        <v>1017</v>
      </c>
      <c r="B26" t="s">
        <v>415</v>
      </c>
      <c r="C26" s="186">
        <v>1</v>
      </c>
      <c r="I26" s="186"/>
      <c r="J26" s="186"/>
      <c r="K26" s="186"/>
      <c r="L26" s="197"/>
      <c r="M26" s="186"/>
      <c r="N26" s="198"/>
      <c r="O26" s="199">
        <v>4.71</v>
      </c>
      <c r="P26" s="199">
        <f>Table1[[#This Row],[unit cost]]</f>
        <v>4.71</v>
      </c>
      <c r="Q26" s="409">
        <v>4.25</v>
      </c>
      <c r="R26" s="186">
        <v>1</v>
      </c>
      <c r="S26" s="249">
        <f t="shared" si="0"/>
        <v>0.42</v>
      </c>
      <c r="T26" s="201">
        <f>Table1[[#This Row],[man minutes]]*Table1[[#This Row],[labor rate]]</f>
        <v>1.7849999999999999</v>
      </c>
      <c r="U26" s="201">
        <f t="shared" si="11"/>
        <v>6.4950000000000001</v>
      </c>
      <c r="V26" s="187">
        <f t="shared" si="8"/>
        <v>0.22</v>
      </c>
      <c r="W26" s="250">
        <f t="shared" si="3"/>
        <v>0.2</v>
      </c>
      <c r="X26" s="201">
        <f t="shared" si="12"/>
        <v>5.7462</v>
      </c>
      <c r="Y26" s="201">
        <f t="shared" si="13"/>
        <v>2.1419999999999999</v>
      </c>
      <c r="Z26" s="201">
        <f t="shared" si="14"/>
        <v>7.89</v>
      </c>
      <c r="AA26" s="203">
        <f>+Table1[[#This Row],[calculated sale price]]</f>
        <v>7.89</v>
      </c>
      <c r="AB26" s="202"/>
      <c r="AC26" s="206"/>
      <c r="AD26" s="414"/>
    </row>
    <row r="27" spans="1:30" x14ac:dyDescent="0.25">
      <c r="A27" s="186">
        <v>1018</v>
      </c>
      <c r="B27" t="s">
        <v>416</v>
      </c>
      <c r="C27" s="186">
        <v>1</v>
      </c>
      <c r="I27" s="186"/>
      <c r="J27" s="186"/>
      <c r="K27" s="186"/>
      <c r="L27" s="197"/>
      <c r="M27" s="186"/>
      <c r="N27" s="198"/>
      <c r="O27" s="199">
        <v>2.29</v>
      </c>
      <c r="P27" s="199">
        <f>Table1[[#This Row],[unit cost]]</f>
        <v>2.29</v>
      </c>
      <c r="Q27" s="409">
        <v>4.5</v>
      </c>
      <c r="R27" s="186">
        <v>1</v>
      </c>
      <c r="S27" s="249">
        <f t="shared" si="0"/>
        <v>0.42</v>
      </c>
      <c r="T27" s="201">
        <f>Table1[[#This Row],[man minutes]]*Table1[[#This Row],[labor rate]]</f>
        <v>1.89</v>
      </c>
      <c r="U27" s="201">
        <f t="shared" si="11"/>
        <v>4.18</v>
      </c>
      <c r="V27" s="187">
        <f t="shared" si="8"/>
        <v>0.22</v>
      </c>
      <c r="W27" s="250">
        <f t="shared" si="3"/>
        <v>0.2</v>
      </c>
      <c r="X27" s="201">
        <f t="shared" si="12"/>
        <v>2.7938000000000001</v>
      </c>
      <c r="Y27" s="201">
        <f t="shared" si="13"/>
        <v>2.2679999999999998</v>
      </c>
      <c r="Z27" s="201">
        <f t="shared" si="14"/>
        <v>5.0699999999999994</v>
      </c>
      <c r="AA27" s="203">
        <f>+Table1[[#This Row],[calculated sale price]]</f>
        <v>5.0699999999999994</v>
      </c>
      <c r="AB27" s="202"/>
      <c r="AC27" s="206"/>
      <c r="AD27" s="414"/>
    </row>
    <row r="28" spans="1:30" x14ac:dyDescent="0.25">
      <c r="A28" s="186">
        <v>1019</v>
      </c>
      <c r="B28" t="s">
        <v>417</v>
      </c>
      <c r="C28" s="186">
        <v>1</v>
      </c>
      <c r="I28" s="186"/>
      <c r="J28" s="186"/>
      <c r="K28" s="186"/>
      <c r="L28" s="197"/>
      <c r="M28" s="186"/>
      <c r="N28" s="198"/>
      <c r="O28" s="199">
        <v>2.15</v>
      </c>
      <c r="P28" s="199">
        <f>Table1[[#This Row],[unit cost]]</f>
        <v>2.15</v>
      </c>
      <c r="Q28" s="409">
        <v>3.25</v>
      </c>
      <c r="R28" s="186">
        <v>1</v>
      </c>
      <c r="S28" s="249">
        <f t="shared" si="0"/>
        <v>0.42</v>
      </c>
      <c r="T28" s="201">
        <f>Table1[[#This Row],[man minutes]]*Table1[[#This Row],[labor rate]]</f>
        <v>1.365</v>
      </c>
      <c r="U28" s="201">
        <f t="shared" si="11"/>
        <v>3.5149999999999997</v>
      </c>
      <c r="V28" s="187">
        <f t="shared" si="8"/>
        <v>0.22</v>
      </c>
      <c r="W28" s="250">
        <f t="shared" si="3"/>
        <v>0.2</v>
      </c>
      <c r="X28" s="201">
        <f t="shared" si="12"/>
        <v>2.6229999999999998</v>
      </c>
      <c r="Y28" s="201">
        <f t="shared" si="13"/>
        <v>1.6379999999999999</v>
      </c>
      <c r="Z28" s="201">
        <f t="shared" si="14"/>
        <v>4.2699999999999996</v>
      </c>
      <c r="AA28" s="203">
        <f>+Table1[[#This Row],[calculated sale price]]</f>
        <v>4.2699999999999996</v>
      </c>
      <c r="AB28" s="202"/>
      <c r="AC28" s="206"/>
      <c r="AD28" s="414"/>
    </row>
    <row r="29" spans="1:30" x14ac:dyDescent="0.25">
      <c r="A29" s="186">
        <v>1020</v>
      </c>
      <c r="B29" t="s">
        <v>418</v>
      </c>
      <c r="C29" s="186">
        <v>1</v>
      </c>
      <c r="I29" s="186"/>
      <c r="J29" s="186"/>
      <c r="K29" s="186"/>
      <c r="L29" s="197"/>
      <c r="M29" s="186"/>
      <c r="N29" s="198"/>
      <c r="O29" s="199">
        <v>2</v>
      </c>
      <c r="P29" s="199">
        <f>Table1[[#This Row],[unit cost]]</f>
        <v>2</v>
      </c>
      <c r="Q29" s="409">
        <v>1.5</v>
      </c>
      <c r="R29" s="186">
        <v>1</v>
      </c>
      <c r="S29" s="249">
        <f t="shared" si="0"/>
        <v>0.42</v>
      </c>
      <c r="T29" s="201">
        <f>Table1[[#This Row],[man minutes]]*Table1[[#This Row],[labor rate]]</f>
        <v>0.63</v>
      </c>
      <c r="U29" s="201">
        <f t="shared" si="11"/>
        <v>2.63</v>
      </c>
      <c r="V29" s="187">
        <f t="shared" si="8"/>
        <v>0.22</v>
      </c>
      <c r="W29" s="250">
        <f t="shared" si="3"/>
        <v>0.2</v>
      </c>
      <c r="X29" s="201">
        <f t="shared" si="12"/>
        <v>2.44</v>
      </c>
      <c r="Y29" s="201">
        <f t="shared" si="13"/>
        <v>0.75600000000000001</v>
      </c>
      <c r="Z29" s="201">
        <f t="shared" si="14"/>
        <v>3.1999999999999997</v>
      </c>
      <c r="AA29" s="203">
        <f>+Table1[[#This Row],[calculated sale price]]</f>
        <v>3.1999999999999997</v>
      </c>
      <c r="AB29" s="202"/>
      <c r="AC29" s="206"/>
      <c r="AD29" s="414"/>
    </row>
    <row r="30" spans="1:30" x14ac:dyDescent="0.25">
      <c r="A30" s="186">
        <v>1021</v>
      </c>
      <c r="B30" t="s">
        <v>419</v>
      </c>
      <c r="C30" s="186">
        <v>1</v>
      </c>
      <c r="I30" s="186"/>
      <c r="J30" s="186"/>
      <c r="K30" s="186"/>
      <c r="L30" s="197"/>
      <c r="M30" s="186"/>
      <c r="N30" s="198"/>
      <c r="O30" s="199">
        <v>1.18</v>
      </c>
      <c r="P30" s="199">
        <f>Table1[[#This Row],[unit cost]]</f>
        <v>1.18</v>
      </c>
      <c r="Q30" s="409">
        <v>2</v>
      </c>
      <c r="R30" s="186">
        <v>1</v>
      </c>
      <c r="S30" s="249">
        <f t="shared" si="0"/>
        <v>0.42</v>
      </c>
      <c r="T30" s="201">
        <f>Table1[[#This Row],[man minutes]]*Table1[[#This Row],[labor rate]]</f>
        <v>0.84</v>
      </c>
      <c r="U30" s="201">
        <f t="shared" si="11"/>
        <v>2.02</v>
      </c>
      <c r="V30" s="187">
        <f t="shared" si="8"/>
        <v>0.22</v>
      </c>
      <c r="W30" s="250">
        <f t="shared" si="3"/>
        <v>0.2</v>
      </c>
      <c r="X30" s="201">
        <f t="shared" si="12"/>
        <v>1.4396</v>
      </c>
      <c r="Y30" s="201">
        <f t="shared" si="13"/>
        <v>1.008</v>
      </c>
      <c r="Z30" s="201">
        <f t="shared" si="14"/>
        <v>2.4499999999999997</v>
      </c>
      <c r="AA30" s="203">
        <f>+Table1[[#This Row],[calculated sale price]]</f>
        <v>2.4499999999999997</v>
      </c>
      <c r="AB30" s="202"/>
      <c r="AC30" s="206"/>
      <c r="AD30" s="414"/>
    </row>
    <row r="31" spans="1:30" x14ac:dyDescent="0.25">
      <c r="A31" s="186">
        <v>1022</v>
      </c>
      <c r="B31" t="s">
        <v>420</v>
      </c>
      <c r="C31" s="186">
        <v>1</v>
      </c>
      <c r="I31" s="186"/>
      <c r="J31" s="186"/>
      <c r="K31" s="186"/>
      <c r="L31" s="197"/>
      <c r="M31" s="186"/>
      <c r="N31" s="198"/>
      <c r="O31" s="199">
        <v>0.44</v>
      </c>
      <c r="P31" s="199">
        <f>Table1[[#This Row],[unit cost]]</f>
        <v>0.44</v>
      </c>
      <c r="Q31" s="409">
        <v>0.5</v>
      </c>
      <c r="R31" s="186">
        <v>1</v>
      </c>
      <c r="S31" s="249">
        <f t="shared" si="0"/>
        <v>0.42</v>
      </c>
      <c r="T31" s="201">
        <f>Table1[[#This Row],[man minutes]]*Table1[[#This Row],[labor rate]]</f>
        <v>0.21</v>
      </c>
      <c r="U31" s="201">
        <f t="shared" si="11"/>
        <v>0.65</v>
      </c>
      <c r="V31" s="187">
        <f t="shared" si="8"/>
        <v>0.22</v>
      </c>
      <c r="W31" s="250">
        <f t="shared" si="3"/>
        <v>0.2</v>
      </c>
      <c r="X31" s="201">
        <f t="shared" si="12"/>
        <v>0.53679999999999994</v>
      </c>
      <c r="Y31" s="201">
        <f t="shared" si="13"/>
        <v>0.252</v>
      </c>
      <c r="Z31" s="201">
        <f t="shared" si="14"/>
        <v>0.79</v>
      </c>
      <c r="AA31" s="203">
        <f>+Table1[[#This Row],[calculated sale price]]</f>
        <v>0.79</v>
      </c>
      <c r="AB31" s="202"/>
      <c r="AC31" s="206"/>
      <c r="AD31" s="414"/>
    </row>
    <row r="32" spans="1:30" x14ac:dyDescent="0.25">
      <c r="A32" s="186">
        <v>1023</v>
      </c>
      <c r="B32" t="s">
        <v>421</v>
      </c>
      <c r="C32" s="186">
        <v>1</v>
      </c>
      <c r="I32" s="186"/>
      <c r="J32" s="186"/>
      <c r="K32" s="186"/>
      <c r="L32" s="197"/>
      <c r="M32" s="186"/>
      <c r="N32" s="198"/>
      <c r="O32" s="199">
        <v>0.78</v>
      </c>
      <c r="P32" s="199">
        <f>Table1[[#This Row],[unit cost]]</f>
        <v>0.78</v>
      </c>
      <c r="Q32" s="409">
        <v>0.75</v>
      </c>
      <c r="R32" s="186">
        <v>1</v>
      </c>
      <c r="S32" s="249">
        <f t="shared" si="0"/>
        <v>0.42</v>
      </c>
      <c r="T32" s="201">
        <f>Table1[[#This Row],[man minutes]]*Table1[[#This Row],[labor rate]]</f>
        <v>0.315</v>
      </c>
      <c r="U32" s="201">
        <f t="shared" si="11"/>
        <v>1.095</v>
      </c>
      <c r="V32" s="187">
        <f t="shared" si="8"/>
        <v>0.22</v>
      </c>
      <c r="W32" s="250">
        <f t="shared" si="3"/>
        <v>0.2</v>
      </c>
      <c r="X32" s="201">
        <f t="shared" si="12"/>
        <v>0.9516</v>
      </c>
      <c r="Y32" s="201">
        <f t="shared" si="13"/>
        <v>0.378</v>
      </c>
      <c r="Z32" s="201">
        <f t="shared" si="14"/>
        <v>1.33</v>
      </c>
      <c r="AA32" s="203">
        <f>+Table1[[#This Row],[calculated sale price]]</f>
        <v>1.33</v>
      </c>
      <c r="AB32" s="202"/>
      <c r="AC32" s="206"/>
      <c r="AD32" s="414"/>
    </row>
    <row r="33" spans="1:30" x14ac:dyDescent="0.25">
      <c r="A33" s="186">
        <v>1024</v>
      </c>
      <c r="B33" t="s">
        <v>422</v>
      </c>
      <c r="C33" s="186">
        <v>1</v>
      </c>
      <c r="I33" s="186"/>
      <c r="J33" s="186"/>
      <c r="K33" s="186"/>
      <c r="L33" s="197"/>
      <c r="M33" s="186"/>
      <c r="N33" s="198"/>
      <c r="O33" s="199">
        <v>0.85</v>
      </c>
      <c r="P33" s="199">
        <f>Table1[[#This Row],[unit cost]]</f>
        <v>0.85</v>
      </c>
      <c r="Q33" s="409">
        <v>1</v>
      </c>
      <c r="R33" s="186">
        <v>1</v>
      </c>
      <c r="S33" s="249">
        <f t="shared" si="0"/>
        <v>0.42</v>
      </c>
      <c r="T33" s="201">
        <f>Table1[[#This Row],[man minutes]]*Table1[[#This Row],[labor rate]]</f>
        <v>0.42</v>
      </c>
      <c r="U33" s="201">
        <f t="shared" si="11"/>
        <v>1.27</v>
      </c>
      <c r="V33" s="187">
        <f t="shared" si="8"/>
        <v>0.22</v>
      </c>
      <c r="W33" s="250">
        <f t="shared" si="3"/>
        <v>0.2</v>
      </c>
      <c r="X33" s="201">
        <f t="shared" si="12"/>
        <v>1.0369999999999999</v>
      </c>
      <c r="Y33" s="201">
        <f t="shared" si="13"/>
        <v>0.504</v>
      </c>
      <c r="Z33" s="201">
        <f t="shared" si="14"/>
        <v>1.55</v>
      </c>
      <c r="AA33" s="203">
        <f>+Table1[[#This Row],[calculated sale price]]</f>
        <v>1.55</v>
      </c>
      <c r="AB33" s="202"/>
      <c r="AC33" s="206"/>
      <c r="AD33" s="414"/>
    </row>
    <row r="34" spans="1:30" x14ac:dyDescent="0.25">
      <c r="A34" s="186">
        <v>1025</v>
      </c>
      <c r="B34" s="329" t="s">
        <v>423</v>
      </c>
      <c r="C34" s="186">
        <v>1</v>
      </c>
      <c r="I34" s="186"/>
      <c r="J34" s="186"/>
      <c r="K34" s="186"/>
      <c r="L34" s="197"/>
      <c r="M34" s="186"/>
      <c r="N34" s="198"/>
      <c r="O34" s="199">
        <v>0.69</v>
      </c>
      <c r="P34" s="199">
        <f>Table1[[#This Row],[unit cost]]</f>
        <v>0.69</v>
      </c>
      <c r="Q34" s="409">
        <v>0.25</v>
      </c>
      <c r="R34" s="186">
        <v>1</v>
      </c>
      <c r="S34" s="249">
        <f t="shared" si="0"/>
        <v>0.42</v>
      </c>
      <c r="T34" s="201">
        <f>Table1[[#This Row],[man minutes]]*Table1[[#This Row],[labor rate]]</f>
        <v>0.105</v>
      </c>
      <c r="U34" s="201">
        <f t="shared" si="11"/>
        <v>0.79499999999999993</v>
      </c>
      <c r="V34" s="187">
        <f t="shared" si="8"/>
        <v>0.22</v>
      </c>
      <c r="W34" s="250">
        <f t="shared" si="3"/>
        <v>0.2</v>
      </c>
      <c r="X34" s="201">
        <f t="shared" si="12"/>
        <v>0.84179999999999988</v>
      </c>
      <c r="Y34" s="201">
        <f t="shared" si="13"/>
        <v>0.126</v>
      </c>
      <c r="Z34" s="201">
        <f t="shared" si="14"/>
        <v>0.97</v>
      </c>
      <c r="AA34" s="203">
        <f>+Table1[[#This Row],[calculated sale price]]</f>
        <v>0.97</v>
      </c>
      <c r="AB34" s="202"/>
      <c r="AC34" s="206"/>
      <c r="AD34" s="414"/>
    </row>
    <row r="35" spans="1:30" x14ac:dyDescent="0.25">
      <c r="A35" s="186">
        <v>1026</v>
      </c>
      <c r="B35" t="s">
        <v>424</v>
      </c>
      <c r="C35" s="186">
        <v>1</v>
      </c>
      <c r="I35" s="186"/>
      <c r="J35" s="186"/>
      <c r="K35" s="186"/>
      <c r="L35" s="197"/>
      <c r="M35" s="186"/>
      <c r="N35" s="198"/>
      <c r="O35" s="199">
        <v>1.1399999999999999</v>
      </c>
      <c r="P35" s="199">
        <f>Table1[[#This Row],[unit cost]]</f>
        <v>1.1399999999999999</v>
      </c>
      <c r="Q35" s="409">
        <v>2</v>
      </c>
      <c r="R35" s="186">
        <v>1</v>
      </c>
      <c r="S35" s="249">
        <f t="shared" si="0"/>
        <v>0.42</v>
      </c>
      <c r="T35" s="201">
        <f>Table1[[#This Row],[man minutes]]*Table1[[#This Row],[labor rate]]</f>
        <v>0.84</v>
      </c>
      <c r="U35" s="201">
        <f t="shared" si="11"/>
        <v>1.98</v>
      </c>
      <c r="V35" s="187">
        <f t="shared" si="8"/>
        <v>0.22</v>
      </c>
      <c r="W35" s="250">
        <f t="shared" si="3"/>
        <v>0.2</v>
      </c>
      <c r="X35" s="201">
        <f t="shared" si="12"/>
        <v>1.3907999999999998</v>
      </c>
      <c r="Y35" s="201">
        <f t="shared" si="13"/>
        <v>1.008</v>
      </c>
      <c r="Z35" s="201">
        <f t="shared" si="14"/>
        <v>2.4</v>
      </c>
      <c r="AA35" s="203">
        <f>+Table1[[#This Row],[calculated sale price]]</f>
        <v>2.4</v>
      </c>
      <c r="AB35" s="202"/>
      <c r="AC35" s="206"/>
      <c r="AD35" s="414"/>
    </row>
    <row r="36" spans="1:30" x14ac:dyDescent="0.25">
      <c r="A36" s="186">
        <v>1027</v>
      </c>
      <c r="B36" t="s">
        <v>425</v>
      </c>
      <c r="C36" s="186">
        <v>1</v>
      </c>
      <c r="I36" s="186"/>
      <c r="J36" s="186"/>
      <c r="K36" s="186"/>
      <c r="L36" s="197"/>
      <c r="M36" s="186"/>
      <c r="N36" s="198"/>
      <c r="O36" s="199">
        <v>1.1599999999999999</v>
      </c>
      <c r="P36" s="199">
        <f>Table1[[#This Row],[unit cost]]</f>
        <v>1.1599999999999999</v>
      </c>
      <c r="Q36" s="409">
        <v>0.5</v>
      </c>
      <c r="R36" s="186">
        <v>1</v>
      </c>
      <c r="S36" s="249">
        <f t="shared" si="0"/>
        <v>0.42</v>
      </c>
      <c r="T36" s="201">
        <f>Table1[[#This Row],[man minutes]]*Table1[[#This Row],[labor rate]]</f>
        <v>0.21</v>
      </c>
      <c r="U36" s="201">
        <f t="shared" si="11"/>
        <v>1.3699999999999999</v>
      </c>
      <c r="V36" s="187">
        <f t="shared" si="8"/>
        <v>0.22</v>
      </c>
      <c r="W36" s="250">
        <f t="shared" si="3"/>
        <v>0.2</v>
      </c>
      <c r="X36" s="201">
        <f t="shared" si="12"/>
        <v>1.4151999999999998</v>
      </c>
      <c r="Y36" s="201">
        <f t="shared" si="13"/>
        <v>0.252</v>
      </c>
      <c r="Z36" s="201">
        <f t="shared" si="14"/>
        <v>1.67</v>
      </c>
      <c r="AA36" s="203">
        <f>+Table1[[#This Row],[calculated sale price]]</f>
        <v>1.67</v>
      </c>
      <c r="AB36" s="202"/>
      <c r="AC36" s="206"/>
      <c r="AD36" s="414"/>
    </row>
    <row r="37" spans="1:30" x14ac:dyDescent="0.25">
      <c r="A37" s="186">
        <v>1028</v>
      </c>
      <c r="B37" t="s">
        <v>426</v>
      </c>
      <c r="C37" s="186">
        <v>1</v>
      </c>
      <c r="I37" s="186"/>
      <c r="J37" s="186"/>
      <c r="K37" s="186"/>
      <c r="L37" s="197"/>
      <c r="M37" s="186"/>
      <c r="N37" s="198"/>
      <c r="O37" s="199">
        <v>0.47</v>
      </c>
      <c r="P37" s="199">
        <f>Table1[[#This Row],[unit cost]]</f>
        <v>0.47</v>
      </c>
      <c r="Q37" s="409">
        <v>0.5</v>
      </c>
      <c r="R37" s="186">
        <v>1</v>
      </c>
      <c r="S37" s="249">
        <f t="shared" si="0"/>
        <v>0.42</v>
      </c>
      <c r="T37" s="201">
        <f>Table1[[#This Row],[man minutes]]*Table1[[#This Row],[labor rate]]</f>
        <v>0.21</v>
      </c>
      <c r="U37" s="201">
        <f t="shared" si="11"/>
        <v>0.67999999999999994</v>
      </c>
      <c r="V37" s="187">
        <f t="shared" si="8"/>
        <v>0.22</v>
      </c>
      <c r="W37" s="250">
        <f t="shared" si="3"/>
        <v>0.2</v>
      </c>
      <c r="X37" s="201">
        <f t="shared" si="12"/>
        <v>0.57339999999999991</v>
      </c>
      <c r="Y37" s="201">
        <f t="shared" si="13"/>
        <v>0.252</v>
      </c>
      <c r="Z37" s="201">
        <f t="shared" si="14"/>
        <v>0.83</v>
      </c>
      <c r="AA37" s="203">
        <f>+Table1[[#This Row],[calculated sale price]]</f>
        <v>0.83</v>
      </c>
      <c r="AB37" s="202"/>
      <c r="AC37" s="206"/>
      <c r="AD37" s="414"/>
    </row>
    <row r="38" spans="1:30" x14ac:dyDescent="0.25">
      <c r="A38" s="186">
        <v>1029</v>
      </c>
      <c r="B38" t="s">
        <v>427</v>
      </c>
      <c r="C38" s="186">
        <v>1</v>
      </c>
      <c r="I38" s="186"/>
      <c r="J38" s="186"/>
      <c r="K38" s="186"/>
      <c r="L38" s="197"/>
      <c r="M38" s="186"/>
      <c r="N38" s="198"/>
      <c r="O38" s="199">
        <v>0.3</v>
      </c>
      <c r="P38" s="199">
        <f>Table1[[#This Row],[unit cost]]</f>
        <v>0.3</v>
      </c>
      <c r="Q38" s="409">
        <v>0.25</v>
      </c>
      <c r="R38" s="186">
        <v>1</v>
      </c>
      <c r="S38" s="249">
        <f t="shared" si="0"/>
        <v>0.42</v>
      </c>
      <c r="T38" s="201">
        <f>Table1[[#This Row],[man minutes]]*Table1[[#This Row],[labor rate]]</f>
        <v>0.105</v>
      </c>
      <c r="U38" s="201">
        <f t="shared" si="11"/>
        <v>0.40499999999999997</v>
      </c>
      <c r="V38" s="187">
        <f t="shared" si="8"/>
        <v>0.22</v>
      </c>
      <c r="W38" s="250">
        <f t="shared" si="3"/>
        <v>0.2</v>
      </c>
      <c r="X38" s="201">
        <f t="shared" si="12"/>
        <v>0.36599999999999999</v>
      </c>
      <c r="Y38" s="201">
        <f t="shared" si="13"/>
        <v>0.126</v>
      </c>
      <c r="Z38" s="201">
        <f t="shared" si="14"/>
        <v>0.5</v>
      </c>
      <c r="AA38" s="203">
        <f>+Table1[[#This Row],[calculated sale price]]</f>
        <v>0.5</v>
      </c>
      <c r="AB38" s="202"/>
      <c r="AC38" s="206"/>
      <c r="AD38" s="414"/>
    </row>
    <row r="39" spans="1:30" x14ac:dyDescent="0.25">
      <c r="A39" s="186">
        <v>1030</v>
      </c>
      <c r="B39" t="s">
        <v>428</v>
      </c>
      <c r="C39" s="186">
        <v>1</v>
      </c>
      <c r="I39" s="186"/>
      <c r="J39" s="186"/>
      <c r="K39" s="186"/>
      <c r="L39" s="197"/>
      <c r="M39" s="186"/>
      <c r="N39" s="198"/>
      <c r="O39" s="199">
        <v>0.56000000000000005</v>
      </c>
      <c r="P39" s="199">
        <f>Table1[[#This Row],[unit cost]]</f>
        <v>0.56000000000000005</v>
      </c>
      <c r="Q39" s="409">
        <v>1.25</v>
      </c>
      <c r="R39" s="186">
        <v>1</v>
      </c>
      <c r="S39" s="249">
        <f t="shared" si="0"/>
        <v>0.42</v>
      </c>
      <c r="T39" s="201">
        <f>Table1[[#This Row],[man minutes]]*Table1[[#This Row],[labor rate]]</f>
        <v>0.52500000000000002</v>
      </c>
      <c r="U39" s="201">
        <f t="shared" si="11"/>
        <v>1.085</v>
      </c>
      <c r="V39" s="187">
        <f t="shared" si="8"/>
        <v>0.22</v>
      </c>
      <c r="W39" s="250">
        <f t="shared" si="3"/>
        <v>0.2</v>
      </c>
      <c r="X39" s="201">
        <f t="shared" si="12"/>
        <v>0.68320000000000003</v>
      </c>
      <c r="Y39" s="201">
        <f t="shared" si="13"/>
        <v>0.63</v>
      </c>
      <c r="Z39" s="201">
        <f t="shared" si="14"/>
        <v>1.32</v>
      </c>
      <c r="AA39" s="203">
        <f>+Table1[[#This Row],[calculated sale price]]</f>
        <v>1.32</v>
      </c>
      <c r="AB39" s="202"/>
      <c r="AC39" s="206"/>
      <c r="AD39" s="414"/>
    </row>
    <row r="40" spans="1:30" x14ac:dyDescent="0.25">
      <c r="A40" s="186">
        <v>1031</v>
      </c>
      <c r="B40" t="s">
        <v>429</v>
      </c>
      <c r="C40" s="186">
        <v>1</v>
      </c>
      <c r="I40" s="186"/>
      <c r="J40" s="186"/>
      <c r="K40" s="186"/>
      <c r="L40" s="197"/>
      <c r="M40" s="186"/>
      <c r="N40" s="198"/>
      <c r="O40" s="199">
        <v>10.43</v>
      </c>
      <c r="P40" s="199">
        <f>Table1[[#This Row],[unit cost]]</f>
        <v>10.43</v>
      </c>
      <c r="Q40" s="409">
        <v>5.5</v>
      </c>
      <c r="R40" s="186">
        <v>1</v>
      </c>
      <c r="S40" s="249">
        <f t="shared" si="0"/>
        <v>0.42</v>
      </c>
      <c r="T40" s="201">
        <f>Table1[[#This Row],[man minutes]]*Table1[[#This Row],[labor rate]]</f>
        <v>2.31</v>
      </c>
      <c r="U40" s="201">
        <f t="shared" si="11"/>
        <v>12.74</v>
      </c>
      <c r="V40" s="187">
        <f t="shared" si="8"/>
        <v>0.22</v>
      </c>
      <c r="W40" s="250">
        <f t="shared" si="3"/>
        <v>0.2</v>
      </c>
      <c r="X40" s="201">
        <f t="shared" si="12"/>
        <v>12.724599999999999</v>
      </c>
      <c r="Y40" s="201">
        <f t="shared" si="13"/>
        <v>2.7720000000000002</v>
      </c>
      <c r="Z40" s="201">
        <f t="shared" si="14"/>
        <v>15.5</v>
      </c>
      <c r="AA40" s="203">
        <f>+Table1[[#This Row],[calculated sale price]]</f>
        <v>15.5</v>
      </c>
      <c r="AB40" s="202"/>
      <c r="AC40" s="206"/>
      <c r="AD40" s="414"/>
    </row>
    <row r="41" spans="1:30" x14ac:dyDescent="0.25">
      <c r="A41" s="186">
        <v>1032</v>
      </c>
      <c r="B41" t="s">
        <v>430</v>
      </c>
      <c r="C41" s="186">
        <v>1</v>
      </c>
      <c r="I41" s="186"/>
      <c r="J41" s="186"/>
      <c r="K41" s="186"/>
      <c r="L41" s="197"/>
      <c r="M41" s="186"/>
      <c r="N41" s="198"/>
      <c r="O41" s="199">
        <v>2.19</v>
      </c>
      <c r="P41" s="199">
        <f>Table1[[#This Row],[unit cost]]</f>
        <v>2.19</v>
      </c>
      <c r="Q41" s="409">
        <v>5.5</v>
      </c>
      <c r="R41" s="186">
        <v>1</v>
      </c>
      <c r="S41" s="249">
        <f t="shared" si="0"/>
        <v>0.42</v>
      </c>
      <c r="T41" s="201">
        <f>Table1[[#This Row],[man minutes]]*Table1[[#This Row],[labor rate]]</f>
        <v>2.31</v>
      </c>
      <c r="U41" s="201">
        <f t="shared" si="11"/>
        <v>4.5</v>
      </c>
      <c r="V41" s="187">
        <f t="shared" si="8"/>
        <v>0.22</v>
      </c>
      <c r="W41" s="250">
        <f t="shared" si="3"/>
        <v>0.2</v>
      </c>
      <c r="X41" s="201">
        <f t="shared" si="12"/>
        <v>2.6717999999999997</v>
      </c>
      <c r="Y41" s="201">
        <f t="shared" si="13"/>
        <v>2.7720000000000002</v>
      </c>
      <c r="Z41" s="201">
        <f t="shared" si="14"/>
        <v>5.45</v>
      </c>
      <c r="AA41" s="203">
        <f>+Table1[[#This Row],[calculated sale price]]</f>
        <v>5.45</v>
      </c>
      <c r="AB41" s="202"/>
      <c r="AC41" s="206"/>
      <c r="AD41" s="414"/>
    </row>
    <row r="42" spans="1:30" x14ac:dyDescent="0.25">
      <c r="A42" s="186">
        <v>1033</v>
      </c>
      <c r="B42" t="s">
        <v>431</v>
      </c>
      <c r="C42" s="186">
        <v>1</v>
      </c>
      <c r="I42" s="186"/>
      <c r="J42" s="186"/>
      <c r="K42" s="186"/>
      <c r="L42" s="197"/>
      <c r="M42" s="186"/>
      <c r="N42" s="198"/>
      <c r="O42" s="199">
        <v>4.2</v>
      </c>
      <c r="P42" s="199">
        <f>Table1[[#This Row],[unit cost]]</f>
        <v>4.2</v>
      </c>
      <c r="Q42" s="409">
        <v>3.25</v>
      </c>
      <c r="R42" s="186">
        <v>1</v>
      </c>
      <c r="S42" s="249">
        <f t="shared" si="0"/>
        <v>0.42</v>
      </c>
      <c r="T42" s="201">
        <f>Table1[[#This Row],[man minutes]]*Table1[[#This Row],[labor rate]]</f>
        <v>1.365</v>
      </c>
      <c r="U42" s="201">
        <f t="shared" si="11"/>
        <v>5.5650000000000004</v>
      </c>
      <c r="V42" s="187">
        <f t="shared" si="8"/>
        <v>0.22</v>
      </c>
      <c r="W42" s="250">
        <f t="shared" si="3"/>
        <v>0.2</v>
      </c>
      <c r="X42" s="201">
        <f t="shared" si="12"/>
        <v>5.1239999999999997</v>
      </c>
      <c r="Y42" s="201">
        <f t="shared" si="13"/>
        <v>1.6379999999999999</v>
      </c>
      <c r="Z42" s="201">
        <f t="shared" si="14"/>
        <v>6.77</v>
      </c>
      <c r="AA42" s="203">
        <f>+Table1[[#This Row],[calculated sale price]]</f>
        <v>6.77</v>
      </c>
      <c r="AB42" s="202"/>
      <c r="AC42" s="206"/>
      <c r="AD42" s="414"/>
    </row>
    <row r="43" spans="1:30" x14ac:dyDescent="0.25">
      <c r="A43" s="186">
        <v>1034</v>
      </c>
      <c r="B43" t="s">
        <v>432</v>
      </c>
      <c r="C43" s="186">
        <v>1</v>
      </c>
      <c r="I43" s="186"/>
      <c r="J43" s="186"/>
      <c r="K43" s="186"/>
      <c r="L43" s="197"/>
      <c r="M43" s="186"/>
      <c r="N43" s="198"/>
      <c r="O43" s="199">
        <v>0.83</v>
      </c>
      <c r="P43" s="199">
        <f>Table1[[#This Row],[unit cost]]</f>
        <v>0.83</v>
      </c>
      <c r="Q43" s="409">
        <v>1.25</v>
      </c>
      <c r="R43" s="186">
        <v>1</v>
      </c>
      <c r="S43" s="249">
        <f t="shared" si="0"/>
        <v>0.42</v>
      </c>
      <c r="T43" s="201">
        <f>Table1[[#This Row],[man minutes]]*Table1[[#This Row],[labor rate]]</f>
        <v>0.52500000000000002</v>
      </c>
      <c r="U43" s="201">
        <f t="shared" si="11"/>
        <v>1.355</v>
      </c>
      <c r="V43" s="187">
        <f t="shared" si="8"/>
        <v>0.22</v>
      </c>
      <c r="W43" s="250">
        <f t="shared" si="3"/>
        <v>0.2</v>
      </c>
      <c r="X43" s="201">
        <f t="shared" si="12"/>
        <v>1.0125999999999999</v>
      </c>
      <c r="Y43" s="201">
        <f t="shared" si="13"/>
        <v>0.63</v>
      </c>
      <c r="Z43" s="201">
        <f t="shared" si="14"/>
        <v>1.65</v>
      </c>
      <c r="AA43" s="203">
        <f>+Table1[[#This Row],[calculated sale price]]</f>
        <v>1.65</v>
      </c>
      <c r="AB43" s="202"/>
      <c r="AC43" s="206"/>
      <c r="AD43" s="414"/>
    </row>
    <row r="44" spans="1:30" x14ac:dyDescent="0.25">
      <c r="A44" s="186">
        <v>1035</v>
      </c>
      <c r="B44" t="s">
        <v>433</v>
      </c>
      <c r="C44" s="186">
        <v>1</v>
      </c>
      <c r="I44" s="186"/>
      <c r="J44" s="186"/>
      <c r="K44" s="186"/>
      <c r="L44" s="197"/>
      <c r="M44" s="186"/>
      <c r="N44" s="198"/>
      <c r="O44" s="199">
        <v>1.9</v>
      </c>
      <c r="P44" s="199">
        <f>Table1[[#This Row],[unit cost]]</f>
        <v>1.9</v>
      </c>
      <c r="Q44" s="409">
        <v>2</v>
      </c>
      <c r="R44" s="186">
        <v>1</v>
      </c>
      <c r="S44" s="249">
        <f t="shared" si="0"/>
        <v>0.42</v>
      </c>
      <c r="T44" s="201">
        <f>Table1[[#This Row],[man minutes]]*Table1[[#This Row],[labor rate]]</f>
        <v>0.84</v>
      </c>
      <c r="U44" s="201">
        <f t="shared" si="11"/>
        <v>2.7399999999999998</v>
      </c>
      <c r="V44" s="187">
        <f t="shared" si="8"/>
        <v>0.22</v>
      </c>
      <c r="W44" s="250">
        <f t="shared" si="3"/>
        <v>0.2</v>
      </c>
      <c r="X44" s="201">
        <f t="shared" si="12"/>
        <v>2.3180000000000001</v>
      </c>
      <c r="Y44" s="201">
        <f t="shared" si="13"/>
        <v>1.008</v>
      </c>
      <c r="Z44" s="201">
        <f t="shared" si="14"/>
        <v>3.3299999999999996</v>
      </c>
      <c r="AA44" s="203">
        <f>+Table1[[#This Row],[calculated sale price]]</f>
        <v>3.3299999999999996</v>
      </c>
      <c r="AB44" s="202"/>
      <c r="AC44" s="206"/>
      <c r="AD44" s="414"/>
    </row>
    <row r="45" spans="1:30" x14ac:dyDescent="0.25">
      <c r="A45" s="186">
        <v>1036</v>
      </c>
      <c r="B45" t="s">
        <v>434</v>
      </c>
      <c r="C45" s="186">
        <v>1</v>
      </c>
      <c r="I45" s="186"/>
      <c r="J45" s="186"/>
      <c r="K45" s="186"/>
      <c r="L45" s="197"/>
      <c r="M45" s="186"/>
      <c r="N45" s="198"/>
      <c r="O45" s="199">
        <v>1.77</v>
      </c>
      <c r="P45" s="199">
        <f>Table1[[#This Row],[unit cost]]</f>
        <v>1.77</v>
      </c>
      <c r="Q45" s="409">
        <v>3.25</v>
      </c>
      <c r="R45" s="186">
        <v>1</v>
      </c>
      <c r="S45" s="249">
        <f t="shared" si="0"/>
        <v>0.42</v>
      </c>
      <c r="T45" s="201">
        <f>Table1[[#This Row],[man minutes]]*Table1[[#This Row],[labor rate]]</f>
        <v>1.365</v>
      </c>
      <c r="U45" s="201">
        <f t="shared" si="11"/>
        <v>3.1349999999999998</v>
      </c>
      <c r="V45" s="187">
        <f t="shared" si="8"/>
        <v>0.22</v>
      </c>
      <c r="W45" s="250">
        <f t="shared" si="3"/>
        <v>0.2</v>
      </c>
      <c r="X45" s="201">
        <f t="shared" si="12"/>
        <v>2.1593999999999998</v>
      </c>
      <c r="Y45" s="201">
        <f t="shared" si="13"/>
        <v>1.6379999999999999</v>
      </c>
      <c r="Z45" s="201">
        <f t="shared" si="14"/>
        <v>3.8</v>
      </c>
      <c r="AA45" s="203">
        <f>+Table1[[#This Row],[calculated sale price]]</f>
        <v>3.8</v>
      </c>
      <c r="AB45" s="202"/>
      <c r="AC45" s="206"/>
      <c r="AD45" s="414"/>
    </row>
    <row r="46" spans="1:30" x14ac:dyDescent="0.25">
      <c r="A46" s="186">
        <v>1037</v>
      </c>
      <c r="B46" t="s">
        <v>435</v>
      </c>
      <c r="C46" s="186">
        <v>1</v>
      </c>
      <c r="I46" s="186"/>
      <c r="J46" s="186"/>
      <c r="K46" s="186"/>
      <c r="L46" s="197"/>
      <c r="M46" s="186"/>
      <c r="N46" s="198"/>
      <c r="O46" s="199">
        <v>1.77</v>
      </c>
      <c r="P46" s="199">
        <f>Table1[[#This Row],[unit cost]]</f>
        <v>1.77</v>
      </c>
      <c r="Q46" s="409">
        <v>4</v>
      </c>
      <c r="R46" s="186">
        <v>1</v>
      </c>
      <c r="S46" s="249">
        <f t="shared" si="0"/>
        <v>0.42</v>
      </c>
      <c r="T46" s="201">
        <f>Table1[[#This Row],[man minutes]]*Table1[[#This Row],[labor rate]]</f>
        <v>1.68</v>
      </c>
      <c r="U46" s="201">
        <f t="shared" si="11"/>
        <v>3.45</v>
      </c>
      <c r="V46" s="187">
        <f t="shared" si="8"/>
        <v>0.22</v>
      </c>
      <c r="W46" s="250">
        <f t="shared" si="3"/>
        <v>0.2</v>
      </c>
      <c r="X46" s="201">
        <f t="shared" si="12"/>
        <v>2.1593999999999998</v>
      </c>
      <c r="Y46" s="201">
        <f t="shared" si="13"/>
        <v>2.016</v>
      </c>
      <c r="Z46" s="201">
        <f t="shared" si="14"/>
        <v>4.18</v>
      </c>
      <c r="AA46" s="203">
        <f>+Table1[[#This Row],[calculated sale price]]</f>
        <v>4.18</v>
      </c>
      <c r="AB46" s="202"/>
      <c r="AC46" s="206"/>
      <c r="AD46" s="414"/>
    </row>
    <row r="47" spans="1:30" x14ac:dyDescent="0.25">
      <c r="A47" s="186">
        <v>1038</v>
      </c>
      <c r="B47" s="329" t="s">
        <v>436</v>
      </c>
      <c r="C47" s="186">
        <v>1</v>
      </c>
      <c r="I47" s="186"/>
      <c r="J47" s="186"/>
      <c r="K47" s="186"/>
      <c r="L47" s="197"/>
      <c r="M47" s="186"/>
      <c r="N47" s="198"/>
      <c r="O47" s="199">
        <v>1.1100000000000001</v>
      </c>
      <c r="P47" s="199">
        <f>Table1[[#This Row],[unit cost]]</f>
        <v>1.1100000000000001</v>
      </c>
      <c r="Q47" s="409">
        <v>2.5</v>
      </c>
      <c r="R47" s="186">
        <v>1</v>
      </c>
      <c r="S47" s="249">
        <f t="shared" si="0"/>
        <v>0.42</v>
      </c>
      <c r="T47" s="201">
        <f>Table1[[#This Row],[man minutes]]*Table1[[#This Row],[labor rate]]</f>
        <v>1.05</v>
      </c>
      <c r="U47" s="201">
        <f t="shared" si="11"/>
        <v>2.16</v>
      </c>
      <c r="V47" s="187">
        <f t="shared" si="8"/>
        <v>0.22</v>
      </c>
      <c r="W47" s="250">
        <f t="shared" si="3"/>
        <v>0.2</v>
      </c>
      <c r="X47" s="201">
        <f t="shared" si="12"/>
        <v>1.3542000000000001</v>
      </c>
      <c r="Y47" s="201">
        <f t="shared" si="13"/>
        <v>1.26</v>
      </c>
      <c r="Z47" s="201">
        <f t="shared" si="14"/>
        <v>2.6199999999999997</v>
      </c>
      <c r="AA47" s="203">
        <f>+Table1[[#This Row],[calculated sale price]]</f>
        <v>2.6199999999999997</v>
      </c>
      <c r="AB47" s="202"/>
      <c r="AC47" s="206"/>
      <c r="AD47" s="414"/>
    </row>
    <row r="48" spans="1:30" x14ac:dyDescent="0.25">
      <c r="A48" s="186">
        <v>1039</v>
      </c>
      <c r="B48" t="s">
        <v>437</v>
      </c>
      <c r="C48" s="186">
        <v>1</v>
      </c>
      <c r="I48" s="186"/>
      <c r="J48" s="186"/>
      <c r="K48" s="186"/>
      <c r="L48" s="197"/>
      <c r="M48" s="186"/>
      <c r="N48" s="198"/>
      <c r="O48" s="199">
        <v>0.61</v>
      </c>
      <c r="P48" s="199">
        <f>Table1[[#This Row],[unit cost]]</f>
        <v>0.61</v>
      </c>
      <c r="Q48" s="409">
        <v>1.5</v>
      </c>
      <c r="R48" s="186">
        <v>1</v>
      </c>
      <c r="S48" s="249">
        <f t="shared" si="0"/>
        <v>0.42</v>
      </c>
      <c r="T48" s="201">
        <f>Table1[[#This Row],[man minutes]]*Table1[[#This Row],[labor rate]]</f>
        <v>0.63</v>
      </c>
      <c r="U48" s="201">
        <f t="shared" si="11"/>
        <v>1.24</v>
      </c>
      <c r="V48" s="187">
        <f t="shared" si="8"/>
        <v>0.22</v>
      </c>
      <c r="W48" s="250">
        <f t="shared" si="3"/>
        <v>0.2</v>
      </c>
      <c r="X48" s="201">
        <f t="shared" si="12"/>
        <v>0.74419999999999997</v>
      </c>
      <c r="Y48" s="201">
        <f t="shared" si="13"/>
        <v>0.75600000000000001</v>
      </c>
      <c r="Z48" s="201">
        <f t="shared" si="14"/>
        <v>1.51</v>
      </c>
      <c r="AA48" s="203">
        <f>+Table1[[#This Row],[calculated sale price]]</f>
        <v>1.51</v>
      </c>
      <c r="AB48" s="202"/>
      <c r="AC48" s="206"/>
      <c r="AD48" s="414"/>
    </row>
    <row r="49" spans="1:30" x14ac:dyDescent="0.25">
      <c r="A49" s="186">
        <v>1040</v>
      </c>
      <c r="B49" t="s">
        <v>438</v>
      </c>
      <c r="C49" s="186">
        <v>1</v>
      </c>
      <c r="I49" s="186"/>
      <c r="J49" s="186"/>
      <c r="K49" s="186"/>
      <c r="L49" s="197"/>
      <c r="M49" s="186"/>
      <c r="N49" s="198"/>
      <c r="O49" s="199">
        <v>0.48</v>
      </c>
      <c r="P49" s="199">
        <f>Table1[[#This Row],[unit cost]]</f>
        <v>0.48</v>
      </c>
      <c r="Q49" s="409">
        <v>0.5</v>
      </c>
      <c r="R49" s="186">
        <v>1</v>
      </c>
      <c r="S49" s="249">
        <f t="shared" si="0"/>
        <v>0.42</v>
      </c>
      <c r="T49" s="201">
        <f>Table1[[#This Row],[man minutes]]*Table1[[#This Row],[labor rate]]</f>
        <v>0.21</v>
      </c>
      <c r="U49" s="201">
        <f t="shared" si="11"/>
        <v>0.69</v>
      </c>
      <c r="V49" s="187">
        <f t="shared" si="8"/>
        <v>0.22</v>
      </c>
      <c r="W49" s="250">
        <f t="shared" si="3"/>
        <v>0.2</v>
      </c>
      <c r="X49" s="201">
        <f t="shared" si="12"/>
        <v>0.58560000000000001</v>
      </c>
      <c r="Y49" s="201">
        <f t="shared" si="13"/>
        <v>0.252</v>
      </c>
      <c r="Z49" s="201">
        <f t="shared" si="14"/>
        <v>0.84</v>
      </c>
      <c r="AA49" s="203">
        <f>+Table1[[#This Row],[calculated sale price]]</f>
        <v>0.84</v>
      </c>
      <c r="AB49" s="202"/>
      <c r="AC49" s="206"/>
      <c r="AD49" s="414"/>
    </row>
    <row r="50" spans="1:30" x14ac:dyDescent="0.25">
      <c r="A50" s="186">
        <v>1041</v>
      </c>
      <c r="B50" t="s">
        <v>439</v>
      </c>
      <c r="C50" s="186">
        <v>1</v>
      </c>
      <c r="I50" s="186"/>
      <c r="J50" s="186"/>
      <c r="K50" s="186"/>
      <c r="L50" s="197"/>
      <c r="M50" s="186"/>
      <c r="N50" s="198"/>
      <c r="O50" s="199">
        <v>0.55000000000000004</v>
      </c>
      <c r="P50" s="199">
        <f>Table1[[#This Row],[unit cost]]</f>
        <v>0.55000000000000004</v>
      </c>
      <c r="Q50" s="409">
        <v>2.5</v>
      </c>
      <c r="R50" s="186">
        <v>1</v>
      </c>
      <c r="S50" s="249">
        <f t="shared" si="0"/>
        <v>0.42</v>
      </c>
      <c r="T50" s="201">
        <f>Table1[[#This Row],[man minutes]]*Table1[[#This Row],[labor rate]]</f>
        <v>1.05</v>
      </c>
      <c r="U50" s="201">
        <f t="shared" si="11"/>
        <v>1.6</v>
      </c>
      <c r="V50" s="187">
        <f t="shared" si="8"/>
        <v>0.22</v>
      </c>
      <c r="W50" s="250">
        <f t="shared" si="3"/>
        <v>0.2</v>
      </c>
      <c r="X50" s="201">
        <f t="shared" si="12"/>
        <v>0.67100000000000004</v>
      </c>
      <c r="Y50" s="201">
        <f t="shared" si="13"/>
        <v>1.26</v>
      </c>
      <c r="Z50" s="201">
        <f t="shared" si="14"/>
        <v>1.94</v>
      </c>
      <c r="AA50" s="203">
        <f>+Table1[[#This Row],[calculated sale price]]</f>
        <v>1.94</v>
      </c>
      <c r="AB50" s="202"/>
      <c r="AC50" s="206"/>
      <c r="AD50" s="414"/>
    </row>
    <row r="51" spans="1:30" x14ac:dyDescent="0.25">
      <c r="A51" s="186">
        <v>1042</v>
      </c>
      <c r="B51" t="s">
        <v>440</v>
      </c>
      <c r="C51" s="186">
        <v>1</v>
      </c>
      <c r="I51" s="186"/>
      <c r="J51" s="186"/>
      <c r="K51" s="186"/>
      <c r="L51" s="197"/>
      <c r="M51" s="186"/>
      <c r="N51" s="198"/>
      <c r="O51" s="199">
        <v>0.3</v>
      </c>
      <c r="P51" s="199">
        <f>Table1[[#This Row],[unit cost]]</f>
        <v>0.3</v>
      </c>
      <c r="Q51" s="409">
        <v>0.25</v>
      </c>
      <c r="R51" s="186">
        <v>1</v>
      </c>
      <c r="S51" s="249">
        <f t="shared" si="0"/>
        <v>0.42</v>
      </c>
      <c r="T51" s="201">
        <f>Table1[[#This Row],[man minutes]]*Table1[[#This Row],[labor rate]]</f>
        <v>0.105</v>
      </c>
      <c r="U51" s="201">
        <f t="shared" si="11"/>
        <v>0.40499999999999997</v>
      </c>
      <c r="V51" s="187">
        <f t="shared" si="8"/>
        <v>0.22</v>
      </c>
      <c r="W51" s="250">
        <f t="shared" si="3"/>
        <v>0.2</v>
      </c>
      <c r="X51" s="201">
        <f t="shared" si="12"/>
        <v>0.36599999999999999</v>
      </c>
      <c r="Y51" s="201">
        <f t="shared" si="13"/>
        <v>0.126</v>
      </c>
      <c r="Z51" s="201">
        <f t="shared" si="14"/>
        <v>0.5</v>
      </c>
      <c r="AA51" s="203">
        <f>+Table1[[#This Row],[calculated sale price]]</f>
        <v>0.5</v>
      </c>
      <c r="AB51" s="202"/>
      <c r="AC51" s="206"/>
      <c r="AD51" s="414"/>
    </row>
    <row r="52" spans="1:30" x14ac:dyDescent="0.25">
      <c r="A52" s="186">
        <v>1043</v>
      </c>
      <c r="B52" t="s">
        <v>441</v>
      </c>
      <c r="C52" s="186">
        <v>1</v>
      </c>
      <c r="I52" s="186"/>
      <c r="J52" s="186"/>
      <c r="K52" s="186"/>
      <c r="L52" s="197"/>
      <c r="M52" s="186"/>
      <c r="N52" s="198"/>
      <c r="O52" s="199">
        <v>0.14000000000000001</v>
      </c>
      <c r="P52" s="199">
        <f>Table1[[#This Row],[unit cost]]</f>
        <v>0.14000000000000001</v>
      </c>
      <c r="Q52" s="409">
        <v>0.25</v>
      </c>
      <c r="R52" s="186">
        <v>1</v>
      </c>
      <c r="S52" s="249">
        <f t="shared" si="0"/>
        <v>0.42</v>
      </c>
      <c r="T52" s="201">
        <f>Table1[[#This Row],[man minutes]]*Table1[[#This Row],[labor rate]]</f>
        <v>0.105</v>
      </c>
      <c r="U52" s="201">
        <f t="shared" si="11"/>
        <v>0.245</v>
      </c>
      <c r="V52" s="187">
        <f t="shared" si="8"/>
        <v>0.22</v>
      </c>
      <c r="W52" s="250">
        <f t="shared" si="3"/>
        <v>0.2</v>
      </c>
      <c r="X52" s="201">
        <f t="shared" si="12"/>
        <v>0.17080000000000001</v>
      </c>
      <c r="Y52" s="201">
        <f t="shared" si="13"/>
        <v>0.126</v>
      </c>
      <c r="Z52" s="201">
        <f t="shared" si="14"/>
        <v>0.3</v>
      </c>
      <c r="AA52" s="203">
        <f>+Table1[[#This Row],[calculated sale price]]</f>
        <v>0.3</v>
      </c>
      <c r="AB52" s="202"/>
      <c r="AC52" s="206"/>
      <c r="AD52" s="414"/>
    </row>
    <row r="53" spans="1:30" x14ac:dyDescent="0.25">
      <c r="A53" s="186">
        <v>1044</v>
      </c>
      <c r="B53" t="s">
        <v>442</v>
      </c>
      <c r="C53" s="186">
        <v>1</v>
      </c>
      <c r="I53" s="186"/>
      <c r="J53" s="186"/>
      <c r="K53" s="186"/>
      <c r="L53" s="197"/>
      <c r="M53" s="186"/>
      <c r="N53" s="198"/>
      <c r="O53" s="199">
        <v>0.28999999999999998</v>
      </c>
      <c r="P53" s="199">
        <f>Table1[[#This Row],[unit cost]]</f>
        <v>0.28999999999999998</v>
      </c>
      <c r="Q53" s="409">
        <v>1.25</v>
      </c>
      <c r="R53" s="186">
        <v>1</v>
      </c>
      <c r="S53" s="249">
        <f t="shared" si="0"/>
        <v>0.42</v>
      </c>
      <c r="T53" s="201">
        <f>Table1[[#This Row],[man minutes]]*Table1[[#This Row],[labor rate]]</f>
        <v>0.52500000000000002</v>
      </c>
      <c r="U53" s="201">
        <f t="shared" si="11"/>
        <v>0.81499999999999995</v>
      </c>
      <c r="V53" s="187">
        <f t="shared" si="8"/>
        <v>0.22</v>
      </c>
      <c r="W53" s="250">
        <f t="shared" si="3"/>
        <v>0.2</v>
      </c>
      <c r="X53" s="201">
        <f t="shared" si="12"/>
        <v>0.35379999999999995</v>
      </c>
      <c r="Y53" s="201">
        <f t="shared" si="13"/>
        <v>0.63</v>
      </c>
      <c r="Z53" s="201">
        <f t="shared" si="14"/>
        <v>0.99</v>
      </c>
      <c r="AA53" s="203">
        <f>+Table1[[#This Row],[calculated sale price]]</f>
        <v>0.99</v>
      </c>
      <c r="AB53" s="202"/>
      <c r="AC53" s="206"/>
      <c r="AD53" s="414"/>
    </row>
    <row r="54" spans="1:30" x14ac:dyDescent="0.25">
      <c r="A54" s="186">
        <v>1045</v>
      </c>
      <c r="B54" t="s">
        <v>443</v>
      </c>
      <c r="C54" s="186">
        <v>1</v>
      </c>
      <c r="I54" s="186"/>
      <c r="J54" s="186"/>
      <c r="K54" s="186"/>
      <c r="L54" s="197"/>
      <c r="M54" s="186"/>
      <c r="N54" s="198"/>
      <c r="O54" s="199">
        <v>0.43</v>
      </c>
      <c r="P54" s="199">
        <f>Table1[[#This Row],[unit cost]]</f>
        <v>0.43</v>
      </c>
      <c r="Q54" s="409">
        <v>1.25</v>
      </c>
      <c r="R54" s="186">
        <v>1</v>
      </c>
      <c r="S54" s="249">
        <f t="shared" si="0"/>
        <v>0.42</v>
      </c>
      <c r="T54" s="201">
        <f>Table1[[#This Row],[man minutes]]*Table1[[#This Row],[labor rate]]</f>
        <v>0.52500000000000002</v>
      </c>
      <c r="U54" s="201">
        <f t="shared" si="11"/>
        <v>0.95500000000000007</v>
      </c>
      <c r="V54" s="187">
        <f t="shared" si="8"/>
        <v>0.22</v>
      </c>
      <c r="W54" s="250">
        <f t="shared" si="3"/>
        <v>0.2</v>
      </c>
      <c r="X54" s="201">
        <f t="shared" si="12"/>
        <v>0.52459999999999996</v>
      </c>
      <c r="Y54" s="201">
        <f t="shared" si="13"/>
        <v>0.63</v>
      </c>
      <c r="Z54" s="201">
        <f t="shared" si="14"/>
        <v>1.1599999999999999</v>
      </c>
      <c r="AA54" s="203">
        <f>+Table1[[#This Row],[calculated sale price]]</f>
        <v>1.1599999999999999</v>
      </c>
      <c r="AB54" s="202"/>
      <c r="AC54" s="206"/>
      <c r="AD54" s="414"/>
    </row>
    <row r="55" spans="1:30" x14ac:dyDescent="0.25">
      <c r="A55" s="186">
        <v>1046</v>
      </c>
      <c r="B55" t="s">
        <v>444</v>
      </c>
      <c r="C55" s="186">
        <v>1</v>
      </c>
      <c r="I55" s="186"/>
      <c r="J55" s="186"/>
      <c r="K55" s="186"/>
      <c r="L55" s="197"/>
      <c r="M55" s="186"/>
      <c r="N55" s="198"/>
      <c r="O55" s="199">
        <v>1.54</v>
      </c>
      <c r="P55" s="199">
        <f>Table1[[#This Row],[unit cost]]</f>
        <v>1.54</v>
      </c>
      <c r="Q55" s="409">
        <v>4.75</v>
      </c>
      <c r="R55" s="186">
        <v>1</v>
      </c>
      <c r="S55" s="249">
        <f t="shared" si="0"/>
        <v>0.42</v>
      </c>
      <c r="T55" s="201">
        <f>Table1[[#This Row],[man minutes]]*Table1[[#This Row],[labor rate]]</f>
        <v>1.9949999999999999</v>
      </c>
      <c r="U55" s="201">
        <f t="shared" si="11"/>
        <v>3.5350000000000001</v>
      </c>
      <c r="V55" s="187">
        <f t="shared" si="8"/>
        <v>0.22</v>
      </c>
      <c r="W55" s="250">
        <f t="shared" si="3"/>
        <v>0.2</v>
      </c>
      <c r="X55" s="201">
        <f t="shared" si="12"/>
        <v>1.8788</v>
      </c>
      <c r="Y55" s="201">
        <f t="shared" si="13"/>
        <v>2.3940000000000001</v>
      </c>
      <c r="Z55" s="201">
        <f t="shared" si="14"/>
        <v>4.2799999999999994</v>
      </c>
      <c r="AA55" s="203">
        <f>+Table1[[#This Row],[calculated sale price]]</f>
        <v>4.2799999999999994</v>
      </c>
      <c r="AB55" s="202"/>
      <c r="AC55" s="206"/>
      <c r="AD55" s="414"/>
    </row>
    <row r="56" spans="1:30" x14ac:dyDescent="0.25">
      <c r="A56" s="186">
        <v>1047</v>
      </c>
      <c r="B56" t="s">
        <v>445</v>
      </c>
      <c r="C56" s="186">
        <v>1</v>
      </c>
      <c r="I56" s="186"/>
      <c r="J56" s="186"/>
      <c r="K56" s="186"/>
      <c r="L56" s="197"/>
      <c r="M56" s="186"/>
      <c r="N56" s="198"/>
      <c r="O56" s="199">
        <v>1.51</v>
      </c>
      <c r="P56" s="199">
        <f>Table1[[#This Row],[unit cost]]</f>
        <v>1.51</v>
      </c>
      <c r="Q56" s="409">
        <v>4</v>
      </c>
      <c r="R56" s="186">
        <v>1</v>
      </c>
      <c r="S56" s="249">
        <f t="shared" si="0"/>
        <v>0.42</v>
      </c>
      <c r="T56" s="201">
        <f>Table1[[#This Row],[man minutes]]*Table1[[#This Row],[labor rate]]</f>
        <v>1.68</v>
      </c>
      <c r="U56" s="201">
        <f t="shared" si="11"/>
        <v>3.19</v>
      </c>
      <c r="V56" s="187">
        <f t="shared" si="8"/>
        <v>0.22</v>
      </c>
      <c r="W56" s="250">
        <f t="shared" si="3"/>
        <v>0.2</v>
      </c>
      <c r="X56" s="201">
        <f t="shared" si="12"/>
        <v>1.8422000000000001</v>
      </c>
      <c r="Y56" s="201">
        <f t="shared" si="13"/>
        <v>2.016</v>
      </c>
      <c r="Z56" s="201">
        <f t="shared" si="14"/>
        <v>3.86</v>
      </c>
      <c r="AA56" s="203">
        <f>+Table1[[#This Row],[calculated sale price]]</f>
        <v>3.86</v>
      </c>
      <c r="AB56" s="202"/>
      <c r="AC56" s="206"/>
      <c r="AD56" s="414"/>
    </row>
    <row r="57" spans="1:30" x14ac:dyDescent="0.25">
      <c r="A57" s="186">
        <v>1048</v>
      </c>
      <c r="B57" t="s">
        <v>446</v>
      </c>
      <c r="C57" s="186">
        <v>1</v>
      </c>
      <c r="I57" s="186"/>
      <c r="J57" s="186"/>
      <c r="K57" s="186"/>
      <c r="L57" s="197"/>
      <c r="M57" s="186"/>
      <c r="N57" s="198"/>
      <c r="O57" s="199">
        <v>0.05</v>
      </c>
      <c r="P57" s="199">
        <f>Table1[[#This Row],[unit cost]]</f>
        <v>0.05</v>
      </c>
      <c r="Q57" s="409">
        <v>1</v>
      </c>
      <c r="R57" s="186">
        <v>1</v>
      </c>
      <c r="S57" s="249">
        <f t="shared" si="0"/>
        <v>0.42</v>
      </c>
      <c r="T57" s="201">
        <f>Table1[[#This Row],[man minutes]]*Table1[[#This Row],[labor rate]]</f>
        <v>0.42</v>
      </c>
      <c r="U57" s="201">
        <f t="shared" si="11"/>
        <v>0.47</v>
      </c>
      <c r="V57" s="187">
        <f t="shared" si="8"/>
        <v>0.22</v>
      </c>
      <c r="W57" s="250">
        <f t="shared" si="3"/>
        <v>0.2</v>
      </c>
      <c r="X57" s="201">
        <f t="shared" si="12"/>
        <v>6.0999999999999999E-2</v>
      </c>
      <c r="Y57" s="201">
        <f t="shared" si="13"/>
        <v>0.504</v>
      </c>
      <c r="Z57" s="201">
        <f t="shared" si="14"/>
        <v>0.57000000000000006</v>
      </c>
      <c r="AA57" s="203">
        <f>+Table1[[#This Row],[calculated sale price]]</f>
        <v>0.57000000000000006</v>
      </c>
      <c r="AB57" s="202"/>
      <c r="AC57" s="206"/>
      <c r="AD57" s="414"/>
    </row>
    <row r="58" spans="1:30" x14ac:dyDescent="0.25">
      <c r="A58" s="186">
        <v>1049</v>
      </c>
      <c r="B58" t="s">
        <v>447</v>
      </c>
      <c r="C58" s="186">
        <v>1</v>
      </c>
      <c r="I58" s="186"/>
      <c r="J58" s="186"/>
      <c r="K58" s="186"/>
      <c r="L58" s="197"/>
      <c r="M58" s="186"/>
      <c r="N58" s="198"/>
      <c r="O58" s="199">
        <v>0.63</v>
      </c>
      <c r="P58" s="199">
        <f>Table1[[#This Row],[unit cost]]</f>
        <v>0.63</v>
      </c>
      <c r="Q58" s="409">
        <v>1.5</v>
      </c>
      <c r="R58" s="186">
        <v>1</v>
      </c>
      <c r="S58" s="249">
        <f t="shared" si="0"/>
        <v>0.42</v>
      </c>
      <c r="T58" s="201">
        <f>Table1[[#This Row],[man minutes]]*Table1[[#This Row],[labor rate]]</f>
        <v>0.63</v>
      </c>
      <c r="U58" s="201">
        <f t="shared" si="11"/>
        <v>1.26</v>
      </c>
      <c r="V58" s="187">
        <f t="shared" si="8"/>
        <v>0.22</v>
      </c>
      <c r="W58" s="250">
        <f t="shared" si="3"/>
        <v>0.2</v>
      </c>
      <c r="X58" s="201">
        <f t="shared" si="12"/>
        <v>0.76859999999999995</v>
      </c>
      <c r="Y58" s="201">
        <f t="shared" si="13"/>
        <v>0.75600000000000001</v>
      </c>
      <c r="Z58" s="201">
        <f t="shared" si="14"/>
        <v>1.53</v>
      </c>
      <c r="AA58" s="203">
        <f>+Table1[[#This Row],[calculated sale price]]</f>
        <v>1.53</v>
      </c>
      <c r="AB58" s="202"/>
      <c r="AC58" s="206"/>
      <c r="AD58" s="414"/>
    </row>
    <row r="59" spans="1:30" x14ac:dyDescent="0.25">
      <c r="A59" s="186">
        <v>1050</v>
      </c>
      <c r="B59" t="s">
        <v>448</v>
      </c>
      <c r="C59" s="186">
        <v>1</v>
      </c>
      <c r="I59" s="186"/>
      <c r="J59" s="186"/>
      <c r="K59" s="186"/>
      <c r="L59" s="197"/>
      <c r="M59" s="186"/>
      <c r="N59" s="198"/>
      <c r="O59" s="199">
        <v>1.3</v>
      </c>
      <c r="P59" s="199">
        <f>Table1[[#This Row],[unit cost]]</f>
        <v>1.3</v>
      </c>
      <c r="Q59" s="409">
        <v>1.25</v>
      </c>
      <c r="R59" s="186">
        <v>1</v>
      </c>
      <c r="S59" s="249">
        <f t="shared" si="0"/>
        <v>0.42</v>
      </c>
      <c r="T59" s="201">
        <f>Table1[[#This Row],[man minutes]]*Table1[[#This Row],[labor rate]]</f>
        <v>0.52500000000000002</v>
      </c>
      <c r="U59" s="201">
        <f t="shared" si="11"/>
        <v>1.8250000000000002</v>
      </c>
      <c r="V59" s="187">
        <f t="shared" si="8"/>
        <v>0.22</v>
      </c>
      <c r="W59" s="250">
        <f t="shared" si="3"/>
        <v>0.2</v>
      </c>
      <c r="X59" s="201">
        <f t="shared" si="12"/>
        <v>1.5860000000000001</v>
      </c>
      <c r="Y59" s="201">
        <f t="shared" si="13"/>
        <v>0.63</v>
      </c>
      <c r="Z59" s="201">
        <f t="shared" si="14"/>
        <v>2.2199999999999998</v>
      </c>
      <c r="AA59" s="203">
        <f>+Table1[[#This Row],[calculated sale price]]</f>
        <v>2.2199999999999998</v>
      </c>
      <c r="AB59" s="202"/>
      <c r="AC59" s="206"/>
      <c r="AD59" s="414"/>
    </row>
    <row r="60" spans="1:30" x14ac:dyDescent="0.25">
      <c r="A60" s="186">
        <v>1051</v>
      </c>
      <c r="B60" t="s">
        <v>449</v>
      </c>
      <c r="C60" s="186">
        <v>1</v>
      </c>
      <c r="I60" s="186"/>
      <c r="J60" s="186"/>
      <c r="K60" s="186"/>
      <c r="L60" s="197"/>
      <c r="M60" s="186"/>
      <c r="N60" s="198"/>
      <c r="O60" s="199">
        <v>1.94</v>
      </c>
      <c r="P60" s="199">
        <f>Table1[[#This Row],[unit cost]]</f>
        <v>1.94</v>
      </c>
      <c r="Q60" s="409">
        <v>1.25</v>
      </c>
      <c r="R60" s="186">
        <v>1</v>
      </c>
      <c r="S60" s="249">
        <f t="shared" si="0"/>
        <v>0.42</v>
      </c>
      <c r="T60" s="201">
        <f>Table1[[#This Row],[man minutes]]*Table1[[#This Row],[labor rate]]</f>
        <v>0.52500000000000002</v>
      </c>
      <c r="U60" s="201">
        <f t="shared" si="11"/>
        <v>2.4649999999999999</v>
      </c>
      <c r="V60" s="187">
        <f t="shared" si="8"/>
        <v>0.22</v>
      </c>
      <c r="W60" s="250">
        <f t="shared" si="3"/>
        <v>0.2</v>
      </c>
      <c r="X60" s="201">
        <f t="shared" si="12"/>
        <v>2.3668</v>
      </c>
      <c r="Y60" s="201">
        <f t="shared" si="13"/>
        <v>0.63</v>
      </c>
      <c r="Z60" s="201">
        <f t="shared" si="14"/>
        <v>3</v>
      </c>
      <c r="AA60" s="203">
        <f>+Table1[[#This Row],[calculated sale price]]</f>
        <v>3</v>
      </c>
      <c r="AB60" s="202"/>
      <c r="AC60" s="206"/>
      <c r="AD60" s="414"/>
    </row>
    <row r="61" spans="1:30" x14ac:dyDescent="0.25">
      <c r="A61" s="186">
        <v>1052</v>
      </c>
      <c r="B61" t="s">
        <v>450</v>
      </c>
      <c r="C61" s="186">
        <v>1</v>
      </c>
      <c r="I61" s="186"/>
      <c r="J61" s="186"/>
      <c r="K61" s="186"/>
      <c r="L61" s="197"/>
      <c r="M61" s="186"/>
      <c r="N61" s="198"/>
      <c r="O61" s="199">
        <v>0.59</v>
      </c>
      <c r="P61" s="199">
        <f>Table1[[#This Row],[unit cost]]</f>
        <v>0.59</v>
      </c>
      <c r="Q61" s="409">
        <v>1.5</v>
      </c>
      <c r="R61" s="186">
        <v>1</v>
      </c>
      <c r="S61" s="249">
        <f t="shared" ref="S61:S124" si="15">$S$2</f>
        <v>0.42</v>
      </c>
      <c r="T61" s="201">
        <f>Table1[[#This Row],[man minutes]]*Table1[[#This Row],[labor rate]]</f>
        <v>0.63</v>
      </c>
      <c r="U61" s="201">
        <f t="shared" si="11"/>
        <v>1.22</v>
      </c>
      <c r="V61" s="187">
        <f t="shared" si="8"/>
        <v>0.22</v>
      </c>
      <c r="W61" s="250">
        <f t="shared" si="3"/>
        <v>0.2</v>
      </c>
      <c r="X61" s="201">
        <f t="shared" si="12"/>
        <v>0.7198</v>
      </c>
      <c r="Y61" s="201">
        <f t="shared" si="13"/>
        <v>0.75600000000000001</v>
      </c>
      <c r="Z61" s="201">
        <f t="shared" si="14"/>
        <v>1.48</v>
      </c>
      <c r="AA61" s="203">
        <f>+Table1[[#This Row],[calculated sale price]]</f>
        <v>1.48</v>
      </c>
      <c r="AB61" s="202"/>
      <c r="AC61" s="206"/>
      <c r="AD61" s="414"/>
    </row>
    <row r="62" spans="1:30" x14ac:dyDescent="0.25">
      <c r="A62" s="186">
        <v>1053</v>
      </c>
      <c r="B62" t="s">
        <v>451</v>
      </c>
      <c r="C62" s="186">
        <v>1</v>
      </c>
      <c r="I62" s="186"/>
      <c r="J62" s="186"/>
      <c r="K62" s="186"/>
      <c r="L62" s="197"/>
      <c r="M62" s="186"/>
      <c r="N62" s="198"/>
      <c r="O62" s="199">
        <v>0.28000000000000003</v>
      </c>
      <c r="P62" s="199">
        <f>Table1[[#This Row],[unit cost]]</f>
        <v>0.28000000000000003</v>
      </c>
      <c r="Q62" s="409">
        <v>1</v>
      </c>
      <c r="R62" s="186">
        <v>1</v>
      </c>
      <c r="S62" s="249">
        <f t="shared" si="15"/>
        <v>0.42</v>
      </c>
      <c r="T62" s="201">
        <f>Table1[[#This Row],[man minutes]]*Table1[[#This Row],[labor rate]]</f>
        <v>0.42</v>
      </c>
      <c r="U62" s="201">
        <f t="shared" si="11"/>
        <v>0.7</v>
      </c>
      <c r="V62" s="187">
        <f t="shared" si="8"/>
        <v>0.22</v>
      </c>
      <c r="W62" s="250">
        <f t="shared" ref="W62:W125" si="16">$W$2</f>
        <v>0.2</v>
      </c>
      <c r="X62" s="201">
        <f t="shared" si="12"/>
        <v>0.34160000000000001</v>
      </c>
      <c r="Y62" s="201">
        <f t="shared" si="13"/>
        <v>0.504</v>
      </c>
      <c r="Z62" s="201">
        <f t="shared" si="14"/>
        <v>0.85</v>
      </c>
      <c r="AA62" s="203">
        <f>+Table1[[#This Row],[calculated sale price]]</f>
        <v>0.85</v>
      </c>
      <c r="AB62" s="202"/>
      <c r="AC62" s="206"/>
      <c r="AD62" s="414"/>
    </row>
    <row r="63" spans="1:30" x14ac:dyDescent="0.25">
      <c r="A63" s="186">
        <v>1054</v>
      </c>
      <c r="B63" t="s">
        <v>452</v>
      </c>
      <c r="C63" s="186">
        <v>1</v>
      </c>
      <c r="I63" s="186"/>
      <c r="J63" s="186"/>
      <c r="K63" s="186"/>
      <c r="L63" s="197"/>
      <c r="M63" s="186"/>
      <c r="N63" s="198"/>
      <c r="O63" s="199">
        <v>1.23</v>
      </c>
      <c r="P63" s="199">
        <f>Table1[[#This Row],[unit cost]]</f>
        <v>1.23</v>
      </c>
      <c r="Q63" s="409">
        <v>1.5</v>
      </c>
      <c r="R63" s="186">
        <v>1</v>
      </c>
      <c r="S63" s="249">
        <f t="shared" si="15"/>
        <v>0.42</v>
      </c>
      <c r="T63" s="201">
        <f>Table1[[#This Row],[man minutes]]*Table1[[#This Row],[labor rate]]</f>
        <v>0.63</v>
      </c>
      <c r="U63" s="201">
        <f t="shared" si="11"/>
        <v>1.8599999999999999</v>
      </c>
      <c r="V63" s="187">
        <f t="shared" si="8"/>
        <v>0.22</v>
      </c>
      <c r="W63" s="250">
        <f t="shared" si="16"/>
        <v>0.2</v>
      </c>
      <c r="X63" s="201">
        <f t="shared" si="12"/>
        <v>1.5005999999999999</v>
      </c>
      <c r="Y63" s="201">
        <f t="shared" si="13"/>
        <v>0.75600000000000001</v>
      </c>
      <c r="Z63" s="201">
        <f t="shared" si="14"/>
        <v>2.2599999999999998</v>
      </c>
      <c r="AA63" s="203">
        <f>+Table1[[#This Row],[calculated sale price]]</f>
        <v>2.2599999999999998</v>
      </c>
      <c r="AB63" s="202"/>
      <c r="AC63" s="206"/>
      <c r="AD63" s="414"/>
    </row>
    <row r="64" spans="1:30" x14ac:dyDescent="0.25">
      <c r="A64" s="186">
        <v>1055</v>
      </c>
      <c r="B64" t="s">
        <v>453</v>
      </c>
      <c r="C64" s="186">
        <v>1</v>
      </c>
      <c r="I64" s="186"/>
      <c r="J64" s="186"/>
      <c r="K64" s="186"/>
      <c r="L64" s="197"/>
      <c r="M64" s="186"/>
      <c r="N64" s="198"/>
      <c r="O64" s="199">
        <v>2.08</v>
      </c>
      <c r="P64" s="199">
        <f>Table1[[#This Row],[unit cost]]</f>
        <v>2.08</v>
      </c>
      <c r="Q64" s="409">
        <v>1</v>
      </c>
      <c r="R64" s="186">
        <v>1</v>
      </c>
      <c r="S64" s="249">
        <f t="shared" si="15"/>
        <v>0.42</v>
      </c>
      <c r="T64" s="201">
        <f>Table1[[#This Row],[man minutes]]*Table1[[#This Row],[labor rate]]</f>
        <v>0.42</v>
      </c>
      <c r="U64" s="201">
        <f t="shared" si="11"/>
        <v>2.5</v>
      </c>
      <c r="V64" s="187">
        <f t="shared" si="8"/>
        <v>0.22</v>
      </c>
      <c r="W64" s="250">
        <f t="shared" si="16"/>
        <v>0.2</v>
      </c>
      <c r="X64" s="201">
        <f t="shared" si="12"/>
        <v>2.5375999999999999</v>
      </c>
      <c r="Y64" s="201">
        <f t="shared" si="13"/>
        <v>0.504</v>
      </c>
      <c r="Z64" s="201">
        <f t="shared" si="14"/>
        <v>3.05</v>
      </c>
      <c r="AA64" s="203">
        <f>+Table1[[#This Row],[calculated sale price]]</f>
        <v>3.05</v>
      </c>
      <c r="AB64" s="202"/>
      <c r="AC64" s="206"/>
      <c r="AD64" s="414"/>
    </row>
    <row r="65" spans="1:30" x14ac:dyDescent="0.25">
      <c r="A65" s="186">
        <v>1056</v>
      </c>
      <c r="B65" t="s">
        <v>454</v>
      </c>
      <c r="C65" s="186">
        <v>1</v>
      </c>
      <c r="I65" s="186"/>
      <c r="J65" s="186"/>
      <c r="K65" s="186"/>
      <c r="L65" s="197"/>
      <c r="M65" s="186"/>
      <c r="N65" s="198"/>
      <c r="O65" s="199">
        <v>1.32</v>
      </c>
      <c r="P65" s="199">
        <f>Table1[[#This Row],[unit cost]]</f>
        <v>1.32</v>
      </c>
      <c r="Q65" s="409">
        <v>1</v>
      </c>
      <c r="R65" s="186">
        <v>1</v>
      </c>
      <c r="S65" s="249">
        <f t="shared" si="15"/>
        <v>0.42</v>
      </c>
      <c r="T65" s="201">
        <f>Table1[[#This Row],[man minutes]]*Table1[[#This Row],[labor rate]]</f>
        <v>0.42</v>
      </c>
      <c r="U65" s="201">
        <f t="shared" si="11"/>
        <v>1.74</v>
      </c>
      <c r="V65" s="187">
        <f t="shared" si="8"/>
        <v>0.22</v>
      </c>
      <c r="W65" s="250">
        <f t="shared" si="16"/>
        <v>0.2</v>
      </c>
      <c r="X65" s="201">
        <f t="shared" si="12"/>
        <v>1.6104000000000001</v>
      </c>
      <c r="Y65" s="201">
        <f t="shared" si="13"/>
        <v>0.504</v>
      </c>
      <c r="Z65" s="201">
        <f t="shared" si="14"/>
        <v>2.1199999999999997</v>
      </c>
      <c r="AA65" s="203">
        <f>+Table1[[#This Row],[calculated sale price]]</f>
        <v>2.1199999999999997</v>
      </c>
      <c r="AB65" s="202"/>
      <c r="AC65" s="206"/>
      <c r="AD65" s="414"/>
    </row>
    <row r="66" spans="1:30" x14ac:dyDescent="0.25">
      <c r="A66" s="186">
        <v>1057</v>
      </c>
      <c r="B66" t="s">
        <v>455</v>
      </c>
      <c r="C66" s="186">
        <v>1</v>
      </c>
      <c r="I66" s="186"/>
      <c r="J66" s="186"/>
      <c r="K66" s="186"/>
      <c r="L66" s="197"/>
      <c r="M66" s="186"/>
      <c r="N66" s="198"/>
      <c r="O66" s="199">
        <v>2.16</v>
      </c>
      <c r="P66" s="199">
        <f>Table1[[#This Row],[unit cost]]</f>
        <v>2.16</v>
      </c>
      <c r="Q66" s="409">
        <v>3.5</v>
      </c>
      <c r="R66" s="186">
        <v>1</v>
      </c>
      <c r="S66" s="249">
        <f t="shared" si="15"/>
        <v>0.42</v>
      </c>
      <c r="T66" s="201">
        <f>Table1[[#This Row],[man minutes]]*Table1[[#This Row],[labor rate]]</f>
        <v>1.47</v>
      </c>
      <c r="U66" s="201">
        <f t="shared" si="11"/>
        <v>3.63</v>
      </c>
      <c r="V66" s="187">
        <f t="shared" si="8"/>
        <v>0.22</v>
      </c>
      <c r="W66" s="250">
        <f t="shared" si="16"/>
        <v>0.2</v>
      </c>
      <c r="X66" s="201">
        <f t="shared" si="12"/>
        <v>2.6352000000000002</v>
      </c>
      <c r="Y66" s="201">
        <f t="shared" si="13"/>
        <v>1.764</v>
      </c>
      <c r="Z66" s="201">
        <f t="shared" si="14"/>
        <v>4.3999999999999995</v>
      </c>
      <c r="AA66" s="203">
        <f>+Table1[[#This Row],[calculated sale price]]</f>
        <v>4.3999999999999995</v>
      </c>
      <c r="AB66" s="202"/>
      <c r="AC66" s="206"/>
      <c r="AD66" s="414"/>
    </row>
    <row r="67" spans="1:30" x14ac:dyDescent="0.25">
      <c r="A67" s="186">
        <v>1058</v>
      </c>
      <c r="B67" t="s">
        <v>456</v>
      </c>
      <c r="C67" s="186">
        <v>1</v>
      </c>
      <c r="I67" s="186"/>
      <c r="J67" s="186"/>
      <c r="K67" s="186"/>
      <c r="L67" s="197"/>
      <c r="M67" s="186"/>
      <c r="N67" s="198"/>
      <c r="O67" s="199">
        <v>4.28</v>
      </c>
      <c r="P67" s="199">
        <f>Table1[[#This Row],[unit cost]]</f>
        <v>4.28</v>
      </c>
      <c r="Q67" s="409">
        <v>4.25</v>
      </c>
      <c r="R67" s="186">
        <v>1</v>
      </c>
      <c r="S67" s="249">
        <f t="shared" si="15"/>
        <v>0.42</v>
      </c>
      <c r="T67" s="201">
        <f>Table1[[#This Row],[man minutes]]*Table1[[#This Row],[labor rate]]</f>
        <v>1.7849999999999999</v>
      </c>
      <c r="U67" s="201">
        <f t="shared" si="11"/>
        <v>6.0650000000000004</v>
      </c>
      <c r="V67" s="187">
        <f t="shared" si="8"/>
        <v>0.22</v>
      </c>
      <c r="W67" s="250">
        <f t="shared" si="16"/>
        <v>0.2</v>
      </c>
      <c r="X67" s="201">
        <f t="shared" si="12"/>
        <v>5.2216000000000005</v>
      </c>
      <c r="Y67" s="201">
        <f t="shared" si="13"/>
        <v>2.1419999999999999</v>
      </c>
      <c r="Z67" s="201">
        <f t="shared" si="14"/>
        <v>7.37</v>
      </c>
      <c r="AA67" s="203">
        <f>+Table1[[#This Row],[calculated sale price]]</f>
        <v>7.37</v>
      </c>
      <c r="AB67" s="202"/>
      <c r="AC67" s="206"/>
      <c r="AD67" s="414"/>
    </row>
    <row r="68" spans="1:30" x14ac:dyDescent="0.25">
      <c r="A68" s="186">
        <v>1059</v>
      </c>
      <c r="B68" t="s">
        <v>457</v>
      </c>
      <c r="C68" s="186">
        <v>1</v>
      </c>
      <c r="I68" s="186"/>
      <c r="J68" s="186"/>
      <c r="K68" s="186"/>
      <c r="L68" s="197"/>
      <c r="M68" s="186"/>
      <c r="N68" s="198"/>
      <c r="O68" s="199">
        <v>3.41</v>
      </c>
      <c r="P68" s="199">
        <f>Table1[[#This Row],[unit cost]]</f>
        <v>3.41</v>
      </c>
      <c r="Q68" s="409">
        <v>4.25</v>
      </c>
      <c r="R68" s="186">
        <v>1</v>
      </c>
      <c r="S68" s="249">
        <f t="shared" si="15"/>
        <v>0.42</v>
      </c>
      <c r="T68" s="201">
        <f>Table1[[#This Row],[man minutes]]*Table1[[#This Row],[labor rate]]</f>
        <v>1.7849999999999999</v>
      </c>
      <c r="U68" s="201">
        <f t="shared" si="11"/>
        <v>5.1950000000000003</v>
      </c>
      <c r="V68" s="187">
        <f t="shared" si="8"/>
        <v>0.22</v>
      </c>
      <c r="W68" s="250">
        <f t="shared" si="16"/>
        <v>0.2</v>
      </c>
      <c r="X68" s="201">
        <f t="shared" si="12"/>
        <v>4.1601999999999997</v>
      </c>
      <c r="Y68" s="201">
        <f t="shared" si="13"/>
        <v>2.1419999999999999</v>
      </c>
      <c r="Z68" s="201">
        <f t="shared" si="14"/>
        <v>6.31</v>
      </c>
      <c r="AA68" s="203">
        <f>+Table1[[#This Row],[calculated sale price]]</f>
        <v>6.31</v>
      </c>
      <c r="AB68" s="202"/>
      <c r="AC68" s="206"/>
      <c r="AD68" s="414"/>
    </row>
    <row r="69" spans="1:30" x14ac:dyDescent="0.25">
      <c r="A69" s="186">
        <v>1060</v>
      </c>
      <c r="B69" t="s">
        <v>458</v>
      </c>
      <c r="C69" s="186">
        <v>1</v>
      </c>
      <c r="I69" s="186"/>
      <c r="J69" s="186"/>
      <c r="K69" s="186"/>
      <c r="L69" s="197"/>
      <c r="M69" s="186"/>
      <c r="N69" s="198"/>
      <c r="O69" s="199">
        <v>1.51</v>
      </c>
      <c r="P69" s="199">
        <f>Table1[[#This Row],[unit cost]]</f>
        <v>1.51</v>
      </c>
      <c r="Q69" s="409">
        <v>4</v>
      </c>
      <c r="R69" s="186">
        <v>1</v>
      </c>
      <c r="S69" s="249">
        <f t="shared" si="15"/>
        <v>0.42</v>
      </c>
      <c r="T69" s="201">
        <f>Table1[[#This Row],[man minutes]]*Table1[[#This Row],[labor rate]]</f>
        <v>1.68</v>
      </c>
      <c r="U69" s="201">
        <f t="shared" si="11"/>
        <v>3.19</v>
      </c>
      <c r="V69" s="187">
        <f t="shared" si="8"/>
        <v>0.22</v>
      </c>
      <c r="W69" s="250">
        <f t="shared" si="16"/>
        <v>0.2</v>
      </c>
      <c r="X69" s="201">
        <f t="shared" si="12"/>
        <v>1.8422000000000001</v>
      </c>
      <c r="Y69" s="201">
        <f t="shared" si="13"/>
        <v>2.016</v>
      </c>
      <c r="Z69" s="201">
        <f t="shared" si="14"/>
        <v>3.86</v>
      </c>
      <c r="AA69" s="203">
        <f>+Table1[[#This Row],[calculated sale price]]</f>
        <v>3.86</v>
      </c>
      <c r="AB69" s="202"/>
      <c r="AC69" s="206"/>
      <c r="AD69" s="414"/>
    </row>
    <row r="70" spans="1:30" x14ac:dyDescent="0.25">
      <c r="A70" s="186">
        <v>1061</v>
      </c>
      <c r="B70" t="s">
        <v>459</v>
      </c>
      <c r="C70" s="186">
        <v>1</v>
      </c>
      <c r="I70" s="186"/>
      <c r="J70" s="186"/>
      <c r="K70" s="186"/>
      <c r="L70" s="197"/>
      <c r="M70" s="186"/>
      <c r="N70" s="198"/>
      <c r="O70" s="199">
        <v>0</v>
      </c>
      <c r="P70" s="199">
        <f>Table1[[#This Row],[unit cost]]</f>
        <v>0</v>
      </c>
      <c r="Q70" s="409"/>
      <c r="R70" s="186">
        <v>1</v>
      </c>
      <c r="S70" s="249">
        <f t="shared" si="15"/>
        <v>0.42</v>
      </c>
      <c r="T70" s="201">
        <f>Table1[[#This Row],[man minutes]]*Table1[[#This Row],[labor rate]]</f>
        <v>0</v>
      </c>
      <c r="U70" s="201">
        <f t="shared" si="11"/>
        <v>0</v>
      </c>
      <c r="V70" s="187">
        <f t="shared" si="8"/>
        <v>0.22</v>
      </c>
      <c r="W70" s="250">
        <f t="shared" si="16"/>
        <v>0.2</v>
      </c>
      <c r="X70" s="201">
        <f t="shared" si="12"/>
        <v>0</v>
      </c>
      <c r="Y70" s="201">
        <f t="shared" si="13"/>
        <v>0</v>
      </c>
      <c r="Z70" s="201">
        <f t="shared" si="14"/>
        <v>0</v>
      </c>
      <c r="AA70" s="203">
        <f>+Table1[[#This Row],[calculated sale price]]</f>
        <v>0</v>
      </c>
      <c r="AB70" s="202"/>
      <c r="AC70" s="206"/>
      <c r="AD70" s="414"/>
    </row>
    <row r="71" spans="1:30" x14ac:dyDescent="0.25">
      <c r="A71" s="186">
        <v>1062</v>
      </c>
      <c r="B71" t="s">
        <v>460</v>
      </c>
      <c r="C71" s="186">
        <v>1</v>
      </c>
      <c r="I71" s="186"/>
      <c r="J71" s="186"/>
      <c r="K71" s="186"/>
      <c r="L71" s="197"/>
      <c r="M71" s="186"/>
      <c r="N71" s="198"/>
      <c r="O71" s="199">
        <v>1.63</v>
      </c>
      <c r="P71" s="199">
        <f>Table1[[#This Row],[unit cost]]</f>
        <v>1.63</v>
      </c>
      <c r="Q71" s="409">
        <v>1.5</v>
      </c>
      <c r="R71" s="186">
        <v>1</v>
      </c>
      <c r="S71" s="249">
        <f t="shared" si="15"/>
        <v>0.42</v>
      </c>
      <c r="T71" s="201">
        <f>Table1[[#This Row],[man minutes]]*Table1[[#This Row],[labor rate]]</f>
        <v>0.63</v>
      </c>
      <c r="U71" s="201">
        <f t="shared" si="11"/>
        <v>2.2599999999999998</v>
      </c>
      <c r="V71" s="187">
        <f t="shared" si="8"/>
        <v>0.22</v>
      </c>
      <c r="W71" s="250">
        <f t="shared" si="16"/>
        <v>0.2</v>
      </c>
      <c r="X71" s="201">
        <f t="shared" si="12"/>
        <v>1.9885999999999999</v>
      </c>
      <c r="Y71" s="201">
        <f t="shared" si="13"/>
        <v>0.75600000000000001</v>
      </c>
      <c r="Z71" s="201">
        <f t="shared" si="14"/>
        <v>2.75</v>
      </c>
      <c r="AA71" s="203">
        <f>+Table1[[#This Row],[calculated sale price]]</f>
        <v>2.75</v>
      </c>
      <c r="AB71" s="202"/>
      <c r="AC71" s="206"/>
      <c r="AD71" s="414"/>
    </row>
    <row r="72" spans="1:30" x14ac:dyDescent="0.25">
      <c r="A72" s="186">
        <v>1063</v>
      </c>
      <c r="B72" s="330" t="s">
        <v>461</v>
      </c>
      <c r="C72" s="186">
        <v>1</v>
      </c>
      <c r="I72" s="186"/>
      <c r="J72" s="186"/>
      <c r="K72" s="186"/>
      <c r="L72" s="197"/>
      <c r="M72" s="186"/>
      <c r="N72" s="198"/>
      <c r="O72" s="199">
        <v>1.63</v>
      </c>
      <c r="P72" s="199">
        <f>Table1[[#This Row],[unit cost]]</f>
        <v>1.63</v>
      </c>
      <c r="Q72" s="409">
        <v>1.5</v>
      </c>
      <c r="R72" s="186">
        <v>1</v>
      </c>
      <c r="S72" s="249">
        <f t="shared" si="15"/>
        <v>0.42</v>
      </c>
      <c r="T72" s="201">
        <f>Table1[[#This Row],[man minutes]]*Table1[[#This Row],[labor rate]]</f>
        <v>0.63</v>
      </c>
      <c r="U72" s="201">
        <f t="shared" si="11"/>
        <v>2.2599999999999998</v>
      </c>
      <c r="V72" s="187">
        <f t="shared" si="8"/>
        <v>0.22</v>
      </c>
      <c r="W72" s="250">
        <f t="shared" si="16"/>
        <v>0.2</v>
      </c>
      <c r="X72" s="201">
        <f t="shared" si="12"/>
        <v>1.9885999999999999</v>
      </c>
      <c r="Y72" s="201">
        <f t="shared" si="13"/>
        <v>0.75600000000000001</v>
      </c>
      <c r="Z72" s="201">
        <f t="shared" si="14"/>
        <v>2.75</v>
      </c>
      <c r="AA72" s="203">
        <f>+Table1[[#This Row],[calculated sale price]]</f>
        <v>2.75</v>
      </c>
      <c r="AB72" s="202"/>
      <c r="AC72" s="206"/>
      <c r="AD72" s="414"/>
    </row>
    <row r="73" spans="1:30" x14ac:dyDescent="0.25">
      <c r="A73" s="186">
        <v>1064</v>
      </c>
      <c r="B73" s="330" t="s">
        <v>462</v>
      </c>
      <c r="C73" s="186">
        <v>1</v>
      </c>
      <c r="I73" s="186"/>
      <c r="J73" s="186"/>
      <c r="K73" s="186"/>
      <c r="L73" s="197"/>
      <c r="M73" s="186"/>
      <c r="N73" s="198"/>
      <c r="O73" s="199">
        <v>2.2999999999999998</v>
      </c>
      <c r="P73" s="199">
        <f>Table1[[#This Row],[unit cost]]</f>
        <v>2.2999999999999998</v>
      </c>
      <c r="Q73" s="409">
        <v>1.5</v>
      </c>
      <c r="R73" s="186">
        <v>1</v>
      </c>
      <c r="S73" s="249">
        <f t="shared" si="15"/>
        <v>0.42</v>
      </c>
      <c r="T73" s="201">
        <f>Table1[[#This Row],[man minutes]]*Table1[[#This Row],[labor rate]]</f>
        <v>0.63</v>
      </c>
      <c r="U73" s="201">
        <f t="shared" si="11"/>
        <v>2.9299999999999997</v>
      </c>
      <c r="V73" s="187">
        <f t="shared" si="8"/>
        <v>0.22</v>
      </c>
      <c r="W73" s="250">
        <f t="shared" si="16"/>
        <v>0.2</v>
      </c>
      <c r="X73" s="201">
        <f t="shared" si="12"/>
        <v>2.8059999999999996</v>
      </c>
      <c r="Y73" s="201">
        <f t="shared" si="13"/>
        <v>0.75600000000000001</v>
      </c>
      <c r="Z73" s="201">
        <f t="shared" si="14"/>
        <v>3.57</v>
      </c>
      <c r="AA73" s="203">
        <f>+Table1[[#This Row],[calculated sale price]]</f>
        <v>3.57</v>
      </c>
      <c r="AB73" s="202"/>
      <c r="AC73" s="206"/>
      <c r="AD73" s="414"/>
    </row>
    <row r="74" spans="1:30" x14ac:dyDescent="0.25">
      <c r="A74" s="186">
        <v>1065</v>
      </c>
      <c r="B74" s="330" t="s">
        <v>463</v>
      </c>
      <c r="C74" s="186">
        <v>1</v>
      </c>
      <c r="I74" s="186"/>
      <c r="J74" s="186"/>
      <c r="K74" s="186"/>
      <c r="L74" s="197"/>
      <c r="M74" s="186"/>
      <c r="N74" s="198"/>
      <c r="O74" s="199">
        <v>2.0499999999999998</v>
      </c>
      <c r="P74" s="199">
        <f>Table1[[#This Row],[unit cost]]</f>
        <v>2.0499999999999998</v>
      </c>
      <c r="Q74" s="409">
        <v>1.5</v>
      </c>
      <c r="R74" s="186">
        <v>1</v>
      </c>
      <c r="S74" s="249">
        <f t="shared" si="15"/>
        <v>0.42</v>
      </c>
      <c r="T74" s="201">
        <f>Table1[[#This Row],[man minutes]]*Table1[[#This Row],[labor rate]]</f>
        <v>0.63</v>
      </c>
      <c r="U74" s="201">
        <f t="shared" si="11"/>
        <v>2.6799999999999997</v>
      </c>
      <c r="V74" s="187">
        <f t="shared" si="8"/>
        <v>0.22</v>
      </c>
      <c r="W74" s="250">
        <f t="shared" si="16"/>
        <v>0.2</v>
      </c>
      <c r="X74" s="201">
        <f t="shared" si="12"/>
        <v>2.5009999999999999</v>
      </c>
      <c r="Y74" s="201">
        <f t="shared" si="13"/>
        <v>0.75600000000000001</v>
      </c>
      <c r="Z74" s="201">
        <f t="shared" si="14"/>
        <v>3.26</v>
      </c>
      <c r="AA74" s="203">
        <f>+Table1[[#This Row],[calculated sale price]]</f>
        <v>3.26</v>
      </c>
      <c r="AB74" s="202"/>
      <c r="AC74" s="206"/>
      <c r="AD74" s="414"/>
    </row>
    <row r="75" spans="1:30" x14ac:dyDescent="0.25">
      <c r="A75" s="186">
        <v>1066</v>
      </c>
      <c r="B75" t="s">
        <v>464</v>
      </c>
      <c r="C75" s="186">
        <v>1</v>
      </c>
      <c r="I75" s="186"/>
      <c r="J75" s="186"/>
      <c r="K75" s="186"/>
      <c r="L75" s="197"/>
      <c r="M75" s="186"/>
      <c r="N75" s="198"/>
      <c r="O75" s="199">
        <v>1.68</v>
      </c>
      <c r="P75" s="199">
        <f>Table1[[#This Row],[unit cost]]</f>
        <v>1.68</v>
      </c>
      <c r="Q75" s="409">
        <v>1.5</v>
      </c>
      <c r="R75" s="186">
        <v>1</v>
      </c>
      <c r="S75" s="249">
        <f t="shared" si="15"/>
        <v>0.42</v>
      </c>
      <c r="T75" s="201">
        <f>Table1[[#This Row],[man minutes]]*Table1[[#This Row],[labor rate]]</f>
        <v>0.63</v>
      </c>
      <c r="U75" s="201">
        <f t="shared" si="11"/>
        <v>2.31</v>
      </c>
      <c r="V75" s="187">
        <f t="shared" si="8"/>
        <v>0.22</v>
      </c>
      <c r="W75" s="250">
        <f t="shared" si="16"/>
        <v>0.2</v>
      </c>
      <c r="X75" s="201">
        <f t="shared" si="12"/>
        <v>2.0495999999999999</v>
      </c>
      <c r="Y75" s="201">
        <f t="shared" si="13"/>
        <v>0.75600000000000001</v>
      </c>
      <c r="Z75" s="201">
        <f t="shared" si="14"/>
        <v>2.8099999999999996</v>
      </c>
      <c r="AA75" s="203">
        <f>+Table1[[#This Row],[calculated sale price]]</f>
        <v>2.8099999999999996</v>
      </c>
      <c r="AB75" s="202"/>
      <c r="AC75" s="206"/>
      <c r="AD75" s="414"/>
    </row>
    <row r="76" spans="1:30" x14ac:dyDescent="0.25">
      <c r="A76" s="186">
        <v>1067</v>
      </c>
      <c r="B76" t="s">
        <v>465</v>
      </c>
      <c r="C76" s="186">
        <v>1</v>
      </c>
      <c r="I76" s="186"/>
      <c r="J76" s="186"/>
      <c r="K76" s="186"/>
      <c r="L76" s="197"/>
      <c r="M76" s="186"/>
      <c r="N76" s="198"/>
      <c r="O76" s="199">
        <v>1.8</v>
      </c>
      <c r="P76" s="199">
        <f>Table1[[#This Row],[unit cost]]</f>
        <v>1.8</v>
      </c>
      <c r="Q76" s="409">
        <v>2</v>
      </c>
      <c r="R76" s="186">
        <v>1</v>
      </c>
      <c r="S76" s="249">
        <f t="shared" si="15"/>
        <v>0.42</v>
      </c>
      <c r="T76" s="201">
        <f>Table1[[#This Row],[man minutes]]*Table1[[#This Row],[labor rate]]</f>
        <v>0.84</v>
      </c>
      <c r="U76" s="201">
        <f t="shared" si="11"/>
        <v>2.64</v>
      </c>
      <c r="V76" s="187">
        <f t="shared" si="8"/>
        <v>0.22</v>
      </c>
      <c r="W76" s="250">
        <f t="shared" si="16"/>
        <v>0.2</v>
      </c>
      <c r="X76" s="201">
        <f t="shared" si="12"/>
        <v>2.1960000000000002</v>
      </c>
      <c r="Y76" s="201">
        <f t="shared" si="13"/>
        <v>1.008</v>
      </c>
      <c r="Z76" s="201">
        <f t="shared" si="14"/>
        <v>3.21</v>
      </c>
      <c r="AA76" s="203">
        <f>+Table1[[#This Row],[calculated sale price]]</f>
        <v>3.21</v>
      </c>
      <c r="AB76" s="202"/>
      <c r="AC76" s="206"/>
      <c r="AD76" s="414"/>
    </row>
    <row r="77" spans="1:30" x14ac:dyDescent="0.25">
      <c r="A77" s="186">
        <v>1068</v>
      </c>
      <c r="B77" t="s">
        <v>466</v>
      </c>
      <c r="C77" s="186">
        <v>1</v>
      </c>
      <c r="I77" s="186"/>
      <c r="J77" s="186"/>
      <c r="K77" s="186"/>
      <c r="L77" s="197"/>
      <c r="M77" s="186"/>
      <c r="N77" s="198"/>
      <c r="O77" s="199">
        <v>0.94</v>
      </c>
      <c r="P77" s="199">
        <f>Table1[[#This Row],[unit cost]]</f>
        <v>0.94</v>
      </c>
      <c r="Q77" s="409">
        <v>1.5</v>
      </c>
      <c r="R77" s="186">
        <v>1</v>
      </c>
      <c r="S77" s="249">
        <f t="shared" si="15"/>
        <v>0.42</v>
      </c>
      <c r="T77" s="201">
        <f>Table1[[#This Row],[man minutes]]*Table1[[#This Row],[labor rate]]</f>
        <v>0.63</v>
      </c>
      <c r="U77" s="201">
        <f t="shared" si="11"/>
        <v>1.5699999999999998</v>
      </c>
      <c r="V77" s="187">
        <f t="shared" si="8"/>
        <v>0.22</v>
      </c>
      <c r="W77" s="250">
        <f t="shared" si="16"/>
        <v>0.2</v>
      </c>
      <c r="X77" s="201">
        <f t="shared" si="12"/>
        <v>1.1467999999999998</v>
      </c>
      <c r="Y77" s="201">
        <f t="shared" si="13"/>
        <v>0.75600000000000001</v>
      </c>
      <c r="Z77" s="201">
        <f t="shared" si="14"/>
        <v>1.91</v>
      </c>
      <c r="AA77" s="203">
        <f>+Table1[[#This Row],[calculated sale price]]</f>
        <v>1.91</v>
      </c>
      <c r="AB77" s="202"/>
      <c r="AC77" s="206"/>
      <c r="AD77" s="414"/>
    </row>
    <row r="78" spans="1:30" x14ac:dyDescent="0.25">
      <c r="A78" s="186">
        <v>1069</v>
      </c>
      <c r="B78" t="s">
        <v>467</v>
      </c>
      <c r="C78" s="186">
        <v>1</v>
      </c>
      <c r="I78" s="186"/>
      <c r="J78" s="186"/>
      <c r="K78" s="186"/>
      <c r="L78" s="197"/>
      <c r="M78" s="186"/>
      <c r="N78" s="198"/>
      <c r="O78" s="199">
        <v>1.77</v>
      </c>
      <c r="P78" s="199">
        <f>Table1[[#This Row],[unit cost]]</f>
        <v>1.77</v>
      </c>
      <c r="Q78" s="409">
        <v>2</v>
      </c>
      <c r="R78" s="186">
        <v>1</v>
      </c>
      <c r="S78" s="249">
        <f t="shared" si="15"/>
        <v>0.42</v>
      </c>
      <c r="T78" s="201">
        <f>Table1[[#This Row],[man minutes]]*Table1[[#This Row],[labor rate]]</f>
        <v>0.84</v>
      </c>
      <c r="U78" s="201">
        <f t="shared" si="11"/>
        <v>2.61</v>
      </c>
      <c r="V78" s="187">
        <f t="shared" si="8"/>
        <v>0.22</v>
      </c>
      <c r="W78" s="250">
        <f t="shared" si="16"/>
        <v>0.2</v>
      </c>
      <c r="X78" s="201">
        <f t="shared" si="12"/>
        <v>2.1593999999999998</v>
      </c>
      <c r="Y78" s="201">
        <f t="shared" si="13"/>
        <v>1.008</v>
      </c>
      <c r="Z78" s="201">
        <f t="shared" si="14"/>
        <v>3.17</v>
      </c>
      <c r="AA78" s="203">
        <f>+Table1[[#This Row],[calculated sale price]]</f>
        <v>3.17</v>
      </c>
      <c r="AB78" s="202"/>
      <c r="AC78" s="206"/>
      <c r="AD78" s="414"/>
    </row>
    <row r="79" spans="1:30" x14ac:dyDescent="0.25">
      <c r="A79" s="186">
        <v>1070</v>
      </c>
      <c r="B79" t="s">
        <v>468</v>
      </c>
      <c r="C79" s="186">
        <v>1</v>
      </c>
      <c r="I79" s="186"/>
      <c r="J79" s="186"/>
      <c r="K79" s="186"/>
      <c r="L79" s="197"/>
      <c r="M79" s="186"/>
      <c r="N79" s="198"/>
      <c r="O79" s="199">
        <v>1.1399999999999999</v>
      </c>
      <c r="P79" s="199">
        <f>Table1[[#This Row],[unit cost]]</f>
        <v>1.1399999999999999</v>
      </c>
      <c r="Q79" s="409">
        <v>2</v>
      </c>
      <c r="R79" s="186">
        <v>1</v>
      </c>
      <c r="S79" s="249">
        <f t="shared" si="15"/>
        <v>0.42</v>
      </c>
      <c r="T79" s="201">
        <f>Table1[[#This Row],[man minutes]]*Table1[[#This Row],[labor rate]]</f>
        <v>0.84</v>
      </c>
      <c r="U79" s="201">
        <f t="shared" si="11"/>
        <v>1.98</v>
      </c>
      <c r="V79" s="187">
        <f t="shared" si="8"/>
        <v>0.22</v>
      </c>
      <c r="W79" s="250">
        <f t="shared" si="16"/>
        <v>0.2</v>
      </c>
      <c r="X79" s="201">
        <f t="shared" si="12"/>
        <v>1.3907999999999998</v>
      </c>
      <c r="Y79" s="201">
        <f t="shared" si="13"/>
        <v>1.008</v>
      </c>
      <c r="Z79" s="201">
        <f t="shared" si="14"/>
        <v>2.4</v>
      </c>
      <c r="AA79" s="203">
        <f>+Table1[[#This Row],[calculated sale price]]</f>
        <v>2.4</v>
      </c>
      <c r="AB79" s="202"/>
      <c r="AC79" s="206"/>
      <c r="AD79" s="414"/>
    </row>
    <row r="80" spans="1:30" x14ac:dyDescent="0.25">
      <c r="A80" s="186">
        <v>1071</v>
      </c>
      <c r="B80" t="s">
        <v>469</v>
      </c>
      <c r="C80" s="186">
        <v>1</v>
      </c>
      <c r="I80" s="186"/>
      <c r="J80" s="186"/>
      <c r="K80" s="186"/>
      <c r="L80" s="197"/>
      <c r="M80" s="186"/>
      <c r="N80" s="198"/>
      <c r="O80" s="199">
        <v>1.23</v>
      </c>
      <c r="P80" s="199">
        <f>Table1[[#This Row],[unit cost]]</f>
        <v>1.23</v>
      </c>
      <c r="Q80" s="409">
        <v>1.5</v>
      </c>
      <c r="R80" s="186">
        <v>1</v>
      </c>
      <c r="S80" s="249">
        <f t="shared" si="15"/>
        <v>0.42</v>
      </c>
      <c r="T80" s="201">
        <f>Table1[[#This Row],[man minutes]]*Table1[[#This Row],[labor rate]]</f>
        <v>0.63</v>
      </c>
      <c r="U80" s="201">
        <f t="shared" si="11"/>
        <v>1.8599999999999999</v>
      </c>
      <c r="V80" s="187">
        <f t="shared" ref="V80:V143" si="17">$V$2</f>
        <v>0.22</v>
      </c>
      <c r="W80" s="250">
        <f t="shared" si="16"/>
        <v>0.2</v>
      </c>
      <c r="X80" s="201">
        <f t="shared" si="12"/>
        <v>1.5005999999999999</v>
      </c>
      <c r="Y80" s="201">
        <f t="shared" si="13"/>
        <v>0.75600000000000001</v>
      </c>
      <c r="Z80" s="201">
        <f t="shared" si="14"/>
        <v>2.2599999999999998</v>
      </c>
      <c r="AA80" s="203">
        <f>+Table1[[#This Row],[calculated sale price]]</f>
        <v>2.2599999999999998</v>
      </c>
      <c r="AB80" s="202"/>
      <c r="AC80" s="206"/>
      <c r="AD80" s="414"/>
    </row>
    <row r="81" spans="1:30" x14ac:dyDescent="0.25">
      <c r="A81" s="186">
        <v>1072</v>
      </c>
      <c r="B81" t="s">
        <v>470</v>
      </c>
      <c r="C81" s="186">
        <v>1</v>
      </c>
      <c r="I81" s="186"/>
      <c r="J81" s="186"/>
      <c r="K81" s="186"/>
      <c r="L81" s="197"/>
      <c r="M81" s="186"/>
      <c r="N81" s="198"/>
      <c r="O81" s="199">
        <v>2.08</v>
      </c>
      <c r="P81" s="199">
        <f>Table1[[#This Row],[unit cost]]</f>
        <v>2.08</v>
      </c>
      <c r="Q81" s="409">
        <v>1</v>
      </c>
      <c r="R81" s="186">
        <v>1</v>
      </c>
      <c r="S81" s="249">
        <f t="shared" si="15"/>
        <v>0.42</v>
      </c>
      <c r="T81" s="201">
        <f>Table1[[#This Row],[man minutes]]*Table1[[#This Row],[labor rate]]</f>
        <v>0.42</v>
      </c>
      <c r="U81" s="201">
        <f t="shared" si="11"/>
        <v>2.5</v>
      </c>
      <c r="V81" s="187">
        <f t="shared" si="17"/>
        <v>0.22</v>
      </c>
      <c r="W81" s="250">
        <f t="shared" si="16"/>
        <v>0.2</v>
      </c>
      <c r="X81" s="201">
        <f t="shared" si="12"/>
        <v>2.5375999999999999</v>
      </c>
      <c r="Y81" s="201">
        <f t="shared" si="13"/>
        <v>0.504</v>
      </c>
      <c r="Z81" s="201">
        <f t="shared" si="14"/>
        <v>3.05</v>
      </c>
      <c r="AA81" s="203">
        <f>+Table1[[#This Row],[calculated sale price]]</f>
        <v>3.05</v>
      </c>
      <c r="AB81" s="202"/>
      <c r="AC81" s="206"/>
      <c r="AD81" s="414"/>
    </row>
    <row r="82" spans="1:30" x14ac:dyDescent="0.25">
      <c r="A82" s="186">
        <v>1073</v>
      </c>
      <c r="B82" t="s">
        <v>471</v>
      </c>
      <c r="C82" s="186">
        <v>1</v>
      </c>
      <c r="I82" s="186"/>
      <c r="J82" s="186"/>
      <c r="K82" s="186"/>
      <c r="L82" s="197"/>
      <c r="M82" s="186"/>
      <c r="N82" s="198"/>
      <c r="O82" s="199">
        <v>1.32</v>
      </c>
      <c r="P82" s="199">
        <f>Table1[[#This Row],[unit cost]]</f>
        <v>1.32</v>
      </c>
      <c r="Q82" s="409">
        <v>1</v>
      </c>
      <c r="R82" s="186">
        <v>1</v>
      </c>
      <c r="S82" s="249">
        <f t="shared" si="15"/>
        <v>0.42</v>
      </c>
      <c r="T82" s="201">
        <f>Table1[[#This Row],[man minutes]]*Table1[[#This Row],[labor rate]]</f>
        <v>0.42</v>
      </c>
      <c r="U82" s="201">
        <f t="shared" si="11"/>
        <v>1.74</v>
      </c>
      <c r="V82" s="187">
        <f t="shared" si="17"/>
        <v>0.22</v>
      </c>
      <c r="W82" s="250">
        <f t="shared" si="16"/>
        <v>0.2</v>
      </c>
      <c r="X82" s="201">
        <f t="shared" si="12"/>
        <v>1.6104000000000001</v>
      </c>
      <c r="Y82" s="201">
        <f t="shared" si="13"/>
        <v>0.504</v>
      </c>
      <c r="Z82" s="201">
        <f t="shared" si="14"/>
        <v>2.1199999999999997</v>
      </c>
      <c r="AA82" s="203">
        <f>+Table1[[#This Row],[calculated sale price]]</f>
        <v>2.1199999999999997</v>
      </c>
      <c r="AB82" s="202"/>
      <c r="AC82" s="206"/>
      <c r="AD82" s="414"/>
    </row>
    <row r="83" spans="1:30" x14ac:dyDescent="0.25">
      <c r="A83" s="186">
        <v>1074</v>
      </c>
      <c r="B83" t="s">
        <v>472</v>
      </c>
      <c r="C83" s="186">
        <v>1</v>
      </c>
      <c r="I83" s="186"/>
      <c r="J83" s="186"/>
      <c r="K83" s="186"/>
      <c r="L83" s="197"/>
      <c r="M83" s="186"/>
      <c r="N83" s="198"/>
      <c r="O83" s="199">
        <v>1.98</v>
      </c>
      <c r="P83" s="199">
        <f>Table1[[#This Row],[unit cost]]</f>
        <v>1.98</v>
      </c>
      <c r="Q83" s="409">
        <v>3.5</v>
      </c>
      <c r="R83" s="186">
        <v>1</v>
      </c>
      <c r="S83" s="249">
        <f t="shared" si="15"/>
        <v>0.42</v>
      </c>
      <c r="T83" s="201">
        <f>Table1[[#This Row],[man minutes]]*Table1[[#This Row],[labor rate]]</f>
        <v>1.47</v>
      </c>
      <c r="U83" s="201">
        <f t="shared" si="11"/>
        <v>3.45</v>
      </c>
      <c r="V83" s="187">
        <f t="shared" si="17"/>
        <v>0.22</v>
      </c>
      <c r="W83" s="250">
        <f t="shared" si="16"/>
        <v>0.2</v>
      </c>
      <c r="X83" s="201">
        <f t="shared" si="12"/>
        <v>2.4156</v>
      </c>
      <c r="Y83" s="201">
        <f t="shared" si="13"/>
        <v>1.764</v>
      </c>
      <c r="Z83" s="201">
        <f t="shared" si="14"/>
        <v>4.18</v>
      </c>
      <c r="AA83" s="203">
        <f>+Table1[[#This Row],[calculated sale price]]</f>
        <v>4.18</v>
      </c>
      <c r="AB83" s="202"/>
      <c r="AC83" s="206"/>
      <c r="AD83" s="414"/>
    </row>
    <row r="84" spans="1:30" x14ac:dyDescent="0.25">
      <c r="A84" s="186">
        <v>1075</v>
      </c>
      <c r="B84" t="s">
        <v>473</v>
      </c>
      <c r="C84" s="186">
        <v>1</v>
      </c>
      <c r="I84" s="186"/>
      <c r="J84" s="186"/>
      <c r="K84" s="186"/>
      <c r="L84" s="197"/>
      <c r="M84" s="186"/>
      <c r="N84" s="198"/>
      <c r="O84" s="199">
        <v>4.28</v>
      </c>
      <c r="P84" s="199">
        <f>Table1[[#This Row],[unit cost]]</f>
        <v>4.28</v>
      </c>
      <c r="Q84" s="409">
        <v>4.25</v>
      </c>
      <c r="R84" s="186">
        <v>1</v>
      </c>
      <c r="S84" s="249">
        <f t="shared" si="15"/>
        <v>0.42</v>
      </c>
      <c r="T84" s="201">
        <f>Table1[[#This Row],[man minutes]]*Table1[[#This Row],[labor rate]]</f>
        <v>1.7849999999999999</v>
      </c>
      <c r="U84" s="201">
        <f t="shared" si="11"/>
        <v>6.0650000000000004</v>
      </c>
      <c r="V84" s="187">
        <f t="shared" si="17"/>
        <v>0.22</v>
      </c>
      <c r="W84" s="250">
        <f t="shared" si="16"/>
        <v>0.2</v>
      </c>
      <c r="X84" s="201">
        <f t="shared" si="12"/>
        <v>5.2216000000000005</v>
      </c>
      <c r="Y84" s="201">
        <f t="shared" si="13"/>
        <v>2.1419999999999999</v>
      </c>
      <c r="Z84" s="201">
        <f t="shared" si="14"/>
        <v>7.37</v>
      </c>
      <c r="AA84" s="203">
        <f>+Table1[[#This Row],[calculated sale price]]</f>
        <v>7.37</v>
      </c>
      <c r="AB84" s="202"/>
      <c r="AC84" s="206"/>
      <c r="AD84" s="414"/>
    </row>
    <row r="85" spans="1:30" x14ac:dyDescent="0.25">
      <c r="A85" s="186">
        <v>1076</v>
      </c>
      <c r="B85" t="s">
        <v>474</v>
      </c>
      <c r="C85" s="186">
        <v>1</v>
      </c>
      <c r="I85" s="186"/>
      <c r="J85" s="186"/>
      <c r="K85" s="186"/>
      <c r="L85" s="197"/>
      <c r="M85" s="186"/>
      <c r="N85" s="198"/>
      <c r="O85" s="199">
        <v>4.2</v>
      </c>
      <c r="P85" s="199">
        <f>Table1[[#This Row],[unit cost]]</f>
        <v>4.2</v>
      </c>
      <c r="Q85" s="409">
        <v>3.25</v>
      </c>
      <c r="R85" s="186">
        <v>1</v>
      </c>
      <c r="S85" s="249">
        <f t="shared" si="15"/>
        <v>0.42</v>
      </c>
      <c r="T85" s="201">
        <f>Table1[[#This Row],[man minutes]]*Table1[[#This Row],[labor rate]]</f>
        <v>1.365</v>
      </c>
      <c r="U85" s="201">
        <f t="shared" si="11"/>
        <v>5.5650000000000004</v>
      </c>
      <c r="V85" s="187">
        <f t="shared" si="17"/>
        <v>0.22</v>
      </c>
      <c r="W85" s="250">
        <f t="shared" si="16"/>
        <v>0.2</v>
      </c>
      <c r="X85" s="201">
        <f t="shared" si="12"/>
        <v>5.1239999999999997</v>
      </c>
      <c r="Y85" s="201">
        <f t="shared" si="13"/>
        <v>1.6379999999999999</v>
      </c>
      <c r="Z85" s="201">
        <f t="shared" si="14"/>
        <v>6.77</v>
      </c>
      <c r="AA85" s="203">
        <f>+Table1[[#This Row],[calculated sale price]]</f>
        <v>6.77</v>
      </c>
      <c r="AB85" s="202"/>
      <c r="AC85" s="206"/>
      <c r="AD85" s="414"/>
    </row>
    <row r="86" spans="1:30" x14ac:dyDescent="0.25">
      <c r="A86" s="186">
        <v>1077</v>
      </c>
      <c r="B86" t="s">
        <v>475</v>
      </c>
      <c r="C86" s="186">
        <v>1</v>
      </c>
      <c r="I86" s="186"/>
      <c r="J86" s="186"/>
      <c r="K86" s="186"/>
      <c r="L86" s="197"/>
      <c r="M86" s="186"/>
      <c r="N86" s="198"/>
      <c r="O86" s="199">
        <v>3.43</v>
      </c>
      <c r="P86" s="199">
        <f>Table1[[#This Row],[unit cost]]</f>
        <v>3.43</v>
      </c>
      <c r="Q86" s="409">
        <v>3.25</v>
      </c>
      <c r="R86" s="186">
        <v>1</v>
      </c>
      <c r="S86" s="249">
        <f t="shared" si="15"/>
        <v>0.42</v>
      </c>
      <c r="T86" s="201">
        <f>Table1[[#This Row],[man minutes]]*Table1[[#This Row],[labor rate]]</f>
        <v>1.365</v>
      </c>
      <c r="U86" s="201">
        <f t="shared" si="11"/>
        <v>4.7949999999999999</v>
      </c>
      <c r="V86" s="187">
        <f t="shared" si="17"/>
        <v>0.22</v>
      </c>
      <c r="W86" s="250">
        <f t="shared" si="16"/>
        <v>0.2</v>
      </c>
      <c r="X86" s="201">
        <f t="shared" si="12"/>
        <v>4.1846000000000005</v>
      </c>
      <c r="Y86" s="201">
        <f t="shared" si="13"/>
        <v>1.6379999999999999</v>
      </c>
      <c r="Z86" s="201">
        <f t="shared" si="14"/>
        <v>5.83</v>
      </c>
      <c r="AA86" s="203">
        <f>+Table1[[#This Row],[calculated sale price]]</f>
        <v>5.83</v>
      </c>
      <c r="AB86" s="202"/>
      <c r="AC86" s="206"/>
      <c r="AD86" s="414"/>
    </row>
    <row r="87" spans="1:30" x14ac:dyDescent="0.25">
      <c r="A87" s="186">
        <v>1078</v>
      </c>
      <c r="B87" t="s">
        <v>476</v>
      </c>
      <c r="C87" s="186">
        <v>1</v>
      </c>
      <c r="I87" s="186"/>
      <c r="J87" s="186"/>
      <c r="K87" s="186"/>
      <c r="L87" s="197"/>
      <c r="M87" s="186"/>
      <c r="N87" s="198"/>
      <c r="O87" s="199">
        <v>1.54</v>
      </c>
      <c r="P87" s="199">
        <f>Table1[[#This Row],[unit cost]]</f>
        <v>1.54</v>
      </c>
      <c r="Q87" s="409">
        <v>1.5</v>
      </c>
      <c r="R87" s="186">
        <v>1</v>
      </c>
      <c r="S87" s="249">
        <f t="shared" si="15"/>
        <v>0.42</v>
      </c>
      <c r="T87" s="201">
        <f>Table1[[#This Row],[man minutes]]*Table1[[#This Row],[labor rate]]</f>
        <v>0.63</v>
      </c>
      <c r="U87" s="201">
        <f t="shared" si="11"/>
        <v>2.17</v>
      </c>
      <c r="V87" s="187">
        <f t="shared" si="17"/>
        <v>0.22</v>
      </c>
      <c r="W87" s="250">
        <f t="shared" si="16"/>
        <v>0.2</v>
      </c>
      <c r="X87" s="201">
        <f t="shared" si="12"/>
        <v>1.8788</v>
      </c>
      <c r="Y87" s="201">
        <f t="shared" si="13"/>
        <v>0.75600000000000001</v>
      </c>
      <c r="Z87" s="201">
        <f t="shared" si="14"/>
        <v>2.6399999999999997</v>
      </c>
      <c r="AA87" s="203">
        <f>+Table1[[#This Row],[calculated sale price]]</f>
        <v>2.6399999999999997</v>
      </c>
      <c r="AB87" s="202"/>
      <c r="AC87" s="206"/>
      <c r="AD87" s="414"/>
    </row>
    <row r="88" spans="1:30" x14ac:dyDescent="0.25">
      <c r="A88" s="186">
        <v>1079</v>
      </c>
      <c r="B88" t="s">
        <v>477</v>
      </c>
      <c r="C88" s="186">
        <v>1</v>
      </c>
      <c r="I88" s="186"/>
      <c r="J88" s="186"/>
      <c r="K88" s="186"/>
      <c r="L88" s="197"/>
      <c r="M88" s="186"/>
      <c r="N88" s="198"/>
      <c r="O88" s="199">
        <v>1.6</v>
      </c>
      <c r="P88" s="199">
        <f>Table1[[#This Row],[unit cost]]</f>
        <v>1.6</v>
      </c>
      <c r="Q88" s="409">
        <v>1.5</v>
      </c>
      <c r="R88" s="186">
        <v>1</v>
      </c>
      <c r="S88" s="249">
        <f t="shared" si="15"/>
        <v>0.42</v>
      </c>
      <c r="T88" s="201">
        <f>Table1[[#This Row],[man minutes]]*Table1[[#This Row],[labor rate]]</f>
        <v>0.63</v>
      </c>
      <c r="U88" s="201">
        <f t="shared" ref="U88:U151" si="18">P88+T88</f>
        <v>2.23</v>
      </c>
      <c r="V88" s="187">
        <f t="shared" si="17"/>
        <v>0.22</v>
      </c>
      <c r="W88" s="250">
        <f t="shared" si="16"/>
        <v>0.2</v>
      </c>
      <c r="X88" s="201">
        <f t="shared" ref="X88:X151" si="19">P88*(1+V88)</f>
        <v>1.952</v>
      </c>
      <c r="Y88" s="201">
        <f t="shared" ref="Y88:Y151" si="20">T88+(T88*W88)</f>
        <v>0.75600000000000001</v>
      </c>
      <c r="Z88" s="201">
        <f t="shared" ref="Z88:Z151" si="21">IFERROR(ROUNDUP(X88+Y88,2)," ")</f>
        <v>2.71</v>
      </c>
      <c r="AA88" s="203">
        <f>+Table1[[#This Row],[calculated sale price]]</f>
        <v>2.71</v>
      </c>
      <c r="AB88" s="202"/>
      <c r="AC88" s="206"/>
      <c r="AD88" s="414"/>
    </row>
    <row r="89" spans="1:30" x14ac:dyDescent="0.25">
      <c r="A89" s="186">
        <v>1080</v>
      </c>
      <c r="B89" t="s">
        <v>478</v>
      </c>
      <c r="C89" s="186">
        <v>1</v>
      </c>
      <c r="I89" s="186"/>
      <c r="J89" s="186"/>
      <c r="K89" s="186"/>
      <c r="L89" s="197"/>
      <c r="M89" s="186"/>
      <c r="N89" s="198"/>
      <c r="O89" s="199">
        <v>2.35</v>
      </c>
      <c r="P89" s="199">
        <f>Table1[[#This Row],[unit cost]]</f>
        <v>2.35</v>
      </c>
      <c r="Q89" s="409">
        <v>1.5</v>
      </c>
      <c r="R89" s="186">
        <v>1</v>
      </c>
      <c r="S89" s="249">
        <f t="shared" si="15"/>
        <v>0.42</v>
      </c>
      <c r="T89" s="201">
        <f>Table1[[#This Row],[man minutes]]*Table1[[#This Row],[labor rate]]</f>
        <v>0.63</v>
      </c>
      <c r="U89" s="201">
        <f t="shared" si="18"/>
        <v>2.98</v>
      </c>
      <c r="V89" s="187">
        <f t="shared" si="17"/>
        <v>0.22</v>
      </c>
      <c r="W89" s="250">
        <f t="shared" si="16"/>
        <v>0.2</v>
      </c>
      <c r="X89" s="201">
        <f t="shared" si="19"/>
        <v>2.867</v>
      </c>
      <c r="Y89" s="201">
        <f t="shared" si="20"/>
        <v>0.75600000000000001</v>
      </c>
      <c r="Z89" s="201">
        <f t="shared" si="21"/>
        <v>3.63</v>
      </c>
      <c r="AA89" s="203">
        <f>+Table1[[#This Row],[calculated sale price]]</f>
        <v>3.63</v>
      </c>
      <c r="AB89" s="202"/>
      <c r="AC89" s="206"/>
      <c r="AD89" s="414"/>
    </row>
    <row r="90" spans="1:30" x14ac:dyDescent="0.25">
      <c r="A90" s="186">
        <v>1081</v>
      </c>
      <c r="B90" t="s">
        <v>479</v>
      </c>
      <c r="C90" s="186">
        <v>1</v>
      </c>
      <c r="I90" s="186"/>
      <c r="J90" s="186"/>
      <c r="K90" s="186"/>
      <c r="L90" s="197"/>
      <c r="M90" s="186"/>
      <c r="N90" s="198"/>
      <c r="O90" s="199">
        <v>2.0499999999999998</v>
      </c>
      <c r="P90" s="199">
        <f>Table1[[#This Row],[unit cost]]</f>
        <v>2.0499999999999998</v>
      </c>
      <c r="Q90" s="409">
        <v>1.5</v>
      </c>
      <c r="R90" s="186">
        <v>1</v>
      </c>
      <c r="S90" s="249">
        <f t="shared" si="15"/>
        <v>0.42</v>
      </c>
      <c r="T90" s="201">
        <f>Table1[[#This Row],[man minutes]]*Table1[[#This Row],[labor rate]]</f>
        <v>0.63</v>
      </c>
      <c r="U90" s="201">
        <f t="shared" si="18"/>
        <v>2.6799999999999997</v>
      </c>
      <c r="V90" s="187">
        <f t="shared" si="17"/>
        <v>0.22</v>
      </c>
      <c r="W90" s="250">
        <f t="shared" si="16"/>
        <v>0.2</v>
      </c>
      <c r="X90" s="201">
        <f t="shared" si="19"/>
        <v>2.5009999999999999</v>
      </c>
      <c r="Y90" s="201">
        <f t="shared" si="20"/>
        <v>0.75600000000000001</v>
      </c>
      <c r="Z90" s="201">
        <f t="shared" si="21"/>
        <v>3.26</v>
      </c>
      <c r="AA90" s="203">
        <f>+Table1[[#This Row],[calculated sale price]]</f>
        <v>3.26</v>
      </c>
      <c r="AB90" s="202"/>
      <c r="AC90" s="206"/>
      <c r="AD90" s="414"/>
    </row>
    <row r="91" spans="1:30" x14ac:dyDescent="0.25">
      <c r="A91" s="186">
        <v>1082</v>
      </c>
      <c r="B91" t="s">
        <v>480</v>
      </c>
      <c r="C91" s="186">
        <v>1</v>
      </c>
      <c r="I91" s="186"/>
      <c r="J91" s="186"/>
      <c r="K91" s="186"/>
      <c r="L91" s="197"/>
      <c r="M91" s="186"/>
      <c r="N91" s="198"/>
      <c r="O91" s="199">
        <v>2.25</v>
      </c>
      <c r="P91" s="199">
        <f>Table1[[#This Row],[unit cost]]</f>
        <v>2.25</v>
      </c>
      <c r="Q91" s="409">
        <v>1.5</v>
      </c>
      <c r="R91" s="186">
        <v>1</v>
      </c>
      <c r="S91" s="249">
        <f t="shared" si="15"/>
        <v>0.42</v>
      </c>
      <c r="T91" s="201">
        <f>Table1[[#This Row],[man minutes]]*Table1[[#This Row],[labor rate]]</f>
        <v>0.63</v>
      </c>
      <c r="U91" s="201">
        <f t="shared" si="18"/>
        <v>2.88</v>
      </c>
      <c r="V91" s="187">
        <f t="shared" si="17"/>
        <v>0.22</v>
      </c>
      <c r="W91" s="250">
        <f t="shared" si="16"/>
        <v>0.2</v>
      </c>
      <c r="X91" s="201">
        <f t="shared" si="19"/>
        <v>2.7450000000000001</v>
      </c>
      <c r="Y91" s="201">
        <f t="shared" si="20"/>
        <v>0.75600000000000001</v>
      </c>
      <c r="Z91" s="201">
        <f t="shared" si="21"/>
        <v>3.51</v>
      </c>
      <c r="AA91" s="203">
        <f>+Table1[[#This Row],[calculated sale price]]</f>
        <v>3.51</v>
      </c>
      <c r="AB91" s="202"/>
      <c r="AC91" s="206"/>
      <c r="AD91" s="414"/>
    </row>
    <row r="92" spans="1:30" x14ac:dyDescent="0.25">
      <c r="A92" s="186">
        <v>1083</v>
      </c>
      <c r="B92" t="s">
        <v>481</v>
      </c>
      <c r="C92" s="186">
        <v>1</v>
      </c>
      <c r="I92" s="186"/>
      <c r="J92" s="186"/>
      <c r="K92" s="186"/>
      <c r="L92" s="197"/>
      <c r="M92" s="186"/>
      <c r="N92" s="198"/>
      <c r="O92" s="199">
        <v>2.0499999999999998</v>
      </c>
      <c r="P92" s="199">
        <f>Table1[[#This Row],[unit cost]]</f>
        <v>2.0499999999999998</v>
      </c>
      <c r="Q92" s="409">
        <v>2</v>
      </c>
      <c r="R92" s="186">
        <v>1</v>
      </c>
      <c r="S92" s="249">
        <f t="shared" si="15"/>
        <v>0.42</v>
      </c>
      <c r="T92" s="201">
        <f>Table1[[#This Row],[man minutes]]*Table1[[#This Row],[labor rate]]</f>
        <v>0.84</v>
      </c>
      <c r="U92" s="201">
        <f t="shared" si="18"/>
        <v>2.8899999999999997</v>
      </c>
      <c r="V92" s="187">
        <f t="shared" si="17"/>
        <v>0.22</v>
      </c>
      <c r="W92" s="250">
        <f t="shared" si="16"/>
        <v>0.2</v>
      </c>
      <c r="X92" s="201">
        <f t="shared" si="19"/>
        <v>2.5009999999999999</v>
      </c>
      <c r="Y92" s="201">
        <f t="shared" si="20"/>
        <v>1.008</v>
      </c>
      <c r="Z92" s="201">
        <f t="shared" si="21"/>
        <v>3.51</v>
      </c>
      <c r="AA92" s="203">
        <f>+Table1[[#This Row],[calculated sale price]]</f>
        <v>3.51</v>
      </c>
      <c r="AB92" s="202"/>
      <c r="AC92" s="206"/>
      <c r="AD92" s="414"/>
    </row>
    <row r="93" spans="1:30" x14ac:dyDescent="0.25">
      <c r="A93" s="186">
        <v>1084</v>
      </c>
      <c r="B93" t="s">
        <v>482</v>
      </c>
      <c r="C93" s="186">
        <v>1</v>
      </c>
      <c r="I93" s="186"/>
      <c r="J93" s="186"/>
      <c r="K93" s="186"/>
      <c r="L93" s="197"/>
      <c r="M93" s="186"/>
      <c r="N93" s="198"/>
      <c r="O93" s="199">
        <v>1.05</v>
      </c>
      <c r="P93" s="199">
        <f>Table1[[#This Row],[unit cost]]</f>
        <v>1.05</v>
      </c>
      <c r="Q93" s="409">
        <v>2</v>
      </c>
      <c r="R93" s="186">
        <v>1</v>
      </c>
      <c r="S93" s="249">
        <f t="shared" si="15"/>
        <v>0.42</v>
      </c>
      <c r="T93" s="201">
        <f>Table1[[#This Row],[man minutes]]*Table1[[#This Row],[labor rate]]</f>
        <v>0.84</v>
      </c>
      <c r="U93" s="201">
        <f t="shared" si="18"/>
        <v>1.8900000000000001</v>
      </c>
      <c r="V93" s="187">
        <f t="shared" si="17"/>
        <v>0.22</v>
      </c>
      <c r="W93" s="250">
        <f t="shared" si="16"/>
        <v>0.2</v>
      </c>
      <c r="X93" s="201">
        <f t="shared" si="19"/>
        <v>1.2809999999999999</v>
      </c>
      <c r="Y93" s="201">
        <f t="shared" si="20"/>
        <v>1.008</v>
      </c>
      <c r="Z93" s="201">
        <f t="shared" si="21"/>
        <v>2.2899999999999996</v>
      </c>
      <c r="AA93" s="203">
        <f>+Table1[[#This Row],[calculated sale price]]</f>
        <v>2.2899999999999996</v>
      </c>
      <c r="AB93" s="202"/>
      <c r="AC93" s="206"/>
      <c r="AD93" s="414"/>
    </row>
    <row r="94" spans="1:30" x14ac:dyDescent="0.25">
      <c r="A94" s="186">
        <v>1085</v>
      </c>
      <c r="B94" t="s">
        <v>483</v>
      </c>
      <c r="C94" s="186">
        <v>1</v>
      </c>
      <c r="I94" s="186"/>
      <c r="J94" s="186"/>
      <c r="K94" s="186"/>
      <c r="L94" s="197"/>
      <c r="M94" s="186"/>
      <c r="N94" s="198"/>
      <c r="O94" s="199">
        <v>2.02</v>
      </c>
      <c r="P94" s="199">
        <f>Table1[[#This Row],[unit cost]]</f>
        <v>2.02</v>
      </c>
      <c r="Q94" s="409">
        <v>2</v>
      </c>
      <c r="R94" s="186">
        <v>1</v>
      </c>
      <c r="S94" s="249">
        <f t="shared" si="15"/>
        <v>0.42</v>
      </c>
      <c r="T94" s="201">
        <f>Table1[[#This Row],[man minutes]]*Table1[[#This Row],[labor rate]]</f>
        <v>0.84</v>
      </c>
      <c r="U94" s="201">
        <f t="shared" si="18"/>
        <v>2.86</v>
      </c>
      <c r="V94" s="187">
        <f t="shared" si="17"/>
        <v>0.22</v>
      </c>
      <c r="W94" s="250">
        <f t="shared" si="16"/>
        <v>0.2</v>
      </c>
      <c r="X94" s="201">
        <f t="shared" si="19"/>
        <v>2.4643999999999999</v>
      </c>
      <c r="Y94" s="201">
        <f t="shared" si="20"/>
        <v>1.008</v>
      </c>
      <c r="Z94" s="201">
        <f t="shared" si="21"/>
        <v>3.48</v>
      </c>
      <c r="AA94" s="203">
        <f>+Table1[[#This Row],[calculated sale price]]</f>
        <v>3.48</v>
      </c>
      <c r="AB94" s="202"/>
      <c r="AC94" s="206"/>
      <c r="AD94" s="414"/>
    </row>
    <row r="95" spans="1:30" x14ac:dyDescent="0.25">
      <c r="A95" s="186">
        <v>1086</v>
      </c>
      <c r="B95" t="s">
        <v>484</v>
      </c>
      <c r="C95" s="186">
        <v>1</v>
      </c>
      <c r="I95" s="186"/>
      <c r="J95" s="186"/>
      <c r="K95" s="186"/>
      <c r="L95" s="197"/>
      <c r="M95" s="186"/>
      <c r="N95" s="198"/>
      <c r="O95" s="199">
        <v>1.1399999999999999</v>
      </c>
      <c r="P95" s="199">
        <f>Table1[[#This Row],[unit cost]]</f>
        <v>1.1399999999999999</v>
      </c>
      <c r="Q95" s="409">
        <v>1.5</v>
      </c>
      <c r="R95" s="186">
        <v>1</v>
      </c>
      <c r="S95" s="249">
        <f t="shared" si="15"/>
        <v>0.42</v>
      </c>
      <c r="T95" s="201">
        <f>Table1[[#This Row],[man minutes]]*Table1[[#This Row],[labor rate]]</f>
        <v>0.63</v>
      </c>
      <c r="U95" s="201">
        <f t="shared" si="18"/>
        <v>1.77</v>
      </c>
      <c r="V95" s="187">
        <f t="shared" si="17"/>
        <v>0.22</v>
      </c>
      <c r="W95" s="250">
        <f t="shared" si="16"/>
        <v>0.2</v>
      </c>
      <c r="X95" s="201">
        <f t="shared" si="19"/>
        <v>1.3907999999999998</v>
      </c>
      <c r="Y95" s="201">
        <f t="shared" si="20"/>
        <v>0.75600000000000001</v>
      </c>
      <c r="Z95" s="201">
        <f t="shared" si="21"/>
        <v>2.15</v>
      </c>
      <c r="AA95" s="203">
        <f>+Table1[[#This Row],[calculated sale price]]</f>
        <v>2.15</v>
      </c>
      <c r="AB95" s="202"/>
      <c r="AC95" s="206"/>
      <c r="AD95" s="414"/>
    </row>
    <row r="96" spans="1:30" x14ac:dyDescent="0.25">
      <c r="A96" s="186">
        <v>1087</v>
      </c>
      <c r="C96" s="186">
        <v>1</v>
      </c>
      <c r="I96" s="186"/>
      <c r="J96" s="186"/>
      <c r="K96" s="186"/>
      <c r="L96" s="197"/>
      <c r="M96" s="186"/>
      <c r="N96" s="198"/>
      <c r="O96" s="199">
        <v>0</v>
      </c>
      <c r="P96" s="199">
        <f>Table1[[#This Row],[unit cost]]</f>
        <v>0</v>
      </c>
      <c r="Q96" s="409"/>
      <c r="R96" s="186">
        <v>1</v>
      </c>
      <c r="S96" s="249">
        <f t="shared" si="15"/>
        <v>0.42</v>
      </c>
      <c r="T96" s="201">
        <f>Table1[[#This Row],[man minutes]]*Table1[[#This Row],[labor rate]]</f>
        <v>0</v>
      </c>
      <c r="U96" s="201">
        <f t="shared" si="18"/>
        <v>0</v>
      </c>
      <c r="V96" s="187">
        <f t="shared" si="17"/>
        <v>0.22</v>
      </c>
      <c r="W96" s="250">
        <f t="shared" si="16"/>
        <v>0.2</v>
      </c>
      <c r="X96" s="201">
        <f t="shared" si="19"/>
        <v>0</v>
      </c>
      <c r="Y96" s="201">
        <f t="shared" si="20"/>
        <v>0</v>
      </c>
      <c r="Z96" s="201">
        <f t="shared" si="21"/>
        <v>0</v>
      </c>
      <c r="AA96" s="203">
        <f>+Table1[[#This Row],[calculated sale price]]</f>
        <v>0</v>
      </c>
      <c r="AB96" s="202"/>
      <c r="AC96" s="206"/>
      <c r="AD96" s="414"/>
    </row>
    <row r="97" spans="1:30" x14ac:dyDescent="0.25">
      <c r="A97" s="186">
        <v>1088</v>
      </c>
      <c r="B97" t="s">
        <v>485</v>
      </c>
      <c r="C97" s="186">
        <v>1</v>
      </c>
      <c r="I97" s="186"/>
      <c r="J97" s="186"/>
      <c r="K97" s="186"/>
      <c r="L97" s="197"/>
      <c r="M97" s="186"/>
      <c r="N97" s="198"/>
      <c r="O97" s="199">
        <v>2.91</v>
      </c>
      <c r="P97" s="199">
        <f>Table1[[#This Row],[unit cost]]</f>
        <v>2.91</v>
      </c>
      <c r="Q97" s="409">
        <v>3.75</v>
      </c>
      <c r="R97" s="186">
        <v>1</v>
      </c>
      <c r="S97" s="249">
        <f t="shared" si="15"/>
        <v>0.42</v>
      </c>
      <c r="T97" s="201">
        <f>Table1[[#This Row],[man minutes]]*Table1[[#This Row],[labor rate]]</f>
        <v>1.575</v>
      </c>
      <c r="U97" s="201">
        <f t="shared" si="18"/>
        <v>4.4850000000000003</v>
      </c>
      <c r="V97" s="187">
        <f t="shared" si="17"/>
        <v>0.22</v>
      </c>
      <c r="W97" s="250">
        <f t="shared" si="16"/>
        <v>0.2</v>
      </c>
      <c r="X97" s="201">
        <f t="shared" si="19"/>
        <v>3.5502000000000002</v>
      </c>
      <c r="Y97" s="201">
        <f t="shared" si="20"/>
        <v>1.89</v>
      </c>
      <c r="Z97" s="201">
        <f t="shared" si="21"/>
        <v>5.45</v>
      </c>
      <c r="AA97" s="203">
        <f>+Table1[[#This Row],[calculated sale price]]</f>
        <v>5.45</v>
      </c>
      <c r="AB97" s="202"/>
      <c r="AC97" s="206"/>
      <c r="AD97" s="414"/>
    </row>
    <row r="98" spans="1:30" x14ac:dyDescent="0.25">
      <c r="A98" s="186">
        <v>1089</v>
      </c>
      <c r="B98" t="s">
        <v>486</v>
      </c>
      <c r="C98" s="186">
        <v>1</v>
      </c>
      <c r="I98" s="186"/>
      <c r="J98" s="186"/>
      <c r="K98" s="186"/>
      <c r="L98" s="197"/>
      <c r="M98" s="186"/>
      <c r="N98" s="198"/>
      <c r="O98" s="199">
        <v>1.24</v>
      </c>
      <c r="P98" s="199">
        <f>Table1[[#This Row],[unit cost]]</f>
        <v>1.24</v>
      </c>
      <c r="Q98" s="409">
        <v>3.25</v>
      </c>
      <c r="R98" s="186">
        <v>1</v>
      </c>
      <c r="S98" s="249">
        <f t="shared" si="15"/>
        <v>0.42</v>
      </c>
      <c r="T98" s="201">
        <f>Table1[[#This Row],[man minutes]]*Table1[[#This Row],[labor rate]]</f>
        <v>1.365</v>
      </c>
      <c r="U98" s="201">
        <f t="shared" si="18"/>
        <v>2.605</v>
      </c>
      <c r="V98" s="187">
        <f t="shared" si="17"/>
        <v>0.22</v>
      </c>
      <c r="W98" s="250">
        <f t="shared" si="16"/>
        <v>0.2</v>
      </c>
      <c r="X98" s="201">
        <f t="shared" si="19"/>
        <v>1.5127999999999999</v>
      </c>
      <c r="Y98" s="201">
        <f t="shared" si="20"/>
        <v>1.6379999999999999</v>
      </c>
      <c r="Z98" s="201">
        <f t="shared" si="21"/>
        <v>3.1599999999999997</v>
      </c>
      <c r="AA98" s="203">
        <f>+Table1[[#This Row],[calculated sale price]]</f>
        <v>3.1599999999999997</v>
      </c>
      <c r="AB98" s="202"/>
      <c r="AC98" s="206"/>
      <c r="AD98" s="414"/>
    </row>
    <row r="99" spans="1:30" x14ac:dyDescent="0.25">
      <c r="A99" s="186">
        <v>1090</v>
      </c>
      <c r="B99" t="s">
        <v>487</v>
      </c>
      <c r="C99" s="186">
        <v>1</v>
      </c>
      <c r="I99" s="186"/>
      <c r="J99" s="186"/>
      <c r="K99" s="186"/>
      <c r="L99" s="197"/>
      <c r="M99" s="186"/>
      <c r="N99" s="198"/>
      <c r="O99" s="400">
        <v>1.86</v>
      </c>
      <c r="P99" s="199">
        <f>Table1[[#This Row],[unit cost]]</f>
        <v>1.86</v>
      </c>
      <c r="Q99" s="409">
        <v>4</v>
      </c>
      <c r="R99" s="186">
        <v>1</v>
      </c>
      <c r="S99" s="249">
        <f t="shared" si="15"/>
        <v>0.42</v>
      </c>
      <c r="T99" s="201">
        <f>Table1[[#This Row],[man minutes]]*Table1[[#This Row],[labor rate]]</f>
        <v>1.68</v>
      </c>
      <c r="U99" s="201">
        <f t="shared" si="18"/>
        <v>3.54</v>
      </c>
      <c r="V99" s="187">
        <f t="shared" si="17"/>
        <v>0.22</v>
      </c>
      <c r="W99" s="250">
        <f t="shared" si="16"/>
        <v>0.2</v>
      </c>
      <c r="X99" s="201">
        <f t="shared" si="19"/>
        <v>2.2692000000000001</v>
      </c>
      <c r="Y99" s="201">
        <f t="shared" si="20"/>
        <v>2.016</v>
      </c>
      <c r="Z99" s="201">
        <f t="shared" si="21"/>
        <v>4.29</v>
      </c>
      <c r="AA99" s="203">
        <f>+Table1[[#This Row],[calculated sale price]]</f>
        <v>4.29</v>
      </c>
      <c r="AB99" s="202"/>
      <c r="AC99" s="206"/>
      <c r="AD99" s="414"/>
    </row>
    <row r="100" spans="1:30" x14ac:dyDescent="0.25">
      <c r="A100" s="186">
        <v>1091</v>
      </c>
      <c r="B100" t="s">
        <v>488</v>
      </c>
      <c r="C100" s="186">
        <v>1</v>
      </c>
      <c r="I100" s="186"/>
      <c r="J100" s="186"/>
      <c r="K100" s="186"/>
      <c r="L100" s="197"/>
      <c r="M100" s="186"/>
      <c r="N100" s="198"/>
      <c r="O100" s="199">
        <v>3.57</v>
      </c>
      <c r="P100" s="199">
        <f>Table1[[#This Row],[unit cost]]</f>
        <v>3.57</v>
      </c>
      <c r="Q100" s="409">
        <v>2.5</v>
      </c>
      <c r="R100" s="186">
        <v>1</v>
      </c>
      <c r="S100" s="249">
        <f t="shared" si="15"/>
        <v>0.42</v>
      </c>
      <c r="T100" s="201">
        <f>Table1[[#This Row],[man minutes]]*Table1[[#This Row],[labor rate]]</f>
        <v>1.05</v>
      </c>
      <c r="U100" s="201">
        <f t="shared" si="18"/>
        <v>4.62</v>
      </c>
      <c r="V100" s="187">
        <f t="shared" si="17"/>
        <v>0.22</v>
      </c>
      <c r="W100" s="250">
        <f t="shared" si="16"/>
        <v>0.2</v>
      </c>
      <c r="X100" s="201">
        <f t="shared" si="19"/>
        <v>4.3553999999999995</v>
      </c>
      <c r="Y100" s="201">
        <f t="shared" si="20"/>
        <v>1.26</v>
      </c>
      <c r="Z100" s="201">
        <f t="shared" si="21"/>
        <v>5.62</v>
      </c>
      <c r="AA100" s="203">
        <f>+Table1[[#This Row],[calculated sale price]]</f>
        <v>5.62</v>
      </c>
      <c r="AB100" s="202"/>
      <c r="AC100" s="206"/>
      <c r="AD100" s="414"/>
    </row>
    <row r="101" spans="1:30" x14ac:dyDescent="0.25">
      <c r="A101" s="186">
        <v>1092</v>
      </c>
      <c r="B101" t="s">
        <v>489</v>
      </c>
      <c r="C101" s="186">
        <v>1</v>
      </c>
      <c r="I101" s="186"/>
      <c r="J101" s="186"/>
      <c r="K101" s="186"/>
      <c r="L101" s="197"/>
      <c r="M101" s="186"/>
      <c r="N101" s="198"/>
      <c r="O101" s="199">
        <v>3</v>
      </c>
      <c r="P101" s="199">
        <f>Table1[[#This Row],[unit cost]]</f>
        <v>3</v>
      </c>
      <c r="Q101" s="409">
        <v>1</v>
      </c>
      <c r="R101" s="186">
        <v>1</v>
      </c>
      <c r="S101" s="249">
        <f t="shared" si="15"/>
        <v>0.42</v>
      </c>
      <c r="T101" s="201">
        <f>Table1[[#This Row],[man minutes]]*Table1[[#This Row],[labor rate]]</f>
        <v>0.42</v>
      </c>
      <c r="U101" s="201">
        <f t="shared" si="18"/>
        <v>3.42</v>
      </c>
      <c r="V101" s="187">
        <f t="shared" si="17"/>
        <v>0.22</v>
      </c>
      <c r="W101" s="250">
        <f t="shared" si="16"/>
        <v>0.2</v>
      </c>
      <c r="X101" s="201">
        <f t="shared" si="19"/>
        <v>3.66</v>
      </c>
      <c r="Y101" s="201">
        <f t="shared" si="20"/>
        <v>0.504</v>
      </c>
      <c r="Z101" s="201">
        <f t="shared" si="21"/>
        <v>4.17</v>
      </c>
      <c r="AA101" s="203">
        <f>+Table1[[#This Row],[calculated sale price]]</f>
        <v>4.17</v>
      </c>
      <c r="AB101" s="202"/>
      <c r="AC101" s="206"/>
      <c r="AD101" s="414"/>
    </row>
    <row r="102" spans="1:30" x14ac:dyDescent="0.25">
      <c r="A102" s="186">
        <v>1093</v>
      </c>
      <c r="B102" t="s">
        <v>490</v>
      </c>
      <c r="C102" s="186">
        <v>1</v>
      </c>
      <c r="I102" s="186"/>
      <c r="J102" s="186"/>
      <c r="K102" s="186"/>
      <c r="L102" s="197"/>
      <c r="M102" s="186"/>
      <c r="N102" s="198"/>
      <c r="O102" s="199">
        <v>5.72</v>
      </c>
      <c r="P102" s="199">
        <f>Table1[[#This Row],[unit cost]]</f>
        <v>5.72</v>
      </c>
      <c r="Q102" s="409">
        <v>5.75</v>
      </c>
      <c r="R102" s="186">
        <v>1</v>
      </c>
      <c r="S102" s="249">
        <f t="shared" si="15"/>
        <v>0.42</v>
      </c>
      <c r="T102" s="201">
        <f>Table1[[#This Row],[man minutes]]*Table1[[#This Row],[labor rate]]</f>
        <v>2.415</v>
      </c>
      <c r="U102" s="201">
        <f t="shared" si="18"/>
        <v>8.1349999999999998</v>
      </c>
      <c r="V102" s="187">
        <f t="shared" si="17"/>
        <v>0.22</v>
      </c>
      <c r="W102" s="250">
        <f t="shared" si="16"/>
        <v>0.2</v>
      </c>
      <c r="X102" s="201">
        <f t="shared" si="19"/>
        <v>6.9783999999999997</v>
      </c>
      <c r="Y102" s="201">
        <f t="shared" si="20"/>
        <v>2.8980000000000001</v>
      </c>
      <c r="Z102" s="201">
        <f t="shared" si="21"/>
        <v>9.879999999999999</v>
      </c>
      <c r="AA102" s="203">
        <f>+Table1[[#This Row],[calculated sale price]]</f>
        <v>9.879999999999999</v>
      </c>
      <c r="AB102" s="202"/>
      <c r="AC102" s="206"/>
      <c r="AD102" s="414"/>
    </row>
    <row r="103" spans="1:30" x14ac:dyDescent="0.25">
      <c r="A103" s="186">
        <v>1094</v>
      </c>
      <c r="B103" s="402" t="s">
        <v>491</v>
      </c>
      <c r="C103" s="186">
        <v>1</v>
      </c>
      <c r="I103" s="186"/>
      <c r="J103" s="186"/>
      <c r="K103" s="186"/>
      <c r="L103" s="197"/>
      <c r="M103" s="186"/>
      <c r="N103" s="198"/>
      <c r="O103" s="400">
        <v>10.86</v>
      </c>
      <c r="P103" s="199">
        <f>Table1[[#This Row],[unit cost]]</f>
        <v>10.86</v>
      </c>
      <c r="Q103" s="399">
        <v>7</v>
      </c>
      <c r="R103" s="186">
        <v>1</v>
      </c>
      <c r="S103" s="249">
        <f t="shared" si="15"/>
        <v>0.42</v>
      </c>
      <c r="T103" s="201">
        <f>Table1[[#This Row],[man minutes]]*Table1[[#This Row],[labor rate]]</f>
        <v>2.94</v>
      </c>
      <c r="U103" s="201">
        <f t="shared" si="18"/>
        <v>13.799999999999999</v>
      </c>
      <c r="V103" s="187">
        <f t="shared" si="17"/>
        <v>0.22</v>
      </c>
      <c r="W103" s="250">
        <f t="shared" si="16"/>
        <v>0.2</v>
      </c>
      <c r="X103" s="201">
        <f t="shared" si="19"/>
        <v>13.249199999999998</v>
      </c>
      <c r="Y103" s="201">
        <f t="shared" si="20"/>
        <v>3.528</v>
      </c>
      <c r="Z103" s="201">
        <f t="shared" si="21"/>
        <v>16.78</v>
      </c>
      <c r="AA103" s="203">
        <f>+Table1[[#This Row],[calculated sale price]]</f>
        <v>16.78</v>
      </c>
      <c r="AB103" s="202"/>
      <c r="AC103" s="206"/>
      <c r="AD103" s="414"/>
    </row>
    <row r="104" spans="1:30" x14ac:dyDescent="0.25">
      <c r="A104" s="186">
        <v>1095</v>
      </c>
      <c r="B104" t="s">
        <v>492</v>
      </c>
      <c r="C104" s="186">
        <v>1</v>
      </c>
      <c r="I104" s="186"/>
      <c r="J104" s="186"/>
      <c r="K104" s="186"/>
      <c r="L104" s="197"/>
      <c r="M104" s="186"/>
      <c r="N104" s="198"/>
      <c r="O104" s="199">
        <v>4.47</v>
      </c>
      <c r="P104" s="199">
        <f>Table1[[#This Row],[unit cost]]</f>
        <v>4.47</v>
      </c>
      <c r="Q104" s="409">
        <v>3.75</v>
      </c>
      <c r="R104" s="186">
        <v>1</v>
      </c>
      <c r="S104" s="249">
        <f t="shared" si="15"/>
        <v>0.42</v>
      </c>
      <c r="T104" s="201">
        <f>Table1[[#This Row],[man minutes]]*Table1[[#This Row],[labor rate]]</f>
        <v>1.575</v>
      </c>
      <c r="U104" s="201">
        <f t="shared" si="18"/>
        <v>6.0449999999999999</v>
      </c>
      <c r="V104" s="187">
        <f t="shared" si="17"/>
        <v>0.22</v>
      </c>
      <c r="W104" s="250">
        <f t="shared" si="16"/>
        <v>0.2</v>
      </c>
      <c r="X104" s="201">
        <f t="shared" si="19"/>
        <v>5.4533999999999994</v>
      </c>
      <c r="Y104" s="201">
        <f t="shared" si="20"/>
        <v>1.89</v>
      </c>
      <c r="Z104" s="201">
        <f t="shared" si="21"/>
        <v>7.35</v>
      </c>
      <c r="AA104" s="203">
        <f>+Table1[[#This Row],[calculated sale price]]</f>
        <v>7.35</v>
      </c>
      <c r="AB104" s="202"/>
      <c r="AC104" s="206"/>
      <c r="AD104" s="414"/>
    </row>
    <row r="105" spans="1:30" x14ac:dyDescent="0.25">
      <c r="A105" s="186">
        <v>1096</v>
      </c>
      <c r="B105" t="s">
        <v>493</v>
      </c>
      <c r="C105" s="186">
        <v>1</v>
      </c>
      <c r="I105" s="186"/>
      <c r="J105" s="186"/>
      <c r="K105" s="186"/>
      <c r="L105" s="197"/>
      <c r="M105" s="186"/>
      <c r="N105" s="198"/>
      <c r="O105" s="199">
        <v>1.43</v>
      </c>
      <c r="P105" s="199">
        <f>Table1[[#This Row],[unit cost]]</f>
        <v>1.43</v>
      </c>
      <c r="Q105" s="409">
        <v>4</v>
      </c>
      <c r="R105" s="186">
        <v>1</v>
      </c>
      <c r="S105" s="249">
        <f t="shared" si="15"/>
        <v>0.42</v>
      </c>
      <c r="T105" s="201">
        <f>Table1[[#This Row],[man minutes]]*Table1[[#This Row],[labor rate]]</f>
        <v>1.68</v>
      </c>
      <c r="U105" s="201">
        <f t="shared" si="18"/>
        <v>3.11</v>
      </c>
      <c r="V105" s="187">
        <f t="shared" si="17"/>
        <v>0.22</v>
      </c>
      <c r="W105" s="250">
        <f t="shared" si="16"/>
        <v>0.2</v>
      </c>
      <c r="X105" s="201">
        <f t="shared" si="19"/>
        <v>1.7445999999999999</v>
      </c>
      <c r="Y105" s="201">
        <f t="shared" si="20"/>
        <v>2.016</v>
      </c>
      <c r="Z105" s="201">
        <f t="shared" si="21"/>
        <v>3.7699999999999996</v>
      </c>
      <c r="AA105" s="203">
        <f>+Table1[[#This Row],[calculated sale price]]</f>
        <v>3.7699999999999996</v>
      </c>
      <c r="AB105" s="202"/>
      <c r="AC105" s="206"/>
      <c r="AD105" s="414"/>
    </row>
    <row r="106" spans="1:30" x14ac:dyDescent="0.25">
      <c r="A106" s="186">
        <v>1097</v>
      </c>
      <c r="B106" t="s">
        <v>494</v>
      </c>
      <c r="C106" s="186">
        <v>1</v>
      </c>
      <c r="I106" s="186"/>
      <c r="J106" s="186"/>
      <c r="K106" s="186"/>
      <c r="L106" s="197"/>
      <c r="M106" s="186"/>
      <c r="N106" s="198"/>
      <c r="O106" s="199">
        <v>4.4400000000000004</v>
      </c>
      <c r="P106" s="199">
        <f>Table1[[#This Row],[unit cost]]</f>
        <v>4.4400000000000004</v>
      </c>
      <c r="Q106" s="409">
        <v>2</v>
      </c>
      <c r="R106" s="186">
        <v>1</v>
      </c>
      <c r="S106" s="249">
        <f t="shared" si="15"/>
        <v>0.42</v>
      </c>
      <c r="T106" s="201">
        <f>Table1[[#This Row],[man minutes]]*Table1[[#This Row],[labor rate]]</f>
        <v>0.84</v>
      </c>
      <c r="U106" s="201">
        <f t="shared" si="18"/>
        <v>5.28</v>
      </c>
      <c r="V106" s="187">
        <f t="shared" si="17"/>
        <v>0.22</v>
      </c>
      <c r="W106" s="250">
        <f t="shared" si="16"/>
        <v>0.2</v>
      </c>
      <c r="X106" s="201">
        <f t="shared" si="19"/>
        <v>5.4168000000000003</v>
      </c>
      <c r="Y106" s="201">
        <f t="shared" si="20"/>
        <v>1.008</v>
      </c>
      <c r="Z106" s="201">
        <f t="shared" si="21"/>
        <v>6.43</v>
      </c>
      <c r="AA106" s="203">
        <f>+Table1[[#This Row],[calculated sale price]]</f>
        <v>6.43</v>
      </c>
      <c r="AB106" s="202"/>
      <c r="AC106" s="206"/>
      <c r="AD106" s="414"/>
    </row>
    <row r="107" spans="1:30" x14ac:dyDescent="0.25">
      <c r="A107" s="186">
        <v>1098</v>
      </c>
      <c r="B107" t="s">
        <v>495</v>
      </c>
      <c r="C107" s="186">
        <v>1</v>
      </c>
      <c r="I107" s="186"/>
      <c r="J107" s="186"/>
      <c r="K107" s="186"/>
      <c r="L107" s="197"/>
      <c r="M107" s="186"/>
      <c r="N107" s="198"/>
      <c r="O107" s="199">
        <v>2.0299999999999998</v>
      </c>
      <c r="P107" s="199">
        <f>Table1[[#This Row],[unit cost]]</f>
        <v>2.0299999999999998</v>
      </c>
      <c r="Q107" s="409">
        <v>2.75</v>
      </c>
      <c r="R107" s="186">
        <v>1</v>
      </c>
      <c r="S107" s="249">
        <f t="shared" si="15"/>
        <v>0.42</v>
      </c>
      <c r="T107" s="201">
        <f>Table1[[#This Row],[man minutes]]*Table1[[#This Row],[labor rate]]</f>
        <v>1.155</v>
      </c>
      <c r="U107" s="201">
        <f t="shared" si="18"/>
        <v>3.1849999999999996</v>
      </c>
      <c r="V107" s="187">
        <f t="shared" si="17"/>
        <v>0.22</v>
      </c>
      <c r="W107" s="250">
        <f t="shared" si="16"/>
        <v>0.2</v>
      </c>
      <c r="X107" s="201">
        <f t="shared" si="19"/>
        <v>2.4765999999999999</v>
      </c>
      <c r="Y107" s="201">
        <f t="shared" si="20"/>
        <v>1.3860000000000001</v>
      </c>
      <c r="Z107" s="201">
        <f t="shared" si="21"/>
        <v>3.8699999999999997</v>
      </c>
      <c r="AA107" s="203">
        <f>+Table1[[#This Row],[calculated sale price]]</f>
        <v>3.8699999999999997</v>
      </c>
      <c r="AB107" s="202"/>
      <c r="AC107" s="206"/>
      <c r="AD107" s="414"/>
    </row>
    <row r="108" spans="1:30" x14ac:dyDescent="0.25">
      <c r="A108" s="186">
        <v>1099</v>
      </c>
      <c r="B108" t="s">
        <v>496</v>
      </c>
      <c r="C108" s="186">
        <v>1</v>
      </c>
      <c r="I108" s="186"/>
      <c r="J108" s="186"/>
      <c r="K108" s="186"/>
      <c r="L108" s="197"/>
      <c r="M108" s="186"/>
      <c r="N108" s="198"/>
      <c r="O108" s="199">
        <v>1.02</v>
      </c>
      <c r="P108" s="199">
        <f>Table1[[#This Row],[unit cost]]</f>
        <v>1.02</v>
      </c>
      <c r="Q108" s="409">
        <v>1.5</v>
      </c>
      <c r="R108" s="186">
        <v>1</v>
      </c>
      <c r="S108" s="249">
        <f t="shared" si="15"/>
        <v>0.42</v>
      </c>
      <c r="T108" s="201">
        <f>Table1[[#This Row],[man minutes]]*Table1[[#This Row],[labor rate]]</f>
        <v>0.63</v>
      </c>
      <c r="U108" s="201">
        <f t="shared" si="18"/>
        <v>1.65</v>
      </c>
      <c r="V108" s="187">
        <f t="shared" si="17"/>
        <v>0.22</v>
      </c>
      <c r="W108" s="250">
        <f t="shared" si="16"/>
        <v>0.2</v>
      </c>
      <c r="X108" s="201">
        <f t="shared" si="19"/>
        <v>1.2444</v>
      </c>
      <c r="Y108" s="201">
        <f t="shared" si="20"/>
        <v>0.75600000000000001</v>
      </c>
      <c r="Z108" s="201">
        <f t="shared" si="21"/>
        <v>2.0099999999999998</v>
      </c>
      <c r="AA108" s="203">
        <f>+Table1[[#This Row],[calculated sale price]]</f>
        <v>2.0099999999999998</v>
      </c>
      <c r="AB108" s="202"/>
      <c r="AC108" s="206"/>
      <c r="AD108" s="414"/>
    </row>
    <row r="109" spans="1:30" x14ac:dyDescent="0.25">
      <c r="A109" s="186">
        <v>1100</v>
      </c>
      <c r="B109" t="s">
        <v>497</v>
      </c>
      <c r="C109" s="186">
        <v>1</v>
      </c>
      <c r="I109" s="186"/>
      <c r="J109" s="186"/>
      <c r="K109" s="186"/>
      <c r="L109" s="197"/>
      <c r="M109" s="186"/>
      <c r="N109" s="198"/>
      <c r="O109" s="199">
        <v>1.52</v>
      </c>
      <c r="P109" s="199">
        <f>Table1[[#This Row],[unit cost]]</f>
        <v>1.52</v>
      </c>
      <c r="Q109" s="409">
        <v>2</v>
      </c>
      <c r="R109" s="186">
        <v>1</v>
      </c>
      <c r="S109" s="249">
        <f t="shared" si="15"/>
        <v>0.42</v>
      </c>
      <c r="T109" s="201">
        <f>Table1[[#This Row],[man minutes]]*Table1[[#This Row],[labor rate]]</f>
        <v>0.84</v>
      </c>
      <c r="U109" s="201">
        <f t="shared" si="18"/>
        <v>2.36</v>
      </c>
      <c r="V109" s="187">
        <f t="shared" si="17"/>
        <v>0.22</v>
      </c>
      <c r="W109" s="250">
        <f t="shared" si="16"/>
        <v>0.2</v>
      </c>
      <c r="X109" s="201">
        <f t="shared" si="19"/>
        <v>1.8544</v>
      </c>
      <c r="Y109" s="201">
        <f t="shared" si="20"/>
        <v>1.008</v>
      </c>
      <c r="Z109" s="201">
        <f t="shared" si="21"/>
        <v>2.8699999999999997</v>
      </c>
      <c r="AA109" s="203">
        <f>+Table1[[#This Row],[calculated sale price]]</f>
        <v>2.8699999999999997</v>
      </c>
      <c r="AB109" s="202"/>
      <c r="AC109" s="206"/>
      <c r="AD109" s="414"/>
    </row>
    <row r="110" spans="1:30" x14ac:dyDescent="0.25">
      <c r="A110" s="186">
        <v>1101</v>
      </c>
      <c r="B110" t="s">
        <v>498</v>
      </c>
      <c r="C110" s="186">
        <v>1</v>
      </c>
      <c r="I110" s="186"/>
      <c r="J110" s="186"/>
      <c r="K110" s="186"/>
      <c r="L110" s="197"/>
      <c r="M110" s="186"/>
      <c r="N110" s="198"/>
      <c r="O110" s="199">
        <v>1.31</v>
      </c>
      <c r="P110" s="199">
        <f>Table1[[#This Row],[unit cost]]</f>
        <v>1.31</v>
      </c>
      <c r="Q110" s="409">
        <v>2.25</v>
      </c>
      <c r="R110" s="186">
        <v>1</v>
      </c>
      <c r="S110" s="249">
        <f t="shared" si="15"/>
        <v>0.42</v>
      </c>
      <c r="T110" s="201">
        <f>Table1[[#This Row],[man minutes]]*Table1[[#This Row],[labor rate]]</f>
        <v>0.94499999999999995</v>
      </c>
      <c r="U110" s="201">
        <f t="shared" si="18"/>
        <v>2.2549999999999999</v>
      </c>
      <c r="V110" s="187">
        <f t="shared" si="17"/>
        <v>0.22</v>
      </c>
      <c r="W110" s="250">
        <f t="shared" si="16"/>
        <v>0.2</v>
      </c>
      <c r="X110" s="201">
        <f t="shared" si="19"/>
        <v>1.5982000000000001</v>
      </c>
      <c r="Y110" s="201">
        <f t="shared" si="20"/>
        <v>1.1339999999999999</v>
      </c>
      <c r="Z110" s="201">
        <f t="shared" si="21"/>
        <v>2.7399999999999998</v>
      </c>
      <c r="AA110" s="203">
        <f>+Table1[[#This Row],[calculated sale price]]</f>
        <v>2.7399999999999998</v>
      </c>
      <c r="AB110" s="202"/>
      <c r="AC110" s="206"/>
      <c r="AD110" s="414"/>
    </row>
    <row r="111" spans="1:30" x14ac:dyDescent="0.25">
      <c r="A111" s="186">
        <v>1102</v>
      </c>
      <c r="B111" t="s">
        <v>499</v>
      </c>
      <c r="C111" s="186">
        <v>1</v>
      </c>
      <c r="I111" s="186"/>
      <c r="J111" s="186"/>
      <c r="K111" s="186"/>
      <c r="L111" s="197"/>
      <c r="M111" s="186"/>
      <c r="N111" s="198"/>
      <c r="O111" s="199">
        <v>4.42</v>
      </c>
      <c r="P111" s="199">
        <f>Table1[[#This Row],[unit cost]]</f>
        <v>4.42</v>
      </c>
      <c r="Q111" s="409">
        <v>2.5</v>
      </c>
      <c r="R111" s="186">
        <v>1</v>
      </c>
      <c r="S111" s="249">
        <f t="shared" si="15"/>
        <v>0.42</v>
      </c>
      <c r="T111" s="201">
        <f>Table1[[#This Row],[man minutes]]*Table1[[#This Row],[labor rate]]</f>
        <v>1.05</v>
      </c>
      <c r="U111" s="201">
        <f t="shared" si="18"/>
        <v>5.47</v>
      </c>
      <c r="V111" s="187">
        <f t="shared" si="17"/>
        <v>0.22</v>
      </c>
      <c r="W111" s="250">
        <f t="shared" si="16"/>
        <v>0.2</v>
      </c>
      <c r="X111" s="201">
        <f t="shared" si="19"/>
        <v>5.3923999999999994</v>
      </c>
      <c r="Y111" s="201">
        <f t="shared" si="20"/>
        <v>1.26</v>
      </c>
      <c r="Z111" s="201">
        <f t="shared" si="21"/>
        <v>6.66</v>
      </c>
      <c r="AA111" s="203">
        <f>+Table1[[#This Row],[calculated sale price]]</f>
        <v>6.66</v>
      </c>
      <c r="AB111" s="202"/>
      <c r="AC111" s="206"/>
      <c r="AD111" s="414"/>
    </row>
    <row r="112" spans="1:30" x14ac:dyDescent="0.25">
      <c r="A112" s="186">
        <v>1103</v>
      </c>
      <c r="B112" t="s">
        <v>500</v>
      </c>
      <c r="C112" s="186">
        <v>1</v>
      </c>
      <c r="I112" s="186"/>
      <c r="J112" s="186"/>
      <c r="K112" s="186"/>
      <c r="L112" s="197"/>
      <c r="M112" s="186"/>
      <c r="N112" s="198"/>
      <c r="O112" s="199">
        <v>3.47</v>
      </c>
      <c r="P112" s="199">
        <f>Table1[[#This Row],[unit cost]]</f>
        <v>3.47</v>
      </c>
      <c r="Q112" s="409">
        <v>4.5</v>
      </c>
      <c r="R112" s="186">
        <v>1</v>
      </c>
      <c r="S112" s="249">
        <f t="shared" si="15"/>
        <v>0.42</v>
      </c>
      <c r="T112" s="201">
        <f>Table1[[#This Row],[man minutes]]*Table1[[#This Row],[labor rate]]</f>
        <v>1.89</v>
      </c>
      <c r="U112" s="201">
        <f t="shared" si="18"/>
        <v>5.36</v>
      </c>
      <c r="V112" s="187">
        <f t="shared" si="17"/>
        <v>0.22</v>
      </c>
      <c r="W112" s="250">
        <f t="shared" si="16"/>
        <v>0.2</v>
      </c>
      <c r="X112" s="201">
        <f t="shared" si="19"/>
        <v>4.2334000000000005</v>
      </c>
      <c r="Y112" s="201">
        <f t="shared" si="20"/>
        <v>2.2679999999999998</v>
      </c>
      <c r="Z112" s="201">
        <f t="shared" si="21"/>
        <v>6.51</v>
      </c>
      <c r="AA112" s="203">
        <f>+Table1[[#This Row],[calculated sale price]]</f>
        <v>6.51</v>
      </c>
      <c r="AB112" s="202"/>
      <c r="AC112" s="206"/>
      <c r="AD112" s="414"/>
    </row>
    <row r="113" spans="1:30" x14ac:dyDescent="0.25">
      <c r="A113" s="186">
        <v>1104</v>
      </c>
      <c r="B113" t="s">
        <v>501</v>
      </c>
      <c r="C113" s="186">
        <v>1</v>
      </c>
      <c r="I113" s="186"/>
      <c r="J113" s="186"/>
      <c r="K113" s="186"/>
      <c r="L113" s="197"/>
      <c r="M113" s="186"/>
      <c r="N113" s="198"/>
      <c r="O113" s="199">
        <v>4.04</v>
      </c>
      <c r="P113" s="199">
        <f>Table1[[#This Row],[unit cost]]</f>
        <v>4.04</v>
      </c>
      <c r="Q113" s="409">
        <v>4.5</v>
      </c>
      <c r="R113" s="186">
        <v>1</v>
      </c>
      <c r="S113" s="249">
        <f t="shared" si="15"/>
        <v>0.42</v>
      </c>
      <c r="T113" s="201">
        <f>Table1[[#This Row],[man minutes]]*Table1[[#This Row],[labor rate]]</f>
        <v>1.89</v>
      </c>
      <c r="U113" s="201">
        <f t="shared" si="18"/>
        <v>5.93</v>
      </c>
      <c r="V113" s="187">
        <f t="shared" si="17"/>
        <v>0.22</v>
      </c>
      <c r="W113" s="250">
        <f t="shared" si="16"/>
        <v>0.2</v>
      </c>
      <c r="X113" s="201">
        <f t="shared" si="19"/>
        <v>4.9287999999999998</v>
      </c>
      <c r="Y113" s="201">
        <f t="shared" si="20"/>
        <v>2.2679999999999998</v>
      </c>
      <c r="Z113" s="201">
        <f t="shared" si="21"/>
        <v>7.2</v>
      </c>
      <c r="AA113" s="203">
        <f>+Table1[[#This Row],[calculated sale price]]</f>
        <v>7.2</v>
      </c>
      <c r="AB113" s="202"/>
      <c r="AC113" s="206"/>
      <c r="AD113" s="414"/>
    </row>
    <row r="114" spans="1:30" x14ac:dyDescent="0.25">
      <c r="A114" s="186">
        <v>1105</v>
      </c>
      <c r="B114" t="s">
        <v>502</v>
      </c>
      <c r="C114" s="186">
        <v>1</v>
      </c>
      <c r="I114" s="186"/>
      <c r="J114" s="186"/>
      <c r="K114" s="186"/>
      <c r="L114" s="197"/>
      <c r="M114" s="186"/>
      <c r="N114" s="198"/>
      <c r="O114" s="199">
        <v>1.8908519783774043</v>
      </c>
      <c r="P114" s="199">
        <f>Table1[[#This Row],[unit cost]]</f>
        <v>1.8908519783774043</v>
      </c>
      <c r="Q114" s="409">
        <v>3.25</v>
      </c>
      <c r="R114" s="186">
        <v>1</v>
      </c>
      <c r="S114" s="249">
        <f t="shared" si="15"/>
        <v>0.42</v>
      </c>
      <c r="T114" s="201">
        <f>Table1[[#This Row],[man minutes]]*Table1[[#This Row],[labor rate]]</f>
        <v>1.365</v>
      </c>
      <c r="U114" s="201">
        <f t="shared" si="18"/>
        <v>3.2558519783774043</v>
      </c>
      <c r="V114" s="187">
        <f t="shared" si="17"/>
        <v>0.22</v>
      </c>
      <c r="W114" s="250">
        <f t="shared" si="16"/>
        <v>0.2</v>
      </c>
      <c r="X114" s="201">
        <f t="shared" si="19"/>
        <v>2.3068394136204331</v>
      </c>
      <c r="Y114" s="201">
        <f t="shared" si="20"/>
        <v>1.6379999999999999</v>
      </c>
      <c r="Z114" s="201">
        <f t="shared" si="21"/>
        <v>3.9499999999999997</v>
      </c>
      <c r="AA114" s="203">
        <f>+Table1[[#This Row],[calculated sale price]]</f>
        <v>3.9499999999999997</v>
      </c>
      <c r="AB114" s="202"/>
      <c r="AC114" s="206"/>
      <c r="AD114" s="414"/>
    </row>
    <row r="115" spans="1:30" x14ac:dyDescent="0.25">
      <c r="A115" s="186">
        <v>1106</v>
      </c>
      <c r="B115" t="s">
        <v>503</v>
      </c>
      <c r="C115" s="186">
        <v>1</v>
      </c>
      <c r="I115" s="186"/>
      <c r="J115" s="186"/>
      <c r="K115" s="186"/>
      <c r="L115" s="197"/>
      <c r="M115" s="186"/>
      <c r="N115" s="198"/>
      <c r="O115" s="199">
        <v>1.97</v>
      </c>
      <c r="P115" s="199">
        <f>Table1[[#This Row],[unit cost]]</f>
        <v>1.97</v>
      </c>
      <c r="Q115" s="409">
        <v>2.5</v>
      </c>
      <c r="R115" s="186">
        <v>1</v>
      </c>
      <c r="S115" s="249">
        <f t="shared" si="15"/>
        <v>0.42</v>
      </c>
      <c r="T115" s="201">
        <f>Table1[[#This Row],[man minutes]]*Table1[[#This Row],[labor rate]]</f>
        <v>1.05</v>
      </c>
      <c r="U115" s="201">
        <f t="shared" si="18"/>
        <v>3.02</v>
      </c>
      <c r="V115" s="187">
        <f t="shared" si="17"/>
        <v>0.22</v>
      </c>
      <c r="W115" s="250">
        <f t="shared" si="16"/>
        <v>0.2</v>
      </c>
      <c r="X115" s="201">
        <f t="shared" si="19"/>
        <v>2.4034</v>
      </c>
      <c r="Y115" s="201">
        <f t="shared" si="20"/>
        <v>1.26</v>
      </c>
      <c r="Z115" s="201">
        <f t="shared" si="21"/>
        <v>3.67</v>
      </c>
      <c r="AA115" s="203">
        <f>+Table1[[#This Row],[calculated sale price]]</f>
        <v>3.67</v>
      </c>
      <c r="AB115" s="202"/>
      <c r="AC115" s="206"/>
      <c r="AD115" s="414"/>
    </row>
    <row r="116" spans="1:30" x14ac:dyDescent="0.25">
      <c r="A116" s="186">
        <v>1107</v>
      </c>
      <c r="B116" t="s">
        <v>504</v>
      </c>
      <c r="C116" s="186">
        <v>1</v>
      </c>
      <c r="I116" s="186"/>
      <c r="J116" s="186"/>
      <c r="K116" s="186"/>
      <c r="L116" s="197"/>
      <c r="M116" s="186"/>
      <c r="N116" s="198"/>
      <c r="O116" s="199">
        <v>1.29</v>
      </c>
      <c r="P116" s="199">
        <f>Table1[[#This Row],[unit cost]]</f>
        <v>1.29</v>
      </c>
      <c r="Q116" s="409">
        <v>2.5</v>
      </c>
      <c r="R116" s="186">
        <v>1</v>
      </c>
      <c r="S116" s="249">
        <f t="shared" si="15"/>
        <v>0.42</v>
      </c>
      <c r="T116" s="201">
        <f>Table1[[#This Row],[man minutes]]*Table1[[#This Row],[labor rate]]</f>
        <v>1.05</v>
      </c>
      <c r="U116" s="201">
        <f t="shared" si="18"/>
        <v>2.34</v>
      </c>
      <c r="V116" s="187">
        <f t="shared" si="17"/>
        <v>0.22</v>
      </c>
      <c r="W116" s="250">
        <f t="shared" si="16"/>
        <v>0.2</v>
      </c>
      <c r="X116" s="201">
        <f t="shared" si="19"/>
        <v>1.5738000000000001</v>
      </c>
      <c r="Y116" s="201">
        <f t="shared" si="20"/>
        <v>1.26</v>
      </c>
      <c r="Z116" s="201">
        <f t="shared" si="21"/>
        <v>2.84</v>
      </c>
      <c r="AA116" s="203">
        <f>+Table1[[#This Row],[calculated sale price]]</f>
        <v>2.84</v>
      </c>
      <c r="AB116" s="202"/>
      <c r="AC116" s="206"/>
      <c r="AD116" s="414"/>
    </row>
    <row r="117" spans="1:30" x14ac:dyDescent="0.25">
      <c r="A117" s="186">
        <v>1108</v>
      </c>
      <c r="B117" t="s">
        <v>419</v>
      </c>
      <c r="C117" s="186">
        <v>1</v>
      </c>
      <c r="I117" s="186"/>
      <c r="J117" s="186"/>
      <c r="K117" s="186"/>
      <c r="L117" s="197"/>
      <c r="M117" s="186"/>
      <c r="N117" s="198"/>
      <c r="O117" s="199">
        <v>0.55000000000000004</v>
      </c>
      <c r="P117" s="199">
        <f>Table1[[#This Row],[unit cost]]</f>
        <v>0.55000000000000004</v>
      </c>
      <c r="Q117" s="409">
        <v>2</v>
      </c>
      <c r="R117" s="186">
        <v>1</v>
      </c>
      <c r="S117" s="249">
        <f t="shared" si="15"/>
        <v>0.42</v>
      </c>
      <c r="T117" s="201">
        <f>Table1[[#This Row],[man minutes]]*Table1[[#This Row],[labor rate]]</f>
        <v>0.84</v>
      </c>
      <c r="U117" s="201">
        <f t="shared" si="18"/>
        <v>1.3900000000000001</v>
      </c>
      <c r="V117" s="187">
        <f t="shared" si="17"/>
        <v>0.22</v>
      </c>
      <c r="W117" s="250">
        <f t="shared" si="16"/>
        <v>0.2</v>
      </c>
      <c r="X117" s="201">
        <f t="shared" si="19"/>
        <v>0.67100000000000004</v>
      </c>
      <c r="Y117" s="201">
        <f t="shared" si="20"/>
        <v>1.008</v>
      </c>
      <c r="Z117" s="201">
        <f t="shared" si="21"/>
        <v>1.68</v>
      </c>
      <c r="AA117" s="203">
        <f>+Table1[[#This Row],[calculated sale price]]</f>
        <v>1.68</v>
      </c>
      <c r="AB117" s="202"/>
      <c r="AC117" s="206"/>
      <c r="AD117" s="414"/>
    </row>
    <row r="118" spans="1:30" x14ac:dyDescent="0.25">
      <c r="A118" s="186">
        <v>1109</v>
      </c>
      <c r="B118" t="s">
        <v>505</v>
      </c>
      <c r="C118" s="186">
        <v>1</v>
      </c>
      <c r="I118" s="186"/>
      <c r="J118" s="186"/>
      <c r="K118" s="186"/>
      <c r="L118" s="197"/>
      <c r="M118" s="186"/>
      <c r="N118" s="198"/>
      <c r="O118" s="199">
        <v>8.33</v>
      </c>
      <c r="P118" s="199">
        <f>Table1[[#This Row],[unit cost]]</f>
        <v>8.33</v>
      </c>
      <c r="Q118" s="409">
        <v>0.5</v>
      </c>
      <c r="R118" s="186">
        <v>1</v>
      </c>
      <c r="S118" s="249">
        <f t="shared" si="15"/>
        <v>0.42</v>
      </c>
      <c r="T118" s="201">
        <f>Table1[[#This Row],[man minutes]]*Table1[[#This Row],[labor rate]]</f>
        <v>0.21</v>
      </c>
      <c r="U118" s="201">
        <f t="shared" si="18"/>
        <v>8.5400000000000009</v>
      </c>
      <c r="V118" s="187">
        <f t="shared" si="17"/>
        <v>0.22</v>
      </c>
      <c r="W118" s="250">
        <f t="shared" si="16"/>
        <v>0.2</v>
      </c>
      <c r="X118" s="201">
        <f t="shared" si="19"/>
        <v>10.162599999999999</v>
      </c>
      <c r="Y118" s="201">
        <f t="shared" si="20"/>
        <v>0.252</v>
      </c>
      <c r="Z118" s="201">
        <f t="shared" si="21"/>
        <v>10.42</v>
      </c>
      <c r="AA118" s="203">
        <f>+Table1[[#This Row],[calculated sale price]]</f>
        <v>10.42</v>
      </c>
      <c r="AB118" s="202"/>
      <c r="AC118" s="206"/>
      <c r="AD118" s="414"/>
    </row>
    <row r="119" spans="1:30" x14ac:dyDescent="0.25">
      <c r="A119" s="186">
        <v>1110</v>
      </c>
      <c r="B119" t="s">
        <v>506</v>
      </c>
      <c r="C119" s="186">
        <v>1</v>
      </c>
      <c r="I119" s="186"/>
      <c r="J119" s="186"/>
      <c r="K119" s="186"/>
      <c r="L119" s="197"/>
      <c r="M119" s="186"/>
      <c r="N119" s="198"/>
      <c r="O119" s="199">
        <v>3.39</v>
      </c>
      <c r="P119" s="199">
        <f>Table1[[#This Row],[unit cost]]</f>
        <v>3.39</v>
      </c>
      <c r="Q119" s="409">
        <v>1</v>
      </c>
      <c r="R119" s="186">
        <v>1</v>
      </c>
      <c r="S119" s="249">
        <f t="shared" si="15"/>
        <v>0.42</v>
      </c>
      <c r="T119" s="201">
        <f>Table1[[#This Row],[man minutes]]*Table1[[#This Row],[labor rate]]</f>
        <v>0.42</v>
      </c>
      <c r="U119" s="201">
        <f t="shared" si="18"/>
        <v>3.81</v>
      </c>
      <c r="V119" s="187">
        <f t="shared" si="17"/>
        <v>0.22</v>
      </c>
      <c r="W119" s="250">
        <f t="shared" si="16"/>
        <v>0.2</v>
      </c>
      <c r="X119" s="201">
        <f t="shared" si="19"/>
        <v>4.1357999999999997</v>
      </c>
      <c r="Y119" s="201">
        <f t="shared" si="20"/>
        <v>0.504</v>
      </c>
      <c r="Z119" s="201">
        <f t="shared" si="21"/>
        <v>4.6399999999999997</v>
      </c>
      <c r="AA119" s="203">
        <f>+Table1[[#This Row],[calculated sale price]]</f>
        <v>4.6399999999999997</v>
      </c>
      <c r="AB119" s="202"/>
      <c r="AC119" s="206"/>
      <c r="AD119" s="414"/>
    </row>
    <row r="120" spans="1:30" x14ac:dyDescent="0.25">
      <c r="A120" s="186">
        <v>1111</v>
      </c>
      <c r="B120" t="s">
        <v>507</v>
      </c>
      <c r="C120" s="186">
        <v>1</v>
      </c>
      <c r="I120" s="186"/>
      <c r="J120" s="186"/>
      <c r="K120" s="186"/>
      <c r="L120" s="197"/>
      <c r="M120" s="186"/>
      <c r="N120" s="198"/>
      <c r="O120" s="199">
        <v>0</v>
      </c>
      <c r="P120" s="199">
        <f>Table1[[#This Row],[unit cost]]</f>
        <v>0</v>
      </c>
      <c r="Q120" s="399">
        <v>1.5</v>
      </c>
      <c r="R120" s="186">
        <v>1</v>
      </c>
      <c r="S120" s="249">
        <f t="shared" si="15"/>
        <v>0.42</v>
      </c>
      <c r="T120" s="201">
        <f>Table1[[#This Row],[man minutes]]*Table1[[#This Row],[labor rate]]</f>
        <v>0.63</v>
      </c>
      <c r="U120" s="201">
        <f t="shared" si="18"/>
        <v>0.63</v>
      </c>
      <c r="V120" s="187">
        <f t="shared" si="17"/>
        <v>0.22</v>
      </c>
      <c r="W120" s="250">
        <f t="shared" si="16"/>
        <v>0.2</v>
      </c>
      <c r="X120" s="201">
        <f t="shared" si="19"/>
        <v>0</v>
      </c>
      <c r="Y120" s="201">
        <f t="shared" si="20"/>
        <v>0.75600000000000001</v>
      </c>
      <c r="Z120" s="201">
        <f t="shared" si="21"/>
        <v>0.76</v>
      </c>
      <c r="AA120" s="203">
        <f>+Table1[[#This Row],[calculated sale price]]</f>
        <v>0.76</v>
      </c>
      <c r="AB120" s="202"/>
      <c r="AC120" s="206"/>
      <c r="AD120" s="414"/>
    </row>
    <row r="121" spans="1:30" x14ac:dyDescent="0.25">
      <c r="A121" s="186">
        <v>1112</v>
      </c>
      <c r="B121" t="s">
        <v>508</v>
      </c>
      <c r="C121" s="186">
        <v>1</v>
      </c>
      <c r="I121" s="186"/>
      <c r="J121" s="186"/>
      <c r="K121" s="186"/>
      <c r="L121" s="197"/>
      <c r="M121" s="186"/>
      <c r="N121" s="198"/>
      <c r="O121" s="199">
        <v>0.29738124999999999</v>
      </c>
      <c r="P121" s="199">
        <f>Table1[[#This Row],[unit cost]]</f>
        <v>0.29738124999999999</v>
      </c>
      <c r="Q121" s="409">
        <v>0.25</v>
      </c>
      <c r="R121" s="186">
        <v>1</v>
      </c>
      <c r="S121" s="249">
        <f t="shared" si="15"/>
        <v>0.42</v>
      </c>
      <c r="T121" s="201">
        <f>Table1[[#This Row],[man minutes]]*Table1[[#This Row],[labor rate]]</f>
        <v>0.105</v>
      </c>
      <c r="U121" s="201">
        <f t="shared" si="18"/>
        <v>0.40238124999999997</v>
      </c>
      <c r="V121" s="187">
        <f t="shared" si="17"/>
        <v>0.22</v>
      </c>
      <c r="W121" s="250">
        <f t="shared" si="16"/>
        <v>0.2</v>
      </c>
      <c r="X121" s="201">
        <f t="shared" si="19"/>
        <v>0.36280512499999995</v>
      </c>
      <c r="Y121" s="201">
        <f t="shared" si="20"/>
        <v>0.126</v>
      </c>
      <c r="Z121" s="201">
        <f t="shared" si="21"/>
        <v>0.49</v>
      </c>
      <c r="AA121" s="203">
        <f>+Table1[[#This Row],[calculated sale price]]</f>
        <v>0.49</v>
      </c>
      <c r="AB121" s="202"/>
      <c r="AC121" s="206"/>
      <c r="AD121" s="414"/>
    </row>
    <row r="122" spans="1:30" x14ac:dyDescent="0.25">
      <c r="A122" s="186">
        <v>1113</v>
      </c>
      <c r="B122" t="s">
        <v>509</v>
      </c>
      <c r="C122" s="186">
        <v>1</v>
      </c>
      <c r="I122" s="186"/>
      <c r="J122" s="186"/>
      <c r="K122" s="186"/>
      <c r="L122" s="197"/>
      <c r="M122" s="186"/>
      <c r="N122" s="198"/>
      <c r="O122" s="199">
        <v>0.3</v>
      </c>
      <c r="P122" s="199">
        <f>Table1[[#This Row],[unit cost]]</f>
        <v>0.3</v>
      </c>
      <c r="Q122" s="409">
        <v>0.25</v>
      </c>
      <c r="R122" s="186">
        <v>1</v>
      </c>
      <c r="S122" s="249">
        <f t="shared" si="15"/>
        <v>0.42</v>
      </c>
      <c r="T122" s="201">
        <f>Table1[[#This Row],[man minutes]]*Table1[[#This Row],[labor rate]]</f>
        <v>0.105</v>
      </c>
      <c r="U122" s="201">
        <f t="shared" si="18"/>
        <v>0.40499999999999997</v>
      </c>
      <c r="V122" s="187">
        <f t="shared" si="17"/>
        <v>0.22</v>
      </c>
      <c r="W122" s="250">
        <f t="shared" si="16"/>
        <v>0.2</v>
      </c>
      <c r="X122" s="201">
        <f t="shared" si="19"/>
        <v>0.36599999999999999</v>
      </c>
      <c r="Y122" s="201">
        <f t="shared" si="20"/>
        <v>0.126</v>
      </c>
      <c r="Z122" s="201">
        <f t="shared" si="21"/>
        <v>0.5</v>
      </c>
      <c r="AA122" s="203">
        <f>+Table1[[#This Row],[calculated sale price]]</f>
        <v>0.5</v>
      </c>
      <c r="AB122" s="202"/>
      <c r="AC122" s="206"/>
      <c r="AD122" s="414"/>
    </row>
    <row r="123" spans="1:30" x14ac:dyDescent="0.25">
      <c r="A123" s="186">
        <v>1114</v>
      </c>
      <c r="B123" t="s">
        <v>510</v>
      </c>
      <c r="C123" s="186">
        <v>1</v>
      </c>
      <c r="I123" s="186"/>
      <c r="J123" s="186"/>
      <c r="K123" s="186"/>
      <c r="L123" s="197"/>
      <c r="M123" s="186"/>
      <c r="N123" s="198"/>
      <c r="O123" s="199">
        <v>1.24</v>
      </c>
      <c r="P123" s="199">
        <f>Table1[[#This Row],[unit cost]]</f>
        <v>1.24</v>
      </c>
      <c r="Q123" s="409">
        <v>1.3</v>
      </c>
      <c r="R123" s="186">
        <v>1</v>
      </c>
      <c r="S123" s="249">
        <f t="shared" si="15"/>
        <v>0.42</v>
      </c>
      <c r="T123" s="201">
        <f>Table1[[#This Row],[man minutes]]*Table1[[#This Row],[labor rate]]</f>
        <v>0.54600000000000004</v>
      </c>
      <c r="U123" s="201">
        <f t="shared" si="18"/>
        <v>1.786</v>
      </c>
      <c r="V123" s="187">
        <f t="shared" si="17"/>
        <v>0.22</v>
      </c>
      <c r="W123" s="250">
        <f t="shared" si="16"/>
        <v>0.2</v>
      </c>
      <c r="X123" s="201">
        <f t="shared" si="19"/>
        <v>1.5127999999999999</v>
      </c>
      <c r="Y123" s="201">
        <f t="shared" si="20"/>
        <v>0.6552</v>
      </c>
      <c r="Z123" s="201">
        <f t="shared" si="21"/>
        <v>2.17</v>
      </c>
      <c r="AA123" s="203">
        <f>+Table1[[#This Row],[calculated sale price]]</f>
        <v>2.17</v>
      </c>
      <c r="AB123" s="202"/>
      <c r="AC123" s="206"/>
      <c r="AD123" s="414"/>
    </row>
    <row r="124" spans="1:30" x14ac:dyDescent="0.25">
      <c r="A124" s="186">
        <v>1115</v>
      </c>
      <c r="B124" s="402" t="s">
        <v>511</v>
      </c>
      <c r="C124" s="186">
        <v>1</v>
      </c>
      <c r="I124" s="186"/>
      <c r="J124" s="186"/>
      <c r="K124" s="186"/>
      <c r="L124" s="197"/>
      <c r="M124" s="186"/>
      <c r="N124" s="198"/>
      <c r="O124" s="400">
        <v>8.91</v>
      </c>
      <c r="P124" s="199">
        <f>Table1[[#This Row],[unit cost]]</f>
        <v>8.91</v>
      </c>
      <c r="Q124" s="399">
        <v>4.5</v>
      </c>
      <c r="R124" s="186">
        <v>1</v>
      </c>
      <c r="S124" s="249">
        <f t="shared" si="15"/>
        <v>0.42</v>
      </c>
      <c r="T124" s="201">
        <f>Table1[[#This Row],[man minutes]]*Table1[[#This Row],[labor rate]]</f>
        <v>1.89</v>
      </c>
      <c r="U124" s="201">
        <f t="shared" si="18"/>
        <v>10.8</v>
      </c>
      <c r="V124" s="187">
        <f t="shared" si="17"/>
        <v>0.22</v>
      </c>
      <c r="W124" s="250">
        <f t="shared" si="16"/>
        <v>0.2</v>
      </c>
      <c r="X124" s="201">
        <f t="shared" si="19"/>
        <v>10.870200000000001</v>
      </c>
      <c r="Y124" s="201">
        <f t="shared" si="20"/>
        <v>2.2679999999999998</v>
      </c>
      <c r="Z124" s="201">
        <f t="shared" si="21"/>
        <v>13.14</v>
      </c>
      <c r="AA124" s="203">
        <f>+Table1[[#This Row],[calculated sale price]]</f>
        <v>13.14</v>
      </c>
      <c r="AB124" s="202"/>
      <c r="AC124" s="206"/>
      <c r="AD124" s="414"/>
    </row>
    <row r="125" spans="1:30" x14ac:dyDescent="0.25">
      <c r="A125" s="186">
        <v>1116</v>
      </c>
      <c r="B125" t="s">
        <v>512</v>
      </c>
      <c r="C125" s="186">
        <v>1</v>
      </c>
      <c r="I125" s="186"/>
      <c r="J125" s="186"/>
      <c r="K125" s="186"/>
      <c r="L125" s="197"/>
      <c r="M125" s="186"/>
      <c r="N125" s="198"/>
      <c r="O125" s="400">
        <v>1.96</v>
      </c>
      <c r="P125" s="199">
        <f>Table1[[#This Row],[unit cost]]</f>
        <v>1.96</v>
      </c>
      <c r="Q125" s="399">
        <v>4.5</v>
      </c>
      <c r="R125" s="186">
        <v>1</v>
      </c>
      <c r="S125" s="249">
        <f t="shared" ref="S125:S188" si="22">$S$2</f>
        <v>0.42</v>
      </c>
      <c r="T125" s="201">
        <f>Table1[[#This Row],[man minutes]]*Table1[[#This Row],[labor rate]]</f>
        <v>1.89</v>
      </c>
      <c r="U125" s="201">
        <f t="shared" si="18"/>
        <v>3.8499999999999996</v>
      </c>
      <c r="V125" s="187">
        <f t="shared" si="17"/>
        <v>0.22</v>
      </c>
      <c r="W125" s="250">
        <f t="shared" si="16"/>
        <v>0.2</v>
      </c>
      <c r="X125" s="201">
        <f t="shared" si="19"/>
        <v>2.3912</v>
      </c>
      <c r="Y125" s="201">
        <f t="shared" si="20"/>
        <v>2.2679999999999998</v>
      </c>
      <c r="Z125" s="201">
        <f t="shared" si="21"/>
        <v>4.66</v>
      </c>
      <c r="AA125" s="203">
        <f>+Table1[[#This Row],[calculated sale price]]</f>
        <v>4.66</v>
      </c>
      <c r="AB125" s="202"/>
      <c r="AC125" s="206"/>
      <c r="AD125" s="414"/>
    </row>
    <row r="126" spans="1:30" x14ac:dyDescent="0.25">
      <c r="A126" s="186">
        <v>1117</v>
      </c>
      <c r="B126" t="s">
        <v>513</v>
      </c>
      <c r="C126" s="186">
        <v>1</v>
      </c>
      <c r="I126" s="186"/>
      <c r="J126" s="186"/>
      <c r="K126" s="186"/>
      <c r="L126" s="197"/>
      <c r="M126" s="186"/>
      <c r="N126" s="198"/>
      <c r="O126" s="400">
        <v>2.64</v>
      </c>
      <c r="P126" s="199">
        <f>Table1[[#This Row],[unit cost]]</f>
        <v>2.64</v>
      </c>
      <c r="Q126" s="399">
        <v>3.25</v>
      </c>
      <c r="R126" s="186">
        <v>1</v>
      </c>
      <c r="S126" s="249">
        <f t="shared" si="22"/>
        <v>0.42</v>
      </c>
      <c r="T126" s="201">
        <f>Table1[[#This Row],[man minutes]]*Table1[[#This Row],[labor rate]]</f>
        <v>1.365</v>
      </c>
      <c r="U126" s="201">
        <f t="shared" si="18"/>
        <v>4.0049999999999999</v>
      </c>
      <c r="V126" s="187">
        <f t="shared" si="17"/>
        <v>0.22</v>
      </c>
      <c r="W126" s="250">
        <f t="shared" ref="W126:W189" si="23">$W$2</f>
        <v>0.2</v>
      </c>
      <c r="X126" s="201">
        <f t="shared" si="19"/>
        <v>3.2208000000000001</v>
      </c>
      <c r="Y126" s="201">
        <f t="shared" si="20"/>
        <v>1.6379999999999999</v>
      </c>
      <c r="Z126" s="201">
        <f t="shared" si="21"/>
        <v>4.8599999999999994</v>
      </c>
      <c r="AA126" s="203">
        <f>+Table1[[#This Row],[calculated sale price]]</f>
        <v>4.8599999999999994</v>
      </c>
      <c r="AB126" s="202"/>
      <c r="AC126" s="206"/>
      <c r="AD126" s="414"/>
    </row>
    <row r="127" spans="1:30" x14ac:dyDescent="0.25">
      <c r="A127" s="186">
        <v>1118</v>
      </c>
      <c r="B127" t="s">
        <v>514</v>
      </c>
      <c r="C127" s="186">
        <v>1</v>
      </c>
      <c r="I127" s="186"/>
      <c r="J127" s="186"/>
      <c r="K127" s="186"/>
      <c r="L127" s="197"/>
      <c r="M127" s="186"/>
      <c r="N127" s="198"/>
      <c r="O127" s="199">
        <v>0.89</v>
      </c>
      <c r="P127" s="199">
        <f>Table1[[#This Row],[unit cost]]</f>
        <v>0.89</v>
      </c>
      <c r="Q127" s="409">
        <v>1</v>
      </c>
      <c r="R127" s="186">
        <v>1</v>
      </c>
      <c r="S127" s="249">
        <f t="shared" si="22"/>
        <v>0.42</v>
      </c>
      <c r="T127" s="201">
        <f>Table1[[#This Row],[man minutes]]*Table1[[#This Row],[labor rate]]</f>
        <v>0.42</v>
      </c>
      <c r="U127" s="201">
        <f t="shared" si="18"/>
        <v>1.31</v>
      </c>
      <c r="V127" s="187">
        <f t="shared" si="17"/>
        <v>0.22</v>
      </c>
      <c r="W127" s="250">
        <f t="shared" si="23"/>
        <v>0.2</v>
      </c>
      <c r="X127" s="201">
        <f t="shared" si="19"/>
        <v>1.0858000000000001</v>
      </c>
      <c r="Y127" s="201">
        <f t="shared" si="20"/>
        <v>0.504</v>
      </c>
      <c r="Z127" s="201">
        <f t="shared" si="21"/>
        <v>1.59</v>
      </c>
      <c r="AA127" s="203">
        <f>+Table1[[#This Row],[calculated sale price]]</f>
        <v>1.59</v>
      </c>
      <c r="AB127" s="202"/>
      <c r="AC127" s="206"/>
      <c r="AD127" s="414"/>
    </row>
    <row r="128" spans="1:30" x14ac:dyDescent="0.25">
      <c r="A128" s="186">
        <v>1119</v>
      </c>
      <c r="B128" t="s">
        <v>515</v>
      </c>
      <c r="C128" s="186">
        <v>1</v>
      </c>
      <c r="I128" s="186"/>
      <c r="J128" s="186"/>
      <c r="K128" s="186"/>
      <c r="L128" s="197"/>
      <c r="M128" s="186"/>
      <c r="N128" s="198"/>
      <c r="O128" s="400">
        <v>1.2</v>
      </c>
      <c r="P128" s="199">
        <f>Table1[[#This Row],[unit cost]]</f>
        <v>1.2</v>
      </c>
      <c r="Q128" s="409">
        <v>1.75</v>
      </c>
      <c r="R128" s="186">
        <v>1</v>
      </c>
      <c r="S128" s="249">
        <f t="shared" si="22"/>
        <v>0.42</v>
      </c>
      <c r="T128" s="201">
        <f>Table1[[#This Row],[man minutes]]*Table1[[#This Row],[labor rate]]</f>
        <v>0.73499999999999999</v>
      </c>
      <c r="U128" s="201">
        <f t="shared" si="18"/>
        <v>1.9350000000000001</v>
      </c>
      <c r="V128" s="187">
        <f t="shared" si="17"/>
        <v>0.22</v>
      </c>
      <c r="W128" s="250">
        <f t="shared" si="23"/>
        <v>0.2</v>
      </c>
      <c r="X128" s="201">
        <f t="shared" si="19"/>
        <v>1.464</v>
      </c>
      <c r="Y128" s="201">
        <f t="shared" si="20"/>
        <v>0.88200000000000001</v>
      </c>
      <c r="Z128" s="201">
        <f t="shared" si="21"/>
        <v>2.3499999999999996</v>
      </c>
      <c r="AA128" s="203">
        <f>+Table1[[#This Row],[calculated sale price]]</f>
        <v>2.3499999999999996</v>
      </c>
      <c r="AB128" s="202"/>
      <c r="AC128" s="206"/>
      <c r="AD128" s="414"/>
    </row>
    <row r="129" spans="1:30" x14ac:dyDescent="0.25">
      <c r="A129" s="186">
        <v>1120</v>
      </c>
      <c r="B129" t="s">
        <v>516</v>
      </c>
      <c r="C129" s="186">
        <v>1</v>
      </c>
      <c r="I129" s="186"/>
      <c r="J129" s="186"/>
      <c r="K129" s="186"/>
      <c r="L129" s="197"/>
      <c r="M129" s="186"/>
      <c r="N129" s="198"/>
      <c r="O129" s="199">
        <v>0</v>
      </c>
      <c r="P129" s="199">
        <f>Table1[[#This Row],[unit cost]]</f>
        <v>0</v>
      </c>
      <c r="Q129" s="399">
        <v>1.25</v>
      </c>
      <c r="R129" s="186">
        <v>1</v>
      </c>
      <c r="S129" s="249">
        <f t="shared" si="22"/>
        <v>0.42</v>
      </c>
      <c r="T129" s="201">
        <f>Table1[[#This Row],[man minutes]]*Table1[[#This Row],[labor rate]]</f>
        <v>0.52500000000000002</v>
      </c>
      <c r="U129" s="201">
        <f t="shared" si="18"/>
        <v>0.52500000000000002</v>
      </c>
      <c r="V129" s="187">
        <f t="shared" si="17"/>
        <v>0.22</v>
      </c>
      <c r="W129" s="250">
        <f t="shared" si="23"/>
        <v>0.2</v>
      </c>
      <c r="X129" s="201">
        <f t="shared" si="19"/>
        <v>0</v>
      </c>
      <c r="Y129" s="201">
        <f t="shared" si="20"/>
        <v>0.63</v>
      </c>
      <c r="Z129" s="201">
        <f t="shared" si="21"/>
        <v>0.63</v>
      </c>
      <c r="AA129" s="203">
        <f>+Table1[[#This Row],[calculated sale price]]</f>
        <v>0.63</v>
      </c>
      <c r="AB129" s="202"/>
      <c r="AC129" s="206"/>
      <c r="AD129" s="414"/>
    </row>
    <row r="130" spans="1:30" x14ac:dyDescent="0.25">
      <c r="A130" s="186">
        <v>1121</v>
      </c>
      <c r="B130" t="s">
        <v>517</v>
      </c>
      <c r="C130" s="186">
        <v>1</v>
      </c>
      <c r="I130" s="186"/>
      <c r="J130" s="186"/>
      <c r="K130" s="186"/>
      <c r="L130" s="197"/>
      <c r="M130" s="186"/>
      <c r="N130" s="198"/>
      <c r="O130" s="400">
        <v>1.68</v>
      </c>
      <c r="P130" s="199">
        <f>Table1[[#This Row],[unit cost]]</f>
        <v>1.68</v>
      </c>
      <c r="Q130" s="399">
        <v>3.5</v>
      </c>
      <c r="R130" s="186">
        <v>1</v>
      </c>
      <c r="S130" s="249">
        <f t="shared" si="22"/>
        <v>0.42</v>
      </c>
      <c r="T130" s="201">
        <f>Table1[[#This Row],[man minutes]]*Table1[[#This Row],[labor rate]]</f>
        <v>1.47</v>
      </c>
      <c r="U130" s="201">
        <f t="shared" si="18"/>
        <v>3.15</v>
      </c>
      <c r="V130" s="187">
        <f t="shared" si="17"/>
        <v>0.22</v>
      </c>
      <c r="W130" s="250">
        <f t="shared" si="23"/>
        <v>0.2</v>
      </c>
      <c r="X130" s="201">
        <f t="shared" si="19"/>
        <v>2.0495999999999999</v>
      </c>
      <c r="Y130" s="201">
        <f t="shared" si="20"/>
        <v>1.764</v>
      </c>
      <c r="Z130" s="201">
        <f t="shared" si="21"/>
        <v>3.82</v>
      </c>
      <c r="AA130" s="203">
        <f>+Table1[[#This Row],[calculated sale price]]</f>
        <v>3.82</v>
      </c>
      <c r="AB130" s="202"/>
      <c r="AC130" s="206"/>
      <c r="AD130" s="414"/>
    </row>
    <row r="131" spans="1:30" x14ac:dyDescent="0.25">
      <c r="A131" s="186">
        <v>1122</v>
      </c>
      <c r="B131" t="s">
        <v>518</v>
      </c>
      <c r="C131" s="186">
        <v>1</v>
      </c>
      <c r="I131" s="186"/>
      <c r="J131" s="186"/>
      <c r="K131" s="186"/>
      <c r="L131" s="197"/>
      <c r="M131" s="186"/>
      <c r="N131" s="198"/>
      <c r="O131" s="400">
        <v>1.64</v>
      </c>
      <c r="P131" s="199">
        <f>Table1[[#This Row],[unit cost]]</f>
        <v>1.64</v>
      </c>
      <c r="Q131" s="409">
        <v>3.25</v>
      </c>
      <c r="R131" s="186">
        <v>1</v>
      </c>
      <c r="S131" s="249">
        <f t="shared" si="22"/>
        <v>0.42</v>
      </c>
      <c r="T131" s="201">
        <f>Table1[[#This Row],[man minutes]]*Table1[[#This Row],[labor rate]]</f>
        <v>1.365</v>
      </c>
      <c r="U131" s="201">
        <f t="shared" si="18"/>
        <v>3.0049999999999999</v>
      </c>
      <c r="V131" s="187">
        <f t="shared" si="17"/>
        <v>0.22</v>
      </c>
      <c r="W131" s="250">
        <f t="shared" si="23"/>
        <v>0.2</v>
      </c>
      <c r="X131" s="201">
        <f t="shared" si="19"/>
        <v>2.0007999999999999</v>
      </c>
      <c r="Y131" s="201">
        <f t="shared" si="20"/>
        <v>1.6379999999999999</v>
      </c>
      <c r="Z131" s="201">
        <f t="shared" si="21"/>
        <v>3.6399999999999997</v>
      </c>
      <c r="AA131" s="203">
        <f>+Table1[[#This Row],[calculated sale price]]</f>
        <v>3.6399999999999997</v>
      </c>
      <c r="AB131" s="202"/>
      <c r="AC131" s="206"/>
      <c r="AD131" s="414"/>
    </row>
    <row r="132" spans="1:30" x14ac:dyDescent="0.25">
      <c r="A132" s="186">
        <v>1123</v>
      </c>
      <c r="B132" t="s">
        <v>519</v>
      </c>
      <c r="C132" s="186">
        <v>1</v>
      </c>
      <c r="I132" s="186"/>
      <c r="J132" s="186"/>
      <c r="K132" s="186"/>
      <c r="L132" s="197"/>
      <c r="M132" s="186"/>
      <c r="N132" s="198"/>
      <c r="O132" s="199">
        <v>1.17</v>
      </c>
      <c r="P132" s="199">
        <f>Table1[[#This Row],[unit cost]]</f>
        <v>1.17</v>
      </c>
      <c r="Q132" s="409">
        <v>2.75</v>
      </c>
      <c r="R132" s="186">
        <v>1</v>
      </c>
      <c r="S132" s="249">
        <f t="shared" si="22"/>
        <v>0.42</v>
      </c>
      <c r="T132" s="201">
        <f>Table1[[#This Row],[man minutes]]*Table1[[#This Row],[labor rate]]</f>
        <v>1.155</v>
      </c>
      <c r="U132" s="201">
        <f t="shared" si="18"/>
        <v>2.3250000000000002</v>
      </c>
      <c r="V132" s="187">
        <f t="shared" si="17"/>
        <v>0.22</v>
      </c>
      <c r="W132" s="250">
        <f t="shared" si="23"/>
        <v>0.2</v>
      </c>
      <c r="X132" s="201">
        <f t="shared" si="19"/>
        <v>1.4273999999999998</v>
      </c>
      <c r="Y132" s="201">
        <f t="shared" si="20"/>
        <v>1.3860000000000001</v>
      </c>
      <c r="Z132" s="201">
        <f t="shared" si="21"/>
        <v>2.82</v>
      </c>
      <c r="AA132" s="203">
        <f>+Table1[[#This Row],[calculated sale price]]</f>
        <v>2.82</v>
      </c>
      <c r="AB132" s="202"/>
      <c r="AC132" s="206"/>
      <c r="AD132" s="414"/>
    </row>
    <row r="133" spans="1:30" x14ac:dyDescent="0.25">
      <c r="A133" s="186">
        <v>1124</v>
      </c>
      <c r="B133" t="s">
        <v>520</v>
      </c>
      <c r="C133" s="186">
        <v>1</v>
      </c>
      <c r="I133" s="186"/>
      <c r="J133" s="186"/>
      <c r="K133" s="186"/>
      <c r="L133" s="197"/>
      <c r="M133" s="186"/>
      <c r="N133" s="198"/>
      <c r="O133" s="199">
        <v>1</v>
      </c>
      <c r="P133" s="199">
        <f>Table1[[#This Row],[unit cost]]</f>
        <v>1</v>
      </c>
      <c r="Q133" s="399">
        <v>1.35</v>
      </c>
      <c r="R133" s="186">
        <v>1</v>
      </c>
      <c r="S133" s="249">
        <f t="shared" si="22"/>
        <v>0.42</v>
      </c>
      <c r="T133" s="201">
        <f>Table1[[#This Row],[man minutes]]*Table1[[#This Row],[labor rate]]</f>
        <v>0.56700000000000006</v>
      </c>
      <c r="U133" s="201">
        <f t="shared" si="18"/>
        <v>1.5670000000000002</v>
      </c>
      <c r="V133" s="187">
        <f t="shared" si="17"/>
        <v>0.22</v>
      </c>
      <c r="W133" s="250">
        <f t="shared" si="23"/>
        <v>0.2</v>
      </c>
      <c r="X133" s="201">
        <f t="shared" si="19"/>
        <v>1.22</v>
      </c>
      <c r="Y133" s="201">
        <f t="shared" si="20"/>
        <v>0.68040000000000012</v>
      </c>
      <c r="Z133" s="201">
        <f t="shared" si="21"/>
        <v>1.91</v>
      </c>
      <c r="AA133" s="203">
        <f>+Table1[[#This Row],[calculated sale price]]</f>
        <v>1.91</v>
      </c>
      <c r="AB133" s="202"/>
      <c r="AC133" s="206"/>
      <c r="AD133" s="414"/>
    </row>
    <row r="134" spans="1:30" x14ac:dyDescent="0.25">
      <c r="A134" s="186">
        <v>1125</v>
      </c>
      <c r="B134" t="s">
        <v>521</v>
      </c>
      <c r="C134" s="186">
        <v>1</v>
      </c>
      <c r="I134" s="186"/>
      <c r="J134" s="186"/>
      <c r="K134" s="186"/>
      <c r="L134" s="197"/>
      <c r="M134" s="186"/>
      <c r="N134" s="198"/>
      <c r="O134" s="199">
        <v>0.46</v>
      </c>
      <c r="P134" s="199">
        <f>Table1[[#This Row],[unit cost]]</f>
        <v>0.46</v>
      </c>
      <c r="Q134" s="409">
        <v>0.5</v>
      </c>
      <c r="R134" s="186">
        <v>1</v>
      </c>
      <c r="S134" s="249">
        <f t="shared" si="22"/>
        <v>0.42</v>
      </c>
      <c r="T134" s="201">
        <f>Table1[[#This Row],[man minutes]]*Table1[[#This Row],[labor rate]]</f>
        <v>0.21</v>
      </c>
      <c r="U134" s="201">
        <f t="shared" si="18"/>
        <v>0.67</v>
      </c>
      <c r="V134" s="187">
        <f t="shared" si="17"/>
        <v>0.22</v>
      </c>
      <c r="W134" s="250">
        <f t="shared" si="23"/>
        <v>0.2</v>
      </c>
      <c r="X134" s="201">
        <f t="shared" si="19"/>
        <v>0.56120000000000003</v>
      </c>
      <c r="Y134" s="201">
        <f t="shared" si="20"/>
        <v>0.252</v>
      </c>
      <c r="Z134" s="201">
        <f t="shared" si="21"/>
        <v>0.82000000000000006</v>
      </c>
      <c r="AA134" s="203">
        <f>+Table1[[#This Row],[calculated sale price]]</f>
        <v>0.82000000000000006</v>
      </c>
      <c r="AB134" s="202"/>
      <c r="AC134" s="206"/>
      <c r="AD134" s="414"/>
    </row>
    <row r="135" spans="1:30" x14ac:dyDescent="0.25">
      <c r="A135" s="186">
        <v>1126</v>
      </c>
      <c r="B135" t="s">
        <v>439</v>
      </c>
      <c r="C135" s="186">
        <v>1</v>
      </c>
      <c r="I135" s="186"/>
      <c r="J135" s="186"/>
      <c r="K135" s="186"/>
      <c r="L135" s="197"/>
      <c r="M135" s="186"/>
      <c r="N135" s="198"/>
      <c r="O135" s="199">
        <v>0.55000000000000004</v>
      </c>
      <c r="P135" s="199">
        <f>Table1[[#This Row],[unit cost]]</f>
        <v>0.55000000000000004</v>
      </c>
      <c r="Q135" s="409">
        <v>2.5</v>
      </c>
      <c r="R135" s="186">
        <v>1</v>
      </c>
      <c r="S135" s="249">
        <f t="shared" si="22"/>
        <v>0.42</v>
      </c>
      <c r="T135" s="201">
        <f>Table1[[#This Row],[man minutes]]*Table1[[#This Row],[labor rate]]</f>
        <v>1.05</v>
      </c>
      <c r="U135" s="201">
        <f t="shared" si="18"/>
        <v>1.6</v>
      </c>
      <c r="V135" s="187">
        <f t="shared" si="17"/>
        <v>0.22</v>
      </c>
      <c r="W135" s="250">
        <f t="shared" si="23"/>
        <v>0.2</v>
      </c>
      <c r="X135" s="201">
        <f t="shared" si="19"/>
        <v>0.67100000000000004</v>
      </c>
      <c r="Y135" s="201">
        <f t="shared" si="20"/>
        <v>1.26</v>
      </c>
      <c r="Z135" s="201">
        <f t="shared" si="21"/>
        <v>1.94</v>
      </c>
      <c r="AA135" s="203">
        <f>+Table1[[#This Row],[calculated sale price]]</f>
        <v>1.94</v>
      </c>
      <c r="AB135" s="202"/>
      <c r="AC135" s="206"/>
      <c r="AD135" s="414"/>
    </row>
    <row r="136" spans="1:30" x14ac:dyDescent="0.25">
      <c r="A136" s="186">
        <v>1127</v>
      </c>
      <c r="B136" t="s">
        <v>522</v>
      </c>
      <c r="C136" s="186">
        <v>1</v>
      </c>
      <c r="I136" s="186"/>
      <c r="J136" s="186"/>
      <c r="K136" s="186"/>
      <c r="L136" s="197"/>
      <c r="M136" s="186"/>
      <c r="N136" s="198"/>
      <c r="O136" s="199">
        <v>0</v>
      </c>
      <c r="P136" s="199">
        <f>Table1[[#This Row],[unit cost]]</f>
        <v>0</v>
      </c>
      <c r="Q136" s="399">
        <v>0.5</v>
      </c>
      <c r="R136" s="186">
        <v>1</v>
      </c>
      <c r="S136" s="249">
        <f t="shared" si="22"/>
        <v>0.42</v>
      </c>
      <c r="T136" s="201">
        <f>Table1[[#This Row],[man minutes]]*Table1[[#This Row],[labor rate]]</f>
        <v>0.21</v>
      </c>
      <c r="U136" s="201">
        <f t="shared" si="18"/>
        <v>0.21</v>
      </c>
      <c r="V136" s="187">
        <f t="shared" si="17"/>
        <v>0.22</v>
      </c>
      <c r="W136" s="250">
        <f t="shared" si="23"/>
        <v>0.2</v>
      </c>
      <c r="X136" s="201">
        <f t="shared" si="19"/>
        <v>0</v>
      </c>
      <c r="Y136" s="201">
        <f t="shared" si="20"/>
        <v>0.252</v>
      </c>
      <c r="Z136" s="201">
        <f t="shared" si="21"/>
        <v>0.26</v>
      </c>
      <c r="AA136" s="203">
        <f>+Table1[[#This Row],[calculated sale price]]</f>
        <v>0.26</v>
      </c>
      <c r="AB136" s="202"/>
      <c r="AC136" s="206"/>
      <c r="AD136" s="414"/>
    </row>
    <row r="137" spans="1:30" x14ac:dyDescent="0.25">
      <c r="A137" s="186">
        <v>1128</v>
      </c>
      <c r="B137" t="s">
        <v>523</v>
      </c>
      <c r="C137" s="186">
        <v>1</v>
      </c>
      <c r="I137" s="186"/>
      <c r="J137" s="186"/>
      <c r="K137" s="186"/>
      <c r="L137" s="197"/>
      <c r="M137" s="186"/>
      <c r="N137" s="198"/>
      <c r="O137" s="199">
        <v>0.3</v>
      </c>
      <c r="P137" s="199">
        <f>Table1[[#This Row],[unit cost]]</f>
        <v>0.3</v>
      </c>
      <c r="Q137" s="409">
        <v>0.25</v>
      </c>
      <c r="R137" s="186">
        <v>1</v>
      </c>
      <c r="S137" s="249">
        <f t="shared" si="22"/>
        <v>0.42</v>
      </c>
      <c r="T137" s="201">
        <f>Table1[[#This Row],[man minutes]]*Table1[[#This Row],[labor rate]]</f>
        <v>0.105</v>
      </c>
      <c r="U137" s="201">
        <f t="shared" si="18"/>
        <v>0.40499999999999997</v>
      </c>
      <c r="V137" s="187">
        <f t="shared" si="17"/>
        <v>0.22</v>
      </c>
      <c r="W137" s="250">
        <f t="shared" si="23"/>
        <v>0.2</v>
      </c>
      <c r="X137" s="201">
        <f t="shared" si="19"/>
        <v>0.36599999999999999</v>
      </c>
      <c r="Y137" s="201">
        <f t="shared" si="20"/>
        <v>0.126</v>
      </c>
      <c r="Z137" s="201">
        <f t="shared" si="21"/>
        <v>0.5</v>
      </c>
      <c r="AA137" s="203">
        <f>+Table1[[#This Row],[calculated sale price]]</f>
        <v>0.5</v>
      </c>
      <c r="AB137" s="202"/>
      <c r="AC137" s="206"/>
      <c r="AD137" s="414"/>
    </row>
    <row r="138" spans="1:30" x14ac:dyDescent="0.25">
      <c r="A138" s="186">
        <v>1129</v>
      </c>
      <c r="B138" t="s">
        <v>524</v>
      </c>
      <c r="C138" s="186">
        <v>1</v>
      </c>
      <c r="I138" s="186"/>
      <c r="J138" s="186"/>
      <c r="K138" s="186"/>
      <c r="L138" s="197"/>
      <c r="M138" s="186"/>
      <c r="N138" s="198"/>
      <c r="O138" s="199">
        <v>0.3</v>
      </c>
      <c r="P138" s="199">
        <f>Table1[[#This Row],[unit cost]]</f>
        <v>0.3</v>
      </c>
      <c r="Q138" s="409">
        <v>0.25</v>
      </c>
      <c r="R138" s="186">
        <v>1</v>
      </c>
      <c r="S138" s="249">
        <f t="shared" si="22"/>
        <v>0.42</v>
      </c>
      <c r="T138" s="201">
        <f>Table1[[#This Row],[man minutes]]*Table1[[#This Row],[labor rate]]</f>
        <v>0.105</v>
      </c>
      <c r="U138" s="201">
        <f t="shared" si="18"/>
        <v>0.40499999999999997</v>
      </c>
      <c r="V138" s="187">
        <f t="shared" si="17"/>
        <v>0.22</v>
      </c>
      <c r="W138" s="250">
        <f t="shared" si="23"/>
        <v>0.2</v>
      </c>
      <c r="X138" s="201">
        <f t="shared" si="19"/>
        <v>0.36599999999999999</v>
      </c>
      <c r="Y138" s="201">
        <f t="shared" si="20"/>
        <v>0.126</v>
      </c>
      <c r="Z138" s="201">
        <f t="shared" si="21"/>
        <v>0.5</v>
      </c>
      <c r="AA138" s="203">
        <f>+Table1[[#This Row],[calculated sale price]]</f>
        <v>0.5</v>
      </c>
      <c r="AB138" s="202"/>
      <c r="AC138" s="206"/>
      <c r="AD138" s="414"/>
    </row>
    <row r="139" spans="1:30" x14ac:dyDescent="0.25">
      <c r="A139" s="186">
        <v>1130</v>
      </c>
      <c r="B139" t="s">
        <v>525</v>
      </c>
      <c r="C139" s="186">
        <v>1</v>
      </c>
      <c r="I139" s="186"/>
      <c r="J139" s="186"/>
      <c r="K139" s="186"/>
      <c r="L139" s="197"/>
      <c r="M139" s="186"/>
      <c r="N139" s="198"/>
      <c r="O139" s="199">
        <v>0.45</v>
      </c>
      <c r="P139" s="199">
        <f>Table1[[#This Row],[unit cost]]</f>
        <v>0.45</v>
      </c>
      <c r="Q139" s="409">
        <v>1.25</v>
      </c>
      <c r="R139" s="186">
        <v>1</v>
      </c>
      <c r="S139" s="249">
        <f t="shared" si="22"/>
        <v>0.42</v>
      </c>
      <c r="T139" s="201">
        <f>Table1[[#This Row],[man minutes]]*Table1[[#This Row],[labor rate]]</f>
        <v>0.52500000000000002</v>
      </c>
      <c r="U139" s="201">
        <f t="shared" si="18"/>
        <v>0.97500000000000009</v>
      </c>
      <c r="V139" s="187">
        <f t="shared" si="17"/>
        <v>0.22</v>
      </c>
      <c r="W139" s="250">
        <f t="shared" si="23"/>
        <v>0.2</v>
      </c>
      <c r="X139" s="201">
        <f t="shared" si="19"/>
        <v>0.54900000000000004</v>
      </c>
      <c r="Y139" s="201">
        <f t="shared" si="20"/>
        <v>0.63</v>
      </c>
      <c r="Z139" s="201">
        <f t="shared" si="21"/>
        <v>1.18</v>
      </c>
      <c r="AA139" s="203">
        <f>+Table1[[#This Row],[calculated sale price]]</f>
        <v>1.18</v>
      </c>
      <c r="AB139" s="202"/>
      <c r="AC139" s="206"/>
      <c r="AD139" s="414"/>
    </row>
    <row r="140" spans="1:30" x14ac:dyDescent="0.25">
      <c r="A140" s="186">
        <v>1131</v>
      </c>
      <c r="B140" t="s">
        <v>526</v>
      </c>
      <c r="C140" s="186">
        <v>1</v>
      </c>
      <c r="I140" s="186"/>
      <c r="J140" s="186"/>
      <c r="K140" s="186"/>
      <c r="L140" s="197"/>
      <c r="M140" s="186"/>
      <c r="N140" s="198"/>
      <c r="O140" s="400">
        <v>2.15</v>
      </c>
      <c r="P140" s="199">
        <f>Table1[[#This Row],[unit cost]]</f>
        <v>2.15</v>
      </c>
      <c r="Q140" s="399">
        <v>4</v>
      </c>
      <c r="R140" s="186">
        <v>1</v>
      </c>
      <c r="S140" s="249">
        <f t="shared" si="22"/>
        <v>0.42</v>
      </c>
      <c r="T140" s="201">
        <f>Table1[[#This Row],[man minutes]]*Table1[[#This Row],[labor rate]]</f>
        <v>1.68</v>
      </c>
      <c r="U140" s="201">
        <f t="shared" si="18"/>
        <v>3.83</v>
      </c>
      <c r="V140" s="187">
        <f t="shared" si="17"/>
        <v>0.22</v>
      </c>
      <c r="W140" s="250">
        <f t="shared" si="23"/>
        <v>0.2</v>
      </c>
      <c r="X140" s="201">
        <f t="shared" si="19"/>
        <v>2.6229999999999998</v>
      </c>
      <c r="Y140" s="201">
        <f t="shared" si="20"/>
        <v>2.016</v>
      </c>
      <c r="Z140" s="201">
        <f t="shared" si="21"/>
        <v>4.6399999999999997</v>
      </c>
      <c r="AA140" s="203">
        <f>+Table1[[#This Row],[calculated sale price]]</f>
        <v>4.6399999999999997</v>
      </c>
      <c r="AB140" s="202"/>
      <c r="AC140" s="206"/>
      <c r="AD140" s="414"/>
    </row>
    <row r="141" spans="1:30" x14ac:dyDescent="0.25">
      <c r="A141" s="186">
        <v>1132</v>
      </c>
      <c r="B141" t="s">
        <v>527</v>
      </c>
      <c r="C141" s="186">
        <v>1</v>
      </c>
      <c r="I141" s="186"/>
      <c r="J141" s="186"/>
      <c r="K141" s="186"/>
      <c r="L141" s="197"/>
      <c r="M141" s="186"/>
      <c r="N141" s="198"/>
      <c r="O141" s="400">
        <v>1.91</v>
      </c>
      <c r="P141" s="199">
        <f>Table1[[#This Row],[unit cost]]</f>
        <v>1.91</v>
      </c>
      <c r="Q141" s="399">
        <v>3.5</v>
      </c>
      <c r="R141" s="186">
        <v>1</v>
      </c>
      <c r="S141" s="249">
        <f t="shared" si="22"/>
        <v>0.42</v>
      </c>
      <c r="T141" s="201">
        <f>Table1[[#This Row],[man minutes]]*Table1[[#This Row],[labor rate]]</f>
        <v>1.47</v>
      </c>
      <c r="U141" s="201">
        <f t="shared" si="18"/>
        <v>3.38</v>
      </c>
      <c r="V141" s="187">
        <f t="shared" si="17"/>
        <v>0.22</v>
      </c>
      <c r="W141" s="250">
        <f t="shared" si="23"/>
        <v>0.2</v>
      </c>
      <c r="X141" s="201">
        <f t="shared" si="19"/>
        <v>2.3302</v>
      </c>
      <c r="Y141" s="201">
        <f t="shared" si="20"/>
        <v>1.764</v>
      </c>
      <c r="Z141" s="201">
        <f t="shared" si="21"/>
        <v>4.0999999999999996</v>
      </c>
      <c r="AA141" s="203">
        <f>+Table1[[#This Row],[calculated sale price]]</f>
        <v>4.0999999999999996</v>
      </c>
      <c r="AB141" s="202"/>
      <c r="AC141" s="206"/>
      <c r="AD141" s="414"/>
    </row>
    <row r="142" spans="1:30" x14ac:dyDescent="0.25">
      <c r="A142" s="186">
        <v>1133</v>
      </c>
      <c r="B142" t="s">
        <v>528</v>
      </c>
      <c r="C142" s="186">
        <v>1</v>
      </c>
      <c r="I142" s="186"/>
      <c r="J142" s="186"/>
      <c r="K142" s="186"/>
      <c r="L142" s="197"/>
      <c r="M142" s="186"/>
      <c r="N142" s="198"/>
      <c r="O142" s="400">
        <v>0.74</v>
      </c>
      <c r="P142" s="199">
        <f>Table1[[#This Row],[unit cost]]</f>
        <v>0.74</v>
      </c>
      <c r="Q142" s="399">
        <v>1.25</v>
      </c>
      <c r="R142" s="186">
        <v>1</v>
      </c>
      <c r="S142" s="249">
        <f t="shared" si="22"/>
        <v>0.42</v>
      </c>
      <c r="T142" s="201">
        <f>Table1[[#This Row],[man minutes]]*Table1[[#This Row],[labor rate]]</f>
        <v>0.52500000000000002</v>
      </c>
      <c r="U142" s="201">
        <f t="shared" si="18"/>
        <v>1.2650000000000001</v>
      </c>
      <c r="V142" s="187">
        <f t="shared" si="17"/>
        <v>0.22</v>
      </c>
      <c r="W142" s="250">
        <f t="shared" si="23"/>
        <v>0.2</v>
      </c>
      <c r="X142" s="201">
        <f t="shared" si="19"/>
        <v>0.90279999999999994</v>
      </c>
      <c r="Y142" s="201">
        <f t="shared" si="20"/>
        <v>0.63</v>
      </c>
      <c r="Z142" s="201">
        <f t="shared" si="21"/>
        <v>1.54</v>
      </c>
      <c r="AA142" s="203">
        <f>+Table1[[#This Row],[calculated sale price]]</f>
        <v>1.54</v>
      </c>
      <c r="AB142" s="202"/>
      <c r="AC142" s="206"/>
      <c r="AD142" s="414"/>
    </row>
    <row r="143" spans="1:30" x14ac:dyDescent="0.25">
      <c r="A143" s="186">
        <v>1134</v>
      </c>
      <c r="B143" t="s">
        <v>529</v>
      </c>
      <c r="C143" s="186">
        <v>1</v>
      </c>
      <c r="I143" s="186"/>
      <c r="J143" s="186"/>
      <c r="K143" s="186"/>
      <c r="L143" s="197"/>
      <c r="M143" s="186"/>
      <c r="N143" s="198"/>
      <c r="O143" s="199">
        <v>0</v>
      </c>
      <c r="P143" s="199">
        <f>Table1[[#This Row],[unit cost]]</f>
        <v>0</v>
      </c>
      <c r="Q143" s="399">
        <v>0.3</v>
      </c>
      <c r="R143" s="186">
        <v>1</v>
      </c>
      <c r="S143" s="249">
        <f t="shared" si="22"/>
        <v>0.42</v>
      </c>
      <c r="T143" s="201">
        <f>Table1[[#This Row],[man minutes]]*Table1[[#This Row],[labor rate]]</f>
        <v>0.126</v>
      </c>
      <c r="U143" s="201">
        <f t="shared" si="18"/>
        <v>0.126</v>
      </c>
      <c r="V143" s="187">
        <f t="shared" si="17"/>
        <v>0.22</v>
      </c>
      <c r="W143" s="250">
        <f t="shared" si="23"/>
        <v>0.2</v>
      </c>
      <c r="X143" s="201">
        <f t="shared" si="19"/>
        <v>0</v>
      </c>
      <c r="Y143" s="201">
        <f t="shared" si="20"/>
        <v>0.1512</v>
      </c>
      <c r="Z143" s="201">
        <f t="shared" si="21"/>
        <v>0.16</v>
      </c>
      <c r="AA143" s="203">
        <f>+Table1[[#This Row],[calculated sale price]]</f>
        <v>0.16</v>
      </c>
      <c r="AB143" s="202"/>
      <c r="AC143" s="206"/>
      <c r="AD143" s="414"/>
    </row>
    <row r="144" spans="1:30" x14ac:dyDescent="0.25">
      <c r="A144" s="186">
        <v>1135</v>
      </c>
      <c r="B144" t="s">
        <v>530</v>
      </c>
      <c r="C144" s="186">
        <v>1</v>
      </c>
      <c r="I144" s="186"/>
      <c r="J144" s="186"/>
      <c r="K144" s="186"/>
      <c r="L144" s="197"/>
      <c r="M144" s="186"/>
      <c r="N144" s="198"/>
      <c r="O144" s="199">
        <v>0.32</v>
      </c>
      <c r="P144" s="199">
        <f>Table1[[#This Row],[unit cost]]</f>
        <v>0.32</v>
      </c>
      <c r="Q144" s="409">
        <v>0.5</v>
      </c>
      <c r="R144" s="186">
        <v>1</v>
      </c>
      <c r="S144" s="249">
        <f t="shared" si="22"/>
        <v>0.42</v>
      </c>
      <c r="T144" s="201">
        <f>Table1[[#This Row],[man minutes]]*Table1[[#This Row],[labor rate]]</f>
        <v>0.21</v>
      </c>
      <c r="U144" s="201">
        <f t="shared" si="18"/>
        <v>0.53</v>
      </c>
      <c r="V144" s="187">
        <f t="shared" ref="V144:V207" si="24">$V$2</f>
        <v>0.22</v>
      </c>
      <c r="W144" s="250">
        <f t="shared" si="23"/>
        <v>0.2</v>
      </c>
      <c r="X144" s="201">
        <f t="shared" si="19"/>
        <v>0.39040000000000002</v>
      </c>
      <c r="Y144" s="201">
        <f t="shared" si="20"/>
        <v>0.252</v>
      </c>
      <c r="Z144" s="201">
        <f t="shared" si="21"/>
        <v>0.65</v>
      </c>
      <c r="AA144" s="203">
        <f>+Table1[[#This Row],[calculated sale price]]</f>
        <v>0.65</v>
      </c>
      <c r="AB144" s="202"/>
      <c r="AC144" s="206"/>
      <c r="AD144" s="414"/>
    </row>
    <row r="145" spans="1:30" x14ac:dyDescent="0.25">
      <c r="A145" s="186">
        <v>1136</v>
      </c>
      <c r="B145" t="s">
        <v>531</v>
      </c>
      <c r="C145" s="186">
        <v>1</v>
      </c>
      <c r="I145" s="186"/>
      <c r="J145" s="186"/>
      <c r="K145" s="186"/>
      <c r="L145" s="197"/>
      <c r="M145" s="186"/>
      <c r="N145" s="198"/>
      <c r="O145" s="400">
        <v>0.92</v>
      </c>
      <c r="P145" s="199">
        <f>Table1[[#This Row],[unit cost]]</f>
        <v>0.92</v>
      </c>
      <c r="Q145" s="399">
        <v>1</v>
      </c>
      <c r="R145" s="186">
        <v>1</v>
      </c>
      <c r="S145" s="249">
        <f t="shared" si="22"/>
        <v>0.42</v>
      </c>
      <c r="T145" s="201">
        <f>Table1[[#This Row],[man minutes]]*Table1[[#This Row],[labor rate]]</f>
        <v>0.42</v>
      </c>
      <c r="U145" s="201">
        <f t="shared" si="18"/>
        <v>1.34</v>
      </c>
      <c r="V145" s="187">
        <f t="shared" si="24"/>
        <v>0.22</v>
      </c>
      <c r="W145" s="250">
        <f t="shared" si="23"/>
        <v>0.2</v>
      </c>
      <c r="X145" s="201">
        <f t="shared" si="19"/>
        <v>1.1224000000000001</v>
      </c>
      <c r="Y145" s="201">
        <f t="shared" si="20"/>
        <v>0.504</v>
      </c>
      <c r="Z145" s="201">
        <f t="shared" si="21"/>
        <v>1.6300000000000001</v>
      </c>
      <c r="AA145" s="203">
        <f>+Table1[[#This Row],[calculated sale price]]</f>
        <v>1.6300000000000001</v>
      </c>
      <c r="AB145" s="202"/>
      <c r="AC145" s="206"/>
      <c r="AD145" s="414"/>
    </row>
    <row r="146" spans="1:30" x14ac:dyDescent="0.25">
      <c r="A146" s="186">
        <v>1137</v>
      </c>
      <c r="B146" t="s">
        <v>452</v>
      </c>
      <c r="C146" s="186">
        <v>1</v>
      </c>
      <c r="I146" s="186"/>
      <c r="J146" s="186"/>
      <c r="K146" s="186"/>
      <c r="L146" s="197"/>
      <c r="M146" s="186"/>
      <c r="N146" s="198"/>
      <c r="O146" s="199">
        <v>1.23</v>
      </c>
      <c r="P146" s="199">
        <f>Table1[[#This Row],[unit cost]]</f>
        <v>1.23</v>
      </c>
      <c r="Q146" s="409">
        <v>1.5</v>
      </c>
      <c r="R146" s="186">
        <v>1</v>
      </c>
      <c r="S146" s="249">
        <f t="shared" si="22"/>
        <v>0.42</v>
      </c>
      <c r="T146" s="201">
        <f>Table1[[#This Row],[man minutes]]*Table1[[#This Row],[labor rate]]</f>
        <v>0.63</v>
      </c>
      <c r="U146" s="201">
        <f t="shared" si="18"/>
        <v>1.8599999999999999</v>
      </c>
      <c r="V146" s="187">
        <f t="shared" si="24"/>
        <v>0.22</v>
      </c>
      <c r="W146" s="250">
        <f t="shared" si="23"/>
        <v>0.2</v>
      </c>
      <c r="X146" s="201">
        <f t="shared" si="19"/>
        <v>1.5005999999999999</v>
      </c>
      <c r="Y146" s="201">
        <f t="shared" si="20"/>
        <v>0.75600000000000001</v>
      </c>
      <c r="Z146" s="201">
        <f t="shared" si="21"/>
        <v>2.2599999999999998</v>
      </c>
      <c r="AA146" s="203">
        <f>+Table1[[#This Row],[calculated sale price]]</f>
        <v>2.2599999999999998</v>
      </c>
      <c r="AB146" s="202"/>
      <c r="AC146" s="206"/>
      <c r="AD146" s="414"/>
    </row>
    <row r="147" spans="1:30" x14ac:dyDescent="0.25">
      <c r="A147" s="186">
        <v>1138</v>
      </c>
      <c r="B147" t="s">
        <v>453</v>
      </c>
      <c r="C147" s="186">
        <v>1</v>
      </c>
      <c r="I147" s="186"/>
      <c r="J147" s="186"/>
      <c r="K147" s="186"/>
      <c r="L147" s="197"/>
      <c r="M147" s="186"/>
      <c r="N147" s="198"/>
      <c r="O147" s="199">
        <v>2.08</v>
      </c>
      <c r="P147" s="199">
        <f>Table1[[#This Row],[unit cost]]</f>
        <v>2.08</v>
      </c>
      <c r="Q147" s="409">
        <v>1</v>
      </c>
      <c r="R147" s="186">
        <v>1</v>
      </c>
      <c r="S147" s="249">
        <f t="shared" si="22"/>
        <v>0.42</v>
      </c>
      <c r="T147" s="201">
        <f>Table1[[#This Row],[man minutes]]*Table1[[#This Row],[labor rate]]</f>
        <v>0.42</v>
      </c>
      <c r="U147" s="201">
        <f t="shared" si="18"/>
        <v>2.5</v>
      </c>
      <c r="V147" s="187">
        <f t="shared" si="24"/>
        <v>0.22</v>
      </c>
      <c r="W147" s="250">
        <f t="shared" si="23"/>
        <v>0.2</v>
      </c>
      <c r="X147" s="201">
        <f t="shared" si="19"/>
        <v>2.5375999999999999</v>
      </c>
      <c r="Y147" s="201">
        <f t="shared" si="20"/>
        <v>0.504</v>
      </c>
      <c r="Z147" s="201">
        <f t="shared" si="21"/>
        <v>3.05</v>
      </c>
      <c r="AA147" s="203">
        <f>+Table1[[#This Row],[calculated sale price]]</f>
        <v>3.05</v>
      </c>
      <c r="AB147" s="202"/>
      <c r="AC147" s="206"/>
      <c r="AD147" s="414"/>
    </row>
    <row r="148" spans="1:30" x14ac:dyDescent="0.25">
      <c r="A148" s="186">
        <v>1139</v>
      </c>
      <c r="B148" t="s">
        <v>532</v>
      </c>
      <c r="C148" s="186">
        <v>1</v>
      </c>
      <c r="I148" s="186"/>
      <c r="J148" s="186"/>
      <c r="K148" s="186"/>
      <c r="L148" s="197"/>
      <c r="M148" s="186"/>
      <c r="N148" s="198"/>
      <c r="O148" s="199">
        <v>1.323</v>
      </c>
      <c r="P148" s="199">
        <f>Table1[[#This Row],[unit cost]]</f>
        <v>1.323</v>
      </c>
      <c r="Q148" s="409">
        <v>1</v>
      </c>
      <c r="R148" s="186">
        <v>1</v>
      </c>
      <c r="S148" s="249">
        <f t="shared" si="22"/>
        <v>0.42</v>
      </c>
      <c r="T148" s="201">
        <f>Table1[[#This Row],[man minutes]]*Table1[[#This Row],[labor rate]]</f>
        <v>0.42</v>
      </c>
      <c r="U148" s="201">
        <f t="shared" si="18"/>
        <v>1.7429999999999999</v>
      </c>
      <c r="V148" s="187">
        <f t="shared" si="24"/>
        <v>0.22</v>
      </c>
      <c r="W148" s="250">
        <f t="shared" si="23"/>
        <v>0.2</v>
      </c>
      <c r="X148" s="201">
        <f t="shared" si="19"/>
        <v>1.6140599999999998</v>
      </c>
      <c r="Y148" s="201">
        <f t="shared" si="20"/>
        <v>0.504</v>
      </c>
      <c r="Z148" s="201">
        <f t="shared" si="21"/>
        <v>2.1199999999999997</v>
      </c>
      <c r="AA148" s="203">
        <f>+Table1[[#This Row],[calculated sale price]]</f>
        <v>2.1199999999999997</v>
      </c>
      <c r="AB148" s="202"/>
      <c r="AC148" s="206"/>
      <c r="AD148" s="414"/>
    </row>
    <row r="149" spans="1:30" x14ac:dyDescent="0.25">
      <c r="A149" s="186">
        <v>1140</v>
      </c>
      <c r="B149" t="s">
        <v>533</v>
      </c>
      <c r="C149" s="186">
        <v>1</v>
      </c>
      <c r="I149" s="186"/>
      <c r="J149" s="186"/>
      <c r="K149" s="186"/>
      <c r="L149" s="197"/>
      <c r="M149" s="186"/>
      <c r="N149" s="198"/>
      <c r="O149" s="199">
        <v>2.16</v>
      </c>
      <c r="P149" s="199">
        <f>Table1[[#This Row],[unit cost]]</f>
        <v>2.16</v>
      </c>
      <c r="Q149" s="409">
        <v>3.75</v>
      </c>
      <c r="R149" s="186">
        <v>1</v>
      </c>
      <c r="S149" s="249">
        <f t="shared" si="22"/>
        <v>0.42</v>
      </c>
      <c r="T149" s="201">
        <f>Table1[[#This Row],[man minutes]]*Table1[[#This Row],[labor rate]]</f>
        <v>1.575</v>
      </c>
      <c r="U149" s="201">
        <f t="shared" si="18"/>
        <v>3.7350000000000003</v>
      </c>
      <c r="V149" s="187">
        <f t="shared" si="24"/>
        <v>0.22</v>
      </c>
      <c r="W149" s="250">
        <f t="shared" si="23"/>
        <v>0.2</v>
      </c>
      <c r="X149" s="201">
        <f t="shared" si="19"/>
        <v>2.6352000000000002</v>
      </c>
      <c r="Y149" s="201">
        <f t="shared" si="20"/>
        <v>1.89</v>
      </c>
      <c r="Z149" s="201">
        <f t="shared" si="21"/>
        <v>4.5299999999999994</v>
      </c>
      <c r="AA149" s="203">
        <f>+Table1[[#This Row],[calculated sale price]]</f>
        <v>4.5299999999999994</v>
      </c>
      <c r="AB149" s="202"/>
      <c r="AC149" s="206"/>
      <c r="AD149" s="414"/>
    </row>
    <row r="150" spans="1:30" x14ac:dyDescent="0.25">
      <c r="A150" s="186">
        <v>1141</v>
      </c>
      <c r="B150" t="s">
        <v>534</v>
      </c>
      <c r="C150" s="186">
        <v>1</v>
      </c>
      <c r="I150" s="186"/>
      <c r="J150" s="186"/>
      <c r="K150" s="186"/>
      <c r="L150" s="197"/>
      <c r="M150" s="186"/>
      <c r="N150" s="198"/>
      <c r="O150" s="199">
        <v>6.93</v>
      </c>
      <c r="P150" s="199">
        <f>Table1[[#This Row],[unit cost]]</f>
        <v>6.93</v>
      </c>
      <c r="Q150" s="409">
        <v>6.25</v>
      </c>
      <c r="R150" s="186">
        <v>1</v>
      </c>
      <c r="S150" s="249">
        <f t="shared" si="22"/>
        <v>0.42</v>
      </c>
      <c r="T150" s="201">
        <f>Table1[[#This Row],[man minutes]]*Table1[[#This Row],[labor rate]]</f>
        <v>2.625</v>
      </c>
      <c r="U150" s="201">
        <f t="shared" si="18"/>
        <v>9.5549999999999997</v>
      </c>
      <c r="V150" s="187">
        <f t="shared" si="24"/>
        <v>0.22</v>
      </c>
      <c r="W150" s="250">
        <f t="shared" si="23"/>
        <v>0.2</v>
      </c>
      <c r="X150" s="201">
        <f t="shared" si="19"/>
        <v>8.4545999999999992</v>
      </c>
      <c r="Y150" s="201">
        <f t="shared" si="20"/>
        <v>3.15</v>
      </c>
      <c r="Z150" s="201">
        <f t="shared" si="21"/>
        <v>11.61</v>
      </c>
      <c r="AA150" s="203">
        <f>+Table1[[#This Row],[calculated sale price]]</f>
        <v>11.61</v>
      </c>
      <c r="AB150" s="202"/>
      <c r="AC150" s="206"/>
      <c r="AD150" s="414"/>
    </row>
    <row r="151" spans="1:30" x14ac:dyDescent="0.25">
      <c r="A151" s="186">
        <v>1142</v>
      </c>
      <c r="B151" t="s">
        <v>535</v>
      </c>
      <c r="C151" s="186">
        <v>1</v>
      </c>
      <c r="I151" s="186"/>
      <c r="J151" s="186"/>
      <c r="K151" s="186"/>
      <c r="L151" s="197"/>
      <c r="M151" s="186"/>
      <c r="N151" s="198"/>
      <c r="O151" s="199">
        <v>5.72</v>
      </c>
      <c r="P151" s="199">
        <f>Table1[[#This Row],[unit cost]]</f>
        <v>5.72</v>
      </c>
      <c r="Q151" s="409">
        <v>5</v>
      </c>
      <c r="R151" s="186">
        <v>1</v>
      </c>
      <c r="S151" s="249">
        <f t="shared" si="22"/>
        <v>0.42</v>
      </c>
      <c r="T151" s="201">
        <f>Table1[[#This Row],[man minutes]]*Table1[[#This Row],[labor rate]]</f>
        <v>2.1</v>
      </c>
      <c r="U151" s="201">
        <f t="shared" si="18"/>
        <v>7.82</v>
      </c>
      <c r="V151" s="187">
        <f t="shared" si="24"/>
        <v>0.22</v>
      </c>
      <c r="W151" s="250">
        <f t="shared" si="23"/>
        <v>0.2</v>
      </c>
      <c r="X151" s="201">
        <f t="shared" si="19"/>
        <v>6.9783999999999997</v>
      </c>
      <c r="Y151" s="201">
        <f t="shared" si="20"/>
        <v>2.52</v>
      </c>
      <c r="Z151" s="201">
        <f t="shared" si="21"/>
        <v>9.5</v>
      </c>
      <c r="AA151" s="203">
        <f>+Table1[[#This Row],[calculated sale price]]</f>
        <v>9.5</v>
      </c>
      <c r="AB151" s="202"/>
      <c r="AC151" s="206"/>
      <c r="AD151" s="414"/>
    </row>
    <row r="152" spans="1:30" x14ac:dyDescent="0.25">
      <c r="A152" s="186">
        <v>1143</v>
      </c>
      <c r="B152" t="s">
        <v>536</v>
      </c>
      <c r="C152" s="186">
        <v>1</v>
      </c>
      <c r="I152" s="186"/>
      <c r="J152" s="186"/>
      <c r="K152" s="186"/>
      <c r="L152" s="197"/>
      <c r="M152" s="186"/>
      <c r="N152" s="198"/>
      <c r="O152" s="199">
        <v>6.09</v>
      </c>
      <c r="P152" s="199">
        <f>Table1[[#This Row],[unit cost]]</f>
        <v>6.09</v>
      </c>
      <c r="Q152" s="409">
        <v>4</v>
      </c>
      <c r="R152" s="186">
        <v>1</v>
      </c>
      <c r="S152" s="249">
        <f t="shared" si="22"/>
        <v>0.42</v>
      </c>
      <c r="T152" s="201">
        <f>Table1[[#This Row],[man minutes]]*Table1[[#This Row],[labor rate]]</f>
        <v>1.68</v>
      </c>
      <c r="U152" s="201">
        <f t="shared" ref="U152:U215" si="25">P152+T152</f>
        <v>7.77</v>
      </c>
      <c r="V152" s="187">
        <f t="shared" si="24"/>
        <v>0.22</v>
      </c>
      <c r="W152" s="250">
        <f t="shared" si="23"/>
        <v>0.2</v>
      </c>
      <c r="X152" s="201">
        <f t="shared" ref="X152:X215" si="26">P152*(1+V152)</f>
        <v>7.4297999999999993</v>
      </c>
      <c r="Y152" s="201">
        <f t="shared" ref="Y152:Y215" si="27">T152+(T152*W152)</f>
        <v>2.016</v>
      </c>
      <c r="Z152" s="201">
        <f t="shared" ref="Z152:Z215" si="28">IFERROR(ROUNDUP(X152+Y152,2)," ")</f>
        <v>9.4499999999999993</v>
      </c>
      <c r="AA152" s="203">
        <f>+Table1[[#This Row],[calculated sale price]]</f>
        <v>9.4499999999999993</v>
      </c>
      <c r="AB152" s="202"/>
      <c r="AC152" s="206"/>
      <c r="AD152" s="414"/>
    </row>
    <row r="153" spans="1:30" x14ac:dyDescent="0.25">
      <c r="A153" s="186">
        <v>1144</v>
      </c>
      <c r="B153" t="s">
        <v>537</v>
      </c>
      <c r="C153" s="186">
        <v>1</v>
      </c>
      <c r="I153" s="186"/>
      <c r="J153" s="186"/>
      <c r="K153" s="186"/>
      <c r="L153" s="197"/>
      <c r="M153" s="186"/>
      <c r="N153" s="198"/>
      <c r="O153" s="199">
        <v>2.0099999999999998</v>
      </c>
      <c r="P153" s="199">
        <f>Table1[[#This Row],[unit cost]]</f>
        <v>2.0099999999999998</v>
      </c>
      <c r="Q153" s="409">
        <v>3.75</v>
      </c>
      <c r="R153" s="186">
        <v>1</v>
      </c>
      <c r="S153" s="249">
        <f t="shared" si="22"/>
        <v>0.42</v>
      </c>
      <c r="T153" s="201">
        <f>Table1[[#This Row],[man minutes]]*Table1[[#This Row],[labor rate]]</f>
        <v>1.575</v>
      </c>
      <c r="U153" s="201">
        <f t="shared" si="25"/>
        <v>3.585</v>
      </c>
      <c r="V153" s="187">
        <f t="shared" si="24"/>
        <v>0.22</v>
      </c>
      <c r="W153" s="250">
        <f t="shared" si="23"/>
        <v>0.2</v>
      </c>
      <c r="X153" s="201">
        <f t="shared" si="26"/>
        <v>2.4521999999999995</v>
      </c>
      <c r="Y153" s="201">
        <f t="shared" si="27"/>
        <v>1.89</v>
      </c>
      <c r="Z153" s="201">
        <f t="shared" si="28"/>
        <v>4.3499999999999996</v>
      </c>
      <c r="AA153" s="203">
        <f>+Table1[[#This Row],[calculated sale price]]</f>
        <v>4.3499999999999996</v>
      </c>
      <c r="AB153" s="202"/>
      <c r="AC153" s="206"/>
      <c r="AD153" s="414"/>
    </row>
    <row r="154" spans="1:30" x14ac:dyDescent="0.25">
      <c r="A154" s="186">
        <v>1145</v>
      </c>
      <c r="B154" t="s">
        <v>538</v>
      </c>
      <c r="C154" s="186">
        <v>1</v>
      </c>
      <c r="I154" s="186"/>
      <c r="J154" s="186"/>
      <c r="K154" s="186"/>
      <c r="L154" s="197"/>
      <c r="M154" s="186"/>
      <c r="N154" s="198"/>
      <c r="O154" s="199">
        <v>1.96</v>
      </c>
      <c r="P154" s="199">
        <f>Table1[[#This Row],[unit cost]]</f>
        <v>1.96</v>
      </c>
      <c r="Q154" s="409">
        <v>1.5</v>
      </c>
      <c r="R154" s="186">
        <v>1</v>
      </c>
      <c r="S154" s="249">
        <f t="shared" si="22"/>
        <v>0.42</v>
      </c>
      <c r="T154" s="201">
        <f>Table1[[#This Row],[man minutes]]*Table1[[#This Row],[labor rate]]</f>
        <v>0.63</v>
      </c>
      <c r="U154" s="201">
        <f t="shared" si="25"/>
        <v>2.59</v>
      </c>
      <c r="V154" s="187">
        <f t="shared" si="24"/>
        <v>0.22</v>
      </c>
      <c r="W154" s="250">
        <f t="shared" si="23"/>
        <v>0.2</v>
      </c>
      <c r="X154" s="201">
        <f t="shared" si="26"/>
        <v>2.3912</v>
      </c>
      <c r="Y154" s="201">
        <f t="shared" si="27"/>
        <v>0.75600000000000001</v>
      </c>
      <c r="Z154" s="201">
        <f t="shared" si="28"/>
        <v>3.15</v>
      </c>
      <c r="AA154" s="203">
        <f>+Table1[[#This Row],[calculated sale price]]</f>
        <v>3.15</v>
      </c>
      <c r="AB154" s="202"/>
      <c r="AC154" s="206"/>
      <c r="AD154" s="414"/>
    </row>
    <row r="155" spans="1:30" x14ac:dyDescent="0.25">
      <c r="A155" s="186">
        <v>1146</v>
      </c>
      <c r="B155" s="330" t="s">
        <v>539</v>
      </c>
      <c r="C155" s="186">
        <v>1</v>
      </c>
      <c r="I155" s="186"/>
      <c r="J155" s="186"/>
      <c r="K155" s="186"/>
      <c r="L155" s="197"/>
      <c r="M155" s="186"/>
      <c r="N155" s="198"/>
      <c r="O155" s="199">
        <v>1.68</v>
      </c>
      <c r="P155" s="199">
        <f>Table1[[#This Row],[unit cost]]</f>
        <v>1.68</v>
      </c>
      <c r="Q155" s="409">
        <v>1.5</v>
      </c>
      <c r="R155" s="186">
        <v>1</v>
      </c>
      <c r="S155" s="249">
        <f t="shared" si="22"/>
        <v>0.42</v>
      </c>
      <c r="T155" s="201">
        <f>Table1[[#This Row],[man minutes]]*Table1[[#This Row],[labor rate]]</f>
        <v>0.63</v>
      </c>
      <c r="U155" s="201">
        <f t="shared" si="25"/>
        <v>2.31</v>
      </c>
      <c r="V155" s="187">
        <f t="shared" si="24"/>
        <v>0.22</v>
      </c>
      <c r="W155" s="250">
        <f t="shared" si="23"/>
        <v>0.2</v>
      </c>
      <c r="X155" s="201">
        <f t="shared" si="26"/>
        <v>2.0495999999999999</v>
      </c>
      <c r="Y155" s="201">
        <f t="shared" si="27"/>
        <v>0.75600000000000001</v>
      </c>
      <c r="Z155" s="201">
        <f t="shared" si="28"/>
        <v>2.8099999999999996</v>
      </c>
      <c r="AA155" s="203">
        <f>+Table1[[#This Row],[calculated sale price]]</f>
        <v>2.8099999999999996</v>
      </c>
      <c r="AB155" s="202"/>
      <c r="AC155" s="206"/>
      <c r="AD155" s="414"/>
    </row>
    <row r="156" spans="1:30" x14ac:dyDescent="0.25">
      <c r="A156" s="186">
        <v>1147</v>
      </c>
      <c r="B156" s="330" t="s">
        <v>540</v>
      </c>
      <c r="C156" s="186">
        <v>1</v>
      </c>
      <c r="I156" s="186"/>
      <c r="J156" s="186"/>
      <c r="K156" s="186"/>
      <c r="L156" s="197"/>
      <c r="M156" s="186"/>
      <c r="N156" s="198"/>
      <c r="O156" s="199">
        <v>2.2999999999999998</v>
      </c>
      <c r="P156" s="199">
        <f>Table1[[#This Row],[unit cost]]</f>
        <v>2.2999999999999998</v>
      </c>
      <c r="Q156" s="409">
        <v>1.5</v>
      </c>
      <c r="R156" s="186">
        <v>1</v>
      </c>
      <c r="S156" s="249">
        <f t="shared" si="22"/>
        <v>0.42</v>
      </c>
      <c r="T156" s="201">
        <f>Table1[[#This Row],[man minutes]]*Table1[[#This Row],[labor rate]]</f>
        <v>0.63</v>
      </c>
      <c r="U156" s="201">
        <f t="shared" si="25"/>
        <v>2.9299999999999997</v>
      </c>
      <c r="V156" s="187">
        <f t="shared" si="24"/>
        <v>0.22</v>
      </c>
      <c r="W156" s="250">
        <f t="shared" si="23"/>
        <v>0.2</v>
      </c>
      <c r="X156" s="201">
        <f t="shared" si="26"/>
        <v>2.8059999999999996</v>
      </c>
      <c r="Y156" s="201">
        <f t="shared" si="27"/>
        <v>0.75600000000000001</v>
      </c>
      <c r="Z156" s="201">
        <f t="shared" si="28"/>
        <v>3.57</v>
      </c>
      <c r="AA156" s="203">
        <f>+Table1[[#This Row],[calculated sale price]]</f>
        <v>3.57</v>
      </c>
      <c r="AB156" s="202"/>
      <c r="AC156" s="206"/>
      <c r="AD156" s="414"/>
    </row>
    <row r="157" spans="1:30" x14ac:dyDescent="0.25">
      <c r="A157" s="186">
        <v>1148</v>
      </c>
      <c r="B157" s="330" t="s">
        <v>541</v>
      </c>
      <c r="C157" s="186">
        <v>1</v>
      </c>
      <c r="I157" s="186"/>
      <c r="J157" s="186"/>
      <c r="K157" s="186"/>
      <c r="L157" s="197"/>
      <c r="M157" s="186"/>
      <c r="N157" s="198"/>
      <c r="O157" s="199">
        <v>1.63</v>
      </c>
      <c r="P157" s="199">
        <f>Table1[[#This Row],[unit cost]]</f>
        <v>1.63</v>
      </c>
      <c r="Q157" s="409">
        <v>1.5</v>
      </c>
      <c r="R157" s="186">
        <v>1</v>
      </c>
      <c r="S157" s="249">
        <f t="shared" si="22"/>
        <v>0.42</v>
      </c>
      <c r="T157" s="201">
        <f>Table1[[#This Row],[man minutes]]*Table1[[#This Row],[labor rate]]</f>
        <v>0.63</v>
      </c>
      <c r="U157" s="201">
        <f t="shared" si="25"/>
        <v>2.2599999999999998</v>
      </c>
      <c r="V157" s="187">
        <f t="shared" si="24"/>
        <v>0.22</v>
      </c>
      <c r="W157" s="250">
        <f t="shared" si="23"/>
        <v>0.2</v>
      </c>
      <c r="X157" s="201">
        <f t="shared" si="26"/>
        <v>1.9885999999999999</v>
      </c>
      <c r="Y157" s="201">
        <f t="shared" si="27"/>
        <v>0.75600000000000001</v>
      </c>
      <c r="Z157" s="201">
        <f t="shared" si="28"/>
        <v>2.75</v>
      </c>
      <c r="AA157" s="203">
        <f>+Table1[[#This Row],[calculated sale price]]</f>
        <v>2.75</v>
      </c>
      <c r="AB157" s="202"/>
      <c r="AC157" s="206"/>
      <c r="AD157" s="414"/>
    </row>
    <row r="158" spans="1:30" x14ac:dyDescent="0.25">
      <c r="A158" s="186">
        <v>1149</v>
      </c>
      <c r="B158" t="s">
        <v>542</v>
      </c>
      <c r="C158" s="186">
        <v>1</v>
      </c>
      <c r="I158" s="186"/>
      <c r="J158" s="186"/>
      <c r="K158" s="186"/>
      <c r="L158" s="197"/>
      <c r="M158" s="186"/>
      <c r="N158" s="198"/>
      <c r="O158" s="199">
        <v>1.99</v>
      </c>
      <c r="P158" s="199">
        <f>Table1[[#This Row],[unit cost]]</f>
        <v>1.99</v>
      </c>
      <c r="Q158" s="409">
        <v>1.5</v>
      </c>
      <c r="R158" s="186">
        <v>1</v>
      </c>
      <c r="S158" s="249">
        <f t="shared" si="22"/>
        <v>0.42</v>
      </c>
      <c r="T158" s="201">
        <f>Table1[[#This Row],[man minutes]]*Table1[[#This Row],[labor rate]]</f>
        <v>0.63</v>
      </c>
      <c r="U158" s="201">
        <f t="shared" si="25"/>
        <v>2.62</v>
      </c>
      <c r="V158" s="187">
        <f t="shared" si="24"/>
        <v>0.22</v>
      </c>
      <c r="W158" s="250">
        <f t="shared" si="23"/>
        <v>0.2</v>
      </c>
      <c r="X158" s="201">
        <f t="shared" si="26"/>
        <v>2.4278</v>
      </c>
      <c r="Y158" s="201">
        <f t="shared" si="27"/>
        <v>0.75600000000000001</v>
      </c>
      <c r="Z158" s="201">
        <f t="shared" si="28"/>
        <v>3.19</v>
      </c>
      <c r="AA158" s="203">
        <f>+Table1[[#This Row],[calculated sale price]]</f>
        <v>3.19</v>
      </c>
      <c r="AB158" s="202"/>
      <c r="AC158" s="206"/>
      <c r="AD158" s="414"/>
    </row>
    <row r="159" spans="1:30" x14ac:dyDescent="0.25">
      <c r="A159" s="186">
        <v>1150</v>
      </c>
      <c r="B159" t="s">
        <v>543</v>
      </c>
      <c r="C159" s="186">
        <v>1</v>
      </c>
      <c r="I159" s="186"/>
      <c r="J159" s="186"/>
      <c r="K159" s="186"/>
      <c r="L159" s="197"/>
      <c r="M159" s="186"/>
      <c r="N159" s="198"/>
      <c r="O159" s="199">
        <v>1.45</v>
      </c>
      <c r="P159" s="199">
        <f>Table1[[#This Row],[unit cost]]</f>
        <v>1.45</v>
      </c>
      <c r="Q159" s="409">
        <v>2</v>
      </c>
      <c r="R159" s="186">
        <v>1</v>
      </c>
      <c r="S159" s="249">
        <f t="shared" si="22"/>
        <v>0.42</v>
      </c>
      <c r="T159" s="201">
        <f>Table1[[#This Row],[man minutes]]*Table1[[#This Row],[labor rate]]</f>
        <v>0.84</v>
      </c>
      <c r="U159" s="201">
        <f t="shared" si="25"/>
        <v>2.29</v>
      </c>
      <c r="V159" s="187">
        <f t="shared" si="24"/>
        <v>0.22</v>
      </c>
      <c r="W159" s="250">
        <f t="shared" si="23"/>
        <v>0.2</v>
      </c>
      <c r="X159" s="201">
        <f t="shared" si="26"/>
        <v>1.7689999999999999</v>
      </c>
      <c r="Y159" s="201">
        <f t="shared" si="27"/>
        <v>1.008</v>
      </c>
      <c r="Z159" s="201">
        <f t="shared" si="28"/>
        <v>2.78</v>
      </c>
      <c r="AA159" s="203">
        <f>+Table1[[#This Row],[calculated sale price]]</f>
        <v>2.78</v>
      </c>
      <c r="AB159" s="202"/>
      <c r="AC159" s="206"/>
      <c r="AD159" s="414"/>
    </row>
    <row r="160" spans="1:30" x14ac:dyDescent="0.25">
      <c r="A160" s="186">
        <v>1151</v>
      </c>
      <c r="B160" t="s">
        <v>544</v>
      </c>
      <c r="C160" s="186">
        <v>1</v>
      </c>
      <c r="I160" s="186"/>
      <c r="J160" s="186"/>
      <c r="K160" s="186"/>
      <c r="L160" s="197"/>
      <c r="M160" s="186"/>
      <c r="N160" s="198"/>
      <c r="O160" s="199">
        <v>1.45</v>
      </c>
      <c r="P160" s="199">
        <f>Table1[[#This Row],[unit cost]]</f>
        <v>1.45</v>
      </c>
      <c r="Q160" s="409">
        <v>2</v>
      </c>
      <c r="R160" s="186">
        <v>1</v>
      </c>
      <c r="S160" s="249">
        <f t="shared" si="22"/>
        <v>0.42</v>
      </c>
      <c r="T160" s="201">
        <f>Table1[[#This Row],[man minutes]]*Table1[[#This Row],[labor rate]]</f>
        <v>0.84</v>
      </c>
      <c r="U160" s="201">
        <f t="shared" si="25"/>
        <v>2.29</v>
      </c>
      <c r="V160" s="187">
        <f t="shared" si="24"/>
        <v>0.22</v>
      </c>
      <c r="W160" s="250">
        <f t="shared" si="23"/>
        <v>0.2</v>
      </c>
      <c r="X160" s="201">
        <f t="shared" si="26"/>
        <v>1.7689999999999999</v>
      </c>
      <c r="Y160" s="201">
        <f t="shared" si="27"/>
        <v>1.008</v>
      </c>
      <c r="Z160" s="201">
        <f t="shared" si="28"/>
        <v>2.78</v>
      </c>
      <c r="AA160" s="203">
        <f>+Table1[[#This Row],[calculated sale price]]</f>
        <v>2.78</v>
      </c>
      <c r="AB160" s="202"/>
      <c r="AC160" s="206"/>
      <c r="AD160" s="414"/>
    </row>
    <row r="161" spans="1:30" x14ac:dyDescent="0.25">
      <c r="A161" s="186">
        <v>1152</v>
      </c>
      <c r="B161" t="s">
        <v>545</v>
      </c>
      <c r="C161" s="186">
        <v>1</v>
      </c>
      <c r="I161" s="186"/>
      <c r="J161" s="186"/>
      <c r="K161" s="186"/>
      <c r="L161" s="197"/>
      <c r="M161" s="186"/>
      <c r="N161" s="198"/>
      <c r="O161" s="199">
        <v>1.65</v>
      </c>
      <c r="P161" s="199">
        <f>Table1[[#This Row],[unit cost]]</f>
        <v>1.65</v>
      </c>
      <c r="Q161" s="409">
        <v>2</v>
      </c>
      <c r="R161" s="186">
        <v>1</v>
      </c>
      <c r="S161" s="249">
        <f t="shared" si="22"/>
        <v>0.42</v>
      </c>
      <c r="T161" s="201">
        <f>Table1[[#This Row],[man minutes]]*Table1[[#This Row],[labor rate]]</f>
        <v>0.84</v>
      </c>
      <c r="U161" s="201">
        <f t="shared" si="25"/>
        <v>2.4899999999999998</v>
      </c>
      <c r="V161" s="187">
        <f t="shared" si="24"/>
        <v>0.22</v>
      </c>
      <c r="W161" s="250">
        <f t="shared" si="23"/>
        <v>0.2</v>
      </c>
      <c r="X161" s="201">
        <f t="shared" si="26"/>
        <v>2.0129999999999999</v>
      </c>
      <c r="Y161" s="201">
        <f t="shared" si="27"/>
        <v>1.008</v>
      </c>
      <c r="Z161" s="201">
        <f t="shared" si="28"/>
        <v>3.03</v>
      </c>
      <c r="AA161" s="203">
        <f>+Table1[[#This Row],[calculated sale price]]</f>
        <v>3.03</v>
      </c>
      <c r="AB161" s="202"/>
      <c r="AC161" s="206"/>
      <c r="AD161" s="414"/>
    </row>
    <row r="162" spans="1:30" x14ac:dyDescent="0.25">
      <c r="A162" s="186">
        <v>1153</v>
      </c>
      <c r="B162" t="s">
        <v>546</v>
      </c>
      <c r="C162" s="186">
        <v>1</v>
      </c>
      <c r="I162" s="186"/>
      <c r="J162" s="186"/>
      <c r="K162" s="186"/>
      <c r="L162" s="197"/>
      <c r="M162" s="186"/>
      <c r="N162" s="198"/>
      <c r="O162" s="199">
        <v>0.5</v>
      </c>
      <c r="P162" s="199">
        <f>Table1[[#This Row],[unit cost]]</f>
        <v>0.5</v>
      </c>
      <c r="Q162" s="409">
        <v>0.25</v>
      </c>
      <c r="R162" s="186">
        <v>1</v>
      </c>
      <c r="S162" s="249">
        <f t="shared" si="22"/>
        <v>0.42</v>
      </c>
      <c r="T162" s="201">
        <f>Table1[[#This Row],[man minutes]]*Table1[[#This Row],[labor rate]]</f>
        <v>0.105</v>
      </c>
      <c r="U162" s="201">
        <f t="shared" si="25"/>
        <v>0.60499999999999998</v>
      </c>
      <c r="V162" s="187">
        <f t="shared" si="24"/>
        <v>0.22</v>
      </c>
      <c r="W162" s="250">
        <f t="shared" si="23"/>
        <v>0.2</v>
      </c>
      <c r="X162" s="201">
        <f t="shared" si="26"/>
        <v>0.61</v>
      </c>
      <c r="Y162" s="201">
        <f t="shared" si="27"/>
        <v>0.126</v>
      </c>
      <c r="Z162" s="201">
        <f t="shared" si="28"/>
        <v>0.74</v>
      </c>
      <c r="AA162" s="203">
        <f>+Table1[[#This Row],[calculated sale price]]</f>
        <v>0.74</v>
      </c>
      <c r="AB162" s="202"/>
      <c r="AC162" s="206"/>
      <c r="AD162" s="414"/>
    </row>
    <row r="163" spans="1:30" x14ac:dyDescent="0.25">
      <c r="A163" s="186">
        <v>1154</v>
      </c>
      <c r="B163" t="s">
        <v>547</v>
      </c>
      <c r="C163" s="186">
        <v>1</v>
      </c>
      <c r="I163" s="186"/>
      <c r="J163" s="186"/>
      <c r="K163" s="186"/>
      <c r="L163" s="197"/>
      <c r="M163" s="186"/>
      <c r="N163" s="198"/>
      <c r="O163" s="199">
        <v>0.4</v>
      </c>
      <c r="P163" s="199">
        <f>Table1[[#This Row],[unit cost]]</f>
        <v>0.4</v>
      </c>
      <c r="Q163" s="409">
        <v>0.25</v>
      </c>
      <c r="R163" s="186">
        <v>1</v>
      </c>
      <c r="S163" s="249">
        <f t="shared" si="22"/>
        <v>0.42</v>
      </c>
      <c r="T163" s="201">
        <f>Table1[[#This Row],[man minutes]]*Table1[[#This Row],[labor rate]]</f>
        <v>0.105</v>
      </c>
      <c r="U163" s="201">
        <f t="shared" si="25"/>
        <v>0.505</v>
      </c>
      <c r="V163" s="187">
        <f t="shared" si="24"/>
        <v>0.22</v>
      </c>
      <c r="W163" s="250">
        <f t="shared" si="23"/>
        <v>0.2</v>
      </c>
      <c r="X163" s="201">
        <f t="shared" si="26"/>
        <v>0.48799999999999999</v>
      </c>
      <c r="Y163" s="201">
        <f t="shared" si="27"/>
        <v>0.126</v>
      </c>
      <c r="Z163" s="201">
        <f t="shared" si="28"/>
        <v>0.62</v>
      </c>
      <c r="AA163" s="203">
        <f>+Table1[[#This Row],[calculated sale price]]</f>
        <v>0.62</v>
      </c>
      <c r="AB163" s="202"/>
      <c r="AC163" s="206"/>
      <c r="AD163" s="414"/>
    </row>
    <row r="164" spans="1:30" x14ac:dyDescent="0.25">
      <c r="A164" s="186">
        <v>1155</v>
      </c>
      <c r="B164" s="402" t="s">
        <v>548</v>
      </c>
      <c r="C164" s="186">
        <v>1</v>
      </c>
      <c r="I164" s="186"/>
      <c r="J164" s="186"/>
      <c r="K164" s="186"/>
      <c r="L164" s="197"/>
      <c r="M164" s="186"/>
      <c r="N164" s="198"/>
      <c r="O164" s="400">
        <v>4.82</v>
      </c>
      <c r="P164" s="199">
        <f>Table1[[#This Row],[unit cost]]</f>
        <v>4.82</v>
      </c>
      <c r="Q164" s="399">
        <v>4</v>
      </c>
      <c r="R164" s="186">
        <v>1</v>
      </c>
      <c r="S164" s="249">
        <f t="shared" si="22"/>
        <v>0.42</v>
      </c>
      <c r="T164" s="201">
        <f>Table1[[#This Row],[man minutes]]*Table1[[#This Row],[labor rate]]</f>
        <v>1.68</v>
      </c>
      <c r="U164" s="201">
        <f t="shared" si="25"/>
        <v>6.5</v>
      </c>
      <c r="V164" s="187">
        <f t="shared" si="24"/>
        <v>0.22</v>
      </c>
      <c r="W164" s="250">
        <f t="shared" si="23"/>
        <v>0.2</v>
      </c>
      <c r="X164" s="201">
        <f t="shared" si="26"/>
        <v>5.8803999999999998</v>
      </c>
      <c r="Y164" s="201">
        <f t="shared" si="27"/>
        <v>2.016</v>
      </c>
      <c r="Z164" s="201">
        <f t="shared" si="28"/>
        <v>7.8999999999999995</v>
      </c>
      <c r="AA164" s="203">
        <f>+Table1[[#This Row],[calculated sale price]]</f>
        <v>7.8999999999999995</v>
      </c>
      <c r="AB164" s="202"/>
      <c r="AC164" s="206"/>
      <c r="AD164" s="414"/>
    </row>
    <row r="165" spans="1:30" x14ac:dyDescent="0.25">
      <c r="A165" s="186">
        <v>1156</v>
      </c>
      <c r="B165" t="s">
        <v>549</v>
      </c>
      <c r="C165" s="186">
        <v>1</v>
      </c>
      <c r="I165" s="186"/>
      <c r="J165" s="186"/>
      <c r="K165" s="186"/>
      <c r="L165" s="197"/>
      <c r="M165" s="186"/>
      <c r="N165" s="198"/>
      <c r="O165" s="199">
        <v>0.2</v>
      </c>
      <c r="P165" s="199">
        <f>Table1[[#This Row],[unit cost]]</f>
        <v>0.2</v>
      </c>
      <c r="Q165" s="409">
        <v>0.5</v>
      </c>
      <c r="R165" s="186">
        <v>1</v>
      </c>
      <c r="S165" s="249">
        <f t="shared" si="22"/>
        <v>0.42</v>
      </c>
      <c r="T165" s="201">
        <f>Table1[[#This Row],[man minutes]]*Table1[[#This Row],[labor rate]]</f>
        <v>0.21</v>
      </c>
      <c r="U165" s="201">
        <f t="shared" si="25"/>
        <v>0.41000000000000003</v>
      </c>
      <c r="V165" s="187">
        <f t="shared" si="24"/>
        <v>0.22</v>
      </c>
      <c r="W165" s="250">
        <f t="shared" si="23"/>
        <v>0.2</v>
      </c>
      <c r="X165" s="201">
        <f t="shared" si="26"/>
        <v>0.24399999999999999</v>
      </c>
      <c r="Y165" s="201">
        <f t="shared" si="27"/>
        <v>0.252</v>
      </c>
      <c r="Z165" s="201">
        <f t="shared" si="28"/>
        <v>0.5</v>
      </c>
      <c r="AA165" s="203">
        <f>+Table1[[#This Row],[calculated sale price]]</f>
        <v>0.5</v>
      </c>
      <c r="AB165" s="202"/>
      <c r="AC165" s="206"/>
      <c r="AD165" s="414"/>
    </row>
    <row r="166" spans="1:30" x14ac:dyDescent="0.25">
      <c r="A166" s="186">
        <v>1157</v>
      </c>
      <c r="B166" t="s">
        <v>550</v>
      </c>
      <c r="C166" s="186">
        <v>1</v>
      </c>
      <c r="I166" s="186"/>
      <c r="J166" s="186"/>
      <c r="K166" s="186"/>
      <c r="L166" s="197"/>
      <c r="M166" s="186"/>
      <c r="N166" s="198"/>
      <c r="O166" s="199">
        <f>24.25/40/2.5*3+43.07/40/2.5*3+34.41/75*3+20/12*3</f>
        <v>8.3960000000000008</v>
      </c>
      <c r="P166" s="199">
        <f>Table1[[#This Row],[unit cost]]</f>
        <v>8.3960000000000008</v>
      </c>
      <c r="Q166" s="409">
        <v>2</v>
      </c>
      <c r="R166" s="186">
        <v>1</v>
      </c>
      <c r="S166" s="249">
        <f t="shared" si="22"/>
        <v>0.42</v>
      </c>
      <c r="T166" s="201">
        <f>Table1[[#This Row],[man minutes]]*Table1[[#This Row],[labor rate]]</f>
        <v>0.84</v>
      </c>
      <c r="U166" s="201">
        <f t="shared" si="25"/>
        <v>9.2360000000000007</v>
      </c>
      <c r="V166" s="187">
        <f t="shared" si="24"/>
        <v>0.22</v>
      </c>
      <c r="W166" s="250">
        <f t="shared" si="23"/>
        <v>0.2</v>
      </c>
      <c r="X166" s="201">
        <f t="shared" si="26"/>
        <v>10.243120000000001</v>
      </c>
      <c r="Y166" s="201">
        <f t="shared" si="27"/>
        <v>1.008</v>
      </c>
      <c r="Z166" s="201">
        <f t="shared" si="28"/>
        <v>11.26</v>
      </c>
      <c r="AA166" s="203">
        <f>+Table1[[#This Row],[calculated sale price]]</f>
        <v>11.26</v>
      </c>
      <c r="AB166" s="202"/>
      <c r="AC166" s="206"/>
      <c r="AD166" s="414"/>
    </row>
    <row r="167" spans="1:30" x14ac:dyDescent="0.25">
      <c r="A167" s="186">
        <v>1158</v>
      </c>
      <c r="B167" t="s">
        <v>551</v>
      </c>
      <c r="C167" s="186">
        <v>1</v>
      </c>
      <c r="I167" s="186"/>
      <c r="J167" s="186"/>
      <c r="K167" s="186"/>
      <c r="L167" s="197"/>
      <c r="M167" s="186"/>
      <c r="N167" s="198"/>
      <c r="O167" s="199">
        <f>14.0034*1.15*1.1/12</f>
        <v>1.4761917499999999</v>
      </c>
      <c r="P167" s="199">
        <f>Table1[[#This Row],[unit cost]]</f>
        <v>1.4761917499999999</v>
      </c>
      <c r="Q167" s="409">
        <v>0.25</v>
      </c>
      <c r="R167" s="186">
        <v>1</v>
      </c>
      <c r="S167" s="249">
        <f t="shared" si="22"/>
        <v>0.42</v>
      </c>
      <c r="T167" s="201">
        <f>Table1[[#This Row],[man minutes]]*Table1[[#This Row],[labor rate]]</f>
        <v>0.105</v>
      </c>
      <c r="U167" s="201">
        <f t="shared" si="25"/>
        <v>1.5811917499999999</v>
      </c>
      <c r="V167" s="187">
        <f t="shared" si="24"/>
        <v>0.22</v>
      </c>
      <c r="W167" s="250">
        <f t="shared" si="23"/>
        <v>0.2</v>
      </c>
      <c r="X167" s="201">
        <f t="shared" si="26"/>
        <v>1.8009539349999999</v>
      </c>
      <c r="Y167" s="201">
        <f t="shared" si="27"/>
        <v>0.126</v>
      </c>
      <c r="Z167" s="201">
        <f t="shared" si="28"/>
        <v>1.93</v>
      </c>
      <c r="AA167" s="203">
        <f>+Table1[[#This Row],[calculated sale price]]</f>
        <v>1.93</v>
      </c>
      <c r="AB167" s="202"/>
      <c r="AC167" s="206"/>
      <c r="AD167" s="414"/>
    </row>
    <row r="168" spans="1:30" x14ac:dyDescent="0.25">
      <c r="A168" s="186">
        <v>1159</v>
      </c>
      <c r="B168" t="s">
        <v>552</v>
      </c>
      <c r="C168" s="186">
        <v>1</v>
      </c>
      <c r="I168" s="186"/>
      <c r="J168" s="186"/>
      <c r="K168" s="186"/>
      <c r="L168" s="197"/>
      <c r="M168" s="186"/>
      <c r="N168" s="198"/>
      <c r="O168" s="199">
        <v>2.69</v>
      </c>
      <c r="P168" s="199">
        <f>Table1[[#This Row],[unit cost]]</f>
        <v>2.69</v>
      </c>
      <c r="Q168" s="409">
        <v>3</v>
      </c>
      <c r="R168" s="186">
        <v>1</v>
      </c>
      <c r="S168" s="249">
        <f t="shared" si="22"/>
        <v>0.42</v>
      </c>
      <c r="T168" s="201">
        <f>Table1[[#This Row],[man minutes]]*Table1[[#This Row],[labor rate]]</f>
        <v>1.26</v>
      </c>
      <c r="U168" s="201">
        <f t="shared" si="25"/>
        <v>3.95</v>
      </c>
      <c r="V168" s="187">
        <f t="shared" si="24"/>
        <v>0.22</v>
      </c>
      <c r="W168" s="250">
        <f t="shared" si="23"/>
        <v>0.2</v>
      </c>
      <c r="X168" s="201">
        <f t="shared" si="26"/>
        <v>3.2818000000000001</v>
      </c>
      <c r="Y168" s="201">
        <f t="shared" si="27"/>
        <v>1.512</v>
      </c>
      <c r="Z168" s="201">
        <f t="shared" si="28"/>
        <v>4.8</v>
      </c>
      <c r="AA168" s="203">
        <f>+Table1[[#This Row],[calculated sale price]]</f>
        <v>4.8</v>
      </c>
      <c r="AB168" s="202"/>
      <c r="AC168" s="206"/>
      <c r="AD168" s="414"/>
    </row>
    <row r="169" spans="1:30" x14ac:dyDescent="0.25">
      <c r="A169" s="186">
        <v>1160</v>
      </c>
      <c r="B169" t="s">
        <v>553</v>
      </c>
      <c r="C169" s="186">
        <v>1</v>
      </c>
      <c r="I169" s="186"/>
      <c r="J169" s="186"/>
      <c r="K169" s="186"/>
      <c r="L169" s="197"/>
      <c r="M169" s="186"/>
      <c r="N169" s="198"/>
      <c r="O169" s="199">
        <v>2.96</v>
      </c>
      <c r="P169" s="199">
        <f>Table1[[#This Row],[unit cost]]</f>
        <v>2.96</v>
      </c>
      <c r="Q169" s="409">
        <v>1.65</v>
      </c>
      <c r="R169" s="186">
        <v>1</v>
      </c>
      <c r="S169" s="249">
        <f t="shared" si="22"/>
        <v>0.42</v>
      </c>
      <c r="T169" s="201">
        <f>Table1[[#This Row],[man minutes]]*Table1[[#This Row],[labor rate]]</f>
        <v>0.69299999999999995</v>
      </c>
      <c r="U169" s="201">
        <f t="shared" si="25"/>
        <v>3.653</v>
      </c>
      <c r="V169" s="187">
        <f t="shared" si="24"/>
        <v>0.22</v>
      </c>
      <c r="W169" s="250">
        <f t="shared" si="23"/>
        <v>0.2</v>
      </c>
      <c r="X169" s="201">
        <f t="shared" si="26"/>
        <v>3.6111999999999997</v>
      </c>
      <c r="Y169" s="201">
        <f t="shared" si="27"/>
        <v>0.83159999999999989</v>
      </c>
      <c r="Z169" s="201">
        <f t="shared" si="28"/>
        <v>4.45</v>
      </c>
      <c r="AA169" s="203">
        <f>+Table1[[#This Row],[calculated sale price]]</f>
        <v>4.45</v>
      </c>
      <c r="AB169" s="202"/>
      <c r="AC169" s="206"/>
      <c r="AD169" s="414"/>
    </row>
    <row r="170" spans="1:30" x14ac:dyDescent="0.25">
      <c r="A170" s="186">
        <v>1161</v>
      </c>
      <c r="B170" t="s">
        <v>554</v>
      </c>
      <c r="C170" s="186">
        <v>1</v>
      </c>
      <c r="I170" s="186"/>
      <c r="J170" s="186"/>
      <c r="K170" s="186"/>
      <c r="L170" s="197"/>
      <c r="M170" s="186"/>
      <c r="N170" s="198"/>
      <c r="O170" s="199">
        <v>3.2</v>
      </c>
      <c r="P170" s="199">
        <f>Table1[[#This Row],[unit cost]]</f>
        <v>3.2</v>
      </c>
      <c r="Q170" s="409">
        <v>2.75</v>
      </c>
      <c r="R170" s="186">
        <v>1</v>
      </c>
      <c r="S170" s="249">
        <f t="shared" si="22"/>
        <v>0.42</v>
      </c>
      <c r="T170" s="201">
        <f>Table1[[#This Row],[man minutes]]*Table1[[#This Row],[labor rate]]</f>
        <v>1.155</v>
      </c>
      <c r="U170" s="201">
        <f t="shared" si="25"/>
        <v>4.3550000000000004</v>
      </c>
      <c r="V170" s="187">
        <f t="shared" si="24"/>
        <v>0.22</v>
      </c>
      <c r="W170" s="250">
        <f t="shared" si="23"/>
        <v>0.2</v>
      </c>
      <c r="X170" s="201">
        <f t="shared" si="26"/>
        <v>3.9039999999999999</v>
      </c>
      <c r="Y170" s="201">
        <f t="shared" si="27"/>
        <v>1.3860000000000001</v>
      </c>
      <c r="Z170" s="201">
        <f t="shared" si="28"/>
        <v>5.29</v>
      </c>
      <c r="AA170" s="203">
        <f>+Table1[[#This Row],[calculated sale price]]</f>
        <v>5.29</v>
      </c>
      <c r="AB170" s="202"/>
      <c r="AC170" s="206"/>
      <c r="AD170" s="414"/>
    </row>
    <row r="171" spans="1:30" x14ac:dyDescent="0.25">
      <c r="A171" s="186">
        <v>1162</v>
      </c>
      <c r="B171" t="s">
        <v>555</v>
      </c>
      <c r="C171" s="186">
        <v>1</v>
      </c>
      <c r="I171" s="186"/>
      <c r="J171" s="186"/>
      <c r="K171" s="186"/>
      <c r="L171" s="197"/>
      <c r="M171" s="186"/>
      <c r="N171" s="198"/>
      <c r="O171" s="199">
        <v>1.73</v>
      </c>
      <c r="P171" s="199">
        <f>Table1[[#This Row],[unit cost]]</f>
        <v>1.73</v>
      </c>
      <c r="Q171" s="409">
        <v>2.5</v>
      </c>
      <c r="R171" s="186">
        <v>1</v>
      </c>
      <c r="S171" s="249">
        <f t="shared" si="22"/>
        <v>0.42</v>
      </c>
      <c r="T171" s="201">
        <f>Table1[[#This Row],[man minutes]]*Table1[[#This Row],[labor rate]]</f>
        <v>1.05</v>
      </c>
      <c r="U171" s="201">
        <f t="shared" si="25"/>
        <v>2.7800000000000002</v>
      </c>
      <c r="V171" s="187">
        <f t="shared" si="24"/>
        <v>0.22</v>
      </c>
      <c r="W171" s="250">
        <f t="shared" si="23"/>
        <v>0.2</v>
      </c>
      <c r="X171" s="201">
        <f t="shared" si="26"/>
        <v>2.1105999999999998</v>
      </c>
      <c r="Y171" s="201">
        <f t="shared" si="27"/>
        <v>1.26</v>
      </c>
      <c r="Z171" s="201">
        <f t="shared" si="28"/>
        <v>3.38</v>
      </c>
      <c r="AA171" s="203">
        <f>+Table1[[#This Row],[calculated sale price]]</f>
        <v>3.38</v>
      </c>
      <c r="AB171" s="202"/>
      <c r="AC171" s="206"/>
      <c r="AD171" s="414"/>
    </row>
    <row r="172" spans="1:30" x14ac:dyDescent="0.25">
      <c r="A172" s="186">
        <v>1163</v>
      </c>
      <c r="B172" t="s">
        <v>556</v>
      </c>
      <c r="C172" s="186">
        <v>1</v>
      </c>
      <c r="I172" s="186"/>
      <c r="J172" s="186"/>
      <c r="K172" s="186"/>
      <c r="L172" s="197"/>
      <c r="M172" s="186"/>
      <c r="N172" s="198"/>
      <c r="O172" s="199">
        <v>2.8274375903683375</v>
      </c>
      <c r="P172" s="199">
        <f>Table1[[#This Row],[unit cost]]</f>
        <v>2.8274375903683375</v>
      </c>
      <c r="Q172" s="409">
        <v>1.5</v>
      </c>
      <c r="R172" s="186">
        <v>1</v>
      </c>
      <c r="S172" s="249">
        <f t="shared" si="22"/>
        <v>0.42</v>
      </c>
      <c r="T172" s="201">
        <f>Table1[[#This Row],[man minutes]]*Table1[[#This Row],[labor rate]]</f>
        <v>0.63</v>
      </c>
      <c r="U172" s="201">
        <f t="shared" si="25"/>
        <v>3.4574375903683374</v>
      </c>
      <c r="V172" s="187">
        <f t="shared" si="24"/>
        <v>0.22</v>
      </c>
      <c r="W172" s="250">
        <f t="shared" si="23"/>
        <v>0.2</v>
      </c>
      <c r="X172" s="201">
        <f t="shared" si="26"/>
        <v>3.4494738602493715</v>
      </c>
      <c r="Y172" s="201">
        <f t="shared" si="27"/>
        <v>0.75600000000000001</v>
      </c>
      <c r="Z172" s="201">
        <f t="shared" si="28"/>
        <v>4.21</v>
      </c>
      <c r="AA172" s="203">
        <f>+Table1[[#This Row],[calculated sale price]]</f>
        <v>4.21</v>
      </c>
      <c r="AB172" s="202"/>
      <c r="AC172" s="206"/>
      <c r="AD172" s="414"/>
    </row>
    <row r="173" spans="1:30" x14ac:dyDescent="0.25">
      <c r="A173" s="186">
        <v>1164</v>
      </c>
      <c r="B173" t="s">
        <v>557</v>
      </c>
      <c r="C173" s="186">
        <v>1</v>
      </c>
      <c r="I173" s="186"/>
      <c r="J173" s="186"/>
      <c r="K173" s="186"/>
      <c r="L173" s="197"/>
      <c r="M173" s="186"/>
      <c r="N173" s="198"/>
      <c r="O173" s="199">
        <f>0.66+0.5</f>
        <v>1.1600000000000001</v>
      </c>
      <c r="P173" s="199">
        <f>Table1[[#This Row],[unit cost]]</f>
        <v>1.1600000000000001</v>
      </c>
      <c r="Q173" s="409">
        <v>1.75</v>
      </c>
      <c r="R173" s="186">
        <v>1</v>
      </c>
      <c r="S173" s="249">
        <f t="shared" si="22"/>
        <v>0.42</v>
      </c>
      <c r="T173" s="201">
        <f>Table1[[#This Row],[man minutes]]*Table1[[#This Row],[labor rate]]</f>
        <v>0.73499999999999999</v>
      </c>
      <c r="U173" s="201">
        <f t="shared" si="25"/>
        <v>1.895</v>
      </c>
      <c r="V173" s="187">
        <f t="shared" si="24"/>
        <v>0.22</v>
      </c>
      <c r="W173" s="250">
        <f t="shared" si="23"/>
        <v>0.2</v>
      </c>
      <c r="X173" s="201">
        <f t="shared" si="26"/>
        <v>1.4152000000000002</v>
      </c>
      <c r="Y173" s="201">
        <f t="shared" si="27"/>
        <v>0.88200000000000001</v>
      </c>
      <c r="Z173" s="201">
        <f t="shared" si="28"/>
        <v>2.2999999999999998</v>
      </c>
      <c r="AA173" s="203">
        <f>+Table1[[#This Row],[calculated sale price]]</f>
        <v>2.2999999999999998</v>
      </c>
      <c r="AB173" s="202"/>
      <c r="AC173" s="206"/>
      <c r="AD173" s="414"/>
    </row>
    <row r="174" spans="1:30" x14ac:dyDescent="0.25">
      <c r="A174" s="186">
        <v>1165</v>
      </c>
      <c r="B174" t="s">
        <v>558</v>
      </c>
      <c r="C174" s="186">
        <v>1</v>
      </c>
      <c r="I174" s="186"/>
      <c r="J174" s="186"/>
      <c r="K174" s="186"/>
      <c r="L174" s="197"/>
      <c r="M174" s="186"/>
      <c r="N174" s="198"/>
      <c r="O174" s="199">
        <f>1.01</f>
        <v>1.01</v>
      </c>
      <c r="P174" s="199">
        <f>Table1[[#This Row],[unit cost]]</f>
        <v>1.01</v>
      </c>
      <c r="Q174" s="409">
        <v>1.75</v>
      </c>
      <c r="R174" s="186">
        <v>1</v>
      </c>
      <c r="S174" s="249">
        <f t="shared" si="22"/>
        <v>0.42</v>
      </c>
      <c r="T174" s="201">
        <f>Table1[[#This Row],[man minutes]]*Table1[[#This Row],[labor rate]]</f>
        <v>0.73499999999999999</v>
      </c>
      <c r="U174" s="201">
        <f t="shared" si="25"/>
        <v>1.7450000000000001</v>
      </c>
      <c r="V174" s="187">
        <f t="shared" si="24"/>
        <v>0.22</v>
      </c>
      <c r="W174" s="250">
        <f t="shared" si="23"/>
        <v>0.2</v>
      </c>
      <c r="X174" s="201">
        <f t="shared" si="26"/>
        <v>1.2322</v>
      </c>
      <c r="Y174" s="201">
        <f t="shared" si="27"/>
        <v>0.88200000000000001</v>
      </c>
      <c r="Z174" s="201">
        <f t="shared" si="28"/>
        <v>2.1199999999999997</v>
      </c>
      <c r="AA174" s="203">
        <f>+Table1[[#This Row],[calculated sale price]]</f>
        <v>2.1199999999999997</v>
      </c>
      <c r="AB174" s="202"/>
      <c r="AC174" s="206"/>
      <c r="AD174" s="414"/>
    </row>
    <row r="175" spans="1:30" x14ac:dyDescent="0.25">
      <c r="A175" s="186">
        <v>1166</v>
      </c>
      <c r="B175" t="s">
        <v>559</v>
      </c>
      <c r="C175" s="186">
        <v>1</v>
      </c>
      <c r="I175" s="186"/>
      <c r="J175" s="186"/>
      <c r="K175" s="186"/>
      <c r="L175" s="197"/>
      <c r="M175" s="186"/>
      <c r="N175" s="198"/>
      <c r="O175" s="199">
        <f>1.00540233190124+0.25</f>
        <v>1.25540233190124</v>
      </c>
      <c r="P175" s="199">
        <f>Table1[[#This Row],[unit cost]]</f>
        <v>1.25540233190124</v>
      </c>
      <c r="Q175" s="409">
        <v>1</v>
      </c>
      <c r="R175" s="186">
        <v>1</v>
      </c>
      <c r="S175" s="249">
        <f t="shared" si="22"/>
        <v>0.42</v>
      </c>
      <c r="T175" s="201">
        <f>Table1[[#This Row],[man minutes]]*Table1[[#This Row],[labor rate]]</f>
        <v>0.42</v>
      </c>
      <c r="U175" s="201">
        <f t="shared" si="25"/>
        <v>1.6754023319012399</v>
      </c>
      <c r="V175" s="187">
        <f t="shared" si="24"/>
        <v>0.22</v>
      </c>
      <c r="W175" s="250">
        <f t="shared" si="23"/>
        <v>0.2</v>
      </c>
      <c r="X175" s="201">
        <f t="shared" si="26"/>
        <v>1.5315908449195128</v>
      </c>
      <c r="Y175" s="201">
        <f t="shared" si="27"/>
        <v>0.504</v>
      </c>
      <c r="Z175" s="201">
        <f t="shared" si="28"/>
        <v>2.0399999999999996</v>
      </c>
      <c r="AA175" s="203">
        <f>+Table1[[#This Row],[calculated sale price]]</f>
        <v>2.0399999999999996</v>
      </c>
      <c r="AB175" s="202"/>
      <c r="AC175" s="206"/>
      <c r="AD175" s="414"/>
    </row>
    <row r="176" spans="1:30" x14ac:dyDescent="0.25">
      <c r="A176" s="186">
        <v>1167</v>
      </c>
      <c r="B176" t="s">
        <v>560</v>
      </c>
      <c r="C176" s="186">
        <v>1</v>
      </c>
      <c r="I176" s="186"/>
      <c r="J176" s="186"/>
      <c r="K176" s="186"/>
      <c r="L176" s="197"/>
      <c r="M176" s="186"/>
      <c r="N176" s="198"/>
      <c r="O176" s="199">
        <v>9.9600000000000009</v>
      </c>
      <c r="P176" s="199">
        <f>Table1[[#This Row],[unit cost]]</f>
        <v>9.9600000000000009</v>
      </c>
      <c r="Q176" s="409">
        <v>1</v>
      </c>
      <c r="R176" s="186">
        <v>1</v>
      </c>
      <c r="S176" s="249">
        <f t="shared" si="22"/>
        <v>0.42</v>
      </c>
      <c r="T176" s="201">
        <f>Table1[[#This Row],[man minutes]]*Table1[[#This Row],[labor rate]]</f>
        <v>0.42</v>
      </c>
      <c r="U176" s="201">
        <f t="shared" si="25"/>
        <v>10.38</v>
      </c>
      <c r="V176" s="187">
        <f t="shared" si="24"/>
        <v>0.22</v>
      </c>
      <c r="W176" s="250">
        <f t="shared" si="23"/>
        <v>0.2</v>
      </c>
      <c r="X176" s="201">
        <f t="shared" si="26"/>
        <v>12.151200000000001</v>
      </c>
      <c r="Y176" s="201">
        <f t="shared" si="27"/>
        <v>0.504</v>
      </c>
      <c r="Z176" s="201">
        <f t="shared" si="28"/>
        <v>12.66</v>
      </c>
      <c r="AA176" s="203">
        <f>+Table1[[#This Row],[calculated sale price]]</f>
        <v>12.66</v>
      </c>
      <c r="AB176" s="202"/>
      <c r="AC176" s="206"/>
      <c r="AD176" s="414"/>
    </row>
    <row r="177" spans="1:30" x14ac:dyDescent="0.25">
      <c r="A177" s="186">
        <v>1168</v>
      </c>
      <c r="B177" t="s">
        <v>561</v>
      </c>
      <c r="C177" s="186">
        <v>1</v>
      </c>
      <c r="I177" s="186"/>
      <c r="J177" s="186"/>
      <c r="K177" s="186"/>
      <c r="L177" s="197"/>
      <c r="M177" s="186"/>
      <c r="N177" s="198"/>
      <c r="O177" s="199">
        <f>2.5790533643229+1.8</f>
        <v>4.3790533643228997</v>
      </c>
      <c r="P177" s="199">
        <f>Table1[[#This Row],[unit cost]]</f>
        <v>4.3790533643228997</v>
      </c>
      <c r="Q177" s="409">
        <v>4.75</v>
      </c>
      <c r="R177" s="186">
        <v>1</v>
      </c>
      <c r="S177" s="249">
        <f t="shared" si="22"/>
        <v>0.42</v>
      </c>
      <c r="T177" s="201">
        <f>Table1[[#This Row],[man minutes]]*Table1[[#This Row],[labor rate]]</f>
        <v>1.9949999999999999</v>
      </c>
      <c r="U177" s="201">
        <f t="shared" si="25"/>
        <v>6.3740533643228998</v>
      </c>
      <c r="V177" s="187">
        <f t="shared" si="24"/>
        <v>0.22</v>
      </c>
      <c r="W177" s="250">
        <f t="shared" si="23"/>
        <v>0.2</v>
      </c>
      <c r="X177" s="201">
        <f t="shared" si="26"/>
        <v>5.3424451044739376</v>
      </c>
      <c r="Y177" s="201">
        <f t="shared" si="27"/>
        <v>2.3940000000000001</v>
      </c>
      <c r="Z177" s="201">
        <f t="shared" si="28"/>
        <v>7.74</v>
      </c>
      <c r="AA177" s="203">
        <f>+Table1[[#This Row],[calculated sale price]]</f>
        <v>7.74</v>
      </c>
      <c r="AB177" s="202"/>
      <c r="AC177" s="206"/>
      <c r="AD177" s="414"/>
    </row>
    <row r="178" spans="1:30" x14ac:dyDescent="0.25">
      <c r="A178" s="186">
        <v>1169</v>
      </c>
      <c r="B178" t="s">
        <v>562</v>
      </c>
      <c r="C178" s="186">
        <v>1</v>
      </c>
      <c r="I178" s="186"/>
      <c r="J178" s="186"/>
      <c r="K178" s="186"/>
      <c r="L178" s="197"/>
      <c r="M178" s="186"/>
      <c r="N178" s="198"/>
      <c r="O178" s="199">
        <f>8.62106357703851+0.5</f>
        <v>9.1210635770385107</v>
      </c>
      <c r="P178" s="199">
        <f>Table1[[#This Row],[unit cost]]</f>
        <v>9.1210635770385107</v>
      </c>
      <c r="Q178" s="409">
        <v>4.75</v>
      </c>
      <c r="R178" s="186">
        <v>1</v>
      </c>
      <c r="S178" s="249">
        <f t="shared" si="22"/>
        <v>0.42</v>
      </c>
      <c r="T178" s="201">
        <f>Table1[[#This Row],[man minutes]]*Table1[[#This Row],[labor rate]]</f>
        <v>1.9949999999999999</v>
      </c>
      <c r="U178" s="201">
        <f t="shared" si="25"/>
        <v>11.11606357703851</v>
      </c>
      <c r="V178" s="187">
        <f t="shared" si="24"/>
        <v>0.22</v>
      </c>
      <c r="W178" s="250">
        <f t="shared" si="23"/>
        <v>0.2</v>
      </c>
      <c r="X178" s="201">
        <f t="shared" si="26"/>
        <v>11.127697563986983</v>
      </c>
      <c r="Y178" s="201">
        <f t="shared" si="27"/>
        <v>2.3940000000000001</v>
      </c>
      <c r="Z178" s="201">
        <f t="shared" si="28"/>
        <v>13.53</v>
      </c>
      <c r="AA178" s="203">
        <f>+Table1[[#This Row],[calculated sale price]]</f>
        <v>13.53</v>
      </c>
      <c r="AB178" s="202"/>
      <c r="AC178" s="206"/>
      <c r="AD178" s="414"/>
    </row>
    <row r="179" spans="1:30" x14ac:dyDescent="0.25">
      <c r="A179" s="186">
        <v>1170</v>
      </c>
      <c r="B179" t="s">
        <v>563</v>
      </c>
      <c r="C179" s="186">
        <v>1</v>
      </c>
      <c r="I179" s="186"/>
      <c r="J179" s="186"/>
      <c r="K179" s="186"/>
      <c r="L179" s="197"/>
      <c r="M179" s="186"/>
      <c r="N179" s="198"/>
      <c r="O179" s="199">
        <v>3.9642833494277454</v>
      </c>
      <c r="P179" s="199">
        <f>Table1[[#This Row],[unit cost]]</f>
        <v>3.9642833494277454</v>
      </c>
      <c r="Q179" s="409">
        <v>3.75</v>
      </c>
      <c r="R179" s="186">
        <v>1</v>
      </c>
      <c r="S179" s="249">
        <f t="shared" si="22"/>
        <v>0.42</v>
      </c>
      <c r="T179" s="201">
        <f>Table1[[#This Row],[man minutes]]*Table1[[#This Row],[labor rate]]</f>
        <v>1.575</v>
      </c>
      <c r="U179" s="201">
        <f t="shared" si="25"/>
        <v>5.5392833494277456</v>
      </c>
      <c r="V179" s="187">
        <f t="shared" si="24"/>
        <v>0.22</v>
      </c>
      <c r="W179" s="250">
        <f t="shared" si="23"/>
        <v>0.2</v>
      </c>
      <c r="X179" s="201">
        <f t="shared" si="26"/>
        <v>4.8364256863018493</v>
      </c>
      <c r="Y179" s="201">
        <f t="shared" si="27"/>
        <v>1.89</v>
      </c>
      <c r="Z179" s="201">
        <f t="shared" si="28"/>
        <v>6.7299999999999995</v>
      </c>
      <c r="AA179" s="203">
        <f>+Table1[[#This Row],[calculated sale price]]</f>
        <v>6.7299999999999995</v>
      </c>
      <c r="AB179" s="202"/>
      <c r="AC179" s="206"/>
      <c r="AD179" s="414"/>
    </row>
    <row r="180" spans="1:30" x14ac:dyDescent="0.25">
      <c r="A180" s="186">
        <v>1171</v>
      </c>
      <c r="B180" t="s">
        <v>564</v>
      </c>
      <c r="C180" s="186">
        <v>1</v>
      </c>
      <c r="I180" s="186"/>
      <c r="J180" s="186"/>
      <c r="K180" s="186"/>
      <c r="L180" s="197"/>
      <c r="M180" s="186"/>
      <c r="N180" s="198"/>
      <c r="O180" s="199">
        <v>2.6020222328068328</v>
      </c>
      <c r="P180" s="199">
        <f>Table1[[#This Row],[unit cost]]</f>
        <v>2.6020222328068328</v>
      </c>
      <c r="Q180" s="409">
        <v>1</v>
      </c>
      <c r="R180" s="186">
        <v>1</v>
      </c>
      <c r="S180" s="249">
        <f t="shared" si="22"/>
        <v>0.42</v>
      </c>
      <c r="T180" s="201">
        <f>Table1[[#This Row],[man minutes]]*Table1[[#This Row],[labor rate]]</f>
        <v>0.42</v>
      </c>
      <c r="U180" s="201">
        <f t="shared" si="25"/>
        <v>3.0220222328068327</v>
      </c>
      <c r="V180" s="187">
        <f t="shared" si="24"/>
        <v>0.22</v>
      </c>
      <c r="W180" s="250">
        <f t="shared" si="23"/>
        <v>0.2</v>
      </c>
      <c r="X180" s="201">
        <f t="shared" si="26"/>
        <v>3.1744671240243361</v>
      </c>
      <c r="Y180" s="201">
        <f t="shared" si="27"/>
        <v>0.504</v>
      </c>
      <c r="Z180" s="201">
        <f t="shared" si="28"/>
        <v>3.6799999999999997</v>
      </c>
      <c r="AA180" s="203">
        <f>+Table1[[#This Row],[calculated sale price]]</f>
        <v>3.6799999999999997</v>
      </c>
      <c r="AB180" s="202"/>
      <c r="AC180" s="206"/>
      <c r="AD180" s="414"/>
    </row>
    <row r="181" spans="1:30" x14ac:dyDescent="0.25">
      <c r="A181" s="186">
        <v>1172</v>
      </c>
      <c r="B181" t="s">
        <v>565</v>
      </c>
      <c r="C181" s="186">
        <v>1</v>
      </c>
      <c r="I181" s="186"/>
      <c r="J181" s="186"/>
      <c r="K181" s="186"/>
      <c r="L181" s="197"/>
      <c r="M181" s="186"/>
      <c r="N181" s="198"/>
      <c r="O181" s="199">
        <v>0</v>
      </c>
      <c r="P181" s="199">
        <f>Table1[[#This Row],[unit cost]]</f>
        <v>0</v>
      </c>
      <c r="Q181" s="409">
        <v>1</v>
      </c>
      <c r="R181" s="186">
        <v>1</v>
      </c>
      <c r="S181" s="249">
        <f t="shared" si="22"/>
        <v>0.42</v>
      </c>
      <c r="T181" s="201">
        <f>Table1[[#This Row],[man minutes]]*Table1[[#This Row],[labor rate]]</f>
        <v>0.42</v>
      </c>
      <c r="U181" s="201">
        <f t="shared" si="25"/>
        <v>0.42</v>
      </c>
      <c r="V181" s="187">
        <f t="shared" si="24"/>
        <v>0.22</v>
      </c>
      <c r="W181" s="250">
        <f t="shared" si="23"/>
        <v>0.2</v>
      </c>
      <c r="X181" s="201">
        <f t="shared" si="26"/>
        <v>0</v>
      </c>
      <c r="Y181" s="201">
        <f t="shared" si="27"/>
        <v>0.504</v>
      </c>
      <c r="Z181" s="201">
        <f t="shared" si="28"/>
        <v>0.51</v>
      </c>
      <c r="AA181" s="203">
        <f>+Table1[[#This Row],[calculated sale price]]</f>
        <v>0.51</v>
      </c>
      <c r="AB181" s="202"/>
      <c r="AC181" s="206"/>
      <c r="AD181" s="414"/>
    </row>
    <row r="182" spans="1:30" x14ac:dyDescent="0.25">
      <c r="A182" s="186">
        <v>1173</v>
      </c>
      <c r="B182" t="s">
        <v>566</v>
      </c>
      <c r="C182" s="186">
        <v>1</v>
      </c>
      <c r="I182" s="186"/>
      <c r="J182" s="186"/>
      <c r="K182" s="186"/>
      <c r="L182" s="197"/>
      <c r="M182" s="186"/>
      <c r="N182" s="198"/>
      <c r="O182" s="199">
        <v>0</v>
      </c>
      <c r="P182" s="199">
        <f>Table1[[#This Row],[unit cost]]</f>
        <v>0</v>
      </c>
      <c r="Q182" s="409">
        <v>1.25</v>
      </c>
      <c r="R182" s="186">
        <v>1</v>
      </c>
      <c r="S182" s="249">
        <f t="shared" si="22"/>
        <v>0.42</v>
      </c>
      <c r="T182" s="201">
        <f>Table1[[#This Row],[man minutes]]*Table1[[#This Row],[labor rate]]</f>
        <v>0.52500000000000002</v>
      </c>
      <c r="U182" s="201">
        <f t="shared" si="25"/>
        <v>0.52500000000000002</v>
      </c>
      <c r="V182" s="187">
        <f t="shared" si="24"/>
        <v>0.22</v>
      </c>
      <c r="W182" s="250">
        <f t="shared" si="23"/>
        <v>0.2</v>
      </c>
      <c r="X182" s="201">
        <f t="shared" si="26"/>
        <v>0</v>
      </c>
      <c r="Y182" s="201">
        <f t="shared" si="27"/>
        <v>0.63</v>
      </c>
      <c r="Z182" s="201">
        <f t="shared" si="28"/>
        <v>0.63</v>
      </c>
      <c r="AA182" s="203">
        <f>+Table1[[#This Row],[calculated sale price]]</f>
        <v>0.63</v>
      </c>
      <c r="AB182" s="202"/>
      <c r="AC182" s="206"/>
      <c r="AD182" s="414"/>
    </row>
    <row r="183" spans="1:30" x14ac:dyDescent="0.25">
      <c r="A183" s="186">
        <v>1174</v>
      </c>
      <c r="B183" t="s">
        <v>567</v>
      </c>
      <c r="C183" s="186">
        <v>1</v>
      </c>
      <c r="I183" s="186"/>
      <c r="J183" s="186"/>
      <c r="K183" s="186"/>
      <c r="L183" s="197"/>
      <c r="M183" s="186"/>
      <c r="N183" s="198"/>
      <c r="O183" s="199">
        <v>1.2553338435374155</v>
      </c>
      <c r="P183" s="199">
        <f>Table1[[#This Row],[unit cost]]</f>
        <v>1.2553338435374155</v>
      </c>
      <c r="Q183" s="409">
        <v>0.5</v>
      </c>
      <c r="R183" s="186">
        <v>1</v>
      </c>
      <c r="S183" s="249">
        <f t="shared" si="22"/>
        <v>0.42</v>
      </c>
      <c r="T183" s="201">
        <f>Table1[[#This Row],[man minutes]]*Table1[[#This Row],[labor rate]]</f>
        <v>0.21</v>
      </c>
      <c r="U183" s="201">
        <f t="shared" si="25"/>
        <v>1.4653338435374155</v>
      </c>
      <c r="V183" s="187">
        <f t="shared" si="24"/>
        <v>0.22</v>
      </c>
      <c r="W183" s="250">
        <f t="shared" si="23"/>
        <v>0.2</v>
      </c>
      <c r="X183" s="201">
        <f t="shared" si="26"/>
        <v>1.5315072891156469</v>
      </c>
      <c r="Y183" s="201">
        <f t="shared" si="27"/>
        <v>0.252</v>
      </c>
      <c r="Z183" s="201">
        <f t="shared" si="28"/>
        <v>1.79</v>
      </c>
      <c r="AA183" s="203">
        <f>+Table1[[#This Row],[calculated sale price]]</f>
        <v>1.79</v>
      </c>
      <c r="AB183" s="202"/>
      <c r="AC183" s="206"/>
      <c r="AD183" s="414"/>
    </row>
    <row r="184" spans="1:30" x14ac:dyDescent="0.25">
      <c r="A184" s="186">
        <v>1175</v>
      </c>
      <c r="B184" t="s">
        <v>568</v>
      </c>
      <c r="C184" s="186">
        <v>1</v>
      </c>
      <c r="I184" s="186"/>
      <c r="J184" s="186"/>
      <c r="K184" s="186"/>
      <c r="L184" s="197"/>
      <c r="M184" s="186"/>
      <c r="N184" s="198"/>
      <c r="O184" s="199">
        <v>2.8971130117173667</v>
      </c>
      <c r="P184" s="199">
        <f>Table1[[#This Row],[unit cost]]</f>
        <v>2.8971130117173667</v>
      </c>
      <c r="Q184" s="409">
        <v>3.45</v>
      </c>
      <c r="R184" s="186">
        <v>1</v>
      </c>
      <c r="S184" s="249">
        <f t="shared" si="22"/>
        <v>0.42</v>
      </c>
      <c r="T184" s="201">
        <f>Table1[[#This Row],[man minutes]]*Table1[[#This Row],[labor rate]]</f>
        <v>1.4490000000000001</v>
      </c>
      <c r="U184" s="201">
        <f t="shared" si="25"/>
        <v>4.3461130117173665</v>
      </c>
      <c r="V184" s="187">
        <f t="shared" si="24"/>
        <v>0.22</v>
      </c>
      <c r="W184" s="250">
        <f t="shared" si="23"/>
        <v>0.2</v>
      </c>
      <c r="X184" s="201">
        <f t="shared" si="26"/>
        <v>3.5344778742951872</v>
      </c>
      <c r="Y184" s="201">
        <f t="shared" si="27"/>
        <v>1.7388000000000001</v>
      </c>
      <c r="Z184" s="201">
        <f t="shared" si="28"/>
        <v>5.2799999999999994</v>
      </c>
      <c r="AA184" s="203">
        <f>+Table1[[#This Row],[calculated sale price]]</f>
        <v>5.2799999999999994</v>
      </c>
      <c r="AB184" s="202"/>
      <c r="AC184" s="206"/>
      <c r="AD184" s="414"/>
    </row>
    <row r="185" spans="1:30" x14ac:dyDescent="0.25">
      <c r="A185" s="186">
        <v>1176</v>
      </c>
      <c r="B185" t="s">
        <v>569</v>
      </c>
      <c r="C185" s="186">
        <v>1</v>
      </c>
      <c r="I185" s="186"/>
      <c r="J185" s="186"/>
      <c r="K185" s="186"/>
      <c r="L185" s="197"/>
      <c r="M185" s="186"/>
      <c r="N185" s="198"/>
      <c r="O185" s="199">
        <v>2.2170221105079957</v>
      </c>
      <c r="P185" s="199">
        <f>Table1[[#This Row],[unit cost]]</f>
        <v>2.2170221105079957</v>
      </c>
      <c r="Q185" s="409">
        <v>2.75</v>
      </c>
      <c r="R185" s="186">
        <v>1</v>
      </c>
      <c r="S185" s="249">
        <f t="shared" si="22"/>
        <v>0.42</v>
      </c>
      <c r="T185" s="201">
        <f>Table1[[#This Row],[man minutes]]*Table1[[#This Row],[labor rate]]</f>
        <v>1.155</v>
      </c>
      <c r="U185" s="201">
        <f t="shared" si="25"/>
        <v>3.3720221105079959</v>
      </c>
      <c r="V185" s="187">
        <f t="shared" si="24"/>
        <v>0.22</v>
      </c>
      <c r="W185" s="250">
        <f t="shared" si="23"/>
        <v>0.2</v>
      </c>
      <c r="X185" s="201">
        <f t="shared" si="26"/>
        <v>2.7047669748197545</v>
      </c>
      <c r="Y185" s="201">
        <f t="shared" si="27"/>
        <v>1.3860000000000001</v>
      </c>
      <c r="Z185" s="201">
        <f t="shared" si="28"/>
        <v>4.0999999999999996</v>
      </c>
      <c r="AA185" s="203">
        <f>+Table1[[#This Row],[calculated sale price]]</f>
        <v>4.0999999999999996</v>
      </c>
      <c r="AB185" s="202"/>
      <c r="AC185" s="206"/>
      <c r="AD185" s="414"/>
    </row>
    <row r="186" spans="1:30" x14ac:dyDescent="0.25">
      <c r="A186" s="186">
        <v>1177</v>
      </c>
      <c r="B186" t="s">
        <v>570</v>
      </c>
      <c r="C186" s="186">
        <v>1</v>
      </c>
      <c r="I186" s="186"/>
      <c r="J186" s="186"/>
      <c r="K186" s="186"/>
      <c r="L186" s="197"/>
      <c r="M186" s="186"/>
      <c r="N186" s="198"/>
      <c r="O186" s="199">
        <v>2.526745422888387</v>
      </c>
      <c r="P186" s="199">
        <f>Table1[[#This Row],[unit cost]]</f>
        <v>2.526745422888387</v>
      </c>
      <c r="Q186" s="409">
        <v>2.25</v>
      </c>
      <c r="R186" s="186">
        <v>1</v>
      </c>
      <c r="S186" s="249">
        <f t="shared" si="22"/>
        <v>0.42</v>
      </c>
      <c r="T186" s="201">
        <f>Table1[[#This Row],[man minutes]]*Table1[[#This Row],[labor rate]]</f>
        <v>0.94499999999999995</v>
      </c>
      <c r="U186" s="201">
        <f t="shared" si="25"/>
        <v>3.4717454228883868</v>
      </c>
      <c r="V186" s="187">
        <f t="shared" si="24"/>
        <v>0.22</v>
      </c>
      <c r="W186" s="250">
        <f t="shared" si="23"/>
        <v>0.2</v>
      </c>
      <c r="X186" s="201">
        <f t="shared" si="26"/>
        <v>3.0826294159238321</v>
      </c>
      <c r="Y186" s="201">
        <f t="shared" si="27"/>
        <v>1.1339999999999999</v>
      </c>
      <c r="Z186" s="201">
        <f t="shared" si="28"/>
        <v>4.22</v>
      </c>
      <c r="AA186" s="203">
        <f>+Table1[[#This Row],[calculated sale price]]</f>
        <v>4.22</v>
      </c>
      <c r="AB186" s="202"/>
      <c r="AC186" s="206"/>
      <c r="AD186" s="414"/>
    </row>
    <row r="187" spans="1:30" x14ac:dyDescent="0.25">
      <c r="A187" s="186">
        <v>1178</v>
      </c>
      <c r="B187" t="s">
        <v>571</v>
      </c>
      <c r="C187" s="186">
        <v>1</v>
      </c>
      <c r="I187" s="186"/>
      <c r="J187" s="186"/>
      <c r="K187" s="186"/>
      <c r="L187" s="197"/>
      <c r="M187" s="186"/>
      <c r="N187" s="198"/>
      <c r="O187" s="199">
        <v>1.0548240215786746</v>
      </c>
      <c r="P187" s="199">
        <f>Table1[[#This Row],[unit cost]]</f>
        <v>1.0548240215786746</v>
      </c>
      <c r="Q187" s="409">
        <v>1.25</v>
      </c>
      <c r="R187" s="186">
        <v>1</v>
      </c>
      <c r="S187" s="249">
        <f t="shared" si="22"/>
        <v>0.42</v>
      </c>
      <c r="T187" s="201">
        <f>Table1[[#This Row],[man minutes]]*Table1[[#This Row],[labor rate]]</f>
        <v>0.52500000000000002</v>
      </c>
      <c r="U187" s="201">
        <f t="shared" si="25"/>
        <v>1.5798240215786747</v>
      </c>
      <c r="V187" s="187">
        <f t="shared" si="24"/>
        <v>0.22</v>
      </c>
      <c r="W187" s="250">
        <f t="shared" si="23"/>
        <v>0.2</v>
      </c>
      <c r="X187" s="201">
        <f t="shared" si="26"/>
        <v>1.2868853063259831</v>
      </c>
      <c r="Y187" s="201">
        <f t="shared" si="27"/>
        <v>0.63</v>
      </c>
      <c r="Z187" s="201">
        <f t="shared" si="28"/>
        <v>1.92</v>
      </c>
      <c r="AA187" s="203">
        <f>+Table1[[#This Row],[calculated sale price]]</f>
        <v>1.92</v>
      </c>
      <c r="AB187" s="202"/>
      <c r="AC187" s="206"/>
      <c r="AD187" s="414"/>
    </row>
    <row r="188" spans="1:30" x14ac:dyDescent="0.25">
      <c r="A188" s="186">
        <v>1179</v>
      </c>
      <c r="B188" t="s">
        <v>572</v>
      </c>
      <c r="C188" s="186">
        <v>1</v>
      </c>
      <c r="I188" s="186"/>
      <c r="J188" s="186"/>
      <c r="K188" s="186"/>
      <c r="L188" s="197"/>
      <c r="M188" s="186"/>
      <c r="N188" s="198"/>
      <c r="O188" s="199">
        <v>0.42724489795918363</v>
      </c>
      <c r="P188" s="199">
        <f>Table1[[#This Row],[unit cost]]</f>
        <v>0.42724489795918363</v>
      </c>
      <c r="Q188" s="409">
        <v>0.25</v>
      </c>
      <c r="R188" s="186">
        <v>1</v>
      </c>
      <c r="S188" s="249">
        <f t="shared" si="22"/>
        <v>0.42</v>
      </c>
      <c r="T188" s="201">
        <f>Table1[[#This Row],[man minutes]]*Table1[[#This Row],[labor rate]]</f>
        <v>0.105</v>
      </c>
      <c r="U188" s="201">
        <f t="shared" si="25"/>
        <v>0.53224489795918362</v>
      </c>
      <c r="V188" s="187">
        <f t="shared" si="24"/>
        <v>0.22</v>
      </c>
      <c r="W188" s="250">
        <f t="shared" si="23"/>
        <v>0.2</v>
      </c>
      <c r="X188" s="201">
        <f t="shared" si="26"/>
        <v>0.52123877551020403</v>
      </c>
      <c r="Y188" s="201">
        <f t="shared" si="27"/>
        <v>0.126</v>
      </c>
      <c r="Z188" s="201">
        <f t="shared" si="28"/>
        <v>0.65</v>
      </c>
      <c r="AA188" s="203">
        <f>+Table1[[#This Row],[calculated sale price]]</f>
        <v>0.65</v>
      </c>
      <c r="AB188" s="202"/>
      <c r="AC188" s="206"/>
      <c r="AD188" s="414"/>
    </row>
    <row r="189" spans="1:30" x14ac:dyDescent="0.25">
      <c r="A189" s="186">
        <v>1180</v>
      </c>
      <c r="B189" t="s">
        <v>573</v>
      </c>
      <c r="C189" s="186">
        <v>1</v>
      </c>
      <c r="I189" s="186"/>
      <c r="J189" s="186"/>
      <c r="K189" s="186"/>
      <c r="L189" s="197"/>
      <c r="M189" s="186"/>
      <c r="N189" s="198"/>
      <c r="O189" s="199">
        <f>0.766470294313808+0.2</f>
        <v>0.96647029431380793</v>
      </c>
      <c r="P189" s="199">
        <f>Table1[[#This Row],[unit cost]]</f>
        <v>0.96647029431380793</v>
      </c>
      <c r="Q189" s="409">
        <v>1</v>
      </c>
      <c r="R189" s="186">
        <v>1</v>
      </c>
      <c r="S189" s="249">
        <f t="shared" ref="S189:S256" si="29">$S$2</f>
        <v>0.42</v>
      </c>
      <c r="T189" s="201">
        <f>Table1[[#This Row],[man minutes]]*Table1[[#This Row],[labor rate]]</f>
        <v>0.42</v>
      </c>
      <c r="U189" s="201">
        <f t="shared" si="25"/>
        <v>1.3864702943138079</v>
      </c>
      <c r="V189" s="187">
        <f t="shared" si="24"/>
        <v>0.22</v>
      </c>
      <c r="W189" s="250">
        <f t="shared" si="23"/>
        <v>0.2</v>
      </c>
      <c r="X189" s="201">
        <f t="shared" si="26"/>
        <v>1.1790937590628456</v>
      </c>
      <c r="Y189" s="201">
        <f t="shared" si="27"/>
        <v>0.504</v>
      </c>
      <c r="Z189" s="201">
        <f t="shared" si="28"/>
        <v>1.69</v>
      </c>
      <c r="AA189" s="203">
        <f>+Table1[[#This Row],[calculated sale price]]</f>
        <v>1.69</v>
      </c>
      <c r="AB189" s="202"/>
      <c r="AC189" s="206"/>
      <c r="AD189" s="414"/>
    </row>
    <row r="190" spans="1:30" x14ac:dyDescent="0.25">
      <c r="A190" s="186">
        <v>1181</v>
      </c>
      <c r="B190" t="s">
        <v>574</v>
      </c>
      <c r="C190" s="186">
        <v>1</v>
      </c>
      <c r="I190" s="186"/>
      <c r="J190" s="186"/>
      <c r="K190" s="186"/>
      <c r="L190" s="197"/>
      <c r="M190" s="186"/>
      <c r="N190" s="198"/>
      <c r="O190" s="199">
        <f>2.16759712519206</f>
        <v>2.16759712519206</v>
      </c>
      <c r="P190" s="199">
        <f>Table1[[#This Row],[unit cost]]</f>
        <v>2.16759712519206</v>
      </c>
      <c r="Q190" s="409">
        <v>4</v>
      </c>
      <c r="R190" s="186">
        <v>1</v>
      </c>
      <c r="S190" s="249">
        <f t="shared" si="29"/>
        <v>0.42</v>
      </c>
      <c r="T190" s="201">
        <f>Table1[[#This Row],[man minutes]]*Table1[[#This Row],[labor rate]]</f>
        <v>1.68</v>
      </c>
      <c r="U190" s="201">
        <f t="shared" si="25"/>
        <v>3.8475971251920598</v>
      </c>
      <c r="V190" s="187">
        <f t="shared" si="24"/>
        <v>0.22</v>
      </c>
      <c r="W190" s="250">
        <f t="shared" ref="W190:W254" si="30">$W$2</f>
        <v>0.2</v>
      </c>
      <c r="X190" s="201">
        <f t="shared" si="26"/>
        <v>2.6444684927343132</v>
      </c>
      <c r="Y190" s="201">
        <f t="shared" si="27"/>
        <v>2.016</v>
      </c>
      <c r="Z190" s="201">
        <f t="shared" si="28"/>
        <v>4.67</v>
      </c>
      <c r="AA190" s="203">
        <f>+Table1[[#This Row],[calculated sale price]]</f>
        <v>4.67</v>
      </c>
      <c r="AB190" s="202"/>
      <c r="AC190" s="206"/>
      <c r="AD190" s="414"/>
    </row>
    <row r="191" spans="1:30" x14ac:dyDescent="0.25">
      <c r="A191" s="186">
        <v>1182</v>
      </c>
      <c r="B191" t="s">
        <v>575</v>
      </c>
      <c r="C191" s="186">
        <v>1</v>
      </c>
      <c r="I191" s="186"/>
      <c r="J191" s="186"/>
      <c r="K191" s="186"/>
      <c r="L191" s="197"/>
      <c r="M191" s="186"/>
      <c r="N191" s="198"/>
      <c r="O191" s="408">
        <v>4.3841277028163308</v>
      </c>
      <c r="P191" s="199">
        <f>Table1[[#This Row],[unit cost]]</f>
        <v>4.3841277028163308</v>
      </c>
      <c r="Q191" s="409">
        <v>4</v>
      </c>
      <c r="R191" s="186">
        <v>1</v>
      </c>
      <c r="S191" s="249">
        <f t="shared" si="29"/>
        <v>0.42</v>
      </c>
      <c r="T191" s="201">
        <f>Table1[[#This Row],[man minutes]]*Table1[[#This Row],[labor rate]]</f>
        <v>1.68</v>
      </c>
      <c r="U191" s="201">
        <f t="shared" si="25"/>
        <v>6.0641277028163305</v>
      </c>
      <c r="V191" s="187">
        <f t="shared" si="24"/>
        <v>0.22</v>
      </c>
      <c r="W191" s="250">
        <f t="shared" si="30"/>
        <v>0.2</v>
      </c>
      <c r="X191" s="201">
        <f t="shared" si="26"/>
        <v>5.3486357974359233</v>
      </c>
      <c r="Y191" s="201">
        <f t="shared" si="27"/>
        <v>2.016</v>
      </c>
      <c r="Z191" s="201">
        <f t="shared" si="28"/>
        <v>7.37</v>
      </c>
      <c r="AA191" s="203">
        <f>+Table1[[#This Row],[calculated sale price]]</f>
        <v>7.37</v>
      </c>
      <c r="AB191" s="202"/>
      <c r="AC191" s="206"/>
      <c r="AD191" s="414"/>
    </row>
    <row r="192" spans="1:30" x14ac:dyDescent="0.25">
      <c r="A192" s="186">
        <v>1183</v>
      </c>
      <c r="B192" t="s">
        <v>576</v>
      </c>
      <c r="C192" s="186">
        <v>1</v>
      </c>
      <c r="I192" s="186"/>
      <c r="J192" s="186"/>
      <c r="K192" s="186"/>
      <c r="L192" s="197"/>
      <c r="M192" s="186"/>
      <c r="N192" s="198"/>
      <c r="O192" s="199">
        <v>2.4194278165369911</v>
      </c>
      <c r="P192" s="199">
        <f>Table1[[#This Row],[unit cost]]</f>
        <v>2.4194278165369911</v>
      </c>
      <c r="Q192" s="409">
        <v>3.25</v>
      </c>
      <c r="R192" s="186">
        <v>1</v>
      </c>
      <c r="S192" s="249">
        <f t="shared" si="29"/>
        <v>0.42</v>
      </c>
      <c r="T192" s="201">
        <f>Table1[[#This Row],[man minutes]]*Table1[[#This Row],[labor rate]]</f>
        <v>1.365</v>
      </c>
      <c r="U192" s="201">
        <f t="shared" si="25"/>
        <v>3.7844278165369909</v>
      </c>
      <c r="V192" s="187">
        <f t="shared" si="24"/>
        <v>0.22</v>
      </c>
      <c r="W192" s="250">
        <f t="shared" si="30"/>
        <v>0.2</v>
      </c>
      <c r="X192" s="201">
        <f t="shared" si="26"/>
        <v>2.9517019361751293</v>
      </c>
      <c r="Y192" s="201">
        <f t="shared" si="27"/>
        <v>1.6379999999999999</v>
      </c>
      <c r="Z192" s="201">
        <f t="shared" si="28"/>
        <v>4.59</v>
      </c>
      <c r="AA192" s="203">
        <f>+Table1[[#This Row],[calculated sale price]]</f>
        <v>4.59</v>
      </c>
      <c r="AB192" s="202"/>
      <c r="AC192" s="206"/>
      <c r="AD192" s="414"/>
    </row>
    <row r="193" spans="1:30" x14ac:dyDescent="0.25">
      <c r="A193" s="186">
        <v>1184</v>
      </c>
      <c r="B193" t="s">
        <v>577</v>
      </c>
      <c r="C193" s="186">
        <v>1</v>
      </c>
      <c r="I193" s="186"/>
      <c r="J193" s="186"/>
      <c r="K193" s="186"/>
      <c r="L193" s="197"/>
      <c r="M193" s="186"/>
      <c r="N193" s="198"/>
      <c r="O193" s="199">
        <v>0.91614285714285737</v>
      </c>
      <c r="P193" s="199">
        <f>Table1[[#This Row],[unit cost]]</f>
        <v>0.91614285714285737</v>
      </c>
      <c r="Q193" s="409">
        <v>1</v>
      </c>
      <c r="R193" s="186">
        <v>1</v>
      </c>
      <c r="S193" s="249">
        <f t="shared" si="29"/>
        <v>0.42</v>
      </c>
      <c r="T193" s="201">
        <f>Table1[[#This Row],[man minutes]]*Table1[[#This Row],[labor rate]]</f>
        <v>0.42</v>
      </c>
      <c r="U193" s="201">
        <f t="shared" si="25"/>
        <v>1.3361428571428573</v>
      </c>
      <c r="V193" s="187">
        <f t="shared" si="24"/>
        <v>0.22</v>
      </c>
      <c r="W193" s="250">
        <f t="shared" si="30"/>
        <v>0.2</v>
      </c>
      <c r="X193" s="201">
        <f t="shared" si="26"/>
        <v>1.117694285714286</v>
      </c>
      <c r="Y193" s="201">
        <f t="shared" si="27"/>
        <v>0.504</v>
      </c>
      <c r="Z193" s="201">
        <f t="shared" si="28"/>
        <v>1.6300000000000001</v>
      </c>
      <c r="AA193" s="203">
        <f>+Table1[[#This Row],[calculated sale price]]</f>
        <v>1.6300000000000001</v>
      </c>
      <c r="AB193" s="202"/>
      <c r="AC193" s="206"/>
      <c r="AD193" s="414"/>
    </row>
    <row r="194" spans="1:30" x14ac:dyDescent="0.25">
      <c r="A194" s="186">
        <v>1185</v>
      </c>
      <c r="B194" t="s">
        <v>578</v>
      </c>
      <c r="C194" s="186">
        <v>1</v>
      </c>
      <c r="I194" s="186"/>
      <c r="J194" s="186"/>
      <c r="K194" s="186"/>
      <c r="L194" s="197"/>
      <c r="M194" s="186"/>
      <c r="N194" s="198"/>
      <c r="O194" s="199">
        <v>1.57128759713946</v>
      </c>
      <c r="P194" s="199">
        <f>Table1[[#This Row],[unit cost]]</f>
        <v>1.57128759713946</v>
      </c>
      <c r="Q194" s="409">
        <v>3.25</v>
      </c>
      <c r="R194" s="186">
        <v>1</v>
      </c>
      <c r="S194" s="249">
        <f t="shared" si="29"/>
        <v>0.42</v>
      </c>
      <c r="T194" s="201">
        <f>Table1[[#This Row],[man minutes]]*Table1[[#This Row],[labor rate]]</f>
        <v>1.365</v>
      </c>
      <c r="U194" s="201">
        <f t="shared" si="25"/>
        <v>2.9362875971394597</v>
      </c>
      <c r="V194" s="187">
        <f t="shared" si="24"/>
        <v>0.22</v>
      </c>
      <c r="W194" s="250">
        <f t="shared" si="30"/>
        <v>0.2</v>
      </c>
      <c r="X194" s="201">
        <f t="shared" si="26"/>
        <v>1.9169708685101412</v>
      </c>
      <c r="Y194" s="201">
        <f t="shared" si="27"/>
        <v>1.6379999999999999</v>
      </c>
      <c r="Z194" s="201">
        <f t="shared" si="28"/>
        <v>3.5599999999999996</v>
      </c>
      <c r="AA194" s="203">
        <f>+Table1[[#This Row],[calculated sale price]]</f>
        <v>3.5599999999999996</v>
      </c>
      <c r="AB194" s="202"/>
      <c r="AC194" s="206"/>
      <c r="AD194" s="414"/>
    </row>
    <row r="195" spans="1:30" x14ac:dyDescent="0.25">
      <c r="A195" s="186">
        <v>1186</v>
      </c>
      <c r="B195" t="s">
        <v>579</v>
      </c>
      <c r="C195" s="186">
        <v>1</v>
      </c>
      <c r="I195" s="186"/>
      <c r="J195" s="186"/>
      <c r="K195" s="186"/>
      <c r="L195" s="197"/>
      <c r="M195" s="186"/>
      <c r="N195" s="198"/>
      <c r="O195" s="199">
        <v>2.3448536391558594</v>
      </c>
      <c r="P195" s="199">
        <f>Table1[[#This Row],[unit cost]]</f>
        <v>2.3448536391558594</v>
      </c>
      <c r="Q195" s="409">
        <v>2.75</v>
      </c>
      <c r="R195" s="186">
        <v>1</v>
      </c>
      <c r="S195" s="249">
        <f t="shared" si="29"/>
        <v>0.42</v>
      </c>
      <c r="T195" s="201">
        <f>Table1[[#This Row],[man minutes]]*Table1[[#This Row],[labor rate]]</f>
        <v>1.155</v>
      </c>
      <c r="U195" s="201">
        <f t="shared" si="25"/>
        <v>3.4998536391558597</v>
      </c>
      <c r="V195" s="187">
        <f t="shared" si="24"/>
        <v>0.22</v>
      </c>
      <c r="W195" s="250">
        <f t="shared" si="30"/>
        <v>0.2</v>
      </c>
      <c r="X195" s="201">
        <f t="shared" si="26"/>
        <v>2.8607214397701486</v>
      </c>
      <c r="Y195" s="201">
        <f t="shared" si="27"/>
        <v>1.3860000000000001</v>
      </c>
      <c r="Z195" s="201">
        <f t="shared" si="28"/>
        <v>4.25</v>
      </c>
      <c r="AA195" s="203">
        <f>+Table1[[#This Row],[calculated sale price]]</f>
        <v>4.25</v>
      </c>
      <c r="AB195" s="202"/>
      <c r="AC195" s="206"/>
      <c r="AD195" s="414"/>
    </row>
    <row r="196" spans="1:30" x14ac:dyDescent="0.25">
      <c r="A196" s="186">
        <v>1187</v>
      </c>
      <c r="B196" t="s">
        <v>580</v>
      </c>
      <c r="C196" s="186">
        <v>1</v>
      </c>
      <c r="I196" s="186"/>
      <c r="J196" s="186"/>
      <c r="K196" s="186"/>
      <c r="L196" s="197"/>
      <c r="M196" s="186"/>
      <c r="N196" s="198"/>
      <c r="O196" s="199">
        <v>3.9522310084587304</v>
      </c>
      <c r="P196" s="199">
        <f>Table1[[#This Row],[unit cost]]</f>
        <v>3.9522310084587304</v>
      </c>
      <c r="Q196" s="409">
        <v>1.5</v>
      </c>
      <c r="R196" s="186">
        <v>1</v>
      </c>
      <c r="S196" s="249">
        <f t="shared" si="29"/>
        <v>0.42</v>
      </c>
      <c r="T196" s="201">
        <f>Table1[[#This Row],[man minutes]]*Table1[[#This Row],[labor rate]]</f>
        <v>0.63</v>
      </c>
      <c r="U196" s="201">
        <f t="shared" si="25"/>
        <v>4.5822310084587308</v>
      </c>
      <c r="V196" s="187">
        <f t="shared" si="24"/>
        <v>0.22</v>
      </c>
      <c r="W196" s="250">
        <f t="shared" si="30"/>
        <v>0.2</v>
      </c>
      <c r="X196" s="201">
        <f t="shared" si="26"/>
        <v>4.8217218303196514</v>
      </c>
      <c r="Y196" s="201">
        <f t="shared" si="27"/>
        <v>0.75600000000000001</v>
      </c>
      <c r="Z196" s="201">
        <f t="shared" si="28"/>
        <v>5.58</v>
      </c>
      <c r="AA196" s="203">
        <f>+Table1[[#This Row],[calculated sale price]]</f>
        <v>5.58</v>
      </c>
      <c r="AB196" s="202"/>
      <c r="AC196" s="206"/>
      <c r="AD196" s="414"/>
    </row>
    <row r="197" spans="1:30" x14ac:dyDescent="0.25">
      <c r="A197" s="186">
        <v>1188</v>
      </c>
      <c r="B197" t="s">
        <v>581</v>
      </c>
      <c r="C197" s="186">
        <v>1</v>
      </c>
      <c r="I197" s="186"/>
      <c r="J197" s="186"/>
      <c r="K197" s="186"/>
      <c r="L197" s="197"/>
      <c r="M197" s="186"/>
      <c r="N197" s="198"/>
      <c r="O197" s="199">
        <v>1.0548240215786746</v>
      </c>
      <c r="P197" s="199">
        <f>Table1[[#This Row],[unit cost]]</f>
        <v>1.0548240215786746</v>
      </c>
      <c r="Q197" s="409">
        <v>1.25</v>
      </c>
      <c r="R197" s="186">
        <v>1</v>
      </c>
      <c r="S197" s="249">
        <f t="shared" si="29"/>
        <v>0.42</v>
      </c>
      <c r="T197" s="201">
        <f>Table1[[#This Row],[man minutes]]*Table1[[#This Row],[labor rate]]</f>
        <v>0.52500000000000002</v>
      </c>
      <c r="U197" s="201">
        <f t="shared" si="25"/>
        <v>1.5798240215786747</v>
      </c>
      <c r="V197" s="187">
        <f t="shared" si="24"/>
        <v>0.22</v>
      </c>
      <c r="W197" s="250">
        <f t="shared" si="30"/>
        <v>0.2</v>
      </c>
      <c r="X197" s="201">
        <f t="shared" si="26"/>
        <v>1.2868853063259831</v>
      </c>
      <c r="Y197" s="201">
        <f t="shared" si="27"/>
        <v>0.63</v>
      </c>
      <c r="Z197" s="201">
        <f t="shared" si="28"/>
        <v>1.92</v>
      </c>
      <c r="AA197" s="203">
        <f>+Table1[[#This Row],[calculated sale price]]</f>
        <v>1.92</v>
      </c>
      <c r="AB197" s="202"/>
      <c r="AC197" s="206"/>
      <c r="AD197" s="414"/>
    </row>
    <row r="198" spans="1:30" x14ac:dyDescent="0.25">
      <c r="A198" s="186">
        <v>1189</v>
      </c>
      <c r="B198" t="s">
        <v>582</v>
      </c>
      <c r="C198" s="186">
        <v>1</v>
      </c>
      <c r="I198" s="186"/>
      <c r="J198" s="186"/>
      <c r="K198" s="186"/>
      <c r="L198" s="197"/>
      <c r="M198" s="186"/>
      <c r="N198" s="198"/>
      <c r="O198" s="199">
        <v>0.3</v>
      </c>
      <c r="P198" s="199">
        <f>Table1[[#This Row],[unit cost]]</f>
        <v>0.3</v>
      </c>
      <c r="Q198" s="409">
        <v>0.25</v>
      </c>
      <c r="R198" s="186">
        <v>1</v>
      </c>
      <c r="S198" s="249">
        <f t="shared" si="29"/>
        <v>0.42</v>
      </c>
      <c r="T198" s="201">
        <f>Table1[[#This Row],[man minutes]]*Table1[[#This Row],[labor rate]]</f>
        <v>0.105</v>
      </c>
      <c r="U198" s="201">
        <f t="shared" si="25"/>
        <v>0.40499999999999997</v>
      </c>
      <c r="V198" s="187">
        <f t="shared" si="24"/>
        <v>0.22</v>
      </c>
      <c r="W198" s="250">
        <f t="shared" si="30"/>
        <v>0.2</v>
      </c>
      <c r="X198" s="201">
        <f t="shared" si="26"/>
        <v>0.36599999999999999</v>
      </c>
      <c r="Y198" s="201">
        <f t="shared" si="27"/>
        <v>0.126</v>
      </c>
      <c r="Z198" s="201">
        <f t="shared" si="28"/>
        <v>0.5</v>
      </c>
      <c r="AA198" s="203">
        <f>+Table1[[#This Row],[calculated sale price]]</f>
        <v>0.5</v>
      </c>
      <c r="AB198" s="202"/>
      <c r="AC198" s="206"/>
      <c r="AD198" s="414"/>
    </row>
    <row r="199" spans="1:30" x14ac:dyDescent="0.25">
      <c r="A199" s="186">
        <v>1190</v>
      </c>
      <c r="B199" t="s">
        <v>583</v>
      </c>
      <c r="C199" s="186">
        <v>1</v>
      </c>
      <c r="I199" s="186"/>
      <c r="J199" s="186"/>
      <c r="K199" s="186"/>
      <c r="L199" s="197"/>
      <c r="M199" s="186"/>
      <c r="N199" s="198"/>
      <c r="O199" s="199">
        <f>0.22412345437619+0.2</f>
        <v>0.42412345437619003</v>
      </c>
      <c r="P199" s="199">
        <f>Table1[[#This Row],[unit cost]]</f>
        <v>0.42412345437619003</v>
      </c>
      <c r="Q199" s="409">
        <v>1</v>
      </c>
      <c r="R199" s="186">
        <v>1</v>
      </c>
      <c r="S199" s="249">
        <f t="shared" si="29"/>
        <v>0.42</v>
      </c>
      <c r="T199" s="201">
        <f>Table1[[#This Row],[man minutes]]*Table1[[#This Row],[labor rate]]</f>
        <v>0.42</v>
      </c>
      <c r="U199" s="201">
        <f t="shared" si="25"/>
        <v>0.84412345437618996</v>
      </c>
      <c r="V199" s="187">
        <f t="shared" si="24"/>
        <v>0.22</v>
      </c>
      <c r="W199" s="250">
        <f t="shared" si="30"/>
        <v>0.2</v>
      </c>
      <c r="X199" s="201">
        <f t="shared" si="26"/>
        <v>0.51743061433895188</v>
      </c>
      <c r="Y199" s="201">
        <f t="shared" si="27"/>
        <v>0.504</v>
      </c>
      <c r="Z199" s="201">
        <f t="shared" si="28"/>
        <v>1.03</v>
      </c>
      <c r="AA199" s="203">
        <f>+Table1[[#This Row],[calculated sale price]]</f>
        <v>1.03</v>
      </c>
      <c r="AB199" s="202"/>
      <c r="AC199" s="206"/>
      <c r="AD199" s="414"/>
    </row>
    <row r="200" spans="1:30" x14ac:dyDescent="0.25">
      <c r="A200" s="186">
        <v>1191</v>
      </c>
      <c r="B200" t="s">
        <v>584</v>
      </c>
      <c r="C200" s="186">
        <v>1</v>
      </c>
      <c r="I200" s="186"/>
      <c r="J200" s="186"/>
      <c r="K200" s="186"/>
      <c r="L200" s="197"/>
      <c r="M200" s="186"/>
      <c r="N200" s="198"/>
      <c r="O200" s="199">
        <v>2.2438681420503181</v>
      </c>
      <c r="P200" s="199">
        <f>Table1[[#This Row],[unit cost]]</f>
        <v>2.2438681420503181</v>
      </c>
      <c r="Q200" s="409">
        <v>3.25</v>
      </c>
      <c r="R200" s="186">
        <v>1</v>
      </c>
      <c r="S200" s="249">
        <f t="shared" si="29"/>
        <v>0.42</v>
      </c>
      <c r="T200" s="201">
        <f>Table1[[#This Row],[man minutes]]*Table1[[#This Row],[labor rate]]</f>
        <v>1.365</v>
      </c>
      <c r="U200" s="201">
        <f t="shared" si="25"/>
        <v>3.6088681420503184</v>
      </c>
      <c r="V200" s="187">
        <f t="shared" si="24"/>
        <v>0.22</v>
      </c>
      <c r="W200" s="250">
        <f t="shared" si="30"/>
        <v>0.2</v>
      </c>
      <c r="X200" s="201">
        <f t="shared" si="26"/>
        <v>2.737519133301388</v>
      </c>
      <c r="Y200" s="201">
        <f t="shared" si="27"/>
        <v>1.6379999999999999</v>
      </c>
      <c r="Z200" s="201">
        <f t="shared" si="28"/>
        <v>4.38</v>
      </c>
      <c r="AA200" s="203">
        <f>+Table1[[#This Row],[calculated sale price]]</f>
        <v>4.38</v>
      </c>
      <c r="AB200" s="202"/>
      <c r="AC200" s="206"/>
      <c r="AD200" s="414"/>
    </row>
    <row r="201" spans="1:30" x14ac:dyDescent="0.25">
      <c r="A201" s="186">
        <v>1192</v>
      </c>
      <c r="B201" t="s">
        <v>585</v>
      </c>
      <c r="C201" s="186">
        <v>1</v>
      </c>
      <c r="I201" s="186"/>
      <c r="J201" s="186"/>
      <c r="K201" s="186"/>
      <c r="L201" s="197"/>
      <c r="M201" s="186"/>
      <c r="N201" s="198"/>
      <c r="O201" s="199">
        <v>1.8338973880755325</v>
      </c>
      <c r="P201" s="199">
        <f>Table1[[#This Row],[unit cost]]</f>
        <v>1.8338973880755325</v>
      </c>
      <c r="Q201" s="409">
        <v>2.5</v>
      </c>
      <c r="R201" s="186">
        <v>1</v>
      </c>
      <c r="S201" s="249">
        <f t="shared" si="29"/>
        <v>0.42</v>
      </c>
      <c r="T201" s="201">
        <f>Table1[[#This Row],[man minutes]]*Table1[[#This Row],[labor rate]]</f>
        <v>1.05</v>
      </c>
      <c r="U201" s="201">
        <f t="shared" si="25"/>
        <v>2.8838973880755328</v>
      </c>
      <c r="V201" s="187">
        <f t="shared" si="24"/>
        <v>0.22</v>
      </c>
      <c r="W201" s="250">
        <f t="shared" si="30"/>
        <v>0.2</v>
      </c>
      <c r="X201" s="201">
        <f t="shared" si="26"/>
        <v>2.2373548134521495</v>
      </c>
      <c r="Y201" s="201">
        <f t="shared" si="27"/>
        <v>1.26</v>
      </c>
      <c r="Z201" s="201">
        <f t="shared" si="28"/>
        <v>3.5</v>
      </c>
      <c r="AA201" s="203">
        <f>+Table1[[#This Row],[calculated sale price]]</f>
        <v>3.5</v>
      </c>
      <c r="AB201" s="202"/>
      <c r="AC201" s="206"/>
      <c r="AD201" s="414"/>
    </row>
    <row r="202" spans="1:30" x14ac:dyDescent="0.25">
      <c r="A202" s="186">
        <v>1193</v>
      </c>
      <c r="B202" t="s">
        <v>586</v>
      </c>
      <c r="C202" s="186">
        <v>1</v>
      </c>
      <c r="I202" s="186"/>
      <c r="J202" s="186"/>
      <c r="K202" s="186"/>
      <c r="L202" s="197"/>
      <c r="M202" s="186"/>
      <c r="N202" s="198"/>
      <c r="O202" s="199">
        <f>0.264425004081633+0.25</f>
        <v>0.51442500408163294</v>
      </c>
      <c r="P202" s="199">
        <f>Table1[[#This Row],[unit cost]]</f>
        <v>0.51442500408163294</v>
      </c>
      <c r="Q202" s="409">
        <v>1</v>
      </c>
      <c r="R202" s="186">
        <v>1</v>
      </c>
      <c r="S202" s="249">
        <f t="shared" si="29"/>
        <v>0.42</v>
      </c>
      <c r="T202" s="201">
        <f>Table1[[#This Row],[man minutes]]*Table1[[#This Row],[labor rate]]</f>
        <v>0.42</v>
      </c>
      <c r="U202" s="201">
        <f t="shared" si="25"/>
        <v>0.93442500408163287</v>
      </c>
      <c r="V202" s="187">
        <f t="shared" si="24"/>
        <v>0.22</v>
      </c>
      <c r="W202" s="250">
        <f t="shared" si="30"/>
        <v>0.2</v>
      </c>
      <c r="X202" s="201">
        <f t="shared" si="26"/>
        <v>0.62759850497959213</v>
      </c>
      <c r="Y202" s="201">
        <f t="shared" si="27"/>
        <v>0.504</v>
      </c>
      <c r="Z202" s="201">
        <f t="shared" si="28"/>
        <v>1.1399999999999999</v>
      </c>
      <c r="AA202" s="203">
        <f>+Table1[[#This Row],[calculated sale price]]</f>
        <v>1.1399999999999999</v>
      </c>
      <c r="AB202" s="202"/>
      <c r="AC202" s="206"/>
      <c r="AD202" s="414"/>
    </row>
    <row r="203" spans="1:30" x14ac:dyDescent="0.25">
      <c r="A203" s="186">
        <v>1194</v>
      </c>
      <c r="B203" t="s">
        <v>587</v>
      </c>
      <c r="C203" s="186">
        <v>1</v>
      </c>
      <c r="I203" s="186"/>
      <c r="J203" s="186"/>
      <c r="K203" s="186"/>
      <c r="L203" s="197"/>
      <c r="M203" s="186"/>
      <c r="N203" s="198"/>
      <c r="O203" s="199">
        <f>0.466331982821395+0.25</f>
        <v>0.71633198282139499</v>
      </c>
      <c r="P203" s="199">
        <f>Table1[[#This Row],[unit cost]]</f>
        <v>0.71633198282139499</v>
      </c>
      <c r="Q203" s="409">
        <v>0.5</v>
      </c>
      <c r="R203" s="186">
        <v>1</v>
      </c>
      <c r="S203" s="249">
        <f t="shared" si="29"/>
        <v>0.42</v>
      </c>
      <c r="T203" s="201">
        <f>Table1[[#This Row],[man minutes]]*Table1[[#This Row],[labor rate]]</f>
        <v>0.21</v>
      </c>
      <c r="U203" s="201">
        <f t="shared" si="25"/>
        <v>0.92633198282139495</v>
      </c>
      <c r="V203" s="187">
        <f t="shared" si="24"/>
        <v>0.22</v>
      </c>
      <c r="W203" s="250">
        <f t="shared" si="30"/>
        <v>0.2</v>
      </c>
      <c r="X203" s="201">
        <f t="shared" si="26"/>
        <v>0.87392501904210185</v>
      </c>
      <c r="Y203" s="201">
        <f t="shared" si="27"/>
        <v>0.252</v>
      </c>
      <c r="Z203" s="201">
        <f t="shared" si="28"/>
        <v>1.1300000000000001</v>
      </c>
      <c r="AA203" s="203">
        <f>+Table1[[#This Row],[calculated sale price]]</f>
        <v>1.1300000000000001</v>
      </c>
      <c r="AB203" s="202"/>
      <c r="AC203" s="206"/>
      <c r="AD203" s="414"/>
    </row>
    <row r="204" spans="1:30" x14ac:dyDescent="0.25">
      <c r="A204" s="186">
        <v>1195</v>
      </c>
      <c r="B204" t="s">
        <v>588</v>
      </c>
      <c r="C204" s="186">
        <v>1</v>
      </c>
      <c r="I204" s="186"/>
      <c r="J204" s="186"/>
      <c r="K204" s="186"/>
      <c r="L204" s="197"/>
      <c r="M204" s="186"/>
      <c r="N204" s="198"/>
      <c r="O204" s="199">
        <v>0.62750710665381648</v>
      </c>
      <c r="P204" s="199">
        <f>Table1[[#This Row],[unit cost]]</f>
        <v>0.62750710665381648</v>
      </c>
      <c r="Q204" s="409">
        <v>0.75</v>
      </c>
      <c r="R204" s="186">
        <v>1</v>
      </c>
      <c r="S204" s="249">
        <f t="shared" si="29"/>
        <v>0.42</v>
      </c>
      <c r="T204" s="201">
        <f>Table1[[#This Row],[man minutes]]*Table1[[#This Row],[labor rate]]</f>
        <v>0.315</v>
      </c>
      <c r="U204" s="201">
        <f t="shared" si="25"/>
        <v>0.94250710665381643</v>
      </c>
      <c r="V204" s="187">
        <f t="shared" si="24"/>
        <v>0.22</v>
      </c>
      <c r="W204" s="250">
        <f t="shared" si="30"/>
        <v>0.2</v>
      </c>
      <c r="X204" s="201">
        <f t="shared" si="26"/>
        <v>0.7655586701176561</v>
      </c>
      <c r="Y204" s="201">
        <f t="shared" si="27"/>
        <v>0.378</v>
      </c>
      <c r="Z204" s="201">
        <f t="shared" si="28"/>
        <v>1.1499999999999999</v>
      </c>
      <c r="AA204" s="203">
        <f>+Table1[[#This Row],[calculated sale price]]</f>
        <v>1.1499999999999999</v>
      </c>
      <c r="AB204" s="202"/>
      <c r="AC204" s="206"/>
      <c r="AD204" s="414"/>
    </row>
    <row r="205" spans="1:30" x14ac:dyDescent="0.25">
      <c r="A205" s="186">
        <v>1196</v>
      </c>
      <c r="B205" t="s">
        <v>589</v>
      </c>
      <c r="C205" s="186">
        <v>1</v>
      </c>
      <c r="I205" s="186"/>
      <c r="J205" s="186"/>
      <c r="K205" s="186"/>
      <c r="L205" s="197"/>
      <c r="M205" s="186"/>
      <c r="N205" s="198"/>
      <c r="O205" s="199">
        <v>1.96</v>
      </c>
      <c r="P205" s="199">
        <f>Table1[[#This Row],[unit cost]]</f>
        <v>1.96</v>
      </c>
      <c r="Q205" s="409">
        <v>1.5</v>
      </c>
      <c r="R205" s="186">
        <v>1</v>
      </c>
      <c r="S205" s="249">
        <f t="shared" si="29"/>
        <v>0.42</v>
      </c>
      <c r="T205" s="201">
        <f>Table1[[#This Row],[man minutes]]*Table1[[#This Row],[labor rate]]</f>
        <v>0.63</v>
      </c>
      <c r="U205" s="201">
        <f t="shared" si="25"/>
        <v>2.59</v>
      </c>
      <c r="V205" s="187">
        <f t="shared" si="24"/>
        <v>0.22</v>
      </c>
      <c r="W205" s="250">
        <f t="shared" si="30"/>
        <v>0.2</v>
      </c>
      <c r="X205" s="201">
        <f t="shared" si="26"/>
        <v>2.3912</v>
      </c>
      <c r="Y205" s="201">
        <f t="shared" si="27"/>
        <v>0.75600000000000001</v>
      </c>
      <c r="Z205" s="201">
        <f t="shared" si="28"/>
        <v>3.15</v>
      </c>
      <c r="AA205" s="203">
        <f>+Table1[[#This Row],[calculated sale price]]</f>
        <v>3.15</v>
      </c>
      <c r="AB205" s="202"/>
      <c r="AC205" s="206"/>
      <c r="AD205" s="414"/>
    </row>
    <row r="206" spans="1:30" x14ac:dyDescent="0.25">
      <c r="A206" s="186">
        <v>1197</v>
      </c>
      <c r="B206" t="s">
        <v>590</v>
      </c>
      <c r="C206" s="186">
        <v>1</v>
      </c>
      <c r="I206" s="186"/>
      <c r="J206" s="186"/>
      <c r="K206" s="186"/>
      <c r="L206" s="197"/>
      <c r="M206" s="186"/>
      <c r="N206" s="198"/>
      <c r="O206" s="199">
        <v>1.68</v>
      </c>
      <c r="P206" s="199">
        <f>Table1[[#This Row],[unit cost]]</f>
        <v>1.68</v>
      </c>
      <c r="Q206" s="409">
        <v>1.5</v>
      </c>
      <c r="R206" s="186">
        <v>1</v>
      </c>
      <c r="S206" s="249">
        <f t="shared" si="29"/>
        <v>0.42</v>
      </c>
      <c r="T206" s="201">
        <f>Table1[[#This Row],[man minutes]]*Table1[[#This Row],[labor rate]]</f>
        <v>0.63</v>
      </c>
      <c r="U206" s="201">
        <f t="shared" si="25"/>
        <v>2.31</v>
      </c>
      <c r="V206" s="187">
        <f t="shared" si="24"/>
        <v>0.22</v>
      </c>
      <c r="W206" s="250">
        <f t="shared" si="30"/>
        <v>0.2</v>
      </c>
      <c r="X206" s="201">
        <f t="shared" si="26"/>
        <v>2.0495999999999999</v>
      </c>
      <c r="Y206" s="201">
        <f t="shared" si="27"/>
        <v>0.75600000000000001</v>
      </c>
      <c r="Z206" s="201">
        <f t="shared" si="28"/>
        <v>2.8099999999999996</v>
      </c>
      <c r="AA206" s="203">
        <f>+Table1[[#This Row],[calculated sale price]]</f>
        <v>2.8099999999999996</v>
      </c>
      <c r="AB206" s="202"/>
      <c r="AC206" s="206"/>
      <c r="AD206" s="414"/>
    </row>
    <row r="207" spans="1:30" x14ac:dyDescent="0.25">
      <c r="A207" s="186">
        <v>1198</v>
      </c>
      <c r="B207" t="s">
        <v>591</v>
      </c>
      <c r="C207" s="186">
        <v>1</v>
      </c>
      <c r="I207" s="186"/>
      <c r="J207" s="186"/>
      <c r="K207" s="186"/>
      <c r="L207" s="197"/>
      <c r="M207" s="186"/>
      <c r="N207" s="198"/>
      <c r="O207" s="199">
        <v>1.93</v>
      </c>
      <c r="P207" s="199">
        <f>Table1[[#This Row],[unit cost]]</f>
        <v>1.93</v>
      </c>
      <c r="Q207" s="409">
        <v>1.5</v>
      </c>
      <c r="R207" s="186">
        <v>1</v>
      </c>
      <c r="S207" s="249">
        <f t="shared" si="29"/>
        <v>0.42</v>
      </c>
      <c r="T207" s="201">
        <f>Table1[[#This Row],[man minutes]]*Table1[[#This Row],[labor rate]]</f>
        <v>0.63</v>
      </c>
      <c r="U207" s="201">
        <f t="shared" si="25"/>
        <v>2.56</v>
      </c>
      <c r="V207" s="187">
        <f t="shared" si="24"/>
        <v>0.22</v>
      </c>
      <c r="W207" s="250">
        <f t="shared" si="30"/>
        <v>0.2</v>
      </c>
      <c r="X207" s="201">
        <f t="shared" si="26"/>
        <v>2.3546</v>
      </c>
      <c r="Y207" s="201">
        <f t="shared" si="27"/>
        <v>0.75600000000000001</v>
      </c>
      <c r="Z207" s="201">
        <f t="shared" si="28"/>
        <v>3.1199999999999997</v>
      </c>
      <c r="AA207" s="203">
        <f>+Table1[[#This Row],[calculated sale price]]</f>
        <v>3.1199999999999997</v>
      </c>
      <c r="AB207" s="202"/>
      <c r="AC207" s="206"/>
      <c r="AD207" s="414"/>
    </row>
    <row r="208" spans="1:30" x14ac:dyDescent="0.25">
      <c r="A208" s="186">
        <v>1199</v>
      </c>
      <c r="B208" t="s">
        <v>592</v>
      </c>
      <c r="C208" s="186">
        <v>1</v>
      </c>
      <c r="I208" s="186"/>
      <c r="J208" s="186"/>
      <c r="K208" s="186"/>
      <c r="L208" s="197"/>
      <c r="M208" s="186"/>
      <c r="N208" s="198"/>
      <c r="O208" s="199">
        <v>1.63</v>
      </c>
      <c r="P208" s="199">
        <f>Table1[[#This Row],[unit cost]]</f>
        <v>1.63</v>
      </c>
      <c r="Q208" s="409">
        <v>1.5</v>
      </c>
      <c r="R208" s="186">
        <v>1</v>
      </c>
      <c r="S208" s="249">
        <f t="shared" si="29"/>
        <v>0.42</v>
      </c>
      <c r="T208" s="201">
        <f>Table1[[#This Row],[man minutes]]*Table1[[#This Row],[labor rate]]</f>
        <v>0.63</v>
      </c>
      <c r="U208" s="201">
        <f t="shared" si="25"/>
        <v>2.2599999999999998</v>
      </c>
      <c r="V208" s="187">
        <f t="shared" ref="V208:V271" si="31">$V$2</f>
        <v>0.22</v>
      </c>
      <c r="W208" s="250">
        <f t="shared" si="30"/>
        <v>0.2</v>
      </c>
      <c r="X208" s="201">
        <f t="shared" si="26"/>
        <v>1.9885999999999999</v>
      </c>
      <c r="Y208" s="201">
        <f t="shared" si="27"/>
        <v>0.75600000000000001</v>
      </c>
      <c r="Z208" s="201">
        <f t="shared" si="28"/>
        <v>2.75</v>
      </c>
      <c r="AA208" s="203">
        <f>+Table1[[#This Row],[calculated sale price]]</f>
        <v>2.75</v>
      </c>
      <c r="AB208" s="202"/>
      <c r="AC208" s="206"/>
      <c r="AD208" s="414"/>
    </row>
    <row r="209" spans="1:30" x14ac:dyDescent="0.25">
      <c r="A209" s="186">
        <v>1200</v>
      </c>
      <c r="B209" t="s">
        <v>593</v>
      </c>
      <c r="C209" s="186">
        <v>1</v>
      </c>
      <c r="I209" s="186"/>
      <c r="J209" s="186"/>
      <c r="K209" s="186"/>
      <c r="L209" s="197"/>
      <c r="M209" s="186"/>
      <c r="N209" s="198"/>
      <c r="O209" s="199">
        <v>1.99</v>
      </c>
      <c r="P209" s="199">
        <f>Table1[[#This Row],[unit cost]]</f>
        <v>1.99</v>
      </c>
      <c r="Q209" s="409">
        <v>1.5</v>
      </c>
      <c r="R209" s="186">
        <v>1</v>
      </c>
      <c r="S209" s="249">
        <f t="shared" si="29"/>
        <v>0.42</v>
      </c>
      <c r="T209" s="201">
        <f>Table1[[#This Row],[man minutes]]*Table1[[#This Row],[labor rate]]</f>
        <v>0.63</v>
      </c>
      <c r="U209" s="201">
        <f t="shared" si="25"/>
        <v>2.62</v>
      </c>
      <c r="V209" s="187">
        <f t="shared" si="31"/>
        <v>0.22</v>
      </c>
      <c r="W209" s="250">
        <f t="shared" si="30"/>
        <v>0.2</v>
      </c>
      <c r="X209" s="201">
        <f t="shared" si="26"/>
        <v>2.4278</v>
      </c>
      <c r="Y209" s="201">
        <f t="shared" si="27"/>
        <v>0.75600000000000001</v>
      </c>
      <c r="Z209" s="201">
        <f t="shared" si="28"/>
        <v>3.19</v>
      </c>
      <c r="AA209" s="203">
        <f>+Table1[[#This Row],[calculated sale price]]</f>
        <v>3.19</v>
      </c>
      <c r="AB209" s="202"/>
      <c r="AC209" s="206"/>
      <c r="AD209" s="414"/>
    </row>
    <row r="210" spans="1:30" x14ac:dyDescent="0.25">
      <c r="A210" s="186">
        <v>1201</v>
      </c>
      <c r="B210" t="s">
        <v>594</v>
      </c>
      <c r="C210" s="186">
        <v>1</v>
      </c>
      <c r="I210" s="186"/>
      <c r="J210" s="186"/>
      <c r="K210" s="186"/>
      <c r="L210" s="197"/>
      <c r="M210" s="186"/>
      <c r="N210" s="198"/>
      <c r="O210" s="199">
        <v>1.45</v>
      </c>
      <c r="P210" s="199">
        <f>Table1[[#This Row],[unit cost]]</f>
        <v>1.45</v>
      </c>
      <c r="Q210" s="409">
        <v>1.5</v>
      </c>
      <c r="R210" s="186">
        <v>1</v>
      </c>
      <c r="S210" s="249">
        <f t="shared" si="29"/>
        <v>0.42</v>
      </c>
      <c r="T210" s="201">
        <f>Table1[[#This Row],[man minutes]]*Table1[[#This Row],[labor rate]]</f>
        <v>0.63</v>
      </c>
      <c r="U210" s="201">
        <f t="shared" si="25"/>
        <v>2.08</v>
      </c>
      <c r="V210" s="187">
        <f t="shared" si="31"/>
        <v>0.22</v>
      </c>
      <c r="W210" s="250">
        <f t="shared" si="30"/>
        <v>0.2</v>
      </c>
      <c r="X210" s="201">
        <f t="shared" si="26"/>
        <v>1.7689999999999999</v>
      </c>
      <c r="Y210" s="201">
        <f t="shared" si="27"/>
        <v>0.75600000000000001</v>
      </c>
      <c r="Z210" s="201">
        <f t="shared" si="28"/>
        <v>2.5299999999999998</v>
      </c>
      <c r="AA210" s="203">
        <f>+Table1[[#This Row],[calculated sale price]]</f>
        <v>2.5299999999999998</v>
      </c>
      <c r="AB210" s="202"/>
      <c r="AC210" s="206"/>
      <c r="AD210" s="414"/>
    </row>
    <row r="211" spans="1:30" x14ac:dyDescent="0.25">
      <c r="A211" s="186">
        <v>1202</v>
      </c>
      <c r="B211" t="s">
        <v>595</v>
      </c>
      <c r="C211" s="186">
        <v>1</v>
      </c>
      <c r="I211" s="186"/>
      <c r="J211" s="186"/>
      <c r="K211" s="186"/>
      <c r="L211" s="197"/>
      <c r="M211" s="186"/>
      <c r="N211" s="198"/>
      <c r="O211" s="199">
        <v>1.99</v>
      </c>
      <c r="P211" s="199">
        <f>Table1[[#This Row],[unit cost]]</f>
        <v>1.99</v>
      </c>
      <c r="Q211" s="409">
        <v>1.5</v>
      </c>
      <c r="R211" s="186">
        <v>1</v>
      </c>
      <c r="S211" s="249">
        <f t="shared" si="29"/>
        <v>0.42</v>
      </c>
      <c r="T211" s="201">
        <f>Table1[[#This Row],[man minutes]]*Table1[[#This Row],[labor rate]]</f>
        <v>0.63</v>
      </c>
      <c r="U211" s="201">
        <f t="shared" si="25"/>
        <v>2.62</v>
      </c>
      <c r="V211" s="187">
        <f t="shared" si="31"/>
        <v>0.22</v>
      </c>
      <c r="W211" s="250">
        <f t="shared" si="30"/>
        <v>0.2</v>
      </c>
      <c r="X211" s="201">
        <f t="shared" si="26"/>
        <v>2.4278</v>
      </c>
      <c r="Y211" s="201">
        <f t="shared" si="27"/>
        <v>0.75600000000000001</v>
      </c>
      <c r="Z211" s="201">
        <f t="shared" si="28"/>
        <v>3.19</v>
      </c>
      <c r="AA211" s="203">
        <f>+Table1[[#This Row],[calculated sale price]]</f>
        <v>3.19</v>
      </c>
      <c r="AB211" s="202"/>
      <c r="AC211" s="206"/>
      <c r="AD211" s="414"/>
    </row>
    <row r="212" spans="1:30" x14ac:dyDescent="0.25">
      <c r="A212" s="186">
        <v>1203</v>
      </c>
      <c r="B212" t="s">
        <v>596</v>
      </c>
      <c r="C212" s="186">
        <v>1</v>
      </c>
      <c r="I212" s="186"/>
      <c r="J212" s="186"/>
      <c r="K212" s="186"/>
      <c r="L212" s="197"/>
      <c r="M212" s="186"/>
      <c r="N212" s="198"/>
      <c r="O212" s="408"/>
      <c r="P212" s="199">
        <f>Table1[[#This Row],[unit cost]]</f>
        <v>0</v>
      </c>
      <c r="Q212" s="409">
        <v>1.5</v>
      </c>
      <c r="R212" s="186">
        <v>1</v>
      </c>
      <c r="S212" s="249">
        <f t="shared" si="29"/>
        <v>0.42</v>
      </c>
      <c r="T212" s="201">
        <f>Table1[[#This Row],[man minutes]]*Table1[[#This Row],[labor rate]]</f>
        <v>0.63</v>
      </c>
      <c r="U212" s="201">
        <f t="shared" si="25"/>
        <v>0.63</v>
      </c>
      <c r="V212" s="187">
        <f t="shared" si="31"/>
        <v>0.22</v>
      </c>
      <c r="W212" s="250">
        <f t="shared" si="30"/>
        <v>0.2</v>
      </c>
      <c r="X212" s="201">
        <f t="shared" si="26"/>
        <v>0</v>
      </c>
      <c r="Y212" s="201">
        <f t="shared" si="27"/>
        <v>0.75600000000000001</v>
      </c>
      <c r="Z212" s="201">
        <f t="shared" si="28"/>
        <v>0.76</v>
      </c>
      <c r="AA212" s="203">
        <f>+Table1[[#This Row],[calculated sale price]]</f>
        <v>0.76</v>
      </c>
      <c r="AB212" s="202"/>
      <c r="AC212" s="206"/>
      <c r="AD212" s="414"/>
    </row>
    <row r="213" spans="1:30" x14ac:dyDescent="0.25">
      <c r="A213" s="186">
        <v>1204</v>
      </c>
      <c r="B213" t="s">
        <v>597</v>
      </c>
      <c r="C213" s="186">
        <v>1</v>
      </c>
      <c r="I213" s="186"/>
      <c r="J213" s="186"/>
      <c r="K213" s="186"/>
      <c r="L213" s="197"/>
      <c r="M213" s="186"/>
      <c r="N213" s="198"/>
      <c r="O213" s="199">
        <f>66.51/40*3</f>
        <v>4.9882500000000007</v>
      </c>
      <c r="P213" s="199">
        <f>Table1[[#This Row],[unit cost]]</f>
        <v>4.9882500000000007</v>
      </c>
      <c r="Q213" s="409">
        <v>0.5</v>
      </c>
      <c r="R213" s="186">
        <v>1</v>
      </c>
      <c r="S213" s="249">
        <f t="shared" si="29"/>
        <v>0.42</v>
      </c>
      <c r="T213" s="201">
        <f>Table1[[#This Row],[man minutes]]*Table1[[#This Row],[labor rate]]</f>
        <v>0.21</v>
      </c>
      <c r="U213" s="201">
        <f t="shared" si="25"/>
        <v>5.1982500000000007</v>
      </c>
      <c r="V213" s="187">
        <f t="shared" si="31"/>
        <v>0.22</v>
      </c>
      <c r="W213" s="250">
        <f t="shared" si="30"/>
        <v>0.2</v>
      </c>
      <c r="X213" s="201">
        <f t="shared" si="26"/>
        <v>6.0856650000000005</v>
      </c>
      <c r="Y213" s="201">
        <f t="shared" si="27"/>
        <v>0.252</v>
      </c>
      <c r="Z213" s="201">
        <f t="shared" si="28"/>
        <v>6.34</v>
      </c>
      <c r="AA213" s="203">
        <f>+Table1[[#This Row],[calculated sale price]]</f>
        <v>6.34</v>
      </c>
      <c r="AB213" s="202"/>
      <c r="AC213" s="206"/>
      <c r="AD213" s="414"/>
    </row>
    <row r="214" spans="1:30" x14ac:dyDescent="0.25">
      <c r="A214" s="186">
        <v>1205</v>
      </c>
      <c r="B214" t="s">
        <v>598</v>
      </c>
      <c r="C214" s="186">
        <v>1</v>
      </c>
      <c r="I214" s="186"/>
      <c r="J214" s="186"/>
      <c r="K214" s="186"/>
      <c r="L214" s="197"/>
      <c r="M214" s="186"/>
      <c r="N214" s="198"/>
      <c r="O214" s="199">
        <v>0</v>
      </c>
      <c r="P214" s="199">
        <f>Table1[[#This Row],[unit cost]]</f>
        <v>0</v>
      </c>
      <c r="Q214" s="409">
        <v>0</v>
      </c>
      <c r="R214" s="186">
        <v>1</v>
      </c>
      <c r="S214" s="249">
        <f t="shared" si="29"/>
        <v>0.42</v>
      </c>
      <c r="T214" s="201">
        <f>Table1[[#This Row],[man minutes]]*Table1[[#This Row],[labor rate]]</f>
        <v>0</v>
      </c>
      <c r="U214" s="201">
        <f t="shared" si="25"/>
        <v>0</v>
      </c>
      <c r="V214" s="187">
        <f t="shared" si="31"/>
        <v>0.22</v>
      </c>
      <c r="W214" s="250">
        <f t="shared" si="30"/>
        <v>0.2</v>
      </c>
      <c r="X214" s="201">
        <f t="shared" si="26"/>
        <v>0</v>
      </c>
      <c r="Y214" s="201">
        <f t="shared" si="27"/>
        <v>0</v>
      </c>
      <c r="Z214" s="201">
        <f t="shared" si="28"/>
        <v>0</v>
      </c>
      <c r="AA214" s="203">
        <f>+Table1[[#This Row],[calculated sale price]]</f>
        <v>0</v>
      </c>
      <c r="AB214" s="202"/>
      <c r="AC214" s="206"/>
      <c r="AD214" s="414"/>
    </row>
    <row r="215" spans="1:30" x14ac:dyDescent="0.25">
      <c r="A215" s="186">
        <v>1206</v>
      </c>
      <c r="B215" t="s">
        <v>599</v>
      </c>
      <c r="C215" s="186">
        <v>1</v>
      </c>
      <c r="I215" s="186"/>
      <c r="J215" s="186"/>
      <c r="K215" s="186"/>
      <c r="L215" s="197"/>
      <c r="M215" s="186"/>
      <c r="N215" s="198"/>
      <c r="O215" s="199">
        <v>0</v>
      </c>
      <c r="P215" s="199">
        <f>Table1[[#This Row],[unit cost]]</f>
        <v>0</v>
      </c>
      <c r="Q215" s="409">
        <v>1.65</v>
      </c>
      <c r="R215" s="186">
        <v>1</v>
      </c>
      <c r="S215" s="249">
        <f t="shared" si="29"/>
        <v>0.42</v>
      </c>
      <c r="T215" s="201">
        <f>Table1[[#This Row],[man minutes]]*Table1[[#This Row],[labor rate]]</f>
        <v>0.69299999999999995</v>
      </c>
      <c r="U215" s="201">
        <f t="shared" si="25"/>
        <v>0.69299999999999995</v>
      </c>
      <c r="V215" s="187">
        <f t="shared" si="31"/>
        <v>0.22</v>
      </c>
      <c r="W215" s="250">
        <f t="shared" si="30"/>
        <v>0.2</v>
      </c>
      <c r="X215" s="201">
        <f t="shared" si="26"/>
        <v>0</v>
      </c>
      <c r="Y215" s="201">
        <f t="shared" si="27"/>
        <v>0.83159999999999989</v>
      </c>
      <c r="Z215" s="201">
        <f t="shared" si="28"/>
        <v>0.84</v>
      </c>
      <c r="AA215" s="203">
        <f>+Table1[[#This Row],[calculated sale price]]</f>
        <v>0.84</v>
      </c>
      <c r="AB215" s="202"/>
      <c r="AC215" s="206"/>
      <c r="AD215" s="414"/>
    </row>
    <row r="216" spans="1:30" x14ac:dyDescent="0.25">
      <c r="A216" s="186">
        <v>1207</v>
      </c>
      <c r="B216" t="s">
        <v>600</v>
      </c>
      <c r="C216" s="186">
        <v>1</v>
      </c>
      <c r="I216" s="186"/>
      <c r="J216" s="186"/>
      <c r="K216" s="186"/>
      <c r="L216" s="197"/>
      <c r="M216" s="186"/>
      <c r="N216" s="198"/>
      <c r="O216" s="199">
        <v>0</v>
      </c>
      <c r="P216" s="199">
        <f>Table1[[#This Row],[unit cost]]</f>
        <v>0</v>
      </c>
      <c r="Q216" s="409">
        <v>1.1499999999999999</v>
      </c>
      <c r="R216" s="186">
        <v>1</v>
      </c>
      <c r="S216" s="249">
        <f t="shared" si="29"/>
        <v>0.42</v>
      </c>
      <c r="T216" s="201">
        <f>Table1[[#This Row],[man minutes]]*Table1[[#This Row],[labor rate]]</f>
        <v>0.48299999999999993</v>
      </c>
      <c r="U216" s="201">
        <f t="shared" ref="U216:U253" si="32">P216+T216</f>
        <v>0.48299999999999993</v>
      </c>
      <c r="V216" s="187">
        <f t="shared" si="31"/>
        <v>0.22</v>
      </c>
      <c r="W216" s="250">
        <f t="shared" si="30"/>
        <v>0.2</v>
      </c>
      <c r="X216" s="201">
        <f t="shared" ref="X216:X253" si="33">P216*(1+V216)</f>
        <v>0</v>
      </c>
      <c r="Y216" s="201">
        <f t="shared" ref="Y216:Y253" si="34">T216+(T216*W216)</f>
        <v>0.57959999999999989</v>
      </c>
      <c r="Z216" s="201">
        <f t="shared" ref="Z216:Z253" si="35">IFERROR(ROUNDUP(X216+Y216,2)," ")</f>
        <v>0.57999999999999996</v>
      </c>
      <c r="AA216" s="203">
        <f>+Table1[[#This Row],[calculated sale price]]</f>
        <v>0.57999999999999996</v>
      </c>
      <c r="AB216" s="202"/>
      <c r="AC216" s="206"/>
      <c r="AD216" s="414"/>
    </row>
    <row r="217" spans="1:30" x14ac:dyDescent="0.25">
      <c r="A217" s="186">
        <v>1208</v>
      </c>
      <c r="B217" t="s">
        <v>601</v>
      </c>
      <c r="C217" s="186">
        <v>1</v>
      </c>
      <c r="I217" s="186"/>
      <c r="J217" s="186"/>
      <c r="K217" s="186"/>
      <c r="L217" s="197"/>
      <c r="M217" s="186"/>
      <c r="N217" s="198"/>
      <c r="O217" s="199">
        <v>0.16500000000000001</v>
      </c>
      <c r="P217" s="199">
        <f>Table1[[#This Row],[unit cost]]</f>
        <v>0.16500000000000001</v>
      </c>
      <c r="Q217" s="409">
        <v>0.25</v>
      </c>
      <c r="R217" s="186">
        <v>1</v>
      </c>
      <c r="S217" s="249">
        <f t="shared" si="29"/>
        <v>0.42</v>
      </c>
      <c r="T217" s="201">
        <f>Table1[[#This Row],[man minutes]]*Table1[[#This Row],[labor rate]]</f>
        <v>0.105</v>
      </c>
      <c r="U217" s="201">
        <f t="shared" si="32"/>
        <v>0.27</v>
      </c>
      <c r="V217" s="187">
        <f t="shared" si="31"/>
        <v>0.22</v>
      </c>
      <c r="W217" s="250">
        <f t="shared" si="30"/>
        <v>0.2</v>
      </c>
      <c r="X217" s="201">
        <f t="shared" si="33"/>
        <v>0.20130000000000001</v>
      </c>
      <c r="Y217" s="201">
        <f t="shared" si="34"/>
        <v>0.126</v>
      </c>
      <c r="Z217" s="201">
        <f t="shared" si="35"/>
        <v>0.33</v>
      </c>
      <c r="AA217" s="203">
        <f>+Table1[[#This Row],[calculated sale price]]</f>
        <v>0.33</v>
      </c>
      <c r="AB217" s="202"/>
      <c r="AC217" s="206"/>
      <c r="AD217" s="414"/>
    </row>
    <row r="218" spans="1:30" x14ac:dyDescent="0.25">
      <c r="A218" s="186">
        <v>1209</v>
      </c>
      <c r="B218" t="s">
        <v>602</v>
      </c>
      <c r="C218" s="186">
        <v>1</v>
      </c>
      <c r="I218" s="186"/>
      <c r="J218" s="186"/>
      <c r="K218" s="186"/>
      <c r="L218" s="197"/>
      <c r="M218" s="186"/>
      <c r="N218" s="198"/>
      <c r="O218" s="199">
        <v>1.5333000000000001</v>
      </c>
      <c r="P218" s="199">
        <f>Table1[[#This Row],[unit cost]]</f>
        <v>1.5333000000000001</v>
      </c>
      <c r="Q218" s="409">
        <v>0.25</v>
      </c>
      <c r="R218" s="186">
        <v>1</v>
      </c>
      <c r="S218" s="249">
        <f t="shared" si="29"/>
        <v>0.42</v>
      </c>
      <c r="T218" s="201">
        <f>Table1[[#This Row],[man minutes]]*Table1[[#This Row],[labor rate]]</f>
        <v>0.105</v>
      </c>
      <c r="U218" s="201">
        <f t="shared" si="32"/>
        <v>1.6383000000000001</v>
      </c>
      <c r="V218" s="187">
        <f t="shared" si="31"/>
        <v>0.22</v>
      </c>
      <c r="W218" s="250">
        <f t="shared" si="30"/>
        <v>0.2</v>
      </c>
      <c r="X218" s="201">
        <f t="shared" si="33"/>
        <v>1.8706260000000001</v>
      </c>
      <c r="Y218" s="201">
        <f t="shared" si="34"/>
        <v>0.126</v>
      </c>
      <c r="Z218" s="201">
        <f t="shared" si="35"/>
        <v>2</v>
      </c>
      <c r="AA218" s="203">
        <f>+Table1[[#This Row],[calculated sale price]]</f>
        <v>2</v>
      </c>
      <c r="AB218" s="202"/>
      <c r="AC218" s="206"/>
      <c r="AD218" s="414"/>
    </row>
    <row r="219" spans="1:30" x14ac:dyDescent="0.25">
      <c r="A219" s="186">
        <v>1210</v>
      </c>
      <c r="B219" t="s">
        <v>603</v>
      </c>
      <c r="C219" s="186">
        <v>1</v>
      </c>
      <c r="I219" s="186"/>
      <c r="J219" s="186"/>
      <c r="K219" s="186"/>
      <c r="L219" s="197"/>
      <c r="M219" s="186"/>
      <c r="N219" s="198"/>
      <c r="O219" s="199">
        <v>0.83</v>
      </c>
      <c r="P219" s="199">
        <f>Table1[[#This Row],[unit cost]]</f>
        <v>0.83</v>
      </c>
      <c r="Q219" s="409">
        <v>2.25</v>
      </c>
      <c r="R219" s="186">
        <v>1</v>
      </c>
      <c r="S219" s="249">
        <f t="shared" si="29"/>
        <v>0.42</v>
      </c>
      <c r="T219" s="201">
        <f>Table1[[#This Row],[man minutes]]*Table1[[#This Row],[labor rate]]</f>
        <v>0.94499999999999995</v>
      </c>
      <c r="U219" s="201">
        <f t="shared" si="32"/>
        <v>1.7749999999999999</v>
      </c>
      <c r="V219" s="187">
        <f t="shared" si="31"/>
        <v>0.22</v>
      </c>
      <c r="W219" s="250">
        <f t="shared" si="30"/>
        <v>0.2</v>
      </c>
      <c r="X219" s="201">
        <f t="shared" si="33"/>
        <v>1.0125999999999999</v>
      </c>
      <c r="Y219" s="201">
        <f t="shared" si="34"/>
        <v>1.1339999999999999</v>
      </c>
      <c r="Z219" s="201">
        <f t="shared" si="35"/>
        <v>2.15</v>
      </c>
      <c r="AA219" s="203">
        <f>+Table1[[#This Row],[calculated sale price]]</f>
        <v>2.15</v>
      </c>
      <c r="AB219" s="202"/>
      <c r="AC219" s="206"/>
      <c r="AD219" s="414"/>
    </row>
    <row r="220" spans="1:30" x14ac:dyDescent="0.25">
      <c r="A220" s="186">
        <v>1211</v>
      </c>
      <c r="B220" t="s">
        <v>604</v>
      </c>
      <c r="C220" s="186">
        <v>1</v>
      </c>
      <c r="I220" s="186"/>
      <c r="J220" s="186"/>
      <c r="K220" s="186"/>
      <c r="L220" s="197"/>
      <c r="M220" s="186"/>
      <c r="N220" s="198"/>
      <c r="O220" s="199">
        <v>1.1499999999999999</v>
      </c>
      <c r="P220" s="199">
        <f>Table1[[#This Row],[unit cost]]</f>
        <v>1.1499999999999999</v>
      </c>
      <c r="Q220" s="409">
        <v>2.25</v>
      </c>
      <c r="R220" s="186">
        <v>1</v>
      </c>
      <c r="S220" s="249">
        <f t="shared" si="29"/>
        <v>0.42</v>
      </c>
      <c r="T220" s="201">
        <f>Table1[[#This Row],[man minutes]]*Table1[[#This Row],[labor rate]]</f>
        <v>0.94499999999999995</v>
      </c>
      <c r="U220" s="201">
        <f t="shared" si="32"/>
        <v>2.0949999999999998</v>
      </c>
      <c r="V220" s="187">
        <f t="shared" si="31"/>
        <v>0.22</v>
      </c>
      <c r="W220" s="250">
        <f t="shared" si="30"/>
        <v>0.2</v>
      </c>
      <c r="X220" s="201">
        <f t="shared" si="33"/>
        <v>1.4029999999999998</v>
      </c>
      <c r="Y220" s="201">
        <f t="shared" si="34"/>
        <v>1.1339999999999999</v>
      </c>
      <c r="Z220" s="201">
        <f t="shared" si="35"/>
        <v>2.5399999999999996</v>
      </c>
      <c r="AA220" s="203">
        <f>+Table1[[#This Row],[calculated sale price]]</f>
        <v>2.5399999999999996</v>
      </c>
      <c r="AB220" s="202"/>
      <c r="AC220" s="206"/>
      <c r="AD220" s="414"/>
    </row>
    <row r="221" spans="1:30" x14ac:dyDescent="0.25">
      <c r="A221" s="186">
        <v>1212</v>
      </c>
      <c r="B221" t="s">
        <v>605</v>
      </c>
      <c r="C221" s="186">
        <v>1</v>
      </c>
      <c r="I221" s="186"/>
      <c r="J221" s="186"/>
      <c r="K221" s="186"/>
      <c r="L221" s="197"/>
      <c r="M221" s="186"/>
      <c r="N221" s="198"/>
      <c r="O221" s="199">
        <f>3.64+1.25</f>
        <v>4.8900000000000006</v>
      </c>
      <c r="P221" s="199">
        <f>Table1[[#This Row],[unit cost]]</f>
        <v>4.8900000000000006</v>
      </c>
      <c r="Q221" s="409">
        <v>5</v>
      </c>
      <c r="R221" s="186">
        <v>1</v>
      </c>
      <c r="S221" s="249">
        <f t="shared" si="29"/>
        <v>0.42</v>
      </c>
      <c r="T221" s="201">
        <f>Table1[[#This Row],[man minutes]]*Table1[[#This Row],[labor rate]]</f>
        <v>2.1</v>
      </c>
      <c r="U221" s="201">
        <f t="shared" si="32"/>
        <v>6.99</v>
      </c>
      <c r="V221" s="187">
        <f t="shared" si="31"/>
        <v>0.22</v>
      </c>
      <c r="W221" s="250">
        <f t="shared" si="30"/>
        <v>0.2</v>
      </c>
      <c r="X221" s="201">
        <f t="shared" si="33"/>
        <v>5.9658000000000007</v>
      </c>
      <c r="Y221" s="201">
        <f t="shared" si="34"/>
        <v>2.52</v>
      </c>
      <c r="Z221" s="201">
        <f t="shared" si="35"/>
        <v>8.49</v>
      </c>
      <c r="AA221" s="203">
        <f>+Table1[[#This Row],[calculated sale price]]</f>
        <v>8.49</v>
      </c>
      <c r="AB221" s="202"/>
      <c r="AC221" s="206"/>
      <c r="AD221" s="414"/>
    </row>
    <row r="222" spans="1:30" x14ac:dyDescent="0.25">
      <c r="A222" s="186">
        <v>1213</v>
      </c>
      <c r="B222" t="s">
        <v>606</v>
      </c>
      <c r="C222" s="186">
        <v>1</v>
      </c>
      <c r="I222" s="186"/>
      <c r="J222" s="186"/>
      <c r="K222" s="186"/>
      <c r="L222" s="197"/>
      <c r="M222" s="186"/>
      <c r="N222" s="198"/>
      <c r="O222" s="199">
        <f>8.9+0.35</f>
        <v>9.25</v>
      </c>
      <c r="P222" s="199">
        <f>Table1[[#This Row],[unit cost]]</f>
        <v>9.25</v>
      </c>
      <c r="Q222" s="409">
        <v>4.75</v>
      </c>
      <c r="R222" s="186">
        <v>1</v>
      </c>
      <c r="S222" s="249">
        <f t="shared" si="29"/>
        <v>0.42</v>
      </c>
      <c r="T222" s="201">
        <f>Table1[[#This Row],[man minutes]]*Table1[[#This Row],[labor rate]]</f>
        <v>1.9949999999999999</v>
      </c>
      <c r="U222" s="201">
        <f t="shared" si="32"/>
        <v>11.244999999999999</v>
      </c>
      <c r="V222" s="187">
        <f t="shared" si="31"/>
        <v>0.22</v>
      </c>
      <c r="W222" s="250">
        <f t="shared" si="30"/>
        <v>0.2</v>
      </c>
      <c r="X222" s="201">
        <f t="shared" si="33"/>
        <v>11.285</v>
      </c>
      <c r="Y222" s="201">
        <f t="shared" si="34"/>
        <v>2.3940000000000001</v>
      </c>
      <c r="Z222" s="201">
        <f t="shared" si="35"/>
        <v>13.68</v>
      </c>
      <c r="AA222" s="203">
        <f>+Table1[[#This Row],[calculated sale price]]</f>
        <v>13.68</v>
      </c>
      <c r="AB222" s="202"/>
      <c r="AC222" s="206"/>
      <c r="AD222" s="414"/>
    </row>
    <row r="223" spans="1:30" x14ac:dyDescent="0.25">
      <c r="A223" s="186">
        <v>1214</v>
      </c>
      <c r="B223" t="s">
        <v>607</v>
      </c>
      <c r="C223" s="186">
        <v>1</v>
      </c>
      <c r="I223" s="186"/>
      <c r="J223" s="186"/>
      <c r="K223" s="186"/>
      <c r="L223" s="197"/>
      <c r="M223" s="186"/>
      <c r="N223" s="198"/>
      <c r="O223" s="199">
        <v>1.45</v>
      </c>
      <c r="P223" s="199">
        <f>Table1[[#This Row],[unit cost]]</f>
        <v>1.45</v>
      </c>
      <c r="Q223" s="409">
        <v>2.25</v>
      </c>
      <c r="R223" s="186">
        <v>1</v>
      </c>
      <c r="S223" s="249">
        <f t="shared" si="29"/>
        <v>0.42</v>
      </c>
      <c r="T223" s="201">
        <f>Table1[[#This Row],[man minutes]]*Table1[[#This Row],[labor rate]]</f>
        <v>0.94499999999999995</v>
      </c>
      <c r="U223" s="201">
        <f t="shared" si="32"/>
        <v>2.395</v>
      </c>
      <c r="V223" s="187">
        <f t="shared" si="31"/>
        <v>0.22</v>
      </c>
      <c r="W223" s="250">
        <f t="shared" si="30"/>
        <v>0.2</v>
      </c>
      <c r="X223" s="201">
        <f t="shared" si="33"/>
        <v>1.7689999999999999</v>
      </c>
      <c r="Y223" s="201">
        <f t="shared" si="34"/>
        <v>1.1339999999999999</v>
      </c>
      <c r="Z223" s="201">
        <f t="shared" si="35"/>
        <v>2.9099999999999997</v>
      </c>
      <c r="AA223" s="203">
        <f>+Table1[[#This Row],[calculated sale price]]</f>
        <v>2.9099999999999997</v>
      </c>
      <c r="AB223" s="202"/>
      <c r="AC223" s="206"/>
      <c r="AD223" s="414"/>
    </row>
    <row r="224" spans="1:30" x14ac:dyDescent="0.25">
      <c r="A224" s="186">
        <v>1215</v>
      </c>
      <c r="B224" t="s">
        <v>608</v>
      </c>
      <c r="C224" s="186">
        <v>1</v>
      </c>
      <c r="I224" s="186"/>
      <c r="J224" s="186"/>
      <c r="K224" s="186"/>
      <c r="L224" s="197"/>
      <c r="M224" s="186"/>
      <c r="N224" s="198"/>
      <c r="O224" s="199">
        <f>0.87+0.08</f>
        <v>0.95</v>
      </c>
      <c r="P224" s="199">
        <f>Table1[[#This Row],[unit cost]]</f>
        <v>0.95</v>
      </c>
      <c r="Q224" s="409">
        <v>1.5</v>
      </c>
      <c r="R224" s="186">
        <v>1</v>
      </c>
      <c r="S224" s="249">
        <f t="shared" si="29"/>
        <v>0.42</v>
      </c>
      <c r="T224" s="201">
        <f>Table1[[#This Row],[man minutes]]*Table1[[#This Row],[labor rate]]</f>
        <v>0.63</v>
      </c>
      <c r="U224" s="201">
        <f t="shared" si="32"/>
        <v>1.58</v>
      </c>
      <c r="V224" s="187">
        <f t="shared" si="31"/>
        <v>0.22</v>
      </c>
      <c r="W224" s="250">
        <f t="shared" si="30"/>
        <v>0.2</v>
      </c>
      <c r="X224" s="201">
        <f t="shared" si="33"/>
        <v>1.159</v>
      </c>
      <c r="Y224" s="201">
        <f t="shared" si="34"/>
        <v>0.75600000000000001</v>
      </c>
      <c r="Z224" s="201">
        <f t="shared" si="35"/>
        <v>1.92</v>
      </c>
      <c r="AA224" s="203">
        <f>+Table1[[#This Row],[calculated sale price]]</f>
        <v>1.92</v>
      </c>
      <c r="AB224" s="202"/>
      <c r="AC224" s="206"/>
      <c r="AD224" s="414"/>
    </row>
    <row r="225" spans="1:30" x14ac:dyDescent="0.25">
      <c r="A225" s="186">
        <v>1216</v>
      </c>
      <c r="B225" t="s">
        <v>609</v>
      </c>
      <c r="C225" s="186">
        <v>1</v>
      </c>
      <c r="I225" s="186"/>
      <c r="J225" s="186"/>
      <c r="K225" s="186"/>
      <c r="L225" s="197"/>
      <c r="M225" s="186"/>
      <c r="N225" s="198"/>
      <c r="O225" s="199">
        <v>0.83</v>
      </c>
      <c r="P225" s="199">
        <f>Table1[[#This Row],[unit cost]]</f>
        <v>0.83</v>
      </c>
      <c r="Q225" s="409">
        <v>1.25</v>
      </c>
      <c r="R225" s="186">
        <v>1</v>
      </c>
      <c r="S225" s="249">
        <f t="shared" si="29"/>
        <v>0.42</v>
      </c>
      <c r="T225" s="201">
        <f>Table1[[#This Row],[man minutes]]*Table1[[#This Row],[labor rate]]</f>
        <v>0.52500000000000002</v>
      </c>
      <c r="U225" s="201">
        <f t="shared" si="32"/>
        <v>1.355</v>
      </c>
      <c r="V225" s="187">
        <f t="shared" si="31"/>
        <v>0.22</v>
      </c>
      <c r="W225" s="250">
        <f t="shared" si="30"/>
        <v>0.2</v>
      </c>
      <c r="X225" s="201">
        <f t="shared" si="33"/>
        <v>1.0125999999999999</v>
      </c>
      <c r="Y225" s="201">
        <f t="shared" si="34"/>
        <v>0.63</v>
      </c>
      <c r="Z225" s="201">
        <f t="shared" si="35"/>
        <v>1.65</v>
      </c>
      <c r="AA225" s="203">
        <f>+Table1[[#This Row],[calculated sale price]]</f>
        <v>1.65</v>
      </c>
      <c r="AB225" s="202"/>
      <c r="AC225" s="206"/>
      <c r="AD225" s="414"/>
    </row>
    <row r="226" spans="1:30" x14ac:dyDescent="0.25">
      <c r="A226" s="186">
        <v>1217</v>
      </c>
      <c r="B226" t="s">
        <v>610</v>
      </c>
      <c r="C226" s="186">
        <v>1</v>
      </c>
      <c r="I226" s="186"/>
      <c r="J226" s="186"/>
      <c r="K226" s="186"/>
      <c r="L226" s="197"/>
      <c r="M226" s="186"/>
      <c r="N226" s="198"/>
      <c r="O226" s="199">
        <v>1.96</v>
      </c>
      <c r="P226" s="199">
        <f>Table1[[#This Row],[unit cost]]</f>
        <v>1.96</v>
      </c>
      <c r="Q226" s="409">
        <v>1.43</v>
      </c>
      <c r="R226" s="186">
        <v>1</v>
      </c>
      <c r="S226" s="249">
        <f t="shared" si="29"/>
        <v>0.42</v>
      </c>
      <c r="T226" s="201">
        <f>Table1[[#This Row],[man minutes]]*Table1[[#This Row],[labor rate]]</f>
        <v>0.60059999999999991</v>
      </c>
      <c r="U226" s="201">
        <f t="shared" si="32"/>
        <v>2.5606</v>
      </c>
      <c r="V226" s="187">
        <f t="shared" si="31"/>
        <v>0.22</v>
      </c>
      <c r="W226" s="250">
        <f t="shared" si="30"/>
        <v>0.2</v>
      </c>
      <c r="X226" s="201">
        <f t="shared" si="33"/>
        <v>2.3912</v>
      </c>
      <c r="Y226" s="201">
        <f t="shared" si="34"/>
        <v>0.72071999999999992</v>
      </c>
      <c r="Z226" s="201">
        <f t="shared" si="35"/>
        <v>3.1199999999999997</v>
      </c>
      <c r="AA226" s="203">
        <f>+Table1[[#This Row],[calculated sale price]]</f>
        <v>3.1199999999999997</v>
      </c>
      <c r="AB226" s="202"/>
      <c r="AC226" s="206"/>
      <c r="AD226" s="415" t="s">
        <v>611</v>
      </c>
    </row>
    <row r="227" spans="1:30" x14ac:dyDescent="0.25">
      <c r="A227" s="186">
        <v>1218</v>
      </c>
      <c r="B227" s="330" t="s">
        <v>612</v>
      </c>
      <c r="C227" s="186">
        <v>1</v>
      </c>
      <c r="I227" s="186"/>
      <c r="J227" s="186"/>
      <c r="K227" s="186"/>
      <c r="L227" s="197"/>
      <c r="M227" s="186"/>
      <c r="N227" s="198"/>
      <c r="O227" s="199">
        <v>1.68</v>
      </c>
      <c r="P227" s="199">
        <f>Table1[[#This Row],[unit cost]]</f>
        <v>1.68</v>
      </c>
      <c r="Q227" s="409">
        <v>1.43</v>
      </c>
      <c r="R227" s="186">
        <v>1</v>
      </c>
      <c r="S227" s="249">
        <f t="shared" si="29"/>
        <v>0.42</v>
      </c>
      <c r="T227" s="201">
        <f>Table1[[#This Row],[man minutes]]*Table1[[#This Row],[labor rate]]</f>
        <v>0.60059999999999991</v>
      </c>
      <c r="U227" s="201">
        <f t="shared" si="32"/>
        <v>2.2805999999999997</v>
      </c>
      <c r="V227" s="187">
        <f t="shared" si="31"/>
        <v>0.22</v>
      </c>
      <c r="W227" s="250">
        <f t="shared" si="30"/>
        <v>0.2</v>
      </c>
      <c r="X227" s="201">
        <f t="shared" si="33"/>
        <v>2.0495999999999999</v>
      </c>
      <c r="Y227" s="201">
        <f t="shared" si="34"/>
        <v>0.72071999999999992</v>
      </c>
      <c r="Z227" s="201">
        <f t="shared" si="35"/>
        <v>2.78</v>
      </c>
      <c r="AA227" s="203">
        <f>+Table1[[#This Row],[calculated sale price]]</f>
        <v>2.78</v>
      </c>
      <c r="AB227" s="202"/>
      <c r="AC227" s="206"/>
      <c r="AD227" s="415" t="s">
        <v>611</v>
      </c>
    </row>
    <row r="228" spans="1:30" x14ac:dyDescent="0.25">
      <c r="A228" s="186">
        <v>1219</v>
      </c>
      <c r="B228" s="330" t="s">
        <v>540</v>
      </c>
      <c r="C228" s="186">
        <v>1</v>
      </c>
      <c r="I228" s="186"/>
      <c r="J228" s="186"/>
      <c r="K228" s="186"/>
      <c r="L228" s="197"/>
      <c r="M228" s="186"/>
      <c r="N228" s="198"/>
      <c r="O228" s="199">
        <v>2.2999999999999998</v>
      </c>
      <c r="P228" s="199">
        <f>Table1[[#This Row],[unit cost]]</f>
        <v>2.2999999999999998</v>
      </c>
      <c r="Q228" s="409">
        <v>1.43</v>
      </c>
      <c r="R228" s="186">
        <v>1</v>
      </c>
      <c r="S228" s="249">
        <f t="shared" si="29"/>
        <v>0.42</v>
      </c>
      <c r="T228" s="201">
        <f>Table1[[#This Row],[man minutes]]*Table1[[#This Row],[labor rate]]</f>
        <v>0.60059999999999991</v>
      </c>
      <c r="U228" s="201">
        <f t="shared" si="32"/>
        <v>2.9005999999999998</v>
      </c>
      <c r="V228" s="187">
        <f t="shared" si="31"/>
        <v>0.22</v>
      </c>
      <c r="W228" s="250">
        <f t="shared" si="30"/>
        <v>0.2</v>
      </c>
      <c r="X228" s="201">
        <f t="shared" si="33"/>
        <v>2.8059999999999996</v>
      </c>
      <c r="Y228" s="201">
        <f t="shared" si="34"/>
        <v>0.72071999999999992</v>
      </c>
      <c r="Z228" s="201">
        <f t="shared" si="35"/>
        <v>3.53</v>
      </c>
      <c r="AA228" s="203">
        <f>+Table1[[#This Row],[calculated sale price]]</f>
        <v>3.53</v>
      </c>
      <c r="AB228" s="202"/>
      <c r="AC228" s="206"/>
      <c r="AD228" s="415" t="s">
        <v>611</v>
      </c>
    </row>
    <row r="229" spans="1:30" x14ac:dyDescent="0.25">
      <c r="A229" s="186">
        <v>1220</v>
      </c>
      <c r="B229" s="330" t="s">
        <v>541</v>
      </c>
      <c r="C229" s="186">
        <v>1</v>
      </c>
      <c r="I229" s="186"/>
      <c r="J229" s="186"/>
      <c r="K229" s="186"/>
      <c r="L229" s="197"/>
      <c r="M229" s="186"/>
      <c r="N229" s="198"/>
      <c r="O229" s="199">
        <v>1.63</v>
      </c>
      <c r="P229" s="199">
        <f>Table1[[#This Row],[unit cost]]</f>
        <v>1.63</v>
      </c>
      <c r="Q229" s="409">
        <v>1.43</v>
      </c>
      <c r="R229" s="186">
        <v>1</v>
      </c>
      <c r="S229" s="249">
        <f t="shared" si="29"/>
        <v>0.42</v>
      </c>
      <c r="T229" s="201">
        <f>Table1[[#This Row],[man minutes]]*Table1[[#This Row],[labor rate]]</f>
        <v>0.60059999999999991</v>
      </c>
      <c r="U229" s="201">
        <f t="shared" si="32"/>
        <v>2.2305999999999999</v>
      </c>
      <c r="V229" s="187">
        <f t="shared" si="31"/>
        <v>0.22</v>
      </c>
      <c r="W229" s="250">
        <f t="shared" si="30"/>
        <v>0.2</v>
      </c>
      <c r="X229" s="201">
        <f t="shared" si="33"/>
        <v>1.9885999999999999</v>
      </c>
      <c r="Y229" s="201">
        <f t="shared" si="34"/>
        <v>0.72071999999999992</v>
      </c>
      <c r="Z229" s="201">
        <f t="shared" si="35"/>
        <v>2.71</v>
      </c>
      <c r="AA229" s="203">
        <f>+Table1[[#This Row],[calculated sale price]]</f>
        <v>2.71</v>
      </c>
      <c r="AB229" s="202"/>
      <c r="AC229" s="206"/>
      <c r="AD229" s="415" t="s">
        <v>611</v>
      </c>
    </row>
    <row r="230" spans="1:30" x14ac:dyDescent="0.25">
      <c r="A230" s="186">
        <v>1221</v>
      </c>
      <c r="B230" t="s">
        <v>542</v>
      </c>
      <c r="C230" s="186">
        <v>1</v>
      </c>
      <c r="I230" s="186"/>
      <c r="J230" s="186"/>
      <c r="K230" s="186"/>
      <c r="L230" s="197"/>
      <c r="M230" s="186"/>
      <c r="N230" s="198"/>
      <c r="O230" s="199">
        <v>1.99</v>
      </c>
      <c r="P230" s="199">
        <f>Table1[[#This Row],[unit cost]]</f>
        <v>1.99</v>
      </c>
      <c r="Q230" s="409">
        <v>1.43</v>
      </c>
      <c r="R230" s="186">
        <v>1</v>
      </c>
      <c r="S230" s="249">
        <f t="shared" si="29"/>
        <v>0.42</v>
      </c>
      <c r="T230" s="201">
        <f>Table1[[#This Row],[man minutes]]*Table1[[#This Row],[labor rate]]</f>
        <v>0.60059999999999991</v>
      </c>
      <c r="U230" s="201">
        <f t="shared" si="32"/>
        <v>2.5905999999999998</v>
      </c>
      <c r="V230" s="187">
        <f t="shared" si="31"/>
        <v>0.22</v>
      </c>
      <c r="W230" s="250">
        <f t="shared" si="30"/>
        <v>0.2</v>
      </c>
      <c r="X230" s="201">
        <f t="shared" si="33"/>
        <v>2.4278</v>
      </c>
      <c r="Y230" s="201">
        <f t="shared" si="34"/>
        <v>0.72071999999999992</v>
      </c>
      <c r="Z230" s="201">
        <f t="shared" si="35"/>
        <v>3.15</v>
      </c>
      <c r="AA230" s="203">
        <f>+Table1[[#This Row],[calculated sale price]]</f>
        <v>3.15</v>
      </c>
      <c r="AB230" s="202"/>
      <c r="AC230" s="206"/>
      <c r="AD230" s="415" t="s">
        <v>611</v>
      </c>
    </row>
    <row r="231" spans="1:30" x14ac:dyDescent="0.25">
      <c r="A231" s="186">
        <v>1222</v>
      </c>
      <c r="B231" t="s">
        <v>613</v>
      </c>
      <c r="C231" s="186">
        <v>1</v>
      </c>
      <c r="I231" s="186"/>
      <c r="J231" s="186"/>
      <c r="K231" s="186"/>
      <c r="L231" s="197"/>
      <c r="M231" s="186"/>
      <c r="N231" s="198"/>
      <c r="O231" s="199">
        <v>1.55</v>
      </c>
      <c r="P231" s="199">
        <f>Table1[[#This Row],[unit cost]]</f>
        <v>1.55</v>
      </c>
      <c r="Q231" s="409">
        <v>1.43</v>
      </c>
      <c r="R231" s="186">
        <v>1</v>
      </c>
      <c r="S231" s="249">
        <f t="shared" si="29"/>
        <v>0.42</v>
      </c>
      <c r="T231" s="201">
        <f>Table1[[#This Row],[man minutes]]*Table1[[#This Row],[labor rate]]</f>
        <v>0.60059999999999991</v>
      </c>
      <c r="U231" s="201">
        <f t="shared" si="32"/>
        <v>2.1505999999999998</v>
      </c>
      <c r="V231" s="187">
        <f t="shared" si="31"/>
        <v>0.22</v>
      </c>
      <c r="W231" s="250">
        <f t="shared" si="30"/>
        <v>0.2</v>
      </c>
      <c r="X231" s="201">
        <f t="shared" si="33"/>
        <v>1.891</v>
      </c>
      <c r="Y231" s="201">
        <f t="shared" si="34"/>
        <v>0.72071999999999992</v>
      </c>
      <c r="Z231" s="201">
        <f t="shared" si="35"/>
        <v>2.6199999999999997</v>
      </c>
      <c r="AA231" s="203">
        <f>+Table1[[#This Row],[calculated sale price]]</f>
        <v>2.6199999999999997</v>
      </c>
      <c r="AB231" s="202"/>
      <c r="AC231" s="206"/>
      <c r="AD231" s="415" t="s">
        <v>611</v>
      </c>
    </row>
    <row r="232" spans="1:30" x14ac:dyDescent="0.25">
      <c r="A232" s="186">
        <v>1223</v>
      </c>
      <c r="B232" t="s">
        <v>614</v>
      </c>
      <c r="C232" s="186">
        <v>1</v>
      </c>
      <c r="I232" s="186"/>
      <c r="J232" s="186"/>
      <c r="K232" s="186"/>
      <c r="L232" s="197"/>
      <c r="M232" s="186"/>
      <c r="N232" s="198"/>
      <c r="O232" s="199">
        <v>1.59</v>
      </c>
      <c r="P232" s="199">
        <f>Table1[[#This Row],[unit cost]]</f>
        <v>1.59</v>
      </c>
      <c r="Q232" s="409">
        <v>1.43</v>
      </c>
      <c r="R232" s="186">
        <v>1</v>
      </c>
      <c r="S232" s="249">
        <f t="shared" si="29"/>
        <v>0.42</v>
      </c>
      <c r="T232" s="201">
        <f>Table1[[#This Row],[man minutes]]*Table1[[#This Row],[labor rate]]</f>
        <v>0.60059999999999991</v>
      </c>
      <c r="U232" s="201">
        <f t="shared" si="32"/>
        <v>2.1905999999999999</v>
      </c>
      <c r="V232" s="187">
        <f t="shared" si="31"/>
        <v>0.22</v>
      </c>
      <c r="W232" s="250">
        <f t="shared" si="30"/>
        <v>0.2</v>
      </c>
      <c r="X232" s="201">
        <f t="shared" si="33"/>
        <v>1.9398</v>
      </c>
      <c r="Y232" s="201">
        <f t="shared" si="34"/>
        <v>0.72071999999999992</v>
      </c>
      <c r="Z232" s="201">
        <f t="shared" si="35"/>
        <v>2.67</v>
      </c>
      <c r="AA232" s="203">
        <f>+Table1[[#This Row],[calculated sale price]]</f>
        <v>2.67</v>
      </c>
      <c r="AB232" s="202"/>
      <c r="AC232" s="206"/>
      <c r="AD232" s="415" t="s">
        <v>611</v>
      </c>
    </row>
    <row r="233" spans="1:30" x14ac:dyDescent="0.25">
      <c r="A233" s="186">
        <v>1224</v>
      </c>
      <c r="B233" t="s">
        <v>615</v>
      </c>
      <c r="C233" s="186">
        <v>1</v>
      </c>
      <c r="I233" s="186"/>
      <c r="J233" s="186"/>
      <c r="K233" s="186"/>
      <c r="L233" s="197"/>
      <c r="M233" s="186"/>
      <c r="N233" s="198"/>
      <c r="O233" s="199">
        <v>1.67</v>
      </c>
      <c r="P233" s="199">
        <f>Table1[[#This Row],[unit cost]]</f>
        <v>1.67</v>
      </c>
      <c r="Q233" s="409">
        <v>1.43</v>
      </c>
      <c r="R233" s="186">
        <v>1</v>
      </c>
      <c r="S233" s="249">
        <f t="shared" si="29"/>
        <v>0.42</v>
      </c>
      <c r="T233" s="201">
        <f>Table1[[#This Row],[man minutes]]*Table1[[#This Row],[labor rate]]</f>
        <v>0.60059999999999991</v>
      </c>
      <c r="U233" s="201">
        <f t="shared" si="32"/>
        <v>2.2706</v>
      </c>
      <c r="V233" s="187">
        <f t="shared" si="31"/>
        <v>0.22</v>
      </c>
      <c r="W233" s="250">
        <f t="shared" si="30"/>
        <v>0.2</v>
      </c>
      <c r="X233" s="201">
        <f t="shared" si="33"/>
        <v>2.0373999999999999</v>
      </c>
      <c r="Y233" s="201">
        <f t="shared" si="34"/>
        <v>0.72071999999999992</v>
      </c>
      <c r="Z233" s="201">
        <f t="shared" si="35"/>
        <v>2.76</v>
      </c>
      <c r="AA233" s="203">
        <f>+Table1[[#This Row],[calculated sale price]]</f>
        <v>2.76</v>
      </c>
      <c r="AB233" s="202"/>
      <c r="AC233" s="206"/>
      <c r="AD233" s="415" t="s">
        <v>611</v>
      </c>
    </row>
    <row r="234" spans="1:30" x14ac:dyDescent="0.25">
      <c r="A234" s="186">
        <v>1225</v>
      </c>
      <c r="B234" t="s">
        <v>359</v>
      </c>
      <c r="C234" s="186">
        <v>1</v>
      </c>
      <c r="I234" s="186"/>
      <c r="J234" s="186"/>
      <c r="K234" s="186"/>
      <c r="L234" s="197"/>
      <c r="M234" s="186"/>
      <c r="N234" s="198"/>
      <c r="O234" s="242">
        <f>7.66/30*1.15</f>
        <v>0.29363333333333336</v>
      </c>
      <c r="P234" s="199">
        <f>Table1[[#This Row],[unit cost]]</f>
        <v>0.29363333333333336</v>
      </c>
      <c r="Q234" s="409">
        <v>0.25</v>
      </c>
      <c r="R234" s="186">
        <v>1</v>
      </c>
      <c r="S234" s="249">
        <f t="shared" si="29"/>
        <v>0.42</v>
      </c>
      <c r="T234" s="201">
        <f>Table1[[#This Row],[man minutes]]*Table1[[#This Row],[labor rate]]</f>
        <v>0.105</v>
      </c>
      <c r="U234" s="201">
        <f t="shared" si="32"/>
        <v>0.39863333333333334</v>
      </c>
      <c r="V234" s="187">
        <f t="shared" si="31"/>
        <v>0.22</v>
      </c>
      <c r="W234" s="250">
        <f t="shared" si="30"/>
        <v>0.2</v>
      </c>
      <c r="X234" s="201">
        <f t="shared" si="33"/>
        <v>0.3582326666666667</v>
      </c>
      <c r="Y234" s="201">
        <f t="shared" si="34"/>
        <v>0.126</v>
      </c>
      <c r="Z234" s="201">
        <f t="shared" si="35"/>
        <v>0.49</v>
      </c>
      <c r="AA234" s="203">
        <f>+Table1[[#This Row],[calculated sale price]]</f>
        <v>0.49</v>
      </c>
      <c r="AB234" s="202"/>
      <c r="AC234" s="206"/>
      <c r="AD234" s="414"/>
    </row>
    <row r="235" spans="1:30" x14ac:dyDescent="0.25">
      <c r="A235" s="186">
        <v>1226</v>
      </c>
      <c r="B235" t="s">
        <v>616</v>
      </c>
      <c r="C235" s="186">
        <v>1</v>
      </c>
      <c r="I235" s="186"/>
      <c r="J235" s="186"/>
      <c r="K235" s="186"/>
      <c r="L235" s="197"/>
      <c r="M235" s="186"/>
      <c r="N235" s="198"/>
      <c r="O235" s="199">
        <v>0.2</v>
      </c>
      <c r="P235" s="199">
        <f>Table1[[#This Row],[unit cost]]</f>
        <v>0.2</v>
      </c>
      <c r="Q235" s="409">
        <v>0.25</v>
      </c>
      <c r="R235" s="186">
        <v>1</v>
      </c>
      <c r="S235" s="249">
        <f t="shared" si="29"/>
        <v>0.42</v>
      </c>
      <c r="T235" s="201">
        <f>Table1[[#This Row],[man minutes]]*Table1[[#This Row],[labor rate]]</f>
        <v>0.105</v>
      </c>
      <c r="U235" s="201">
        <f t="shared" si="32"/>
        <v>0.30499999999999999</v>
      </c>
      <c r="V235" s="187">
        <f t="shared" si="31"/>
        <v>0.22</v>
      </c>
      <c r="W235" s="250">
        <f t="shared" si="30"/>
        <v>0.2</v>
      </c>
      <c r="X235" s="201">
        <f t="shared" si="33"/>
        <v>0.24399999999999999</v>
      </c>
      <c r="Y235" s="201">
        <f t="shared" si="34"/>
        <v>0.126</v>
      </c>
      <c r="Z235" s="201">
        <f t="shared" si="35"/>
        <v>0.37</v>
      </c>
      <c r="AA235" s="203">
        <f>+Table1[[#This Row],[calculated sale price]]</f>
        <v>0.37</v>
      </c>
      <c r="AB235" s="202"/>
      <c r="AC235" s="206"/>
      <c r="AD235" s="414"/>
    </row>
    <row r="236" spans="1:30" x14ac:dyDescent="0.25">
      <c r="A236" s="186">
        <v>1227</v>
      </c>
      <c r="B236" t="s">
        <v>617</v>
      </c>
      <c r="C236" s="186">
        <v>1</v>
      </c>
      <c r="I236" s="186"/>
      <c r="J236" s="186"/>
      <c r="K236" s="186"/>
      <c r="L236" s="197"/>
      <c r="M236" s="186"/>
      <c r="N236" s="198"/>
      <c r="O236" s="199">
        <v>0.24</v>
      </c>
      <c r="P236" s="199">
        <f>Table1[[#This Row],[unit cost]]</f>
        <v>0.24</v>
      </c>
      <c r="Q236" s="409">
        <v>0.25</v>
      </c>
      <c r="R236" s="186">
        <v>1</v>
      </c>
      <c r="S236" s="249">
        <f t="shared" si="29"/>
        <v>0.42</v>
      </c>
      <c r="T236" s="201">
        <f>Table1[[#This Row],[man minutes]]*Table1[[#This Row],[labor rate]]</f>
        <v>0.105</v>
      </c>
      <c r="U236" s="201">
        <f t="shared" si="32"/>
        <v>0.34499999999999997</v>
      </c>
      <c r="V236" s="187">
        <f t="shared" si="31"/>
        <v>0.22</v>
      </c>
      <c r="W236" s="250">
        <f t="shared" si="30"/>
        <v>0.2</v>
      </c>
      <c r="X236" s="201">
        <f t="shared" si="33"/>
        <v>0.2928</v>
      </c>
      <c r="Y236" s="201">
        <f t="shared" si="34"/>
        <v>0.126</v>
      </c>
      <c r="Z236" s="201">
        <f t="shared" si="35"/>
        <v>0.42</v>
      </c>
      <c r="AA236" s="203">
        <f>+Table1[[#This Row],[calculated sale price]]</f>
        <v>0.42</v>
      </c>
      <c r="AB236" s="202"/>
      <c r="AC236" s="206"/>
      <c r="AD236" s="414"/>
    </row>
    <row r="237" spans="1:30" x14ac:dyDescent="0.25">
      <c r="A237" s="186">
        <v>1228</v>
      </c>
      <c r="B237" t="s">
        <v>618</v>
      </c>
      <c r="C237" s="186">
        <v>1</v>
      </c>
      <c r="I237" s="186"/>
      <c r="J237" s="186"/>
      <c r="K237" s="186"/>
      <c r="L237" s="197"/>
      <c r="M237" s="186"/>
      <c r="N237" s="198"/>
      <c r="O237" s="199">
        <v>0.17</v>
      </c>
      <c r="P237" s="199">
        <f>Table1[[#This Row],[unit cost]]</f>
        <v>0.17</v>
      </c>
      <c r="Q237" s="409">
        <v>0.25</v>
      </c>
      <c r="R237" s="186">
        <v>1</v>
      </c>
      <c r="S237" s="249">
        <f t="shared" si="29"/>
        <v>0.42</v>
      </c>
      <c r="T237" s="201">
        <f>Table1[[#This Row],[man minutes]]*Table1[[#This Row],[labor rate]]</f>
        <v>0.105</v>
      </c>
      <c r="U237" s="201">
        <f t="shared" si="32"/>
        <v>0.27500000000000002</v>
      </c>
      <c r="V237" s="187">
        <f t="shared" si="31"/>
        <v>0.22</v>
      </c>
      <c r="W237" s="250">
        <f t="shared" si="30"/>
        <v>0.2</v>
      </c>
      <c r="X237" s="201">
        <f t="shared" si="33"/>
        <v>0.2074</v>
      </c>
      <c r="Y237" s="201">
        <f t="shared" si="34"/>
        <v>0.126</v>
      </c>
      <c r="Z237" s="201">
        <f t="shared" si="35"/>
        <v>0.34</v>
      </c>
      <c r="AA237" s="203">
        <f>+Table1[[#This Row],[calculated sale price]]</f>
        <v>0.34</v>
      </c>
      <c r="AB237" s="202"/>
      <c r="AC237" s="206"/>
      <c r="AD237" s="414"/>
    </row>
    <row r="238" spans="1:30" x14ac:dyDescent="0.25">
      <c r="A238" s="186">
        <v>1229</v>
      </c>
      <c r="B238" t="s">
        <v>619</v>
      </c>
      <c r="C238" s="186">
        <v>1</v>
      </c>
      <c r="I238" s="186"/>
      <c r="J238" s="186"/>
      <c r="K238" s="186"/>
      <c r="L238" s="197"/>
      <c r="M238" s="186"/>
      <c r="N238" s="198"/>
      <c r="O238" s="199">
        <v>3.56</v>
      </c>
      <c r="P238" s="199">
        <f>Table1[[#This Row],[unit cost]]</f>
        <v>3.56</v>
      </c>
      <c r="Q238" s="409">
        <v>1.75</v>
      </c>
      <c r="R238" s="186">
        <v>1</v>
      </c>
      <c r="S238" s="249">
        <f t="shared" si="29"/>
        <v>0.42</v>
      </c>
      <c r="T238" s="201">
        <f>Table1[[#This Row],[man minutes]]*Table1[[#This Row],[labor rate]]</f>
        <v>0.73499999999999999</v>
      </c>
      <c r="U238" s="201">
        <f t="shared" si="32"/>
        <v>4.2949999999999999</v>
      </c>
      <c r="V238" s="187">
        <f t="shared" si="31"/>
        <v>0.22</v>
      </c>
      <c r="W238" s="250">
        <f t="shared" si="30"/>
        <v>0.2</v>
      </c>
      <c r="X238" s="201">
        <f t="shared" si="33"/>
        <v>4.3432000000000004</v>
      </c>
      <c r="Y238" s="201">
        <f t="shared" si="34"/>
        <v>0.88200000000000001</v>
      </c>
      <c r="Z238" s="201">
        <f t="shared" si="35"/>
        <v>5.2299999999999995</v>
      </c>
      <c r="AA238" s="203">
        <f>+Table1[[#This Row],[calculated sale price]]</f>
        <v>5.2299999999999995</v>
      </c>
      <c r="AB238" s="202"/>
      <c r="AC238" s="206"/>
      <c r="AD238" s="414"/>
    </row>
    <row r="239" spans="1:30" x14ac:dyDescent="0.25">
      <c r="A239" s="186">
        <v>1230</v>
      </c>
      <c r="B239" t="s">
        <v>620</v>
      </c>
      <c r="C239" s="186">
        <v>1</v>
      </c>
      <c r="I239" s="186"/>
      <c r="J239" s="186"/>
      <c r="K239" s="186"/>
      <c r="L239" s="197"/>
      <c r="M239" s="186"/>
      <c r="N239" s="198"/>
      <c r="O239" s="408">
        <f>0.93+0.75</f>
        <v>1.6800000000000002</v>
      </c>
      <c r="P239" s="199">
        <f>Table1[[#This Row],[unit cost]]</f>
        <v>1.6800000000000002</v>
      </c>
      <c r="Q239" s="409">
        <v>1.75</v>
      </c>
      <c r="R239" s="186">
        <v>1</v>
      </c>
      <c r="S239" s="249">
        <f t="shared" si="29"/>
        <v>0.42</v>
      </c>
      <c r="T239" s="201">
        <f>Table1[[#This Row],[man minutes]]*Table1[[#This Row],[labor rate]]</f>
        <v>0.73499999999999999</v>
      </c>
      <c r="U239" s="201">
        <f t="shared" si="32"/>
        <v>2.415</v>
      </c>
      <c r="V239" s="187">
        <f t="shared" si="31"/>
        <v>0.22</v>
      </c>
      <c r="W239" s="250">
        <f t="shared" si="30"/>
        <v>0.2</v>
      </c>
      <c r="X239" s="201">
        <f t="shared" si="33"/>
        <v>2.0496000000000003</v>
      </c>
      <c r="Y239" s="201">
        <f t="shared" si="34"/>
        <v>0.88200000000000001</v>
      </c>
      <c r="Z239" s="201">
        <f t="shared" si="35"/>
        <v>2.94</v>
      </c>
      <c r="AA239" s="203">
        <f>+Table1[[#This Row],[calculated sale price]]</f>
        <v>2.94</v>
      </c>
      <c r="AB239" s="202"/>
      <c r="AC239" s="206"/>
      <c r="AD239" s="414"/>
    </row>
    <row r="240" spans="1:30" x14ac:dyDescent="0.25">
      <c r="A240" s="186">
        <v>1231</v>
      </c>
      <c r="B240" t="s">
        <v>621</v>
      </c>
      <c r="C240" s="186">
        <v>1</v>
      </c>
      <c r="I240" s="186"/>
      <c r="J240" s="186"/>
      <c r="K240" s="186"/>
      <c r="L240" s="197"/>
      <c r="M240" s="186"/>
      <c r="N240" s="198"/>
      <c r="O240" s="199">
        <v>0.85</v>
      </c>
      <c r="P240" s="199">
        <f>Table1[[#This Row],[unit cost]]</f>
        <v>0.85</v>
      </c>
      <c r="Q240" s="409">
        <v>0.5</v>
      </c>
      <c r="R240" s="186">
        <v>1</v>
      </c>
      <c r="S240" s="249">
        <f t="shared" si="29"/>
        <v>0.42</v>
      </c>
      <c r="T240" s="201">
        <f>Table1[[#This Row],[man minutes]]*Table1[[#This Row],[labor rate]]</f>
        <v>0.21</v>
      </c>
      <c r="U240" s="201">
        <f t="shared" si="32"/>
        <v>1.06</v>
      </c>
      <c r="V240" s="187">
        <f t="shared" si="31"/>
        <v>0.22</v>
      </c>
      <c r="W240" s="250">
        <f t="shared" si="30"/>
        <v>0.2</v>
      </c>
      <c r="X240" s="201">
        <f t="shared" si="33"/>
        <v>1.0369999999999999</v>
      </c>
      <c r="Y240" s="201">
        <f t="shared" si="34"/>
        <v>0.252</v>
      </c>
      <c r="Z240" s="201">
        <f t="shared" si="35"/>
        <v>1.29</v>
      </c>
      <c r="AA240" s="203">
        <f>+Table1[[#This Row],[calculated sale price]]</f>
        <v>1.29</v>
      </c>
      <c r="AB240" s="202"/>
      <c r="AC240" s="206"/>
      <c r="AD240" s="414"/>
    </row>
    <row r="241" spans="1:30" x14ac:dyDescent="0.25">
      <c r="A241" s="186">
        <v>1232</v>
      </c>
      <c r="B241" t="s">
        <v>622</v>
      </c>
      <c r="C241" s="186">
        <v>1</v>
      </c>
      <c r="I241" s="186"/>
      <c r="J241" s="186"/>
      <c r="K241" s="186"/>
      <c r="L241" s="197"/>
      <c r="M241" s="186"/>
      <c r="N241" s="198"/>
      <c r="O241" s="199">
        <v>1.06</v>
      </c>
      <c r="P241" s="199">
        <f>Table1[[#This Row],[unit cost]]</f>
        <v>1.06</v>
      </c>
      <c r="Q241" s="409">
        <v>2.25</v>
      </c>
      <c r="R241" s="186">
        <v>1</v>
      </c>
      <c r="S241" s="249">
        <f t="shared" si="29"/>
        <v>0.42</v>
      </c>
      <c r="T241" s="201">
        <f>Table1[[#This Row],[man minutes]]*Table1[[#This Row],[labor rate]]</f>
        <v>0.94499999999999995</v>
      </c>
      <c r="U241" s="201">
        <f t="shared" si="32"/>
        <v>2.0049999999999999</v>
      </c>
      <c r="V241" s="187">
        <f t="shared" si="31"/>
        <v>0.22</v>
      </c>
      <c r="W241" s="250">
        <f t="shared" si="30"/>
        <v>0.2</v>
      </c>
      <c r="X241" s="201">
        <f t="shared" si="33"/>
        <v>1.2932000000000001</v>
      </c>
      <c r="Y241" s="201">
        <f t="shared" si="34"/>
        <v>1.1339999999999999</v>
      </c>
      <c r="Z241" s="201">
        <f t="shared" si="35"/>
        <v>2.4299999999999997</v>
      </c>
      <c r="AA241" s="203">
        <f>+Table1[[#This Row],[calculated sale price]]</f>
        <v>2.4299999999999997</v>
      </c>
      <c r="AB241" s="202"/>
      <c r="AC241" s="206"/>
      <c r="AD241" s="414"/>
    </row>
    <row r="242" spans="1:30" x14ac:dyDescent="0.25">
      <c r="A242" s="186">
        <v>1233</v>
      </c>
      <c r="B242" t="s">
        <v>623</v>
      </c>
      <c r="C242" s="186">
        <v>1</v>
      </c>
      <c r="I242" s="186"/>
      <c r="J242" s="186"/>
      <c r="K242" s="186"/>
      <c r="L242" s="197"/>
      <c r="M242" s="186"/>
      <c r="N242" s="198"/>
      <c r="O242" s="199">
        <v>2.35</v>
      </c>
      <c r="P242" s="199">
        <f>Table1[[#This Row],[unit cost]]</f>
        <v>2.35</v>
      </c>
      <c r="Q242" s="409">
        <v>2.5</v>
      </c>
      <c r="R242" s="186">
        <v>1</v>
      </c>
      <c r="S242" s="249">
        <f t="shared" si="29"/>
        <v>0.42</v>
      </c>
      <c r="T242" s="201">
        <f>Table1[[#This Row],[man minutes]]*Table1[[#This Row],[labor rate]]</f>
        <v>1.05</v>
      </c>
      <c r="U242" s="201">
        <f t="shared" si="32"/>
        <v>3.4000000000000004</v>
      </c>
      <c r="V242" s="187">
        <f t="shared" si="31"/>
        <v>0.22</v>
      </c>
      <c r="W242" s="250">
        <f t="shared" si="30"/>
        <v>0.2</v>
      </c>
      <c r="X242" s="201">
        <f t="shared" si="33"/>
        <v>2.867</v>
      </c>
      <c r="Y242" s="201">
        <f t="shared" si="34"/>
        <v>1.26</v>
      </c>
      <c r="Z242" s="201">
        <f t="shared" si="35"/>
        <v>4.13</v>
      </c>
      <c r="AA242" s="203">
        <f>+Table1[[#This Row],[calculated sale price]]</f>
        <v>4.13</v>
      </c>
      <c r="AB242" s="202"/>
      <c r="AC242" s="206"/>
      <c r="AD242" s="414"/>
    </row>
    <row r="243" spans="1:30" x14ac:dyDescent="0.25">
      <c r="A243" s="186">
        <v>1234</v>
      </c>
      <c r="B243" t="s">
        <v>624</v>
      </c>
      <c r="C243" s="186">
        <v>1</v>
      </c>
      <c r="I243" s="186"/>
      <c r="J243" s="186"/>
      <c r="K243" s="186"/>
      <c r="L243" s="197"/>
      <c r="M243" s="186"/>
      <c r="N243" s="198"/>
      <c r="O243" s="199">
        <v>2</v>
      </c>
      <c r="P243" s="199">
        <f>Table1[[#This Row],[unit cost]]</f>
        <v>2</v>
      </c>
      <c r="Q243" s="409">
        <v>0.5</v>
      </c>
      <c r="R243" s="186">
        <v>1</v>
      </c>
      <c r="S243" s="249">
        <f t="shared" si="29"/>
        <v>0.42</v>
      </c>
      <c r="T243" s="201">
        <f>Table1[[#This Row],[man minutes]]*Table1[[#This Row],[labor rate]]</f>
        <v>0.21</v>
      </c>
      <c r="U243" s="201">
        <f t="shared" si="32"/>
        <v>2.21</v>
      </c>
      <c r="V243" s="187">
        <f t="shared" si="31"/>
        <v>0.22</v>
      </c>
      <c r="W243" s="250">
        <f t="shared" si="30"/>
        <v>0.2</v>
      </c>
      <c r="X243" s="201">
        <f t="shared" si="33"/>
        <v>2.44</v>
      </c>
      <c r="Y243" s="201">
        <f t="shared" si="34"/>
        <v>0.252</v>
      </c>
      <c r="Z243" s="201">
        <f t="shared" si="35"/>
        <v>2.6999999999999997</v>
      </c>
      <c r="AA243" s="203">
        <f>+Table1[[#This Row],[calculated sale price]]</f>
        <v>2.6999999999999997</v>
      </c>
      <c r="AB243" s="202"/>
      <c r="AC243" s="206"/>
      <c r="AD243" s="414"/>
    </row>
    <row r="244" spans="1:30" x14ac:dyDescent="0.25">
      <c r="A244" s="186">
        <v>1235</v>
      </c>
      <c r="B244" t="s">
        <v>625</v>
      </c>
      <c r="C244" s="186">
        <v>1</v>
      </c>
      <c r="I244" s="186"/>
      <c r="J244" s="186"/>
      <c r="K244" s="186"/>
      <c r="L244" s="197"/>
      <c r="M244" s="186"/>
      <c r="N244" s="198"/>
      <c r="O244" s="408">
        <f>2.9+1</f>
        <v>3.9</v>
      </c>
      <c r="P244" s="199">
        <f>Table1[[#This Row],[unit cost]]</f>
        <v>3.9</v>
      </c>
      <c r="Q244" s="409">
        <v>5</v>
      </c>
      <c r="R244" s="186">
        <v>1</v>
      </c>
      <c r="S244" s="249">
        <f t="shared" si="29"/>
        <v>0.42</v>
      </c>
      <c r="T244" s="201">
        <f>Table1[[#This Row],[man minutes]]*Table1[[#This Row],[labor rate]]</f>
        <v>2.1</v>
      </c>
      <c r="U244" s="201">
        <f t="shared" si="32"/>
        <v>6</v>
      </c>
      <c r="V244" s="187">
        <f t="shared" si="31"/>
        <v>0.22</v>
      </c>
      <c r="W244" s="250">
        <f t="shared" si="30"/>
        <v>0.2</v>
      </c>
      <c r="X244" s="201">
        <f t="shared" si="33"/>
        <v>4.758</v>
      </c>
      <c r="Y244" s="201">
        <f t="shared" si="34"/>
        <v>2.52</v>
      </c>
      <c r="Z244" s="201">
        <f t="shared" si="35"/>
        <v>7.2799999999999994</v>
      </c>
      <c r="AA244" s="203">
        <f>+Table1[[#This Row],[calculated sale price]]</f>
        <v>7.2799999999999994</v>
      </c>
      <c r="AB244" s="202"/>
      <c r="AC244" s="206"/>
      <c r="AD244" s="414"/>
    </row>
    <row r="245" spans="1:30" x14ac:dyDescent="0.25">
      <c r="A245" s="186">
        <v>1236</v>
      </c>
      <c r="B245" t="s">
        <v>626</v>
      </c>
      <c r="C245" s="186">
        <v>1</v>
      </c>
      <c r="I245" s="186"/>
      <c r="J245" s="186"/>
      <c r="K245" s="186"/>
      <c r="L245" s="197"/>
      <c r="M245" s="186"/>
      <c r="N245" s="198"/>
      <c r="O245" s="199">
        <v>7.5</v>
      </c>
      <c r="P245" s="199">
        <f>Table1[[#This Row],[unit cost]]</f>
        <v>7.5</v>
      </c>
      <c r="Q245" s="409">
        <v>5</v>
      </c>
      <c r="R245" s="186">
        <v>1</v>
      </c>
      <c r="S245" s="249">
        <f t="shared" si="29"/>
        <v>0.42</v>
      </c>
      <c r="T245" s="201">
        <f>Table1[[#This Row],[man minutes]]*Table1[[#This Row],[labor rate]]</f>
        <v>2.1</v>
      </c>
      <c r="U245" s="201">
        <f t="shared" si="32"/>
        <v>9.6</v>
      </c>
      <c r="V245" s="187">
        <f t="shared" si="31"/>
        <v>0.22</v>
      </c>
      <c r="W245" s="250">
        <f t="shared" si="30"/>
        <v>0.2</v>
      </c>
      <c r="X245" s="201">
        <f t="shared" si="33"/>
        <v>9.15</v>
      </c>
      <c r="Y245" s="201">
        <f t="shared" si="34"/>
        <v>2.52</v>
      </c>
      <c r="Z245" s="201">
        <f t="shared" si="35"/>
        <v>11.67</v>
      </c>
      <c r="AA245" s="203">
        <f>+Table1[[#This Row],[calculated sale price]]</f>
        <v>11.67</v>
      </c>
      <c r="AB245" s="202"/>
      <c r="AC245" s="206"/>
      <c r="AD245" s="414"/>
    </row>
    <row r="246" spans="1:30" x14ac:dyDescent="0.25">
      <c r="A246" s="186">
        <v>1237</v>
      </c>
      <c r="B246" t="s">
        <v>627</v>
      </c>
      <c r="C246" s="186">
        <v>1</v>
      </c>
      <c r="I246" s="186"/>
      <c r="J246" s="186"/>
      <c r="K246" s="186"/>
      <c r="L246" s="197"/>
      <c r="M246" s="186"/>
      <c r="N246" s="198"/>
      <c r="O246" s="199">
        <v>2.74</v>
      </c>
      <c r="P246" s="199">
        <f>Table1[[#This Row],[unit cost]]</f>
        <v>2.74</v>
      </c>
      <c r="Q246" s="409">
        <v>4.75</v>
      </c>
      <c r="R246" s="186">
        <v>1</v>
      </c>
      <c r="S246" s="249">
        <f t="shared" si="29"/>
        <v>0.42</v>
      </c>
      <c r="T246" s="201">
        <f>Table1[[#This Row],[man minutes]]*Table1[[#This Row],[labor rate]]</f>
        <v>1.9949999999999999</v>
      </c>
      <c r="U246" s="201">
        <f t="shared" si="32"/>
        <v>4.7350000000000003</v>
      </c>
      <c r="V246" s="187">
        <f t="shared" si="31"/>
        <v>0.22</v>
      </c>
      <c r="W246" s="250">
        <f t="shared" si="30"/>
        <v>0.2</v>
      </c>
      <c r="X246" s="201">
        <f t="shared" si="33"/>
        <v>3.3428</v>
      </c>
      <c r="Y246" s="201">
        <f t="shared" si="34"/>
        <v>2.3940000000000001</v>
      </c>
      <c r="Z246" s="201">
        <f t="shared" si="35"/>
        <v>5.74</v>
      </c>
      <c r="AA246" s="203">
        <f>+Table1[[#This Row],[calculated sale price]]</f>
        <v>5.74</v>
      </c>
      <c r="AB246" s="202"/>
      <c r="AC246" s="206"/>
      <c r="AD246" s="414"/>
    </row>
    <row r="247" spans="1:30" x14ac:dyDescent="0.25">
      <c r="A247" s="186">
        <v>1238</v>
      </c>
      <c r="B247" t="s">
        <v>628</v>
      </c>
      <c r="C247" s="186">
        <v>1</v>
      </c>
      <c r="I247" s="186"/>
      <c r="J247" s="186"/>
      <c r="K247" s="186"/>
      <c r="L247" s="197"/>
      <c r="M247" s="186"/>
      <c r="N247" s="198"/>
      <c r="O247" s="199">
        <v>1.52</v>
      </c>
      <c r="P247" s="199">
        <f>Table1[[#This Row],[unit cost]]</f>
        <v>1.52</v>
      </c>
      <c r="Q247" s="409">
        <v>2.75</v>
      </c>
      <c r="R247" s="186">
        <v>1</v>
      </c>
      <c r="S247" s="249">
        <f t="shared" si="29"/>
        <v>0.42</v>
      </c>
      <c r="T247" s="201">
        <f>Table1[[#This Row],[man minutes]]*Table1[[#This Row],[labor rate]]</f>
        <v>1.155</v>
      </c>
      <c r="U247" s="201">
        <f t="shared" si="32"/>
        <v>2.6749999999999998</v>
      </c>
      <c r="V247" s="187">
        <f t="shared" si="31"/>
        <v>0.22</v>
      </c>
      <c r="W247" s="250">
        <f t="shared" si="30"/>
        <v>0.2</v>
      </c>
      <c r="X247" s="201">
        <f t="shared" si="33"/>
        <v>1.8544</v>
      </c>
      <c r="Y247" s="201">
        <f t="shared" si="34"/>
        <v>1.3860000000000001</v>
      </c>
      <c r="Z247" s="201">
        <f t="shared" si="35"/>
        <v>3.25</v>
      </c>
      <c r="AA247" s="203">
        <f>+Table1[[#This Row],[calculated sale price]]</f>
        <v>3.25</v>
      </c>
      <c r="AB247" s="202"/>
      <c r="AC247" s="206"/>
      <c r="AD247" s="414"/>
    </row>
    <row r="248" spans="1:30" x14ac:dyDescent="0.25">
      <c r="A248" s="186">
        <v>1239</v>
      </c>
      <c r="B248" t="s">
        <v>629</v>
      </c>
      <c r="C248" s="186">
        <v>1</v>
      </c>
      <c r="I248" s="186"/>
      <c r="J248" s="186"/>
      <c r="K248" s="186"/>
      <c r="L248" s="197"/>
      <c r="M248" s="186"/>
      <c r="N248" s="198"/>
      <c r="O248" s="199">
        <v>4.62</v>
      </c>
      <c r="P248" s="199">
        <f>Table1[[#This Row],[unit cost]]</f>
        <v>4.62</v>
      </c>
      <c r="Q248" s="409">
        <v>0.5</v>
      </c>
      <c r="R248" s="186">
        <v>1</v>
      </c>
      <c r="S248" s="249">
        <f t="shared" si="29"/>
        <v>0.42</v>
      </c>
      <c r="T248" s="201">
        <f>Table1[[#This Row],[man minutes]]*Table1[[#This Row],[labor rate]]</f>
        <v>0.21</v>
      </c>
      <c r="U248" s="201">
        <f t="shared" si="32"/>
        <v>4.83</v>
      </c>
      <c r="V248" s="187">
        <f t="shared" si="31"/>
        <v>0.22</v>
      </c>
      <c r="W248" s="250">
        <f t="shared" si="30"/>
        <v>0.2</v>
      </c>
      <c r="X248" s="201">
        <f t="shared" si="33"/>
        <v>5.6364000000000001</v>
      </c>
      <c r="Y248" s="201">
        <f t="shared" si="34"/>
        <v>0.252</v>
      </c>
      <c r="Z248" s="201">
        <f t="shared" si="35"/>
        <v>5.89</v>
      </c>
      <c r="AA248" s="203">
        <f>+Table1[[#This Row],[calculated sale price]]</f>
        <v>5.89</v>
      </c>
      <c r="AB248" s="202"/>
      <c r="AC248" s="206"/>
      <c r="AD248" s="414"/>
    </row>
    <row r="249" spans="1:30" x14ac:dyDescent="0.25">
      <c r="A249" s="186">
        <v>1240</v>
      </c>
      <c r="B249" t="s">
        <v>630</v>
      </c>
      <c r="C249" s="186">
        <v>1</v>
      </c>
      <c r="I249" s="186"/>
      <c r="J249" s="186"/>
      <c r="K249" s="186"/>
      <c r="L249" s="197"/>
      <c r="M249" s="186"/>
      <c r="N249" s="198"/>
      <c r="O249" s="199">
        <v>0.81</v>
      </c>
      <c r="P249" s="199">
        <f>Table1[[#This Row],[unit cost]]</f>
        <v>0.81</v>
      </c>
      <c r="Q249" s="409">
        <v>1.5</v>
      </c>
      <c r="R249" s="186">
        <v>1</v>
      </c>
      <c r="S249" s="249">
        <f t="shared" si="29"/>
        <v>0.42</v>
      </c>
      <c r="T249" s="201">
        <f>Table1[[#This Row],[man minutes]]*Table1[[#This Row],[labor rate]]</f>
        <v>0.63</v>
      </c>
      <c r="U249" s="201">
        <f t="shared" si="32"/>
        <v>1.44</v>
      </c>
      <c r="V249" s="187">
        <f t="shared" si="31"/>
        <v>0.22</v>
      </c>
      <c r="W249" s="250">
        <f t="shared" si="30"/>
        <v>0.2</v>
      </c>
      <c r="X249" s="201">
        <f t="shared" si="33"/>
        <v>0.98820000000000008</v>
      </c>
      <c r="Y249" s="201">
        <f t="shared" si="34"/>
        <v>0.75600000000000001</v>
      </c>
      <c r="Z249" s="201">
        <f t="shared" si="35"/>
        <v>1.75</v>
      </c>
      <c r="AA249" s="203">
        <f>+Table1[[#This Row],[calculated sale price]]</f>
        <v>1.75</v>
      </c>
      <c r="AB249" s="202"/>
      <c r="AC249" s="206"/>
      <c r="AD249" s="414"/>
    </row>
    <row r="250" spans="1:30" x14ac:dyDescent="0.25">
      <c r="A250" s="186">
        <v>1241</v>
      </c>
      <c r="B250" t="s">
        <v>631</v>
      </c>
      <c r="C250" s="186">
        <v>1</v>
      </c>
      <c r="I250" s="186"/>
      <c r="J250" s="186"/>
      <c r="K250" s="186"/>
      <c r="L250" s="197"/>
      <c r="M250" s="186"/>
      <c r="N250" s="198"/>
      <c r="O250" s="199">
        <v>1.83</v>
      </c>
      <c r="P250" s="199">
        <f>Table1[[#This Row],[unit cost]]</f>
        <v>1.83</v>
      </c>
      <c r="Q250" s="409">
        <v>1.5</v>
      </c>
      <c r="R250" s="186">
        <v>1</v>
      </c>
      <c r="S250" s="249">
        <f t="shared" si="29"/>
        <v>0.42</v>
      </c>
      <c r="T250" s="201">
        <f>Table1[[#This Row],[man minutes]]*Table1[[#This Row],[labor rate]]</f>
        <v>0.63</v>
      </c>
      <c r="U250" s="201">
        <f t="shared" si="32"/>
        <v>2.46</v>
      </c>
      <c r="V250" s="187">
        <f t="shared" si="31"/>
        <v>0.22</v>
      </c>
      <c r="W250" s="250">
        <f t="shared" si="30"/>
        <v>0.2</v>
      </c>
      <c r="X250" s="201">
        <f t="shared" si="33"/>
        <v>2.2326000000000001</v>
      </c>
      <c r="Y250" s="201">
        <f t="shared" si="34"/>
        <v>0.75600000000000001</v>
      </c>
      <c r="Z250" s="201">
        <f t="shared" si="35"/>
        <v>2.9899999999999998</v>
      </c>
      <c r="AA250" s="203">
        <f>+Table1[[#This Row],[calculated sale price]]</f>
        <v>2.9899999999999998</v>
      </c>
      <c r="AB250" s="202"/>
      <c r="AC250" s="206"/>
      <c r="AD250" s="414"/>
    </row>
    <row r="251" spans="1:30" x14ac:dyDescent="0.25">
      <c r="A251" s="186">
        <v>1242</v>
      </c>
      <c r="B251" t="s">
        <v>632</v>
      </c>
      <c r="C251" s="186">
        <v>1</v>
      </c>
      <c r="I251" s="186"/>
      <c r="J251" s="186"/>
      <c r="K251" s="186"/>
      <c r="L251" s="197"/>
      <c r="M251" s="186"/>
      <c r="N251" s="198"/>
      <c r="O251" s="199">
        <v>1.29</v>
      </c>
      <c r="P251" s="199">
        <f>Table1[[#This Row],[unit cost]]</f>
        <v>1.29</v>
      </c>
      <c r="Q251" s="409">
        <v>1.5</v>
      </c>
      <c r="R251" s="186">
        <v>1</v>
      </c>
      <c r="S251" s="249">
        <f t="shared" si="29"/>
        <v>0.42</v>
      </c>
      <c r="T251" s="201">
        <f>Table1[[#This Row],[man minutes]]*Table1[[#This Row],[labor rate]]</f>
        <v>0.63</v>
      </c>
      <c r="U251" s="201">
        <f t="shared" si="32"/>
        <v>1.92</v>
      </c>
      <c r="V251" s="187">
        <f t="shared" si="31"/>
        <v>0.22</v>
      </c>
      <c r="W251" s="250">
        <f t="shared" si="30"/>
        <v>0.2</v>
      </c>
      <c r="X251" s="201">
        <f t="shared" si="33"/>
        <v>1.5738000000000001</v>
      </c>
      <c r="Y251" s="201">
        <f t="shared" si="34"/>
        <v>0.75600000000000001</v>
      </c>
      <c r="Z251" s="201">
        <f t="shared" si="35"/>
        <v>2.3299999999999996</v>
      </c>
      <c r="AA251" s="203">
        <f>+Table1[[#This Row],[calculated sale price]]</f>
        <v>2.3299999999999996</v>
      </c>
      <c r="AB251" s="202"/>
      <c r="AC251" s="206"/>
      <c r="AD251" s="414"/>
    </row>
    <row r="252" spans="1:30" x14ac:dyDescent="0.25">
      <c r="A252" s="186">
        <v>1243</v>
      </c>
      <c r="B252" t="s">
        <v>633</v>
      </c>
      <c r="C252" s="186">
        <v>1</v>
      </c>
      <c r="I252" s="186"/>
      <c r="J252" s="186"/>
      <c r="K252" s="186"/>
      <c r="L252" s="197"/>
      <c r="M252" s="186"/>
      <c r="N252" s="198"/>
      <c r="O252" s="199">
        <v>1.42</v>
      </c>
      <c r="P252" s="199">
        <f>Table1[[#This Row],[unit cost]]</f>
        <v>1.42</v>
      </c>
      <c r="Q252" s="409">
        <v>1.75</v>
      </c>
      <c r="R252" s="186">
        <v>1</v>
      </c>
      <c r="S252" s="249">
        <f t="shared" si="29"/>
        <v>0.42</v>
      </c>
      <c r="T252" s="201">
        <f>Table1[[#This Row],[man minutes]]*Table1[[#This Row],[labor rate]]</f>
        <v>0.73499999999999999</v>
      </c>
      <c r="U252" s="201">
        <f t="shared" si="32"/>
        <v>2.1549999999999998</v>
      </c>
      <c r="V252" s="187">
        <f t="shared" si="31"/>
        <v>0.22</v>
      </c>
      <c r="W252" s="250">
        <f t="shared" si="30"/>
        <v>0.2</v>
      </c>
      <c r="X252" s="201">
        <f t="shared" si="33"/>
        <v>1.7323999999999999</v>
      </c>
      <c r="Y252" s="201">
        <f t="shared" si="34"/>
        <v>0.88200000000000001</v>
      </c>
      <c r="Z252" s="201">
        <f t="shared" si="35"/>
        <v>2.6199999999999997</v>
      </c>
      <c r="AA252" s="203">
        <f>+Table1[[#This Row],[calculated sale price]]</f>
        <v>2.6199999999999997</v>
      </c>
      <c r="AB252" s="202"/>
      <c r="AC252" s="206"/>
      <c r="AD252" s="414"/>
    </row>
    <row r="253" spans="1:30" x14ac:dyDescent="0.25">
      <c r="A253" s="186">
        <v>1244</v>
      </c>
      <c r="B253" t="s">
        <v>634</v>
      </c>
      <c r="C253" s="186">
        <v>1</v>
      </c>
      <c r="I253" s="186"/>
      <c r="J253" s="186"/>
      <c r="K253" s="186"/>
      <c r="L253" s="197"/>
      <c r="M253" s="186"/>
      <c r="N253" s="198"/>
      <c r="O253" s="199">
        <v>4.0199999999999996</v>
      </c>
      <c r="P253" s="199">
        <f>Table1[[#This Row],[unit cost]]</f>
        <v>4.0199999999999996</v>
      </c>
      <c r="Q253" s="409">
        <v>2.5</v>
      </c>
      <c r="R253" s="186">
        <v>1</v>
      </c>
      <c r="S253" s="249">
        <f t="shared" si="29"/>
        <v>0.42</v>
      </c>
      <c r="T253" s="201">
        <f>Table1[[#This Row],[man minutes]]*Table1[[#This Row],[labor rate]]</f>
        <v>1.05</v>
      </c>
      <c r="U253" s="201">
        <f t="shared" si="32"/>
        <v>5.0699999999999994</v>
      </c>
      <c r="V253" s="187">
        <f t="shared" si="31"/>
        <v>0.22</v>
      </c>
      <c r="W253" s="250">
        <f t="shared" si="30"/>
        <v>0.2</v>
      </c>
      <c r="X253" s="201">
        <f t="shared" si="33"/>
        <v>4.904399999999999</v>
      </c>
      <c r="Y253" s="201">
        <f t="shared" si="34"/>
        <v>1.26</v>
      </c>
      <c r="Z253" s="201">
        <f t="shared" si="35"/>
        <v>6.17</v>
      </c>
      <c r="AA253" s="203">
        <f>+Table1[[#This Row],[calculated sale price]]</f>
        <v>6.17</v>
      </c>
      <c r="AB253" s="202"/>
      <c r="AC253" s="206"/>
      <c r="AD253" s="414"/>
    </row>
    <row r="254" spans="1:30" x14ac:dyDescent="0.25">
      <c r="A254" s="186">
        <v>1245</v>
      </c>
      <c r="B254" t="s">
        <v>635</v>
      </c>
      <c r="C254" s="186">
        <v>1</v>
      </c>
      <c r="I254" s="186"/>
      <c r="J254" s="186"/>
      <c r="K254" s="186"/>
      <c r="L254" s="197"/>
      <c r="M254" s="186"/>
      <c r="N254" s="198"/>
      <c r="O254" s="199">
        <f>24.25/40/2.5*3+43.07/40/2.5*3+34.41/75*3+20/12*3</f>
        <v>8.3960000000000008</v>
      </c>
      <c r="P254" s="199">
        <f>Table1[[#This Row],[unit cost]]</f>
        <v>8.3960000000000008</v>
      </c>
      <c r="Q254" s="409">
        <v>0.75</v>
      </c>
      <c r="R254" s="186">
        <v>1</v>
      </c>
      <c r="S254" s="249">
        <f t="shared" si="29"/>
        <v>0.42</v>
      </c>
      <c r="T254" s="201">
        <f>Table1[[#This Row],[man minutes]]*Table1[[#This Row],[labor rate]]</f>
        <v>0.315</v>
      </c>
      <c r="U254" s="201">
        <f t="shared" ref="U254:U317" si="36">P254+T254</f>
        <v>8.7110000000000003</v>
      </c>
      <c r="V254" s="187">
        <f t="shared" si="31"/>
        <v>0.22</v>
      </c>
      <c r="W254" s="250">
        <f t="shared" si="30"/>
        <v>0.2</v>
      </c>
      <c r="X254" s="201">
        <f t="shared" ref="X254:X317" si="37">P254*(1+V254)</f>
        <v>10.243120000000001</v>
      </c>
      <c r="Y254" s="201">
        <f t="shared" ref="Y254:Y317" si="38">T254+(T254*W254)</f>
        <v>0.378</v>
      </c>
      <c r="Z254" s="201">
        <f t="shared" ref="Z254:Z317" si="39">IFERROR(ROUNDUP(X254+Y254,2)," ")</f>
        <v>10.629999999999999</v>
      </c>
      <c r="AA254" s="203">
        <f>+Table1[[#This Row],[calculated sale price]]</f>
        <v>10.629999999999999</v>
      </c>
      <c r="AB254" s="202"/>
      <c r="AC254" s="206"/>
      <c r="AD254" s="414"/>
    </row>
    <row r="255" spans="1:30" x14ac:dyDescent="0.25">
      <c r="A255" s="186">
        <v>1246</v>
      </c>
      <c r="B255" t="s">
        <v>636</v>
      </c>
      <c r="C255" s="186">
        <v>1</v>
      </c>
      <c r="I255" s="186"/>
      <c r="J255" s="186"/>
      <c r="K255" s="186"/>
      <c r="L255" s="197"/>
      <c r="M255" s="186"/>
      <c r="N255" s="198"/>
      <c r="O255" s="199">
        <v>2.9</v>
      </c>
      <c r="P255" s="199">
        <f>Table1[[#This Row],[unit cost]]</f>
        <v>2.9</v>
      </c>
      <c r="Q255" s="409">
        <v>3</v>
      </c>
      <c r="R255" s="186">
        <v>1</v>
      </c>
      <c r="S255" s="249">
        <f t="shared" si="29"/>
        <v>0.42</v>
      </c>
      <c r="T255" s="201">
        <f>Table1[[#This Row],[man minutes]]*Table1[[#This Row],[labor rate]]</f>
        <v>1.26</v>
      </c>
      <c r="U255" s="201">
        <f t="shared" si="36"/>
        <v>4.16</v>
      </c>
      <c r="V255" s="187">
        <f t="shared" si="31"/>
        <v>0.22</v>
      </c>
      <c r="W255" s="250">
        <f t="shared" ref="W255:W318" si="40">$W$2</f>
        <v>0.2</v>
      </c>
      <c r="X255" s="201">
        <f t="shared" si="37"/>
        <v>3.5379999999999998</v>
      </c>
      <c r="Y255" s="201">
        <f t="shared" si="38"/>
        <v>1.512</v>
      </c>
      <c r="Z255" s="201">
        <f t="shared" si="39"/>
        <v>5.05</v>
      </c>
      <c r="AA255" s="203">
        <f>+Table1[[#This Row],[calculated sale price]]</f>
        <v>5.05</v>
      </c>
      <c r="AB255" s="202"/>
      <c r="AC255" s="206"/>
      <c r="AD255" s="414"/>
    </row>
    <row r="256" spans="1:30" x14ac:dyDescent="0.25">
      <c r="A256" s="186">
        <v>1247</v>
      </c>
      <c r="B256" t="s">
        <v>637</v>
      </c>
      <c r="C256" s="186">
        <v>1</v>
      </c>
      <c r="I256" s="186"/>
      <c r="J256" s="186"/>
      <c r="K256" s="186"/>
      <c r="L256" s="197"/>
      <c r="M256" s="186"/>
      <c r="N256" s="198"/>
      <c r="O256" s="199">
        <v>1.97</v>
      </c>
      <c r="P256" s="199">
        <f>Table1[[#This Row],[unit cost]]</f>
        <v>1.97</v>
      </c>
      <c r="Q256" s="409">
        <v>2.12</v>
      </c>
      <c r="R256" s="186">
        <v>1</v>
      </c>
      <c r="S256" s="249">
        <f t="shared" si="29"/>
        <v>0.42</v>
      </c>
      <c r="T256" s="201">
        <f>Table1[[#This Row],[man minutes]]*Table1[[#This Row],[labor rate]]</f>
        <v>0.89039999999999997</v>
      </c>
      <c r="U256" s="201">
        <f t="shared" si="36"/>
        <v>2.8603999999999998</v>
      </c>
      <c r="V256" s="187">
        <f t="shared" si="31"/>
        <v>0.22</v>
      </c>
      <c r="W256" s="250">
        <f t="shared" si="40"/>
        <v>0.2</v>
      </c>
      <c r="X256" s="201">
        <f t="shared" si="37"/>
        <v>2.4034</v>
      </c>
      <c r="Y256" s="201">
        <f t="shared" si="38"/>
        <v>1.0684800000000001</v>
      </c>
      <c r="Z256" s="201">
        <f t="shared" si="39"/>
        <v>3.48</v>
      </c>
      <c r="AA256" s="203">
        <f>+Table1[[#This Row],[calculated sale price]]</f>
        <v>3.48</v>
      </c>
      <c r="AB256" s="202"/>
      <c r="AC256" s="206"/>
      <c r="AD256" s="414"/>
    </row>
    <row r="257" spans="1:30" x14ac:dyDescent="0.25">
      <c r="A257" s="186">
        <v>1248</v>
      </c>
      <c r="B257" t="s">
        <v>638</v>
      </c>
      <c r="C257" s="186"/>
      <c r="I257" s="186"/>
      <c r="J257" s="186"/>
      <c r="K257" s="186"/>
      <c r="L257" s="197"/>
      <c r="M257" s="186"/>
      <c r="N257" s="198"/>
      <c r="O257" s="199">
        <v>1.39</v>
      </c>
      <c r="P257" s="199">
        <f>Table1[[#This Row],[unit cost]]</f>
        <v>1.39</v>
      </c>
      <c r="Q257" s="409">
        <v>2</v>
      </c>
      <c r="R257" s="186">
        <v>1</v>
      </c>
      <c r="S257" s="249">
        <f t="shared" ref="S257:S320" si="41">$S$2</f>
        <v>0.42</v>
      </c>
      <c r="T257" s="201">
        <f>Table1[[#This Row],[man minutes]]*Table1[[#This Row],[labor rate]]</f>
        <v>0.84</v>
      </c>
      <c r="U257" s="201">
        <f t="shared" si="36"/>
        <v>2.23</v>
      </c>
      <c r="V257" s="187">
        <f t="shared" si="31"/>
        <v>0.22</v>
      </c>
      <c r="W257" s="250">
        <f t="shared" si="40"/>
        <v>0.2</v>
      </c>
      <c r="X257" s="201">
        <f t="shared" si="37"/>
        <v>1.6957999999999998</v>
      </c>
      <c r="Y257" s="201">
        <f t="shared" si="38"/>
        <v>1.008</v>
      </c>
      <c r="Z257" s="201">
        <f t="shared" si="39"/>
        <v>2.71</v>
      </c>
      <c r="AA257" s="203">
        <f>+Table1[[#This Row],[calculated sale price]]</f>
        <v>2.71</v>
      </c>
      <c r="AB257" s="202"/>
      <c r="AC257" s="206"/>
      <c r="AD257" s="414"/>
    </row>
    <row r="258" spans="1:30" s="205" customFormat="1" x14ac:dyDescent="0.25">
      <c r="A258" s="186">
        <v>1249</v>
      </c>
      <c r="B258" t="s">
        <v>639</v>
      </c>
      <c r="C258" s="186"/>
      <c r="D258" s="186"/>
      <c r="E258" s="186"/>
      <c r="F258" s="186"/>
      <c r="G258" s="186"/>
      <c r="H258" s="186"/>
      <c r="I258" s="186"/>
      <c r="J258" s="186"/>
      <c r="K258" s="186"/>
      <c r="L258" s="197"/>
      <c r="M258" s="186"/>
      <c r="N258" s="198"/>
      <c r="O258" s="199">
        <v>1.26</v>
      </c>
      <c r="P258" s="199">
        <f>Table1[[#This Row],[unit cost]]</f>
        <v>1.26</v>
      </c>
      <c r="Q258" s="409">
        <v>0.5</v>
      </c>
      <c r="R258" s="186">
        <v>1</v>
      </c>
      <c r="S258" s="249">
        <f t="shared" si="41"/>
        <v>0.42</v>
      </c>
      <c r="T258" s="201">
        <f>Table1[[#This Row],[man minutes]]*Table1[[#This Row],[labor rate]]</f>
        <v>0.21</v>
      </c>
      <c r="U258" s="201">
        <f t="shared" si="36"/>
        <v>1.47</v>
      </c>
      <c r="V258" s="187">
        <f t="shared" si="31"/>
        <v>0.22</v>
      </c>
      <c r="W258" s="250">
        <f t="shared" si="40"/>
        <v>0.2</v>
      </c>
      <c r="X258" s="201">
        <f t="shared" si="37"/>
        <v>1.5371999999999999</v>
      </c>
      <c r="Y258" s="201">
        <f t="shared" si="38"/>
        <v>0.252</v>
      </c>
      <c r="Z258" s="201">
        <f t="shared" si="39"/>
        <v>1.79</v>
      </c>
      <c r="AA258" s="203">
        <f>+Table1[[#This Row],[calculated sale price]]</f>
        <v>1.79</v>
      </c>
      <c r="AB258" s="202"/>
      <c r="AC258" s="206"/>
      <c r="AD258" s="414"/>
    </row>
    <row r="259" spans="1:30" x14ac:dyDescent="0.25">
      <c r="A259" s="186">
        <v>1250</v>
      </c>
      <c r="B259" t="s">
        <v>640</v>
      </c>
      <c r="C259" s="186"/>
      <c r="I259" s="186"/>
      <c r="J259" s="186"/>
      <c r="K259" s="186"/>
      <c r="L259" s="197"/>
      <c r="M259" s="186"/>
      <c r="N259" s="198"/>
      <c r="O259" s="199">
        <v>0.99</v>
      </c>
      <c r="P259" s="199">
        <f>Table1[[#This Row],[unit cost]]</f>
        <v>0.99</v>
      </c>
      <c r="Q259" s="409">
        <v>1.25</v>
      </c>
      <c r="R259" s="186">
        <v>1</v>
      </c>
      <c r="S259" s="249">
        <f t="shared" si="41"/>
        <v>0.42</v>
      </c>
      <c r="T259" s="201">
        <f>Table1[[#This Row],[man minutes]]*Table1[[#This Row],[labor rate]]</f>
        <v>0.52500000000000002</v>
      </c>
      <c r="U259" s="201">
        <f t="shared" si="36"/>
        <v>1.5150000000000001</v>
      </c>
      <c r="V259" s="187">
        <f t="shared" si="31"/>
        <v>0.22</v>
      </c>
      <c r="W259" s="250">
        <f t="shared" si="40"/>
        <v>0.2</v>
      </c>
      <c r="X259" s="201">
        <f t="shared" si="37"/>
        <v>1.2078</v>
      </c>
      <c r="Y259" s="201">
        <f t="shared" si="38"/>
        <v>0.63</v>
      </c>
      <c r="Z259" s="201">
        <f t="shared" si="39"/>
        <v>1.84</v>
      </c>
      <c r="AA259" s="203">
        <f>+Table1[[#This Row],[calculated sale price]]</f>
        <v>1.84</v>
      </c>
      <c r="AB259" s="202"/>
      <c r="AC259" s="206"/>
      <c r="AD259" s="414"/>
    </row>
    <row r="260" spans="1:30" x14ac:dyDescent="0.25">
      <c r="A260" s="186">
        <v>1251</v>
      </c>
      <c r="B260" t="s">
        <v>641</v>
      </c>
      <c r="C260" s="186"/>
      <c r="I260" s="186"/>
      <c r="J260" s="186"/>
      <c r="K260" s="186"/>
      <c r="L260" s="197"/>
      <c r="M260" s="186"/>
      <c r="N260" s="198"/>
      <c r="O260" s="199">
        <v>0.5</v>
      </c>
      <c r="P260" s="199">
        <f>Table1[[#This Row],[unit cost]]</f>
        <v>0.5</v>
      </c>
      <c r="Q260" s="409">
        <v>1</v>
      </c>
      <c r="R260" s="186">
        <v>1</v>
      </c>
      <c r="S260" s="249">
        <f t="shared" si="41"/>
        <v>0.42</v>
      </c>
      <c r="T260" s="201">
        <f>Table1[[#This Row],[man minutes]]*Table1[[#This Row],[labor rate]]</f>
        <v>0.42</v>
      </c>
      <c r="U260" s="201">
        <f t="shared" si="36"/>
        <v>0.91999999999999993</v>
      </c>
      <c r="V260" s="187">
        <f t="shared" si="31"/>
        <v>0.22</v>
      </c>
      <c r="W260" s="250">
        <f t="shared" si="40"/>
        <v>0.2</v>
      </c>
      <c r="X260" s="201">
        <f t="shared" si="37"/>
        <v>0.61</v>
      </c>
      <c r="Y260" s="201">
        <f t="shared" si="38"/>
        <v>0.504</v>
      </c>
      <c r="Z260" s="201">
        <f t="shared" si="39"/>
        <v>1.1200000000000001</v>
      </c>
      <c r="AA260" s="203">
        <f>+Table1[[#This Row],[calculated sale price]]</f>
        <v>1.1200000000000001</v>
      </c>
      <c r="AB260" s="202"/>
      <c r="AC260" s="206"/>
      <c r="AD260" s="414"/>
    </row>
    <row r="261" spans="1:30" x14ac:dyDescent="0.25">
      <c r="A261" s="186">
        <v>1252</v>
      </c>
      <c r="B261" t="s">
        <v>642</v>
      </c>
      <c r="C261" s="186"/>
      <c r="I261" s="186"/>
      <c r="J261" s="186"/>
      <c r="K261" s="186"/>
      <c r="L261" s="197"/>
      <c r="M261" s="186"/>
      <c r="N261" s="198"/>
      <c r="O261" s="199">
        <v>1.81</v>
      </c>
      <c r="P261" s="199">
        <f>Table1[[#This Row],[unit cost]]</f>
        <v>1.81</v>
      </c>
      <c r="Q261" s="409">
        <v>4.5</v>
      </c>
      <c r="R261" s="186">
        <v>1</v>
      </c>
      <c r="S261" s="249">
        <f t="shared" si="41"/>
        <v>0.42</v>
      </c>
      <c r="T261" s="201">
        <f>Table1[[#This Row],[man minutes]]*Table1[[#This Row],[labor rate]]</f>
        <v>1.89</v>
      </c>
      <c r="U261" s="201">
        <f t="shared" si="36"/>
        <v>3.7</v>
      </c>
      <c r="V261" s="187">
        <f t="shared" si="31"/>
        <v>0.22</v>
      </c>
      <c r="W261" s="250">
        <f t="shared" si="40"/>
        <v>0.2</v>
      </c>
      <c r="X261" s="201">
        <f t="shared" si="37"/>
        <v>2.2082000000000002</v>
      </c>
      <c r="Y261" s="201">
        <f t="shared" si="38"/>
        <v>2.2679999999999998</v>
      </c>
      <c r="Z261" s="201">
        <f t="shared" si="39"/>
        <v>4.4799999999999995</v>
      </c>
      <c r="AA261" s="203">
        <f>+Table1[[#This Row],[calculated sale price]]</f>
        <v>4.4799999999999995</v>
      </c>
      <c r="AB261" s="202"/>
      <c r="AC261" s="206"/>
      <c r="AD261" s="414"/>
    </row>
    <row r="262" spans="1:30" x14ac:dyDescent="0.25">
      <c r="A262" s="186">
        <v>1253</v>
      </c>
      <c r="B262" t="s">
        <v>643</v>
      </c>
      <c r="C262" s="186"/>
      <c r="I262" s="186"/>
      <c r="J262" s="186"/>
      <c r="K262" s="186"/>
      <c r="L262" s="197"/>
      <c r="M262" s="186"/>
      <c r="N262" s="198"/>
      <c r="O262" s="199">
        <v>3.21</v>
      </c>
      <c r="P262" s="199">
        <f>Table1[[#This Row],[unit cost]]</f>
        <v>3.21</v>
      </c>
      <c r="Q262" s="409">
        <v>4.5</v>
      </c>
      <c r="R262" s="186">
        <v>1</v>
      </c>
      <c r="S262" s="249">
        <f t="shared" si="41"/>
        <v>0.42</v>
      </c>
      <c r="T262" s="201">
        <f>Table1[[#This Row],[man minutes]]*Table1[[#This Row],[labor rate]]</f>
        <v>1.89</v>
      </c>
      <c r="U262" s="201">
        <f t="shared" si="36"/>
        <v>5.0999999999999996</v>
      </c>
      <c r="V262" s="187">
        <f t="shared" si="31"/>
        <v>0.22</v>
      </c>
      <c r="W262" s="250">
        <f t="shared" si="40"/>
        <v>0.2</v>
      </c>
      <c r="X262" s="201">
        <f t="shared" si="37"/>
        <v>3.9161999999999999</v>
      </c>
      <c r="Y262" s="201">
        <f t="shared" si="38"/>
        <v>2.2679999999999998</v>
      </c>
      <c r="Z262" s="201">
        <f t="shared" si="39"/>
        <v>6.1899999999999995</v>
      </c>
      <c r="AA262" s="203">
        <f>+Table1[[#This Row],[calculated sale price]]</f>
        <v>6.1899999999999995</v>
      </c>
      <c r="AB262" s="202"/>
      <c r="AC262" s="206"/>
      <c r="AD262" s="414"/>
    </row>
    <row r="263" spans="1:30" x14ac:dyDescent="0.25">
      <c r="A263" s="186">
        <v>1254</v>
      </c>
      <c r="B263" t="s">
        <v>644</v>
      </c>
      <c r="C263" s="186"/>
      <c r="I263" s="186"/>
      <c r="J263" s="186"/>
      <c r="K263" s="186"/>
      <c r="L263" s="197"/>
      <c r="M263" s="186"/>
      <c r="N263" s="198"/>
      <c r="O263" s="199">
        <v>2.4500000000000002</v>
      </c>
      <c r="P263" s="199">
        <f>Table1[[#This Row],[unit cost]]</f>
        <v>2.4500000000000002</v>
      </c>
      <c r="Q263" s="409">
        <v>2.5</v>
      </c>
      <c r="R263" s="186">
        <v>1</v>
      </c>
      <c r="S263" s="249">
        <f t="shared" si="41"/>
        <v>0.42</v>
      </c>
      <c r="T263" s="201">
        <f>Table1[[#This Row],[man minutes]]*Table1[[#This Row],[labor rate]]</f>
        <v>1.05</v>
      </c>
      <c r="U263" s="201">
        <f t="shared" si="36"/>
        <v>3.5</v>
      </c>
      <c r="V263" s="187">
        <f t="shared" si="31"/>
        <v>0.22</v>
      </c>
      <c r="W263" s="250">
        <f t="shared" si="40"/>
        <v>0.2</v>
      </c>
      <c r="X263" s="201">
        <f t="shared" si="37"/>
        <v>2.9890000000000003</v>
      </c>
      <c r="Y263" s="201">
        <f t="shared" si="38"/>
        <v>1.26</v>
      </c>
      <c r="Z263" s="201">
        <f t="shared" si="39"/>
        <v>4.25</v>
      </c>
      <c r="AA263" s="203">
        <f>+Table1[[#This Row],[calculated sale price]]</f>
        <v>4.25</v>
      </c>
      <c r="AB263" s="202"/>
      <c r="AC263" s="206"/>
      <c r="AD263" s="414"/>
    </row>
    <row r="264" spans="1:30" x14ac:dyDescent="0.25">
      <c r="A264" s="186">
        <v>1255</v>
      </c>
      <c r="B264" t="s">
        <v>645</v>
      </c>
      <c r="C264" s="186"/>
      <c r="I264" s="186"/>
      <c r="J264" s="186"/>
      <c r="K264" s="186"/>
      <c r="L264" s="197"/>
      <c r="M264" s="186"/>
      <c r="N264" s="198"/>
      <c r="O264" s="199">
        <v>0.66</v>
      </c>
      <c r="P264" s="199">
        <f>Table1[[#This Row],[unit cost]]</f>
        <v>0.66</v>
      </c>
      <c r="Q264" s="409">
        <v>1.5</v>
      </c>
      <c r="R264" s="186">
        <v>1</v>
      </c>
      <c r="S264" s="249">
        <f t="shared" si="41"/>
        <v>0.42</v>
      </c>
      <c r="T264" s="201">
        <f>Table1[[#This Row],[man minutes]]*Table1[[#This Row],[labor rate]]</f>
        <v>0.63</v>
      </c>
      <c r="U264" s="201">
        <f t="shared" si="36"/>
        <v>1.29</v>
      </c>
      <c r="V264" s="187">
        <f t="shared" si="31"/>
        <v>0.22</v>
      </c>
      <c r="W264" s="250">
        <f t="shared" si="40"/>
        <v>0.2</v>
      </c>
      <c r="X264" s="201">
        <f t="shared" si="37"/>
        <v>0.80520000000000003</v>
      </c>
      <c r="Y264" s="201">
        <f t="shared" si="38"/>
        <v>0.75600000000000001</v>
      </c>
      <c r="Z264" s="201">
        <f t="shared" si="39"/>
        <v>1.57</v>
      </c>
      <c r="AA264" s="203">
        <f>+Table1[[#This Row],[calculated sale price]]</f>
        <v>1.57</v>
      </c>
      <c r="AB264" s="202"/>
      <c r="AC264" s="206"/>
      <c r="AD264" s="414"/>
    </row>
    <row r="265" spans="1:30" x14ac:dyDescent="0.25">
      <c r="A265" s="186">
        <v>1256</v>
      </c>
      <c r="B265" t="s">
        <v>646</v>
      </c>
      <c r="C265" s="186"/>
      <c r="I265" s="186"/>
      <c r="J265" s="186"/>
      <c r="K265" s="186"/>
      <c r="L265" s="197"/>
      <c r="M265" s="186"/>
      <c r="N265" s="198"/>
      <c r="O265" s="199">
        <v>1.51</v>
      </c>
      <c r="P265" s="199">
        <f>Table1[[#This Row],[unit cost]]</f>
        <v>1.51</v>
      </c>
      <c r="Q265" s="409">
        <v>1.5</v>
      </c>
      <c r="R265" s="186">
        <v>1</v>
      </c>
      <c r="S265" s="249">
        <f t="shared" si="41"/>
        <v>0.42</v>
      </c>
      <c r="T265" s="201">
        <f>Table1[[#This Row],[man minutes]]*Table1[[#This Row],[labor rate]]</f>
        <v>0.63</v>
      </c>
      <c r="U265" s="201">
        <f t="shared" si="36"/>
        <v>2.14</v>
      </c>
      <c r="V265" s="187">
        <f t="shared" si="31"/>
        <v>0.22</v>
      </c>
      <c r="W265" s="250">
        <f t="shared" si="40"/>
        <v>0.2</v>
      </c>
      <c r="X265" s="201">
        <f t="shared" si="37"/>
        <v>1.8422000000000001</v>
      </c>
      <c r="Y265" s="201">
        <f t="shared" si="38"/>
        <v>0.75600000000000001</v>
      </c>
      <c r="Z265" s="201">
        <f t="shared" si="39"/>
        <v>2.5999999999999996</v>
      </c>
      <c r="AA265" s="203">
        <f>+Table1[[#This Row],[calculated sale price]]</f>
        <v>2.5999999999999996</v>
      </c>
      <c r="AB265" s="202"/>
      <c r="AC265" s="206"/>
      <c r="AD265" s="414"/>
    </row>
    <row r="266" spans="1:30" s="205" customFormat="1" x14ac:dyDescent="0.25">
      <c r="A266" s="186">
        <v>1257</v>
      </c>
      <c r="B266" t="s">
        <v>647</v>
      </c>
      <c r="C266" s="186"/>
      <c r="D266" s="186"/>
      <c r="E266" s="186"/>
      <c r="F266" s="186"/>
      <c r="G266" s="186"/>
      <c r="H266" s="186"/>
      <c r="I266" s="186"/>
      <c r="J266" s="186"/>
      <c r="K266" s="186"/>
      <c r="L266" s="197"/>
      <c r="M266" s="186"/>
      <c r="N266" s="198"/>
      <c r="O266" s="199">
        <v>1.08</v>
      </c>
      <c r="P266" s="199">
        <f>Table1[[#This Row],[unit cost]]</f>
        <v>1.08</v>
      </c>
      <c r="Q266" s="409">
        <v>2</v>
      </c>
      <c r="R266" s="186">
        <v>1</v>
      </c>
      <c r="S266" s="249">
        <f t="shared" si="41"/>
        <v>0.42</v>
      </c>
      <c r="T266" s="201">
        <f>Table1[[#This Row],[man minutes]]*Table1[[#This Row],[labor rate]]</f>
        <v>0.84</v>
      </c>
      <c r="U266" s="201">
        <f t="shared" si="36"/>
        <v>1.92</v>
      </c>
      <c r="V266" s="187">
        <f t="shared" si="31"/>
        <v>0.22</v>
      </c>
      <c r="W266" s="250">
        <f t="shared" si="40"/>
        <v>0.2</v>
      </c>
      <c r="X266" s="201">
        <f t="shared" si="37"/>
        <v>1.3176000000000001</v>
      </c>
      <c r="Y266" s="201">
        <f t="shared" si="38"/>
        <v>1.008</v>
      </c>
      <c r="Z266" s="201">
        <f t="shared" si="39"/>
        <v>2.3299999999999996</v>
      </c>
      <c r="AA266" s="203">
        <f>+Table1[[#This Row],[calculated sale price]]</f>
        <v>2.3299999999999996</v>
      </c>
      <c r="AB266" s="202"/>
      <c r="AC266" s="206"/>
      <c r="AD266" s="414"/>
    </row>
    <row r="267" spans="1:30" x14ac:dyDescent="0.25">
      <c r="A267" s="186">
        <v>1258</v>
      </c>
      <c r="B267" t="s">
        <v>648</v>
      </c>
      <c r="C267" s="186"/>
      <c r="I267" s="186"/>
      <c r="J267" s="186"/>
      <c r="K267" s="186"/>
      <c r="L267" s="197"/>
      <c r="M267" s="186"/>
      <c r="N267" s="198"/>
      <c r="O267" s="199">
        <v>1.39</v>
      </c>
      <c r="P267" s="199">
        <f>Table1[[#This Row],[unit cost]]</f>
        <v>1.39</v>
      </c>
      <c r="Q267" s="409">
        <v>2</v>
      </c>
      <c r="R267" s="186">
        <v>1</v>
      </c>
      <c r="S267" s="249">
        <f t="shared" si="41"/>
        <v>0.42</v>
      </c>
      <c r="T267" s="201">
        <f>Table1[[#This Row],[man minutes]]*Table1[[#This Row],[labor rate]]</f>
        <v>0.84</v>
      </c>
      <c r="U267" s="201">
        <f t="shared" si="36"/>
        <v>2.23</v>
      </c>
      <c r="V267" s="187">
        <f t="shared" si="31"/>
        <v>0.22</v>
      </c>
      <c r="W267" s="250">
        <f t="shared" si="40"/>
        <v>0.2</v>
      </c>
      <c r="X267" s="201">
        <f t="shared" si="37"/>
        <v>1.6957999999999998</v>
      </c>
      <c r="Y267" s="201">
        <f t="shared" si="38"/>
        <v>1.008</v>
      </c>
      <c r="Z267" s="201">
        <f t="shared" si="39"/>
        <v>2.71</v>
      </c>
      <c r="AA267" s="203">
        <f>+Table1[[#This Row],[calculated sale price]]</f>
        <v>2.71</v>
      </c>
      <c r="AB267" s="202"/>
      <c r="AC267" s="206"/>
      <c r="AD267" s="414"/>
    </row>
    <row r="268" spans="1:30" x14ac:dyDescent="0.25">
      <c r="A268" s="186">
        <v>1259</v>
      </c>
      <c r="B268" t="s">
        <v>649</v>
      </c>
      <c r="C268" s="186"/>
      <c r="I268" s="186"/>
      <c r="J268" s="186"/>
      <c r="K268" s="186"/>
      <c r="L268" s="197"/>
      <c r="M268" s="186"/>
      <c r="N268" s="198"/>
      <c r="O268" s="199">
        <v>0.99</v>
      </c>
      <c r="P268" s="199">
        <f>Table1[[#This Row],[unit cost]]</f>
        <v>0.99</v>
      </c>
      <c r="Q268" s="409">
        <v>1.25</v>
      </c>
      <c r="R268" s="186">
        <v>1</v>
      </c>
      <c r="S268" s="249">
        <f t="shared" si="41"/>
        <v>0.42</v>
      </c>
      <c r="T268" s="201">
        <f>Table1[[#This Row],[man minutes]]*Table1[[#This Row],[labor rate]]</f>
        <v>0.52500000000000002</v>
      </c>
      <c r="U268" s="201">
        <f t="shared" si="36"/>
        <v>1.5150000000000001</v>
      </c>
      <c r="V268" s="187">
        <f t="shared" si="31"/>
        <v>0.22</v>
      </c>
      <c r="W268" s="250">
        <f t="shared" si="40"/>
        <v>0.2</v>
      </c>
      <c r="X268" s="201">
        <f t="shared" si="37"/>
        <v>1.2078</v>
      </c>
      <c r="Y268" s="201">
        <f t="shared" si="38"/>
        <v>0.63</v>
      </c>
      <c r="Z268" s="201">
        <f t="shared" si="39"/>
        <v>1.84</v>
      </c>
      <c r="AA268" s="203">
        <f>+Table1[[#This Row],[calculated sale price]]</f>
        <v>1.84</v>
      </c>
      <c r="AB268" s="202"/>
      <c r="AC268" s="206"/>
      <c r="AD268" s="414"/>
    </row>
    <row r="269" spans="1:30" s="205" customFormat="1" x14ac:dyDescent="0.25">
      <c r="A269" s="186">
        <v>1260</v>
      </c>
      <c r="B269" t="s">
        <v>650</v>
      </c>
      <c r="C269" s="186"/>
      <c r="D269" s="186"/>
      <c r="E269" s="186"/>
      <c r="F269" s="186"/>
      <c r="G269" s="186"/>
      <c r="H269" s="186"/>
      <c r="I269" s="186"/>
      <c r="J269" s="186"/>
      <c r="K269" s="186"/>
      <c r="L269" s="197"/>
      <c r="M269" s="186"/>
      <c r="N269" s="198"/>
      <c r="O269" s="199">
        <v>0.25</v>
      </c>
      <c r="P269" s="199">
        <f>Table1[[#This Row],[unit cost]]</f>
        <v>0.25</v>
      </c>
      <c r="Q269" s="409">
        <v>0.25</v>
      </c>
      <c r="R269" s="186">
        <v>1</v>
      </c>
      <c r="S269" s="249">
        <f t="shared" si="41"/>
        <v>0.42</v>
      </c>
      <c r="T269" s="201">
        <f>Table1[[#This Row],[man minutes]]*Table1[[#This Row],[labor rate]]</f>
        <v>0.105</v>
      </c>
      <c r="U269" s="201">
        <f t="shared" si="36"/>
        <v>0.35499999999999998</v>
      </c>
      <c r="V269" s="187">
        <f t="shared" si="31"/>
        <v>0.22</v>
      </c>
      <c r="W269" s="250">
        <f t="shared" si="40"/>
        <v>0.2</v>
      </c>
      <c r="X269" s="201">
        <f t="shared" si="37"/>
        <v>0.30499999999999999</v>
      </c>
      <c r="Y269" s="201">
        <f t="shared" si="38"/>
        <v>0.126</v>
      </c>
      <c r="Z269" s="201">
        <f t="shared" si="39"/>
        <v>0.44</v>
      </c>
      <c r="AA269" s="203">
        <f>+Table1[[#This Row],[calculated sale price]]</f>
        <v>0.44</v>
      </c>
      <c r="AB269" s="202"/>
      <c r="AC269" s="206"/>
      <c r="AD269" s="414"/>
    </row>
    <row r="270" spans="1:30" x14ac:dyDescent="0.25">
      <c r="A270" s="186">
        <v>1261</v>
      </c>
      <c r="B270" t="s">
        <v>651</v>
      </c>
      <c r="C270" s="186"/>
      <c r="I270" s="186"/>
      <c r="J270" s="186"/>
      <c r="K270" s="186"/>
      <c r="L270" s="197"/>
      <c r="M270" s="186"/>
      <c r="N270" s="198"/>
      <c r="O270" s="416">
        <v>0.05</v>
      </c>
      <c r="P270" s="199">
        <f>Table1[[#This Row],[unit cost]]</f>
        <v>0.05</v>
      </c>
      <c r="Q270" s="409">
        <v>0.15</v>
      </c>
      <c r="R270" s="186">
        <v>1</v>
      </c>
      <c r="S270" s="249">
        <f t="shared" si="41"/>
        <v>0.42</v>
      </c>
      <c r="T270" s="201">
        <f>Table1[[#This Row],[man minutes]]*Table1[[#This Row],[labor rate]]</f>
        <v>6.3E-2</v>
      </c>
      <c r="U270" s="201">
        <f t="shared" si="36"/>
        <v>0.113</v>
      </c>
      <c r="V270" s="187">
        <f t="shared" si="31"/>
        <v>0.22</v>
      </c>
      <c r="W270" s="250">
        <f t="shared" si="40"/>
        <v>0.2</v>
      </c>
      <c r="X270" s="201">
        <f t="shared" si="37"/>
        <v>6.0999999999999999E-2</v>
      </c>
      <c r="Y270" s="201">
        <f t="shared" si="38"/>
        <v>7.5600000000000001E-2</v>
      </c>
      <c r="Z270" s="201">
        <f t="shared" si="39"/>
        <v>0.14000000000000001</v>
      </c>
      <c r="AA270" s="203">
        <f>+Table1[[#This Row],[calculated sale price]]</f>
        <v>0.14000000000000001</v>
      </c>
      <c r="AB270" s="202"/>
      <c r="AC270" s="206"/>
      <c r="AD270" s="414"/>
    </row>
    <row r="271" spans="1:30" x14ac:dyDescent="0.25">
      <c r="A271" s="186">
        <v>1262</v>
      </c>
      <c r="B271" t="s">
        <v>652</v>
      </c>
      <c r="C271" s="186"/>
      <c r="I271" s="186"/>
      <c r="J271" s="186"/>
      <c r="K271" s="186"/>
      <c r="L271" s="197"/>
      <c r="M271" s="186"/>
      <c r="N271" s="198"/>
      <c r="O271" s="199">
        <v>0.56000000000000005</v>
      </c>
      <c r="P271" s="199">
        <f>Table1[[#This Row],[unit cost]]</f>
        <v>0.56000000000000005</v>
      </c>
      <c r="Q271" s="409">
        <v>0.25</v>
      </c>
      <c r="R271" s="186">
        <v>1</v>
      </c>
      <c r="S271" s="249">
        <f t="shared" si="41"/>
        <v>0.42</v>
      </c>
      <c r="T271" s="201">
        <f>Table1[[#This Row],[man minutes]]*Table1[[#This Row],[labor rate]]</f>
        <v>0.105</v>
      </c>
      <c r="U271" s="201">
        <f t="shared" si="36"/>
        <v>0.66500000000000004</v>
      </c>
      <c r="V271" s="187">
        <f t="shared" si="31"/>
        <v>0.22</v>
      </c>
      <c r="W271" s="250">
        <f t="shared" si="40"/>
        <v>0.2</v>
      </c>
      <c r="X271" s="201">
        <f t="shared" si="37"/>
        <v>0.68320000000000003</v>
      </c>
      <c r="Y271" s="201">
        <f t="shared" si="38"/>
        <v>0.126</v>
      </c>
      <c r="Z271" s="201">
        <f t="shared" si="39"/>
        <v>0.81</v>
      </c>
      <c r="AA271" s="203">
        <f>+Table1[[#This Row],[calculated sale price]]</f>
        <v>0.81</v>
      </c>
      <c r="AB271" s="202"/>
      <c r="AC271" s="206"/>
      <c r="AD271" s="414"/>
    </row>
    <row r="272" spans="1:30" x14ac:dyDescent="0.25">
      <c r="A272" s="186">
        <v>1263</v>
      </c>
      <c r="B272" t="s">
        <v>653</v>
      </c>
      <c r="C272" s="186"/>
      <c r="I272" s="186"/>
      <c r="J272" s="186"/>
      <c r="K272" s="186"/>
      <c r="L272" s="197"/>
      <c r="M272" s="186"/>
      <c r="N272" s="198"/>
      <c r="O272" s="199">
        <v>0.45</v>
      </c>
      <c r="P272" s="199">
        <f>Table1[[#This Row],[unit cost]]</f>
        <v>0.45</v>
      </c>
      <c r="Q272" s="409">
        <v>0.75</v>
      </c>
      <c r="R272" s="186">
        <v>1</v>
      </c>
      <c r="S272" s="249">
        <f t="shared" si="41"/>
        <v>0.42</v>
      </c>
      <c r="T272" s="201">
        <f>Table1[[#This Row],[man minutes]]*Table1[[#This Row],[labor rate]]</f>
        <v>0.315</v>
      </c>
      <c r="U272" s="201">
        <f t="shared" si="36"/>
        <v>0.76500000000000001</v>
      </c>
      <c r="V272" s="187">
        <f t="shared" ref="V272:V335" si="42">$V$2</f>
        <v>0.22</v>
      </c>
      <c r="W272" s="250">
        <f t="shared" si="40"/>
        <v>0.2</v>
      </c>
      <c r="X272" s="201">
        <f t="shared" si="37"/>
        <v>0.54900000000000004</v>
      </c>
      <c r="Y272" s="201">
        <f t="shared" si="38"/>
        <v>0.378</v>
      </c>
      <c r="Z272" s="201">
        <f t="shared" si="39"/>
        <v>0.93</v>
      </c>
      <c r="AA272" s="203">
        <f>+Table1[[#This Row],[calculated sale price]]</f>
        <v>0.93</v>
      </c>
      <c r="AB272" s="202"/>
      <c r="AC272" s="206"/>
      <c r="AD272" s="414"/>
    </row>
    <row r="273" spans="1:30" x14ac:dyDescent="0.25">
      <c r="A273" s="186">
        <v>1264</v>
      </c>
      <c r="B273" t="s">
        <v>654</v>
      </c>
      <c r="C273" s="186"/>
      <c r="I273" s="186"/>
      <c r="J273" s="186"/>
      <c r="K273" s="186"/>
      <c r="L273" s="197"/>
      <c r="M273" s="186"/>
      <c r="N273" s="198"/>
      <c r="O273" s="199">
        <v>1.87</v>
      </c>
      <c r="P273" s="199">
        <f>Table1[[#This Row],[unit cost]]</f>
        <v>1.87</v>
      </c>
      <c r="Q273" s="409">
        <v>3.5</v>
      </c>
      <c r="R273" s="186">
        <v>1</v>
      </c>
      <c r="S273" s="249">
        <f t="shared" si="41"/>
        <v>0.42</v>
      </c>
      <c r="T273" s="201">
        <f>Table1[[#This Row],[man minutes]]*Table1[[#This Row],[labor rate]]</f>
        <v>1.47</v>
      </c>
      <c r="U273" s="201">
        <f t="shared" si="36"/>
        <v>3.34</v>
      </c>
      <c r="V273" s="187">
        <f t="shared" si="42"/>
        <v>0.22</v>
      </c>
      <c r="W273" s="250">
        <f t="shared" si="40"/>
        <v>0.2</v>
      </c>
      <c r="X273" s="201">
        <f t="shared" si="37"/>
        <v>2.2814000000000001</v>
      </c>
      <c r="Y273" s="201">
        <f t="shared" si="38"/>
        <v>1.764</v>
      </c>
      <c r="Z273" s="201">
        <f t="shared" si="39"/>
        <v>4.05</v>
      </c>
      <c r="AA273" s="203">
        <f>+Table1[[#This Row],[calculated sale price]]</f>
        <v>4.05</v>
      </c>
      <c r="AB273" s="202"/>
      <c r="AC273" s="206"/>
      <c r="AD273" s="414"/>
    </row>
    <row r="274" spans="1:30" x14ac:dyDescent="0.25">
      <c r="A274" s="186">
        <v>1265</v>
      </c>
      <c r="B274" t="s">
        <v>655</v>
      </c>
      <c r="C274" s="186"/>
      <c r="I274" s="186"/>
      <c r="J274" s="186"/>
      <c r="K274" s="186"/>
      <c r="L274" s="197"/>
      <c r="M274" s="186"/>
      <c r="N274" s="198"/>
      <c r="O274" s="199">
        <v>2.23</v>
      </c>
      <c r="P274" s="199">
        <f>Table1[[#This Row],[unit cost]]</f>
        <v>2.23</v>
      </c>
      <c r="Q274" s="409">
        <v>2.25</v>
      </c>
      <c r="R274" s="186">
        <v>1</v>
      </c>
      <c r="S274" s="249">
        <f t="shared" si="41"/>
        <v>0.42</v>
      </c>
      <c r="T274" s="201">
        <f>Table1[[#This Row],[man minutes]]*Table1[[#This Row],[labor rate]]</f>
        <v>0.94499999999999995</v>
      </c>
      <c r="U274" s="201">
        <f t="shared" si="36"/>
        <v>3.1749999999999998</v>
      </c>
      <c r="V274" s="187">
        <f t="shared" si="42"/>
        <v>0.22</v>
      </c>
      <c r="W274" s="250">
        <f t="shared" si="40"/>
        <v>0.2</v>
      </c>
      <c r="X274" s="201">
        <f t="shared" si="37"/>
        <v>2.7206000000000001</v>
      </c>
      <c r="Y274" s="201">
        <f t="shared" si="38"/>
        <v>1.1339999999999999</v>
      </c>
      <c r="Z274" s="201">
        <f t="shared" si="39"/>
        <v>3.86</v>
      </c>
      <c r="AA274" s="203">
        <f>+Table1[[#This Row],[calculated sale price]]</f>
        <v>3.86</v>
      </c>
      <c r="AB274" s="202"/>
      <c r="AC274" s="206"/>
      <c r="AD274" s="414"/>
    </row>
    <row r="275" spans="1:30" x14ac:dyDescent="0.25">
      <c r="A275" s="186">
        <v>1266</v>
      </c>
      <c r="B275" t="s">
        <v>656</v>
      </c>
      <c r="C275" s="186"/>
      <c r="I275" s="186"/>
      <c r="J275" s="186"/>
      <c r="K275" s="186"/>
      <c r="L275" s="197"/>
      <c r="M275" s="186"/>
      <c r="N275" s="198"/>
      <c r="O275" s="199">
        <v>0.53</v>
      </c>
      <c r="P275" s="199">
        <f>Table1[[#This Row],[unit cost]]</f>
        <v>0.53</v>
      </c>
      <c r="Q275" s="409">
        <v>0.75</v>
      </c>
      <c r="R275" s="186">
        <v>1</v>
      </c>
      <c r="S275" s="249">
        <f t="shared" si="41"/>
        <v>0.42</v>
      </c>
      <c r="T275" s="201">
        <f>Table1[[#This Row],[man minutes]]*Table1[[#This Row],[labor rate]]</f>
        <v>0.315</v>
      </c>
      <c r="U275" s="201">
        <f t="shared" si="36"/>
        <v>0.84499999999999997</v>
      </c>
      <c r="V275" s="187">
        <f t="shared" si="42"/>
        <v>0.22</v>
      </c>
      <c r="W275" s="250">
        <f t="shared" si="40"/>
        <v>0.2</v>
      </c>
      <c r="X275" s="201">
        <f t="shared" si="37"/>
        <v>0.64660000000000006</v>
      </c>
      <c r="Y275" s="201">
        <f t="shared" si="38"/>
        <v>0.378</v>
      </c>
      <c r="Z275" s="201">
        <f t="shared" si="39"/>
        <v>1.03</v>
      </c>
      <c r="AA275" s="203">
        <f>+Table1[[#This Row],[calculated sale price]]</f>
        <v>1.03</v>
      </c>
      <c r="AB275" s="202"/>
      <c r="AC275" s="206"/>
      <c r="AD275" s="414"/>
    </row>
    <row r="276" spans="1:30" x14ac:dyDescent="0.25">
      <c r="A276" s="186">
        <v>1267</v>
      </c>
      <c r="B276" t="s">
        <v>657</v>
      </c>
      <c r="C276" s="186"/>
      <c r="I276" s="186"/>
      <c r="J276" s="186"/>
      <c r="K276" s="186"/>
      <c r="L276" s="197"/>
      <c r="M276" s="186"/>
      <c r="N276" s="198"/>
      <c r="O276" s="199">
        <v>0.75</v>
      </c>
      <c r="P276" s="199">
        <f>Table1[[#This Row],[unit cost]]</f>
        <v>0.75</v>
      </c>
      <c r="Q276" s="409">
        <v>0.25</v>
      </c>
      <c r="R276" s="186">
        <v>1</v>
      </c>
      <c r="S276" s="249">
        <f t="shared" si="41"/>
        <v>0.42</v>
      </c>
      <c r="T276" s="201">
        <f>Table1[[#This Row],[man minutes]]*Table1[[#This Row],[labor rate]]</f>
        <v>0.105</v>
      </c>
      <c r="U276" s="201">
        <f t="shared" si="36"/>
        <v>0.85499999999999998</v>
      </c>
      <c r="V276" s="187">
        <f t="shared" si="42"/>
        <v>0.22</v>
      </c>
      <c r="W276" s="250">
        <f t="shared" si="40"/>
        <v>0.2</v>
      </c>
      <c r="X276" s="201">
        <f t="shared" si="37"/>
        <v>0.91500000000000004</v>
      </c>
      <c r="Y276" s="201">
        <f t="shared" si="38"/>
        <v>0.126</v>
      </c>
      <c r="Z276" s="201">
        <f t="shared" si="39"/>
        <v>1.05</v>
      </c>
      <c r="AA276" s="203">
        <f>+Table1[[#This Row],[calculated sale price]]</f>
        <v>1.05</v>
      </c>
      <c r="AB276" s="202"/>
      <c r="AC276" s="206"/>
      <c r="AD276" s="414"/>
    </row>
    <row r="277" spans="1:30" x14ac:dyDescent="0.25">
      <c r="A277" s="186">
        <v>1268</v>
      </c>
      <c r="B277" t="s">
        <v>681</v>
      </c>
      <c r="C277" s="186"/>
      <c r="I277" s="186"/>
      <c r="J277" s="186"/>
      <c r="K277" s="186"/>
      <c r="L277" s="197"/>
      <c r="M277" s="186"/>
      <c r="N277" s="198"/>
      <c r="O277" s="416">
        <v>0.34</v>
      </c>
      <c r="P277" s="199">
        <f>Table1[[#This Row],[unit cost]]</f>
        <v>0.34</v>
      </c>
      <c r="Q277" s="409">
        <v>0.5</v>
      </c>
      <c r="R277" s="186">
        <v>1</v>
      </c>
      <c r="S277" s="249">
        <f t="shared" si="41"/>
        <v>0.42</v>
      </c>
      <c r="T277" s="201">
        <f>Table1[[#This Row],[man minutes]]*Table1[[#This Row],[labor rate]]</f>
        <v>0.21</v>
      </c>
      <c r="U277" s="201">
        <f t="shared" si="36"/>
        <v>0.55000000000000004</v>
      </c>
      <c r="V277" s="187">
        <f t="shared" si="42"/>
        <v>0.22</v>
      </c>
      <c r="W277" s="250">
        <f t="shared" si="40"/>
        <v>0.2</v>
      </c>
      <c r="X277" s="201">
        <f t="shared" si="37"/>
        <v>0.4148</v>
      </c>
      <c r="Y277" s="201">
        <f t="shared" si="38"/>
        <v>0.252</v>
      </c>
      <c r="Z277" s="201">
        <f t="shared" si="39"/>
        <v>0.67</v>
      </c>
      <c r="AA277" s="203">
        <f>+Table1[[#This Row],[calculated sale price]]</f>
        <v>0.67</v>
      </c>
      <c r="AB277" s="202"/>
      <c r="AC277" s="206"/>
      <c r="AD277" s="414"/>
    </row>
    <row r="278" spans="1:30" x14ac:dyDescent="0.25">
      <c r="A278" s="186">
        <v>1269</v>
      </c>
      <c r="B278" t="s">
        <v>658</v>
      </c>
      <c r="C278" s="186"/>
      <c r="I278" s="186"/>
      <c r="J278" s="186"/>
      <c r="K278" s="186"/>
      <c r="L278" s="197"/>
      <c r="M278" s="186"/>
      <c r="N278" s="198"/>
      <c r="O278" s="496">
        <v>0.42</v>
      </c>
      <c r="P278" s="199">
        <f>Table1[[#This Row],[unit cost]]</f>
        <v>0.42</v>
      </c>
      <c r="Q278" s="409">
        <v>0.15</v>
      </c>
      <c r="R278" s="186">
        <v>1</v>
      </c>
      <c r="S278" s="249">
        <f t="shared" si="41"/>
        <v>0.42</v>
      </c>
      <c r="T278" s="201">
        <f>Table1[[#This Row],[man minutes]]*Table1[[#This Row],[labor rate]]</f>
        <v>6.3E-2</v>
      </c>
      <c r="U278" s="201">
        <f t="shared" si="36"/>
        <v>0.48299999999999998</v>
      </c>
      <c r="V278" s="187">
        <f t="shared" si="42"/>
        <v>0.22</v>
      </c>
      <c r="W278" s="250">
        <f t="shared" si="40"/>
        <v>0.2</v>
      </c>
      <c r="X278" s="201">
        <f t="shared" si="37"/>
        <v>0.51239999999999997</v>
      </c>
      <c r="Y278" s="201">
        <f t="shared" si="38"/>
        <v>7.5600000000000001E-2</v>
      </c>
      <c r="Z278" s="201">
        <f t="shared" si="39"/>
        <v>0.59</v>
      </c>
      <c r="AA278" s="203">
        <f>+Table1[[#This Row],[calculated sale price]]</f>
        <v>0.59</v>
      </c>
      <c r="AB278" s="202"/>
      <c r="AC278" s="206"/>
      <c r="AD278" s="414"/>
    </row>
    <row r="279" spans="1:30" x14ac:dyDescent="0.25">
      <c r="A279" s="186">
        <v>1270</v>
      </c>
      <c r="B279" t="s">
        <v>659</v>
      </c>
      <c r="C279" s="186"/>
      <c r="I279" s="186"/>
      <c r="J279" s="186"/>
      <c r="K279" s="186"/>
      <c r="L279" s="197"/>
      <c r="M279" s="186"/>
      <c r="N279" s="198"/>
      <c r="O279" s="199">
        <v>2.19</v>
      </c>
      <c r="P279" s="199">
        <f>Table1[[#This Row],[unit cost]]</f>
        <v>2.19</v>
      </c>
      <c r="Q279" s="409">
        <v>1.43</v>
      </c>
      <c r="R279" s="186">
        <v>1</v>
      </c>
      <c r="S279" s="249">
        <f t="shared" si="41"/>
        <v>0.42</v>
      </c>
      <c r="T279" s="201">
        <f>Table1[[#This Row],[man minutes]]*Table1[[#This Row],[labor rate]]</f>
        <v>0.60059999999999991</v>
      </c>
      <c r="U279" s="201">
        <f t="shared" si="36"/>
        <v>2.7906</v>
      </c>
      <c r="V279" s="187">
        <f t="shared" si="42"/>
        <v>0.22</v>
      </c>
      <c r="W279" s="250">
        <f t="shared" si="40"/>
        <v>0.2</v>
      </c>
      <c r="X279" s="201">
        <f t="shared" si="37"/>
        <v>2.6717999999999997</v>
      </c>
      <c r="Y279" s="201">
        <f t="shared" si="38"/>
        <v>0.72071999999999992</v>
      </c>
      <c r="Z279" s="201">
        <f t="shared" si="39"/>
        <v>3.4</v>
      </c>
      <c r="AA279" s="203">
        <f>+Table1[[#This Row],[calculated sale price]]</f>
        <v>3.4</v>
      </c>
      <c r="AB279" s="202"/>
      <c r="AC279" s="206"/>
      <c r="AD279" s="414"/>
    </row>
    <row r="280" spans="1:30" x14ac:dyDescent="0.25">
      <c r="A280" s="186">
        <v>1271</v>
      </c>
      <c r="B280" t="s">
        <v>660</v>
      </c>
      <c r="C280" s="186"/>
      <c r="I280" s="186"/>
      <c r="J280" s="186"/>
      <c r="K280" s="186"/>
      <c r="L280" s="197"/>
      <c r="M280" s="186"/>
      <c r="N280" s="198"/>
      <c r="O280" s="199">
        <v>2.27</v>
      </c>
      <c r="P280" s="199">
        <f>Table1[[#This Row],[unit cost]]</f>
        <v>2.27</v>
      </c>
      <c r="Q280" s="409">
        <v>1.25</v>
      </c>
      <c r="R280" s="186">
        <v>1</v>
      </c>
      <c r="S280" s="249">
        <f t="shared" si="41"/>
        <v>0.42</v>
      </c>
      <c r="T280" s="201">
        <f>Table1[[#This Row],[man minutes]]*Table1[[#This Row],[labor rate]]</f>
        <v>0.52500000000000002</v>
      </c>
      <c r="U280" s="201">
        <f t="shared" si="36"/>
        <v>2.7949999999999999</v>
      </c>
      <c r="V280" s="187">
        <f t="shared" si="42"/>
        <v>0.22</v>
      </c>
      <c r="W280" s="250">
        <f t="shared" si="40"/>
        <v>0.2</v>
      </c>
      <c r="X280" s="201">
        <f t="shared" si="37"/>
        <v>2.7694000000000001</v>
      </c>
      <c r="Y280" s="201">
        <f t="shared" si="38"/>
        <v>0.63</v>
      </c>
      <c r="Z280" s="201">
        <f t="shared" si="39"/>
        <v>3.4</v>
      </c>
      <c r="AA280" s="203">
        <f>+Table1[[#This Row],[calculated sale price]]</f>
        <v>3.4</v>
      </c>
      <c r="AB280" s="202"/>
      <c r="AC280" s="206"/>
      <c r="AD280" s="414"/>
    </row>
    <row r="281" spans="1:30" x14ac:dyDescent="0.25">
      <c r="A281" s="186">
        <v>1272</v>
      </c>
      <c r="B281" t="s">
        <v>661</v>
      </c>
      <c r="C281" s="186"/>
      <c r="I281" s="186"/>
      <c r="J281" s="186"/>
      <c r="K281" s="186"/>
      <c r="L281" s="197"/>
      <c r="M281" s="186"/>
      <c r="N281" s="198"/>
      <c r="O281" s="199">
        <v>1.32</v>
      </c>
      <c r="P281" s="199">
        <f>Table1[[#This Row],[unit cost]]</f>
        <v>1.32</v>
      </c>
      <c r="Q281" s="409">
        <v>1</v>
      </c>
      <c r="R281" s="186">
        <v>1</v>
      </c>
      <c r="S281" s="249">
        <f t="shared" si="41"/>
        <v>0.42</v>
      </c>
      <c r="T281" s="201">
        <f>Table1[[#This Row],[man minutes]]*Table1[[#This Row],[labor rate]]</f>
        <v>0.42</v>
      </c>
      <c r="U281" s="201">
        <f t="shared" si="36"/>
        <v>1.74</v>
      </c>
      <c r="V281" s="187">
        <f t="shared" si="42"/>
        <v>0.22</v>
      </c>
      <c r="W281" s="250">
        <f t="shared" si="40"/>
        <v>0.2</v>
      </c>
      <c r="X281" s="201">
        <f t="shared" si="37"/>
        <v>1.6104000000000001</v>
      </c>
      <c r="Y281" s="201">
        <f t="shared" si="38"/>
        <v>0.504</v>
      </c>
      <c r="Z281" s="201">
        <f t="shared" si="39"/>
        <v>2.1199999999999997</v>
      </c>
      <c r="AA281" s="203">
        <f>+Table1[[#This Row],[calculated sale price]]</f>
        <v>2.1199999999999997</v>
      </c>
      <c r="AB281" s="202"/>
      <c r="AC281" s="206"/>
      <c r="AD281" s="414"/>
    </row>
    <row r="282" spans="1:30" x14ac:dyDescent="0.25">
      <c r="A282" s="186">
        <v>1273</v>
      </c>
      <c r="B282" t="s">
        <v>662</v>
      </c>
      <c r="C282" s="186"/>
      <c r="I282" s="186"/>
      <c r="J282" s="186"/>
      <c r="K282" s="186"/>
      <c r="L282" s="197"/>
      <c r="M282" s="186"/>
      <c r="N282" s="198"/>
      <c r="O282" s="408">
        <f>2.9+1</f>
        <v>3.9</v>
      </c>
      <c r="P282" s="199">
        <f>Table1[[#This Row],[unit cost]]</f>
        <v>3.9</v>
      </c>
      <c r="Q282" s="409">
        <v>5</v>
      </c>
      <c r="R282" s="186">
        <v>1</v>
      </c>
      <c r="S282" s="249">
        <f t="shared" si="41"/>
        <v>0.42</v>
      </c>
      <c r="T282" s="201">
        <f>Table1[[#This Row],[man minutes]]*Table1[[#This Row],[labor rate]]</f>
        <v>2.1</v>
      </c>
      <c r="U282" s="201">
        <f t="shared" si="36"/>
        <v>6</v>
      </c>
      <c r="V282" s="187">
        <f t="shared" si="42"/>
        <v>0.22</v>
      </c>
      <c r="W282" s="250">
        <f t="shared" si="40"/>
        <v>0.2</v>
      </c>
      <c r="X282" s="201">
        <f t="shared" si="37"/>
        <v>4.758</v>
      </c>
      <c r="Y282" s="201">
        <f t="shared" si="38"/>
        <v>2.52</v>
      </c>
      <c r="Z282" s="201">
        <f t="shared" si="39"/>
        <v>7.2799999999999994</v>
      </c>
      <c r="AA282" s="203">
        <f>+Table1[[#This Row],[calculated sale price]]</f>
        <v>7.2799999999999994</v>
      </c>
      <c r="AB282" s="202"/>
      <c r="AC282" s="206"/>
      <c r="AD282" s="414"/>
    </row>
    <row r="283" spans="1:30" x14ac:dyDescent="0.25">
      <c r="A283" s="186">
        <v>1274</v>
      </c>
      <c r="B283" t="s">
        <v>663</v>
      </c>
      <c r="C283" s="186"/>
      <c r="I283" s="186"/>
      <c r="J283" s="186"/>
      <c r="K283" s="186"/>
      <c r="L283" s="197"/>
      <c r="M283" s="186"/>
      <c r="N283" s="198"/>
      <c r="O283" s="199">
        <v>7.5</v>
      </c>
      <c r="P283" s="199">
        <f>Table1[[#This Row],[unit cost]]</f>
        <v>7.5</v>
      </c>
      <c r="Q283" s="409">
        <v>5</v>
      </c>
      <c r="R283" s="186">
        <v>1</v>
      </c>
      <c r="S283" s="249">
        <f t="shared" si="41"/>
        <v>0.42</v>
      </c>
      <c r="T283" s="201">
        <f>Table1[[#This Row],[man minutes]]*Table1[[#This Row],[labor rate]]</f>
        <v>2.1</v>
      </c>
      <c r="U283" s="201">
        <f t="shared" si="36"/>
        <v>9.6</v>
      </c>
      <c r="V283" s="187">
        <f t="shared" si="42"/>
        <v>0.22</v>
      </c>
      <c r="W283" s="250">
        <f t="shared" si="40"/>
        <v>0.2</v>
      </c>
      <c r="X283" s="201">
        <f t="shared" si="37"/>
        <v>9.15</v>
      </c>
      <c r="Y283" s="201">
        <f t="shared" si="38"/>
        <v>2.52</v>
      </c>
      <c r="Z283" s="201">
        <f t="shared" si="39"/>
        <v>11.67</v>
      </c>
      <c r="AA283" s="203">
        <f>+Table1[[#This Row],[calculated sale price]]</f>
        <v>11.67</v>
      </c>
      <c r="AB283" s="202"/>
      <c r="AC283" s="206"/>
      <c r="AD283" s="414"/>
    </row>
    <row r="284" spans="1:30" x14ac:dyDescent="0.25">
      <c r="A284" s="186">
        <v>1275</v>
      </c>
      <c r="B284" t="s">
        <v>664</v>
      </c>
      <c r="C284" s="186"/>
      <c r="I284" s="186"/>
      <c r="J284" s="186"/>
      <c r="K284" s="186"/>
      <c r="L284" s="197"/>
      <c r="M284" s="186"/>
      <c r="N284" s="198"/>
      <c r="O284" s="199">
        <v>2.74</v>
      </c>
      <c r="P284" s="199">
        <f>Table1[[#This Row],[unit cost]]</f>
        <v>2.74</v>
      </c>
      <c r="Q284" s="409">
        <v>4.75</v>
      </c>
      <c r="R284" s="186">
        <v>1</v>
      </c>
      <c r="S284" s="249">
        <f t="shared" si="41"/>
        <v>0.42</v>
      </c>
      <c r="T284" s="201">
        <f>Table1[[#This Row],[man minutes]]*Table1[[#This Row],[labor rate]]</f>
        <v>1.9949999999999999</v>
      </c>
      <c r="U284" s="201">
        <f t="shared" si="36"/>
        <v>4.7350000000000003</v>
      </c>
      <c r="V284" s="187">
        <f t="shared" si="42"/>
        <v>0.22</v>
      </c>
      <c r="W284" s="250">
        <f t="shared" si="40"/>
        <v>0.2</v>
      </c>
      <c r="X284" s="201">
        <f t="shared" si="37"/>
        <v>3.3428</v>
      </c>
      <c r="Y284" s="201">
        <f t="shared" si="38"/>
        <v>2.3940000000000001</v>
      </c>
      <c r="Z284" s="201">
        <f t="shared" si="39"/>
        <v>5.74</v>
      </c>
      <c r="AA284" s="203">
        <f>+Table1[[#This Row],[calculated sale price]]</f>
        <v>5.74</v>
      </c>
      <c r="AB284" s="202"/>
      <c r="AC284" s="206"/>
      <c r="AD284" s="414"/>
    </row>
    <row r="285" spans="1:30" x14ac:dyDescent="0.25">
      <c r="A285" s="186">
        <v>1276</v>
      </c>
      <c r="B285" t="s">
        <v>665</v>
      </c>
      <c r="C285" s="186"/>
      <c r="I285" s="186"/>
      <c r="J285" s="186"/>
      <c r="K285" s="186"/>
      <c r="L285" s="197"/>
      <c r="M285" s="186"/>
      <c r="N285" s="198"/>
      <c r="O285" s="199">
        <v>1.52</v>
      </c>
      <c r="P285" s="199">
        <f>Table1[[#This Row],[unit cost]]</f>
        <v>1.52</v>
      </c>
      <c r="Q285" s="409">
        <v>2.75</v>
      </c>
      <c r="R285" s="186">
        <v>1</v>
      </c>
      <c r="S285" s="249">
        <f t="shared" si="41"/>
        <v>0.42</v>
      </c>
      <c r="T285" s="201">
        <f>Table1[[#This Row],[man minutes]]*Table1[[#This Row],[labor rate]]</f>
        <v>1.155</v>
      </c>
      <c r="U285" s="201">
        <f t="shared" si="36"/>
        <v>2.6749999999999998</v>
      </c>
      <c r="V285" s="187">
        <f t="shared" si="42"/>
        <v>0.22</v>
      </c>
      <c r="W285" s="250">
        <f t="shared" si="40"/>
        <v>0.2</v>
      </c>
      <c r="X285" s="201">
        <f t="shared" si="37"/>
        <v>1.8544</v>
      </c>
      <c r="Y285" s="201">
        <f t="shared" si="38"/>
        <v>1.3860000000000001</v>
      </c>
      <c r="Z285" s="201">
        <f t="shared" si="39"/>
        <v>3.25</v>
      </c>
      <c r="AA285" s="203">
        <f>+Table1[[#This Row],[calculated sale price]]</f>
        <v>3.25</v>
      </c>
      <c r="AB285" s="202"/>
      <c r="AC285" s="206"/>
      <c r="AD285" s="414"/>
    </row>
    <row r="286" spans="1:30" x14ac:dyDescent="0.25">
      <c r="A286" s="186">
        <v>1277</v>
      </c>
      <c r="B286" t="s">
        <v>666</v>
      </c>
      <c r="C286" s="186"/>
      <c r="I286" s="186"/>
      <c r="J286" s="186"/>
      <c r="K286" s="186"/>
      <c r="L286" s="197"/>
      <c r="M286" s="186"/>
      <c r="N286" s="198"/>
      <c r="O286" s="199">
        <v>2.4500000000000002</v>
      </c>
      <c r="P286" s="199">
        <f>Table1[[#This Row],[unit cost]]</f>
        <v>2.4500000000000002</v>
      </c>
      <c r="Q286" s="409">
        <v>2.5</v>
      </c>
      <c r="R286" s="186">
        <v>1</v>
      </c>
      <c r="S286" s="249">
        <f t="shared" si="41"/>
        <v>0.42</v>
      </c>
      <c r="T286" s="201">
        <f>Table1[[#This Row],[man minutes]]*Table1[[#This Row],[labor rate]]</f>
        <v>1.05</v>
      </c>
      <c r="U286" s="201">
        <f t="shared" si="36"/>
        <v>3.5</v>
      </c>
      <c r="V286" s="187">
        <f t="shared" si="42"/>
        <v>0.22</v>
      </c>
      <c r="W286" s="250">
        <f t="shared" si="40"/>
        <v>0.2</v>
      </c>
      <c r="X286" s="201">
        <f t="shared" si="37"/>
        <v>2.9890000000000003</v>
      </c>
      <c r="Y286" s="201">
        <f t="shared" si="38"/>
        <v>1.26</v>
      </c>
      <c r="Z286" s="201">
        <f t="shared" si="39"/>
        <v>4.25</v>
      </c>
      <c r="AA286" s="203">
        <f>+Table1[[#This Row],[calculated sale price]]</f>
        <v>4.25</v>
      </c>
      <c r="AB286" s="202"/>
      <c r="AC286" s="206"/>
      <c r="AD286" s="414"/>
    </row>
    <row r="287" spans="1:30" x14ac:dyDescent="0.25">
      <c r="A287" s="186">
        <v>1278</v>
      </c>
      <c r="B287" t="s">
        <v>667</v>
      </c>
      <c r="C287" s="186"/>
      <c r="I287" s="186"/>
      <c r="J287" s="186"/>
      <c r="K287" s="186"/>
      <c r="L287" s="197"/>
      <c r="M287" s="186"/>
      <c r="N287" s="198"/>
      <c r="O287" s="199">
        <v>1.63</v>
      </c>
      <c r="P287" s="199">
        <f>Table1[[#This Row],[unit cost]]</f>
        <v>1.63</v>
      </c>
      <c r="Q287" s="409">
        <v>1.43</v>
      </c>
      <c r="R287" s="186">
        <v>1</v>
      </c>
      <c r="S287" s="249">
        <f t="shared" si="41"/>
        <v>0.42</v>
      </c>
      <c r="T287" s="201">
        <f>Table1[[#This Row],[man minutes]]*Table1[[#This Row],[labor rate]]</f>
        <v>0.60059999999999991</v>
      </c>
      <c r="U287" s="201">
        <f t="shared" si="36"/>
        <v>2.2305999999999999</v>
      </c>
      <c r="V287" s="187">
        <f t="shared" si="42"/>
        <v>0.22</v>
      </c>
      <c r="W287" s="250">
        <f t="shared" si="40"/>
        <v>0.2</v>
      </c>
      <c r="X287" s="201">
        <f t="shared" si="37"/>
        <v>1.9885999999999999</v>
      </c>
      <c r="Y287" s="201">
        <f t="shared" si="38"/>
        <v>0.72071999999999992</v>
      </c>
      <c r="Z287" s="201">
        <f t="shared" si="39"/>
        <v>2.71</v>
      </c>
      <c r="AA287" s="203">
        <f>+Table1[[#This Row],[calculated sale price]]</f>
        <v>2.71</v>
      </c>
      <c r="AB287" s="202"/>
      <c r="AC287" s="206"/>
      <c r="AD287" s="414"/>
    </row>
    <row r="288" spans="1:30" x14ac:dyDescent="0.25">
      <c r="A288" s="186">
        <v>1279</v>
      </c>
      <c r="B288" t="s">
        <v>668</v>
      </c>
      <c r="C288" s="186"/>
      <c r="I288" s="186"/>
      <c r="J288" s="186"/>
      <c r="K288" s="186"/>
      <c r="L288" s="197"/>
      <c r="M288" s="186"/>
      <c r="N288" s="198"/>
      <c r="O288" s="199">
        <v>3.1</v>
      </c>
      <c r="P288" s="199">
        <f>Table1[[#This Row],[unit cost]]</f>
        <v>3.1</v>
      </c>
      <c r="Q288" s="409">
        <v>1.43</v>
      </c>
      <c r="R288" s="186">
        <v>1</v>
      </c>
      <c r="S288" s="249">
        <f t="shared" si="41"/>
        <v>0.42</v>
      </c>
      <c r="T288" s="201">
        <f>Table1[[#This Row],[man minutes]]*Table1[[#This Row],[labor rate]]</f>
        <v>0.60059999999999991</v>
      </c>
      <c r="U288" s="201">
        <f t="shared" si="36"/>
        <v>3.7006000000000001</v>
      </c>
      <c r="V288" s="187">
        <f t="shared" si="42"/>
        <v>0.22</v>
      </c>
      <c r="W288" s="250">
        <f t="shared" si="40"/>
        <v>0.2</v>
      </c>
      <c r="X288" s="201">
        <f t="shared" si="37"/>
        <v>3.782</v>
      </c>
      <c r="Y288" s="201">
        <f t="shared" si="38"/>
        <v>0.72071999999999992</v>
      </c>
      <c r="Z288" s="201">
        <f t="shared" si="39"/>
        <v>4.51</v>
      </c>
      <c r="AA288" s="203">
        <f>+Table1[[#This Row],[calculated sale price]]</f>
        <v>4.51</v>
      </c>
      <c r="AB288" s="202"/>
      <c r="AC288" s="206"/>
      <c r="AD288" s="414"/>
    </row>
    <row r="289" spans="1:30" x14ac:dyDescent="0.25">
      <c r="A289" s="186">
        <v>1280</v>
      </c>
      <c r="B289" t="s">
        <v>669</v>
      </c>
      <c r="C289" s="186"/>
      <c r="I289" s="186"/>
      <c r="J289" s="186"/>
      <c r="K289" s="186"/>
      <c r="L289" s="197"/>
      <c r="M289" s="186"/>
      <c r="N289" s="198"/>
      <c r="O289" s="199">
        <v>1.99</v>
      </c>
      <c r="P289" s="199">
        <f>Table1[[#This Row],[unit cost]]</f>
        <v>1.99</v>
      </c>
      <c r="Q289" s="409">
        <v>1.43</v>
      </c>
      <c r="R289" s="186">
        <v>1</v>
      </c>
      <c r="S289" s="249">
        <f t="shared" si="41"/>
        <v>0.42</v>
      </c>
      <c r="T289" s="201">
        <f>Table1[[#This Row],[man minutes]]*Table1[[#This Row],[labor rate]]</f>
        <v>0.60059999999999991</v>
      </c>
      <c r="U289" s="201">
        <f t="shared" si="36"/>
        <v>2.5905999999999998</v>
      </c>
      <c r="V289" s="187">
        <f t="shared" si="42"/>
        <v>0.22</v>
      </c>
      <c r="W289" s="250">
        <f t="shared" si="40"/>
        <v>0.2</v>
      </c>
      <c r="X289" s="201">
        <f t="shared" si="37"/>
        <v>2.4278</v>
      </c>
      <c r="Y289" s="201">
        <f t="shared" si="38"/>
        <v>0.72071999999999992</v>
      </c>
      <c r="Z289" s="201">
        <f t="shared" si="39"/>
        <v>3.15</v>
      </c>
      <c r="AA289" s="203">
        <f>+Table1[[#This Row],[calculated sale price]]</f>
        <v>3.15</v>
      </c>
      <c r="AB289" s="202"/>
      <c r="AC289" s="206"/>
      <c r="AD289" s="414"/>
    </row>
    <row r="290" spans="1:30" x14ac:dyDescent="0.25">
      <c r="A290" s="186">
        <v>1281</v>
      </c>
      <c r="B290" t="s">
        <v>670</v>
      </c>
      <c r="C290" s="186"/>
      <c r="I290" s="186"/>
      <c r="J290" s="186"/>
      <c r="K290" s="186"/>
      <c r="L290" s="197"/>
      <c r="M290" s="186"/>
      <c r="N290" s="198"/>
      <c r="O290" s="199">
        <v>1.17</v>
      </c>
      <c r="P290" s="199">
        <f>Table1[[#This Row],[unit cost]]</f>
        <v>1.17</v>
      </c>
      <c r="Q290" s="409">
        <v>1.43</v>
      </c>
      <c r="R290" s="186">
        <v>1</v>
      </c>
      <c r="S290" s="249">
        <f t="shared" si="41"/>
        <v>0.42</v>
      </c>
      <c r="T290" s="201">
        <f>Table1[[#This Row],[man minutes]]*Table1[[#This Row],[labor rate]]</f>
        <v>0.60059999999999991</v>
      </c>
      <c r="U290" s="201">
        <f t="shared" si="36"/>
        <v>1.7706</v>
      </c>
      <c r="V290" s="187">
        <f t="shared" si="42"/>
        <v>0.22</v>
      </c>
      <c r="W290" s="250">
        <f t="shared" si="40"/>
        <v>0.2</v>
      </c>
      <c r="X290" s="201">
        <f t="shared" si="37"/>
        <v>1.4273999999999998</v>
      </c>
      <c r="Y290" s="201">
        <f t="shared" si="38"/>
        <v>0.72071999999999992</v>
      </c>
      <c r="Z290" s="201">
        <f t="shared" si="39"/>
        <v>2.15</v>
      </c>
      <c r="AA290" s="203">
        <f>+Table1[[#This Row],[calculated sale price]]</f>
        <v>2.15</v>
      </c>
      <c r="AB290" s="202"/>
      <c r="AC290" s="206"/>
      <c r="AD290" s="414"/>
    </row>
    <row r="291" spans="1:30" x14ac:dyDescent="0.25">
      <c r="A291" s="186">
        <v>1282</v>
      </c>
      <c r="B291" t="s">
        <v>671</v>
      </c>
      <c r="C291" s="186"/>
      <c r="I291" s="186"/>
      <c r="J291" s="186"/>
      <c r="K291" s="186"/>
      <c r="L291" s="197"/>
      <c r="M291" s="186"/>
      <c r="N291" s="198"/>
      <c r="O291" s="199">
        <v>1</v>
      </c>
      <c r="P291" s="199">
        <f>Table1[[#This Row],[unit cost]]</f>
        <v>1</v>
      </c>
      <c r="Q291" s="409">
        <v>1.43</v>
      </c>
      <c r="R291" s="186">
        <v>1</v>
      </c>
      <c r="S291" s="249">
        <f t="shared" si="41"/>
        <v>0.42</v>
      </c>
      <c r="T291" s="201">
        <f>Table1[[#This Row],[man minutes]]*Table1[[#This Row],[labor rate]]</f>
        <v>0.60059999999999991</v>
      </c>
      <c r="U291" s="201">
        <f t="shared" si="36"/>
        <v>1.6006</v>
      </c>
      <c r="V291" s="187">
        <f t="shared" si="42"/>
        <v>0.22</v>
      </c>
      <c r="W291" s="250">
        <f t="shared" si="40"/>
        <v>0.2</v>
      </c>
      <c r="X291" s="201">
        <f t="shared" si="37"/>
        <v>1.22</v>
      </c>
      <c r="Y291" s="201">
        <f t="shared" si="38"/>
        <v>0.72071999999999992</v>
      </c>
      <c r="Z291" s="201">
        <f t="shared" si="39"/>
        <v>1.95</v>
      </c>
      <c r="AA291" s="203">
        <f>+Table1[[#This Row],[calculated sale price]]</f>
        <v>1.95</v>
      </c>
      <c r="AB291" s="202"/>
      <c r="AC291" s="206"/>
      <c r="AD291" s="414"/>
    </row>
    <row r="292" spans="1:30" x14ac:dyDescent="0.25">
      <c r="A292" s="186">
        <v>1283</v>
      </c>
      <c r="B292" t="s">
        <v>672</v>
      </c>
      <c r="C292" s="186"/>
      <c r="I292" s="186"/>
      <c r="J292" s="186"/>
      <c r="K292" s="186"/>
      <c r="L292" s="197"/>
      <c r="M292" s="186"/>
      <c r="N292" s="198"/>
      <c r="O292" s="199">
        <v>1.08</v>
      </c>
      <c r="P292" s="199">
        <f>Table1[[#This Row],[unit cost]]</f>
        <v>1.08</v>
      </c>
      <c r="Q292" s="409">
        <v>2</v>
      </c>
      <c r="R292" s="186">
        <v>1</v>
      </c>
      <c r="S292" s="249">
        <f t="shared" si="41"/>
        <v>0.42</v>
      </c>
      <c r="T292" s="201">
        <f>Table1[[#This Row],[man minutes]]*Table1[[#This Row],[labor rate]]</f>
        <v>0.84</v>
      </c>
      <c r="U292" s="201">
        <f t="shared" si="36"/>
        <v>1.92</v>
      </c>
      <c r="V292" s="187">
        <f t="shared" si="42"/>
        <v>0.22</v>
      </c>
      <c r="W292" s="250">
        <f t="shared" si="40"/>
        <v>0.2</v>
      </c>
      <c r="X292" s="201">
        <f t="shared" si="37"/>
        <v>1.3176000000000001</v>
      </c>
      <c r="Y292" s="201">
        <f t="shared" si="38"/>
        <v>1.008</v>
      </c>
      <c r="Z292" s="201">
        <f t="shared" si="39"/>
        <v>2.3299999999999996</v>
      </c>
      <c r="AA292" s="203">
        <f>+Table1[[#This Row],[calculated sale price]]</f>
        <v>2.3299999999999996</v>
      </c>
      <c r="AB292" s="202"/>
      <c r="AC292" s="206"/>
      <c r="AD292" s="414"/>
    </row>
    <row r="293" spans="1:30" x14ac:dyDescent="0.25">
      <c r="A293" s="186">
        <v>1284</v>
      </c>
      <c r="B293" t="s">
        <v>673</v>
      </c>
      <c r="C293" s="186"/>
      <c r="I293" s="186"/>
      <c r="J293" s="186"/>
      <c r="K293" s="186"/>
      <c r="L293" s="197"/>
      <c r="M293" s="186"/>
      <c r="N293" s="198"/>
      <c r="O293" s="199">
        <v>1.39</v>
      </c>
      <c r="P293" s="199">
        <f>Table1[[#This Row],[unit cost]]</f>
        <v>1.39</v>
      </c>
      <c r="Q293" s="409">
        <v>1.43</v>
      </c>
      <c r="R293" s="186">
        <v>1</v>
      </c>
      <c r="S293" s="249">
        <f t="shared" si="41"/>
        <v>0.42</v>
      </c>
      <c r="T293" s="201">
        <f>Table1[[#This Row],[man minutes]]*Table1[[#This Row],[labor rate]]</f>
        <v>0.60059999999999991</v>
      </c>
      <c r="U293" s="201">
        <f t="shared" si="36"/>
        <v>1.9905999999999997</v>
      </c>
      <c r="V293" s="187">
        <f t="shared" si="42"/>
        <v>0.22</v>
      </c>
      <c r="W293" s="250">
        <f t="shared" si="40"/>
        <v>0.2</v>
      </c>
      <c r="X293" s="201">
        <f t="shared" si="37"/>
        <v>1.6957999999999998</v>
      </c>
      <c r="Y293" s="201">
        <f t="shared" si="38"/>
        <v>0.72071999999999992</v>
      </c>
      <c r="Z293" s="201">
        <f t="shared" si="39"/>
        <v>2.42</v>
      </c>
      <c r="AA293" s="203">
        <f>+Table1[[#This Row],[calculated sale price]]</f>
        <v>2.42</v>
      </c>
      <c r="AB293" s="202"/>
      <c r="AC293" s="206"/>
      <c r="AD293" s="414"/>
    </row>
    <row r="294" spans="1:30" x14ac:dyDescent="0.25">
      <c r="A294" s="186">
        <v>1285</v>
      </c>
      <c r="B294" t="s">
        <v>674</v>
      </c>
      <c r="C294" s="186"/>
      <c r="I294" s="186"/>
      <c r="J294" s="186"/>
      <c r="K294" s="186"/>
      <c r="L294" s="197"/>
      <c r="M294" s="186"/>
      <c r="N294" s="198"/>
      <c r="O294" s="199">
        <v>1.79</v>
      </c>
      <c r="P294" s="199">
        <f>Table1[[#This Row],[unit cost]]</f>
        <v>1.79</v>
      </c>
      <c r="Q294" s="409">
        <v>2</v>
      </c>
      <c r="R294" s="186">
        <v>1</v>
      </c>
      <c r="S294" s="249">
        <f t="shared" si="41"/>
        <v>0.42</v>
      </c>
      <c r="T294" s="201">
        <f>Table1[[#This Row],[man minutes]]*Table1[[#This Row],[labor rate]]</f>
        <v>0.84</v>
      </c>
      <c r="U294" s="201">
        <f t="shared" si="36"/>
        <v>2.63</v>
      </c>
      <c r="V294" s="187">
        <f t="shared" si="42"/>
        <v>0.22</v>
      </c>
      <c r="W294" s="250">
        <f t="shared" si="40"/>
        <v>0.2</v>
      </c>
      <c r="X294" s="201">
        <f t="shared" si="37"/>
        <v>2.1838000000000002</v>
      </c>
      <c r="Y294" s="201">
        <f t="shared" si="38"/>
        <v>1.008</v>
      </c>
      <c r="Z294" s="201">
        <f t="shared" si="39"/>
        <v>3.1999999999999997</v>
      </c>
      <c r="AA294" s="203">
        <f>+Table1[[#This Row],[calculated sale price]]</f>
        <v>3.1999999999999997</v>
      </c>
      <c r="AB294" s="202"/>
      <c r="AC294" s="206"/>
      <c r="AD294" s="414"/>
    </row>
    <row r="295" spans="1:30" x14ac:dyDescent="0.25">
      <c r="A295" s="186">
        <v>1286</v>
      </c>
      <c r="B295" t="s">
        <v>675</v>
      </c>
      <c r="C295" s="186"/>
      <c r="I295" s="186"/>
      <c r="J295" s="186"/>
      <c r="K295" s="186"/>
      <c r="L295" s="197"/>
      <c r="M295" s="186"/>
      <c r="N295" s="198"/>
      <c r="O295" s="199">
        <v>0.36</v>
      </c>
      <c r="P295" s="199">
        <f>Table1[[#This Row],[unit cost]]</f>
        <v>0.36</v>
      </c>
      <c r="Q295" s="409">
        <v>0.15</v>
      </c>
      <c r="R295" s="186">
        <v>1</v>
      </c>
      <c r="S295" s="249">
        <f t="shared" si="41"/>
        <v>0.42</v>
      </c>
      <c r="T295" s="201">
        <f>Table1[[#This Row],[man minutes]]*Table1[[#This Row],[labor rate]]</f>
        <v>6.3E-2</v>
      </c>
      <c r="U295" s="201">
        <f t="shared" si="36"/>
        <v>0.42299999999999999</v>
      </c>
      <c r="V295" s="187">
        <f t="shared" si="42"/>
        <v>0.22</v>
      </c>
      <c r="W295" s="250">
        <f t="shared" si="40"/>
        <v>0.2</v>
      </c>
      <c r="X295" s="201">
        <f t="shared" si="37"/>
        <v>0.43919999999999998</v>
      </c>
      <c r="Y295" s="201">
        <f t="shared" si="38"/>
        <v>7.5600000000000001E-2</v>
      </c>
      <c r="Z295" s="201">
        <f t="shared" si="39"/>
        <v>0.52</v>
      </c>
      <c r="AA295" s="203">
        <f>+Table1[[#This Row],[calculated sale price]]</f>
        <v>0.52</v>
      </c>
      <c r="AB295" s="202"/>
      <c r="AC295" s="206"/>
      <c r="AD295" s="414"/>
    </row>
    <row r="296" spans="1:30" x14ac:dyDescent="0.25">
      <c r="A296" s="186">
        <v>1287</v>
      </c>
      <c r="B296" t="s">
        <v>676</v>
      </c>
      <c r="C296" s="186"/>
      <c r="I296" s="186"/>
      <c r="J296" s="186"/>
      <c r="K296" s="186"/>
      <c r="L296" s="197"/>
      <c r="M296" s="186"/>
      <c r="N296" s="198"/>
      <c r="O296" s="199">
        <v>0.15</v>
      </c>
      <c r="P296" s="199">
        <f>Table1[[#This Row],[unit cost]]</f>
        <v>0.15</v>
      </c>
      <c r="Q296" s="409">
        <v>0.15</v>
      </c>
      <c r="R296" s="186">
        <v>1</v>
      </c>
      <c r="S296" s="249">
        <f t="shared" si="41"/>
        <v>0.42</v>
      </c>
      <c r="T296" s="201">
        <f>Table1[[#This Row],[man minutes]]*Table1[[#This Row],[labor rate]]</f>
        <v>6.3E-2</v>
      </c>
      <c r="U296" s="201">
        <f t="shared" si="36"/>
        <v>0.21299999999999999</v>
      </c>
      <c r="V296" s="187">
        <f t="shared" si="42"/>
        <v>0.22</v>
      </c>
      <c r="W296" s="250">
        <f t="shared" si="40"/>
        <v>0.2</v>
      </c>
      <c r="X296" s="201">
        <f t="shared" si="37"/>
        <v>0.183</v>
      </c>
      <c r="Y296" s="201">
        <f t="shared" si="38"/>
        <v>7.5600000000000001E-2</v>
      </c>
      <c r="Z296" s="201">
        <f t="shared" si="39"/>
        <v>0.26</v>
      </c>
      <c r="AA296" s="203">
        <f>+Table1[[#This Row],[calculated sale price]]</f>
        <v>0.26</v>
      </c>
      <c r="AB296" s="202"/>
      <c r="AC296" s="206"/>
      <c r="AD296" s="414"/>
    </row>
    <row r="297" spans="1:30" x14ac:dyDescent="0.25">
      <c r="A297" s="186">
        <v>1288</v>
      </c>
      <c r="B297" t="s">
        <v>677</v>
      </c>
      <c r="C297" s="186"/>
      <c r="I297" s="186"/>
      <c r="J297" s="186"/>
      <c r="K297" s="186"/>
      <c r="L297" s="197"/>
      <c r="M297" s="186"/>
      <c r="N297" s="198"/>
      <c r="O297" s="199">
        <v>0.34</v>
      </c>
      <c r="P297" s="199">
        <f>Table1[[#This Row],[unit cost]]</f>
        <v>0.34</v>
      </c>
      <c r="Q297" s="409">
        <v>0.25</v>
      </c>
      <c r="R297" s="186">
        <v>1</v>
      </c>
      <c r="S297" s="249">
        <f t="shared" si="41"/>
        <v>0.42</v>
      </c>
      <c r="T297" s="201">
        <f>Table1[[#This Row],[man minutes]]*Table1[[#This Row],[labor rate]]</f>
        <v>0.105</v>
      </c>
      <c r="U297" s="201">
        <f t="shared" si="36"/>
        <v>0.44500000000000001</v>
      </c>
      <c r="V297" s="187">
        <f t="shared" si="42"/>
        <v>0.22</v>
      </c>
      <c r="W297" s="250">
        <f t="shared" si="40"/>
        <v>0.2</v>
      </c>
      <c r="X297" s="201">
        <f t="shared" si="37"/>
        <v>0.4148</v>
      </c>
      <c r="Y297" s="201">
        <f t="shared" si="38"/>
        <v>0.126</v>
      </c>
      <c r="Z297" s="201">
        <f t="shared" si="39"/>
        <v>0.55000000000000004</v>
      </c>
      <c r="AA297" s="203">
        <f>+Table1[[#This Row],[calculated sale price]]</f>
        <v>0.55000000000000004</v>
      </c>
      <c r="AB297" s="202"/>
      <c r="AC297" s="206"/>
      <c r="AD297" s="414"/>
    </row>
    <row r="298" spans="1:30" x14ac:dyDescent="0.25">
      <c r="A298" s="186">
        <v>1289</v>
      </c>
      <c r="B298" t="s">
        <v>678</v>
      </c>
      <c r="C298" s="186"/>
      <c r="I298" s="186"/>
      <c r="J298" s="186"/>
      <c r="K298" s="186"/>
      <c r="L298" s="197"/>
      <c r="M298" s="186"/>
      <c r="N298" s="198"/>
      <c r="O298" s="199">
        <v>0.38</v>
      </c>
      <c r="P298" s="199">
        <f>Table1[[#This Row],[unit cost]]</f>
        <v>0.38</v>
      </c>
      <c r="Q298" s="409">
        <v>0.5</v>
      </c>
      <c r="R298" s="186">
        <v>1</v>
      </c>
      <c r="S298" s="249">
        <f t="shared" si="41"/>
        <v>0.42</v>
      </c>
      <c r="T298" s="201">
        <f>Table1[[#This Row],[man minutes]]*Table1[[#This Row],[labor rate]]</f>
        <v>0.21</v>
      </c>
      <c r="U298" s="201">
        <f t="shared" si="36"/>
        <v>0.59</v>
      </c>
      <c r="V298" s="187">
        <f t="shared" si="42"/>
        <v>0.22</v>
      </c>
      <c r="W298" s="250">
        <f t="shared" si="40"/>
        <v>0.2</v>
      </c>
      <c r="X298" s="201">
        <f t="shared" si="37"/>
        <v>0.46360000000000001</v>
      </c>
      <c r="Y298" s="201">
        <f t="shared" si="38"/>
        <v>0.252</v>
      </c>
      <c r="Z298" s="201">
        <f t="shared" si="39"/>
        <v>0.72</v>
      </c>
      <c r="AA298" s="203">
        <f>+Table1[[#This Row],[calculated sale price]]</f>
        <v>0.72</v>
      </c>
      <c r="AB298" s="202"/>
      <c r="AC298" s="206"/>
      <c r="AD298" s="414"/>
    </row>
    <row r="299" spans="1:30" s="205" customFormat="1" x14ac:dyDescent="0.25">
      <c r="A299" s="186">
        <v>1290</v>
      </c>
      <c r="B299"/>
      <c r="C299" s="186"/>
      <c r="D299" s="186"/>
      <c r="E299" s="186"/>
      <c r="F299" s="186"/>
      <c r="G299" s="186"/>
      <c r="H299" s="186"/>
      <c r="I299" s="186"/>
      <c r="J299" s="186"/>
      <c r="K299" s="186"/>
      <c r="L299" s="197"/>
      <c r="M299" s="186"/>
      <c r="N299" s="198"/>
      <c r="O299" s="199">
        <v>0</v>
      </c>
      <c r="P299" s="199">
        <f>Table1[[#This Row],[unit cost]]</f>
        <v>0</v>
      </c>
      <c r="Q299" s="409"/>
      <c r="R299" s="186">
        <v>1</v>
      </c>
      <c r="S299" s="249">
        <f t="shared" si="41"/>
        <v>0.42</v>
      </c>
      <c r="T299" s="201">
        <f>Table1[[#This Row],[man minutes]]*Table1[[#This Row],[labor rate]]</f>
        <v>0</v>
      </c>
      <c r="U299" s="201">
        <f t="shared" si="36"/>
        <v>0</v>
      </c>
      <c r="V299" s="187">
        <f t="shared" si="42"/>
        <v>0.22</v>
      </c>
      <c r="W299" s="250">
        <f t="shared" si="40"/>
        <v>0.2</v>
      </c>
      <c r="X299" s="201">
        <f t="shared" si="37"/>
        <v>0</v>
      </c>
      <c r="Y299" s="201">
        <f t="shared" si="38"/>
        <v>0</v>
      </c>
      <c r="Z299" s="201">
        <f t="shared" si="39"/>
        <v>0</v>
      </c>
      <c r="AA299" s="203">
        <f>+Table1[[#This Row],[calculated sale price]]</f>
        <v>0</v>
      </c>
      <c r="AB299" s="202"/>
      <c r="AC299" s="206"/>
      <c r="AD299" s="414"/>
    </row>
    <row r="300" spans="1:30" x14ac:dyDescent="0.25">
      <c r="A300" s="186">
        <v>1291</v>
      </c>
      <c r="C300" s="186"/>
      <c r="I300" s="186"/>
      <c r="J300" s="186"/>
      <c r="K300" s="186"/>
      <c r="L300" s="197"/>
      <c r="M300" s="186"/>
      <c r="N300" s="198"/>
      <c r="O300" s="199">
        <v>0</v>
      </c>
      <c r="P300" s="199">
        <f>Table1[[#This Row],[unit cost]]</f>
        <v>0</v>
      </c>
      <c r="Q300" s="409"/>
      <c r="R300" s="186">
        <v>1</v>
      </c>
      <c r="S300" s="249">
        <f t="shared" si="41"/>
        <v>0.42</v>
      </c>
      <c r="T300" s="201">
        <f>Table1[[#This Row],[man minutes]]*Table1[[#This Row],[labor rate]]</f>
        <v>0</v>
      </c>
      <c r="U300" s="201">
        <f t="shared" si="36"/>
        <v>0</v>
      </c>
      <c r="V300" s="187">
        <f t="shared" si="42"/>
        <v>0.22</v>
      </c>
      <c r="W300" s="250">
        <f t="shared" si="40"/>
        <v>0.2</v>
      </c>
      <c r="X300" s="201">
        <f t="shared" si="37"/>
        <v>0</v>
      </c>
      <c r="Y300" s="201">
        <f t="shared" si="38"/>
        <v>0</v>
      </c>
      <c r="Z300" s="201">
        <f t="shared" si="39"/>
        <v>0</v>
      </c>
      <c r="AA300" s="203">
        <f>+Table1[[#This Row],[calculated sale price]]</f>
        <v>0</v>
      </c>
      <c r="AB300" s="202"/>
      <c r="AC300" s="206"/>
      <c r="AD300" s="414"/>
    </row>
    <row r="301" spans="1:30" x14ac:dyDescent="0.25">
      <c r="A301" s="186">
        <v>1292</v>
      </c>
      <c r="C301" s="186"/>
      <c r="I301" s="186"/>
      <c r="J301" s="186"/>
      <c r="K301" s="186"/>
      <c r="L301" s="197"/>
      <c r="M301" s="186"/>
      <c r="N301" s="198"/>
      <c r="O301" s="199">
        <v>0</v>
      </c>
      <c r="P301" s="199">
        <f>Table1[[#This Row],[unit cost]]</f>
        <v>0</v>
      </c>
      <c r="Q301" s="409"/>
      <c r="R301" s="186">
        <v>1</v>
      </c>
      <c r="S301" s="249">
        <f t="shared" si="41"/>
        <v>0.42</v>
      </c>
      <c r="T301" s="201">
        <f>Table1[[#This Row],[man minutes]]*Table1[[#This Row],[labor rate]]</f>
        <v>0</v>
      </c>
      <c r="U301" s="201">
        <f t="shared" si="36"/>
        <v>0</v>
      </c>
      <c r="V301" s="187">
        <f t="shared" si="42"/>
        <v>0.22</v>
      </c>
      <c r="W301" s="250">
        <f t="shared" si="40"/>
        <v>0.2</v>
      </c>
      <c r="X301" s="201">
        <f t="shared" si="37"/>
        <v>0</v>
      </c>
      <c r="Y301" s="201">
        <f t="shared" si="38"/>
        <v>0</v>
      </c>
      <c r="Z301" s="201">
        <f t="shared" si="39"/>
        <v>0</v>
      </c>
      <c r="AA301" s="203">
        <f>+Table1[[#This Row],[calculated sale price]]</f>
        <v>0</v>
      </c>
      <c r="AB301" s="202"/>
      <c r="AC301" s="206"/>
      <c r="AD301" s="414"/>
    </row>
    <row r="302" spans="1:30" x14ac:dyDescent="0.25">
      <c r="A302" s="186">
        <v>1293</v>
      </c>
      <c r="C302" s="186"/>
      <c r="I302" s="186"/>
      <c r="J302" s="186"/>
      <c r="K302" s="186"/>
      <c r="L302" s="197"/>
      <c r="M302" s="186"/>
      <c r="N302" s="198"/>
      <c r="O302" s="199">
        <v>0</v>
      </c>
      <c r="P302" s="199">
        <f>Table1[[#This Row],[unit cost]]</f>
        <v>0</v>
      </c>
      <c r="Q302" s="409"/>
      <c r="R302" s="186">
        <v>1</v>
      </c>
      <c r="S302" s="249">
        <f t="shared" si="41"/>
        <v>0.42</v>
      </c>
      <c r="T302" s="201">
        <f>Table1[[#This Row],[man minutes]]*Table1[[#This Row],[labor rate]]</f>
        <v>0</v>
      </c>
      <c r="U302" s="201">
        <f t="shared" si="36"/>
        <v>0</v>
      </c>
      <c r="V302" s="187">
        <f t="shared" si="42"/>
        <v>0.22</v>
      </c>
      <c r="W302" s="250">
        <f t="shared" si="40"/>
        <v>0.2</v>
      </c>
      <c r="X302" s="201">
        <f t="shared" si="37"/>
        <v>0</v>
      </c>
      <c r="Y302" s="201">
        <f t="shared" si="38"/>
        <v>0</v>
      </c>
      <c r="Z302" s="201">
        <f t="shared" si="39"/>
        <v>0</v>
      </c>
      <c r="AA302" s="203">
        <f>+Table1[[#This Row],[calculated sale price]]</f>
        <v>0</v>
      </c>
      <c r="AB302" s="202"/>
      <c r="AC302" s="206"/>
      <c r="AD302" s="414"/>
    </row>
    <row r="303" spans="1:30" x14ac:dyDescent="0.25">
      <c r="A303" s="186">
        <v>1294</v>
      </c>
      <c r="C303" s="186"/>
      <c r="I303" s="186"/>
      <c r="J303" s="186"/>
      <c r="K303" s="186"/>
      <c r="L303" s="197"/>
      <c r="M303" s="186"/>
      <c r="N303" s="198"/>
      <c r="O303" s="199">
        <v>0</v>
      </c>
      <c r="P303" s="199">
        <f>Table1[[#This Row],[unit cost]]</f>
        <v>0</v>
      </c>
      <c r="Q303" s="409"/>
      <c r="R303" s="186">
        <v>1</v>
      </c>
      <c r="S303" s="249">
        <f t="shared" si="41"/>
        <v>0.42</v>
      </c>
      <c r="T303" s="201">
        <f>Table1[[#This Row],[man minutes]]*Table1[[#This Row],[labor rate]]</f>
        <v>0</v>
      </c>
      <c r="U303" s="201">
        <f t="shared" si="36"/>
        <v>0</v>
      </c>
      <c r="V303" s="187">
        <f t="shared" si="42"/>
        <v>0.22</v>
      </c>
      <c r="W303" s="250">
        <f t="shared" si="40"/>
        <v>0.2</v>
      </c>
      <c r="X303" s="201">
        <f t="shared" si="37"/>
        <v>0</v>
      </c>
      <c r="Y303" s="201">
        <f t="shared" si="38"/>
        <v>0</v>
      </c>
      <c r="Z303" s="201">
        <f t="shared" si="39"/>
        <v>0</v>
      </c>
      <c r="AA303" s="203">
        <f>+Table1[[#This Row],[calculated sale price]]</f>
        <v>0</v>
      </c>
      <c r="AB303" s="202"/>
      <c r="AC303" s="206"/>
      <c r="AD303" s="414"/>
    </row>
    <row r="304" spans="1:30" x14ac:dyDescent="0.25">
      <c r="A304" s="186">
        <v>1295</v>
      </c>
      <c r="C304" s="186"/>
      <c r="I304" s="186"/>
      <c r="J304" s="186"/>
      <c r="K304" s="186"/>
      <c r="L304" s="197"/>
      <c r="M304" s="186"/>
      <c r="N304" s="198"/>
      <c r="O304" s="199">
        <v>0</v>
      </c>
      <c r="P304" s="199">
        <f>Table1[[#This Row],[unit cost]]</f>
        <v>0</v>
      </c>
      <c r="Q304" s="409"/>
      <c r="R304" s="186">
        <v>1</v>
      </c>
      <c r="S304" s="249">
        <f t="shared" si="41"/>
        <v>0.42</v>
      </c>
      <c r="T304" s="201">
        <f>Table1[[#This Row],[man minutes]]*Table1[[#This Row],[labor rate]]</f>
        <v>0</v>
      </c>
      <c r="U304" s="201">
        <f t="shared" si="36"/>
        <v>0</v>
      </c>
      <c r="V304" s="187">
        <f t="shared" si="42"/>
        <v>0.22</v>
      </c>
      <c r="W304" s="250">
        <f t="shared" si="40"/>
        <v>0.2</v>
      </c>
      <c r="X304" s="201">
        <f t="shared" si="37"/>
        <v>0</v>
      </c>
      <c r="Y304" s="201">
        <f t="shared" si="38"/>
        <v>0</v>
      </c>
      <c r="Z304" s="201">
        <f t="shared" si="39"/>
        <v>0</v>
      </c>
      <c r="AA304" s="203">
        <f>+Table1[[#This Row],[calculated sale price]]</f>
        <v>0</v>
      </c>
      <c r="AB304" s="202"/>
      <c r="AC304" s="206"/>
      <c r="AD304" s="414"/>
    </row>
    <row r="305" spans="1:30" x14ac:dyDescent="0.25">
      <c r="A305" s="186">
        <v>1296</v>
      </c>
      <c r="C305" s="186"/>
      <c r="I305" s="186"/>
      <c r="J305" s="186"/>
      <c r="K305" s="186"/>
      <c r="L305" s="197"/>
      <c r="M305" s="186"/>
      <c r="N305" s="198"/>
      <c r="O305" s="199">
        <v>0</v>
      </c>
      <c r="P305" s="199">
        <f>Table1[[#This Row],[unit cost]]</f>
        <v>0</v>
      </c>
      <c r="Q305" s="409"/>
      <c r="R305" s="186">
        <v>1</v>
      </c>
      <c r="S305" s="249">
        <f t="shared" si="41"/>
        <v>0.42</v>
      </c>
      <c r="T305" s="201">
        <f>Table1[[#This Row],[man minutes]]*Table1[[#This Row],[labor rate]]</f>
        <v>0</v>
      </c>
      <c r="U305" s="201">
        <f t="shared" si="36"/>
        <v>0</v>
      </c>
      <c r="V305" s="187">
        <f t="shared" si="42"/>
        <v>0.22</v>
      </c>
      <c r="W305" s="250">
        <f t="shared" si="40"/>
        <v>0.2</v>
      </c>
      <c r="X305" s="201">
        <f t="shared" si="37"/>
        <v>0</v>
      </c>
      <c r="Y305" s="201">
        <f t="shared" si="38"/>
        <v>0</v>
      </c>
      <c r="Z305" s="201">
        <f t="shared" si="39"/>
        <v>0</v>
      </c>
      <c r="AA305" s="203">
        <f>+Table1[[#This Row],[calculated sale price]]</f>
        <v>0</v>
      </c>
      <c r="AB305" s="202"/>
      <c r="AC305" s="206"/>
      <c r="AD305" s="414"/>
    </row>
    <row r="306" spans="1:30" x14ac:dyDescent="0.25">
      <c r="A306" s="186">
        <v>1297</v>
      </c>
      <c r="C306" s="186"/>
      <c r="I306" s="186"/>
      <c r="J306" s="186"/>
      <c r="K306" s="186"/>
      <c r="L306" s="197"/>
      <c r="M306" s="186"/>
      <c r="N306" s="198"/>
      <c r="O306" s="199">
        <v>0</v>
      </c>
      <c r="P306" s="199">
        <f>Table1[[#This Row],[unit cost]]</f>
        <v>0</v>
      </c>
      <c r="Q306" s="409"/>
      <c r="R306" s="186">
        <v>1</v>
      </c>
      <c r="S306" s="249">
        <f t="shared" si="41"/>
        <v>0.42</v>
      </c>
      <c r="T306" s="201">
        <f>Table1[[#This Row],[man minutes]]*Table1[[#This Row],[labor rate]]</f>
        <v>0</v>
      </c>
      <c r="U306" s="201">
        <f t="shared" si="36"/>
        <v>0</v>
      </c>
      <c r="V306" s="187">
        <f t="shared" si="42"/>
        <v>0.22</v>
      </c>
      <c r="W306" s="250">
        <f t="shared" si="40"/>
        <v>0.2</v>
      </c>
      <c r="X306" s="201">
        <f t="shared" si="37"/>
        <v>0</v>
      </c>
      <c r="Y306" s="201">
        <f t="shared" si="38"/>
        <v>0</v>
      </c>
      <c r="Z306" s="201">
        <f t="shared" si="39"/>
        <v>0</v>
      </c>
      <c r="AA306" s="203">
        <f>+Table1[[#This Row],[calculated sale price]]</f>
        <v>0</v>
      </c>
      <c r="AB306" s="202"/>
      <c r="AC306" s="206"/>
      <c r="AD306" s="414"/>
    </row>
    <row r="307" spans="1:30" x14ac:dyDescent="0.25">
      <c r="A307" s="186">
        <v>1298</v>
      </c>
      <c r="C307" s="186"/>
      <c r="I307" s="186"/>
      <c r="J307" s="186"/>
      <c r="K307" s="186"/>
      <c r="L307" s="197"/>
      <c r="M307" s="186"/>
      <c r="N307" s="198"/>
      <c r="O307" s="199">
        <v>0</v>
      </c>
      <c r="P307" s="199">
        <f>Table1[[#This Row],[unit cost]]</f>
        <v>0</v>
      </c>
      <c r="Q307" s="409"/>
      <c r="R307" s="186">
        <v>1</v>
      </c>
      <c r="S307" s="249">
        <f t="shared" si="41"/>
        <v>0.42</v>
      </c>
      <c r="T307" s="201">
        <f>Table1[[#This Row],[man minutes]]*Table1[[#This Row],[labor rate]]</f>
        <v>0</v>
      </c>
      <c r="U307" s="201">
        <f t="shared" si="36"/>
        <v>0</v>
      </c>
      <c r="V307" s="187">
        <f t="shared" si="42"/>
        <v>0.22</v>
      </c>
      <c r="W307" s="250">
        <f t="shared" si="40"/>
        <v>0.2</v>
      </c>
      <c r="X307" s="201">
        <f t="shared" si="37"/>
        <v>0</v>
      </c>
      <c r="Y307" s="201">
        <f t="shared" si="38"/>
        <v>0</v>
      </c>
      <c r="Z307" s="201">
        <f t="shared" si="39"/>
        <v>0</v>
      </c>
      <c r="AA307" s="203">
        <f>+Table1[[#This Row],[calculated sale price]]</f>
        <v>0</v>
      </c>
      <c r="AB307" s="202"/>
      <c r="AC307" s="206"/>
      <c r="AD307" s="414"/>
    </row>
    <row r="308" spans="1:30" x14ac:dyDescent="0.25">
      <c r="A308" s="186">
        <v>1299</v>
      </c>
      <c r="C308" s="186"/>
      <c r="I308" s="186"/>
      <c r="J308" s="186"/>
      <c r="K308" s="186"/>
      <c r="L308" s="197"/>
      <c r="M308" s="186"/>
      <c r="N308" s="198"/>
      <c r="O308" s="199">
        <v>0</v>
      </c>
      <c r="P308" s="199">
        <f>Table1[[#This Row],[unit cost]]</f>
        <v>0</v>
      </c>
      <c r="Q308" s="409"/>
      <c r="R308" s="186">
        <v>1</v>
      </c>
      <c r="S308" s="249">
        <f t="shared" si="41"/>
        <v>0.42</v>
      </c>
      <c r="T308" s="201">
        <f>Table1[[#This Row],[man minutes]]*Table1[[#This Row],[labor rate]]</f>
        <v>0</v>
      </c>
      <c r="U308" s="201">
        <f t="shared" si="36"/>
        <v>0</v>
      </c>
      <c r="V308" s="187">
        <f t="shared" si="42"/>
        <v>0.22</v>
      </c>
      <c r="W308" s="250">
        <f t="shared" si="40"/>
        <v>0.2</v>
      </c>
      <c r="X308" s="201">
        <f t="shared" si="37"/>
        <v>0</v>
      </c>
      <c r="Y308" s="201">
        <f t="shared" si="38"/>
        <v>0</v>
      </c>
      <c r="Z308" s="201">
        <f t="shared" si="39"/>
        <v>0</v>
      </c>
      <c r="AA308" s="203">
        <f>+Table1[[#This Row],[calculated sale price]]</f>
        <v>0</v>
      </c>
      <c r="AB308" s="202"/>
      <c r="AC308" s="206"/>
      <c r="AD308" s="414"/>
    </row>
    <row r="309" spans="1:30" x14ac:dyDescent="0.25">
      <c r="A309" s="186">
        <v>1300</v>
      </c>
      <c r="C309" s="186"/>
      <c r="I309" s="186"/>
      <c r="J309" s="186"/>
      <c r="K309" s="186"/>
      <c r="L309" s="197"/>
      <c r="M309" s="186"/>
      <c r="N309" s="198"/>
      <c r="O309" s="199">
        <v>0</v>
      </c>
      <c r="P309" s="199">
        <f>Table1[[#This Row],[unit cost]]</f>
        <v>0</v>
      </c>
      <c r="Q309" s="409"/>
      <c r="R309" s="186">
        <v>1</v>
      </c>
      <c r="S309" s="249">
        <f t="shared" si="41"/>
        <v>0.42</v>
      </c>
      <c r="T309" s="201">
        <f>Table1[[#This Row],[man minutes]]*Table1[[#This Row],[labor rate]]</f>
        <v>0</v>
      </c>
      <c r="U309" s="201">
        <f t="shared" si="36"/>
        <v>0</v>
      </c>
      <c r="V309" s="187">
        <f t="shared" si="42"/>
        <v>0.22</v>
      </c>
      <c r="W309" s="250">
        <f t="shared" si="40"/>
        <v>0.2</v>
      </c>
      <c r="X309" s="201">
        <f t="shared" si="37"/>
        <v>0</v>
      </c>
      <c r="Y309" s="201">
        <f t="shared" si="38"/>
        <v>0</v>
      </c>
      <c r="Z309" s="201">
        <f t="shared" si="39"/>
        <v>0</v>
      </c>
      <c r="AA309" s="203">
        <f>+Table1[[#This Row],[calculated sale price]]</f>
        <v>0</v>
      </c>
      <c r="AB309" s="202"/>
      <c r="AC309" s="206"/>
      <c r="AD309" s="414"/>
    </row>
    <row r="310" spans="1:30" x14ac:dyDescent="0.25">
      <c r="A310" s="186">
        <v>1301</v>
      </c>
      <c r="C310" s="186"/>
      <c r="I310" s="186"/>
      <c r="J310" s="186"/>
      <c r="K310" s="186"/>
      <c r="L310" s="197"/>
      <c r="M310" s="186"/>
      <c r="N310" s="198"/>
      <c r="O310" s="199">
        <v>0</v>
      </c>
      <c r="P310" s="199">
        <f>Table1[[#This Row],[unit cost]]</f>
        <v>0</v>
      </c>
      <c r="Q310" s="409"/>
      <c r="R310" s="186">
        <v>1</v>
      </c>
      <c r="S310" s="249">
        <f t="shared" si="41"/>
        <v>0.42</v>
      </c>
      <c r="T310" s="201">
        <f>Table1[[#This Row],[man minutes]]*Table1[[#This Row],[labor rate]]</f>
        <v>0</v>
      </c>
      <c r="U310" s="201">
        <f t="shared" si="36"/>
        <v>0</v>
      </c>
      <c r="V310" s="187">
        <f t="shared" si="42"/>
        <v>0.22</v>
      </c>
      <c r="W310" s="250">
        <f t="shared" si="40"/>
        <v>0.2</v>
      </c>
      <c r="X310" s="201">
        <f t="shared" si="37"/>
        <v>0</v>
      </c>
      <c r="Y310" s="201">
        <f t="shared" si="38"/>
        <v>0</v>
      </c>
      <c r="Z310" s="201">
        <f t="shared" si="39"/>
        <v>0</v>
      </c>
      <c r="AA310" s="203">
        <f>+Table1[[#This Row],[calculated sale price]]</f>
        <v>0</v>
      </c>
      <c r="AB310" s="202"/>
      <c r="AC310" s="206"/>
      <c r="AD310" s="414"/>
    </row>
    <row r="311" spans="1:30" x14ac:dyDescent="0.25">
      <c r="A311" s="186">
        <v>1302</v>
      </c>
      <c r="C311" s="186"/>
      <c r="I311" s="186"/>
      <c r="J311" s="186"/>
      <c r="K311" s="186"/>
      <c r="L311" s="197"/>
      <c r="M311" s="186"/>
      <c r="N311" s="198"/>
      <c r="O311" s="199">
        <v>0</v>
      </c>
      <c r="P311" s="199">
        <f>Table1[[#This Row],[unit cost]]</f>
        <v>0</v>
      </c>
      <c r="Q311" s="409"/>
      <c r="R311" s="186">
        <v>1</v>
      </c>
      <c r="S311" s="249">
        <f t="shared" si="41"/>
        <v>0.42</v>
      </c>
      <c r="T311" s="201">
        <f>Table1[[#This Row],[man minutes]]*Table1[[#This Row],[labor rate]]</f>
        <v>0</v>
      </c>
      <c r="U311" s="201">
        <f t="shared" si="36"/>
        <v>0</v>
      </c>
      <c r="V311" s="187">
        <f t="shared" si="42"/>
        <v>0.22</v>
      </c>
      <c r="W311" s="250">
        <f t="shared" si="40"/>
        <v>0.2</v>
      </c>
      <c r="X311" s="201">
        <f t="shared" si="37"/>
        <v>0</v>
      </c>
      <c r="Y311" s="201">
        <f t="shared" si="38"/>
        <v>0</v>
      </c>
      <c r="Z311" s="201">
        <f t="shared" si="39"/>
        <v>0</v>
      </c>
      <c r="AA311" s="203">
        <f>+Table1[[#This Row],[calculated sale price]]</f>
        <v>0</v>
      </c>
      <c r="AB311" s="202"/>
      <c r="AC311" s="206"/>
      <c r="AD311" s="414"/>
    </row>
    <row r="312" spans="1:30" x14ac:dyDescent="0.25">
      <c r="A312" s="186">
        <v>1303</v>
      </c>
      <c r="C312" s="186"/>
      <c r="I312" s="186"/>
      <c r="J312" s="186"/>
      <c r="K312" s="186"/>
      <c r="L312" s="197"/>
      <c r="M312" s="186"/>
      <c r="N312" s="198"/>
      <c r="O312" s="199">
        <v>0</v>
      </c>
      <c r="P312" s="199">
        <f>Table1[[#This Row],[unit cost]]</f>
        <v>0</v>
      </c>
      <c r="Q312" s="409"/>
      <c r="R312" s="186">
        <v>1</v>
      </c>
      <c r="S312" s="249">
        <f t="shared" si="41"/>
        <v>0.42</v>
      </c>
      <c r="T312" s="201">
        <f>Table1[[#This Row],[man minutes]]*Table1[[#This Row],[labor rate]]</f>
        <v>0</v>
      </c>
      <c r="U312" s="201">
        <f t="shared" si="36"/>
        <v>0</v>
      </c>
      <c r="V312" s="187">
        <f t="shared" si="42"/>
        <v>0.22</v>
      </c>
      <c r="W312" s="250">
        <f t="shared" si="40"/>
        <v>0.2</v>
      </c>
      <c r="X312" s="201">
        <f t="shared" si="37"/>
        <v>0</v>
      </c>
      <c r="Y312" s="201">
        <f t="shared" si="38"/>
        <v>0</v>
      </c>
      <c r="Z312" s="201">
        <f t="shared" si="39"/>
        <v>0</v>
      </c>
      <c r="AA312" s="203">
        <f>+Table1[[#This Row],[calculated sale price]]</f>
        <v>0</v>
      </c>
      <c r="AB312" s="202"/>
      <c r="AC312" s="206"/>
      <c r="AD312" s="414"/>
    </row>
    <row r="313" spans="1:30" x14ac:dyDescent="0.25">
      <c r="A313" s="186">
        <v>1304</v>
      </c>
      <c r="C313" s="186"/>
      <c r="I313" s="186"/>
      <c r="J313" s="186"/>
      <c r="K313" s="186"/>
      <c r="L313" s="197"/>
      <c r="M313" s="186"/>
      <c r="N313" s="198"/>
      <c r="O313" s="199">
        <v>0</v>
      </c>
      <c r="P313" s="199">
        <f>Table1[[#This Row],[unit cost]]</f>
        <v>0</v>
      </c>
      <c r="Q313" s="409"/>
      <c r="R313" s="186">
        <v>1</v>
      </c>
      <c r="S313" s="249">
        <f t="shared" si="41"/>
        <v>0.42</v>
      </c>
      <c r="T313" s="201">
        <f>Table1[[#This Row],[man minutes]]*Table1[[#This Row],[labor rate]]</f>
        <v>0</v>
      </c>
      <c r="U313" s="201">
        <f t="shared" si="36"/>
        <v>0</v>
      </c>
      <c r="V313" s="187">
        <f t="shared" si="42"/>
        <v>0.22</v>
      </c>
      <c r="W313" s="250">
        <f t="shared" si="40"/>
        <v>0.2</v>
      </c>
      <c r="X313" s="201">
        <f t="shared" si="37"/>
        <v>0</v>
      </c>
      <c r="Y313" s="201">
        <f t="shared" si="38"/>
        <v>0</v>
      </c>
      <c r="Z313" s="201">
        <f t="shared" si="39"/>
        <v>0</v>
      </c>
      <c r="AA313" s="203">
        <f>+Table1[[#This Row],[calculated sale price]]</f>
        <v>0</v>
      </c>
      <c r="AB313" s="202"/>
      <c r="AC313" s="206"/>
      <c r="AD313" s="414"/>
    </row>
    <row r="314" spans="1:30" x14ac:dyDescent="0.25">
      <c r="A314" s="186">
        <v>1305</v>
      </c>
      <c r="C314" s="186"/>
      <c r="I314" s="186"/>
      <c r="J314" s="186"/>
      <c r="K314" s="186"/>
      <c r="L314" s="197"/>
      <c r="M314" s="186"/>
      <c r="N314" s="198"/>
      <c r="O314" s="199">
        <v>0</v>
      </c>
      <c r="P314" s="199">
        <f>Table1[[#This Row],[unit cost]]</f>
        <v>0</v>
      </c>
      <c r="Q314" s="409"/>
      <c r="R314" s="186">
        <v>1</v>
      </c>
      <c r="S314" s="249">
        <f t="shared" si="41"/>
        <v>0.42</v>
      </c>
      <c r="T314" s="201">
        <f>Table1[[#This Row],[man minutes]]*Table1[[#This Row],[labor rate]]</f>
        <v>0</v>
      </c>
      <c r="U314" s="201">
        <f t="shared" si="36"/>
        <v>0</v>
      </c>
      <c r="V314" s="187">
        <f t="shared" si="42"/>
        <v>0.22</v>
      </c>
      <c r="W314" s="250">
        <f t="shared" si="40"/>
        <v>0.2</v>
      </c>
      <c r="X314" s="201">
        <f t="shared" si="37"/>
        <v>0</v>
      </c>
      <c r="Y314" s="201">
        <f t="shared" si="38"/>
        <v>0</v>
      </c>
      <c r="Z314" s="201">
        <f t="shared" si="39"/>
        <v>0</v>
      </c>
      <c r="AA314" s="203">
        <f>+Table1[[#This Row],[calculated sale price]]</f>
        <v>0</v>
      </c>
      <c r="AB314" s="202"/>
      <c r="AC314" s="206"/>
      <c r="AD314" s="414"/>
    </row>
    <row r="315" spans="1:30" x14ac:dyDescent="0.25">
      <c r="A315" s="186">
        <v>1306</v>
      </c>
      <c r="C315" s="186"/>
      <c r="I315" s="186"/>
      <c r="J315" s="186"/>
      <c r="K315" s="186"/>
      <c r="L315" s="197"/>
      <c r="M315" s="186"/>
      <c r="N315" s="198"/>
      <c r="O315" s="199">
        <v>0</v>
      </c>
      <c r="P315" s="199">
        <f>Table1[[#This Row],[unit cost]]</f>
        <v>0</v>
      </c>
      <c r="Q315" s="409"/>
      <c r="R315" s="186">
        <v>1</v>
      </c>
      <c r="S315" s="249">
        <f t="shared" si="41"/>
        <v>0.42</v>
      </c>
      <c r="T315" s="201">
        <f>Table1[[#This Row],[man minutes]]*Table1[[#This Row],[labor rate]]</f>
        <v>0</v>
      </c>
      <c r="U315" s="201">
        <f t="shared" si="36"/>
        <v>0</v>
      </c>
      <c r="V315" s="187">
        <f t="shared" si="42"/>
        <v>0.22</v>
      </c>
      <c r="W315" s="250">
        <f t="shared" si="40"/>
        <v>0.2</v>
      </c>
      <c r="X315" s="201">
        <f t="shared" si="37"/>
        <v>0</v>
      </c>
      <c r="Y315" s="201">
        <f t="shared" si="38"/>
        <v>0</v>
      </c>
      <c r="Z315" s="201">
        <f t="shared" si="39"/>
        <v>0</v>
      </c>
      <c r="AA315" s="203">
        <f>+Table1[[#This Row],[calculated sale price]]</f>
        <v>0</v>
      </c>
      <c r="AB315" s="202"/>
      <c r="AC315" s="206"/>
      <c r="AD315" s="414"/>
    </row>
    <row r="316" spans="1:30" s="205" customFormat="1" x14ac:dyDescent="0.25">
      <c r="A316" s="186">
        <v>1307</v>
      </c>
      <c r="B316"/>
      <c r="C316" s="186"/>
      <c r="D316" s="186"/>
      <c r="E316" s="186"/>
      <c r="F316" s="186"/>
      <c r="G316" s="186"/>
      <c r="H316" s="186"/>
      <c r="I316" s="186"/>
      <c r="J316" s="186"/>
      <c r="K316" s="186"/>
      <c r="L316" s="197"/>
      <c r="M316" s="186"/>
      <c r="N316" s="198"/>
      <c r="O316" s="199">
        <v>0</v>
      </c>
      <c r="P316" s="199">
        <f>Table1[[#This Row],[unit cost]]</f>
        <v>0</v>
      </c>
      <c r="Q316" s="409"/>
      <c r="R316" s="186">
        <v>1</v>
      </c>
      <c r="S316" s="249">
        <f t="shared" si="41"/>
        <v>0.42</v>
      </c>
      <c r="T316" s="201">
        <f>Table1[[#This Row],[man minutes]]*Table1[[#This Row],[labor rate]]</f>
        <v>0</v>
      </c>
      <c r="U316" s="201">
        <f t="shared" si="36"/>
        <v>0</v>
      </c>
      <c r="V316" s="187">
        <f t="shared" si="42"/>
        <v>0.22</v>
      </c>
      <c r="W316" s="250">
        <f t="shared" si="40"/>
        <v>0.2</v>
      </c>
      <c r="X316" s="201">
        <f t="shared" si="37"/>
        <v>0</v>
      </c>
      <c r="Y316" s="201">
        <f t="shared" si="38"/>
        <v>0</v>
      </c>
      <c r="Z316" s="201">
        <f t="shared" si="39"/>
        <v>0</v>
      </c>
      <c r="AA316" s="203">
        <f>+Table1[[#This Row],[calculated sale price]]</f>
        <v>0</v>
      </c>
      <c r="AB316" s="202"/>
      <c r="AC316" s="206"/>
      <c r="AD316" s="414"/>
    </row>
    <row r="317" spans="1:30" x14ac:dyDescent="0.25">
      <c r="A317" s="186">
        <v>1308</v>
      </c>
      <c r="C317" s="186"/>
      <c r="I317" s="186"/>
      <c r="J317" s="186"/>
      <c r="K317" s="186"/>
      <c r="L317" s="197"/>
      <c r="M317" s="186"/>
      <c r="N317" s="198"/>
      <c r="O317" s="199">
        <v>0</v>
      </c>
      <c r="P317" s="199">
        <f>Table1[[#This Row],[unit cost]]</f>
        <v>0</v>
      </c>
      <c r="Q317" s="409"/>
      <c r="R317" s="186">
        <v>1</v>
      </c>
      <c r="S317" s="249">
        <f t="shared" si="41"/>
        <v>0.42</v>
      </c>
      <c r="T317" s="201">
        <f>Table1[[#This Row],[man minutes]]*Table1[[#This Row],[labor rate]]</f>
        <v>0</v>
      </c>
      <c r="U317" s="201">
        <f t="shared" si="36"/>
        <v>0</v>
      </c>
      <c r="V317" s="187">
        <f t="shared" si="42"/>
        <v>0.22</v>
      </c>
      <c r="W317" s="250">
        <f t="shared" si="40"/>
        <v>0.2</v>
      </c>
      <c r="X317" s="201">
        <f t="shared" si="37"/>
        <v>0</v>
      </c>
      <c r="Y317" s="201">
        <f t="shared" si="38"/>
        <v>0</v>
      </c>
      <c r="Z317" s="201">
        <f t="shared" si="39"/>
        <v>0</v>
      </c>
      <c r="AA317" s="203">
        <f>+Table1[[#This Row],[calculated sale price]]</f>
        <v>0</v>
      </c>
      <c r="AB317" s="202"/>
      <c r="AC317" s="206"/>
      <c r="AD317" s="414"/>
    </row>
    <row r="318" spans="1:30" x14ac:dyDescent="0.25">
      <c r="A318" s="186">
        <v>1309</v>
      </c>
      <c r="C318" s="186"/>
      <c r="I318" s="186"/>
      <c r="J318" s="186"/>
      <c r="K318" s="186"/>
      <c r="L318" s="197"/>
      <c r="M318" s="186"/>
      <c r="N318" s="198"/>
      <c r="O318" s="199">
        <v>0</v>
      </c>
      <c r="P318" s="199">
        <f>Table1[[#This Row],[unit cost]]</f>
        <v>0</v>
      </c>
      <c r="Q318" s="409"/>
      <c r="R318" s="186">
        <v>1</v>
      </c>
      <c r="S318" s="249">
        <f t="shared" si="41"/>
        <v>0.42</v>
      </c>
      <c r="T318" s="201">
        <f>Table1[[#This Row],[man minutes]]*Table1[[#This Row],[labor rate]]</f>
        <v>0</v>
      </c>
      <c r="U318" s="201">
        <f t="shared" ref="U318:U381" si="43">P318+T318</f>
        <v>0</v>
      </c>
      <c r="V318" s="187">
        <f t="shared" si="42"/>
        <v>0.22</v>
      </c>
      <c r="W318" s="250">
        <f t="shared" si="40"/>
        <v>0.2</v>
      </c>
      <c r="X318" s="201">
        <f t="shared" ref="X318:X381" si="44">P318*(1+V318)</f>
        <v>0</v>
      </c>
      <c r="Y318" s="201">
        <f t="shared" ref="Y318:Y381" si="45">T318+(T318*W318)</f>
        <v>0</v>
      </c>
      <c r="Z318" s="201">
        <f t="shared" ref="Z318:Z381" si="46">IFERROR(ROUNDUP(X318+Y318,2)," ")</f>
        <v>0</v>
      </c>
      <c r="AA318" s="203">
        <f>+Table1[[#This Row],[calculated sale price]]</f>
        <v>0</v>
      </c>
      <c r="AB318" s="202"/>
      <c r="AC318" s="206"/>
      <c r="AD318" s="414"/>
    </row>
    <row r="319" spans="1:30" x14ac:dyDescent="0.25">
      <c r="A319" s="186">
        <v>1310</v>
      </c>
      <c r="C319" s="186"/>
      <c r="I319" s="186"/>
      <c r="J319" s="186"/>
      <c r="K319" s="186"/>
      <c r="L319" s="197"/>
      <c r="M319" s="186"/>
      <c r="N319" s="198"/>
      <c r="O319" s="199">
        <v>0</v>
      </c>
      <c r="P319" s="199">
        <f>Table1[[#This Row],[unit cost]]</f>
        <v>0</v>
      </c>
      <c r="Q319" s="409"/>
      <c r="R319" s="186">
        <v>1</v>
      </c>
      <c r="S319" s="249">
        <f t="shared" si="41"/>
        <v>0.42</v>
      </c>
      <c r="T319" s="201">
        <f>Table1[[#This Row],[man minutes]]*Table1[[#This Row],[labor rate]]</f>
        <v>0</v>
      </c>
      <c r="U319" s="201">
        <f t="shared" si="43"/>
        <v>0</v>
      </c>
      <c r="V319" s="187">
        <f t="shared" si="42"/>
        <v>0.22</v>
      </c>
      <c r="W319" s="250">
        <f t="shared" ref="W319:W382" si="47">$W$2</f>
        <v>0.2</v>
      </c>
      <c r="X319" s="201">
        <f t="shared" si="44"/>
        <v>0</v>
      </c>
      <c r="Y319" s="201">
        <f t="shared" si="45"/>
        <v>0</v>
      </c>
      <c r="Z319" s="201">
        <f t="shared" si="46"/>
        <v>0</v>
      </c>
      <c r="AA319" s="203">
        <f>+Table1[[#This Row],[calculated sale price]]</f>
        <v>0</v>
      </c>
      <c r="AB319" s="202"/>
      <c r="AC319" s="206"/>
      <c r="AD319" s="414"/>
    </row>
    <row r="320" spans="1:30" x14ac:dyDescent="0.25">
      <c r="A320" s="186">
        <v>1311</v>
      </c>
      <c r="C320" s="186"/>
      <c r="I320" s="186"/>
      <c r="J320" s="186"/>
      <c r="K320" s="186"/>
      <c r="L320" s="197"/>
      <c r="M320" s="186"/>
      <c r="N320" s="198"/>
      <c r="O320" s="199">
        <v>0</v>
      </c>
      <c r="P320" s="199">
        <f>Table1[[#This Row],[unit cost]]</f>
        <v>0</v>
      </c>
      <c r="Q320" s="409"/>
      <c r="R320" s="186">
        <v>1</v>
      </c>
      <c r="S320" s="249">
        <f t="shared" si="41"/>
        <v>0.42</v>
      </c>
      <c r="T320" s="201">
        <f>Table1[[#This Row],[man minutes]]*Table1[[#This Row],[labor rate]]</f>
        <v>0</v>
      </c>
      <c r="U320" s="201">
        <f t="shared" si="43"/>
        <v>0</v>
      </c>
      <c r="V320" s="187">
        <f t="shared" si="42"/>
        <v>0.22</v>
      </c>
      <c r="W320" s="250">
        <f t="shared" si="47"/>
        <v>0.2</v>
      </c>
      <c r="X320" s="201">
        <f t="shared" si="44"/>
        <v>0</v>
      </c>
      <c r="Y320" s="201">
        <f t="shared" si="45"/>
        <v>0</v>
      </c>
      <c r="Z320" s="201">
        <f t="shared" si="46"/>
        <v>0</v>
      </c>
      <c r="AA320" s="203">
        <f>+Table1[[#This Row],[calculated sale price]]</f>
        <v>0</v>
      </c>
      <c r="AB320" s="202"/>
      <c r="AC320" s="206"/>
      <c r="AD320" s="414"/>
    </row>
    <row r="321" spans="1:30" x14ac:dyDescent="0.25">
      <c r="A321" s="186">
        <v>1312</v>
      </c>
      <c r="C321" s="186"/>
      <c r="I321" s="186"/>
      <c r="J321" s="186"/>
      <c r="K321" s="186"/>
      <c r="L321" s="197"/>
      <c r="M321" s="186"/>
      <c r="N321" s="198"/>
      <c r="O321" s="199">
        <v>0</v>
      </c>
      <c r="P321" s="199">
        <f>Table1[[#This Row],[unit cost]]</f>
        <v>0</v>
      </c>
      <c r="Q321" s="409"/>
      <c r="R321" s="186">
        <v>1</v>
      </c>
      <c r="S321" s="249">
        <f t="shared" ref="S321:S384" si="48">$S$2</f>
        <v>0.42</v>
      </c>
      <c r="T321" s="201">
        <f>Table1[[#This Row],[man minutes]]*Table1[[#This Row],[labor rate]]</f>
        <v>0</v>
      </c>
      <c r="U321" s="201">
        <f t="shared" si="43"/>
        <v>0</v>
      </c>
      <c r="V321" s="187">
        <f t="shared" si="42"/>
        <v>0.22</v>
      </c>
      <c r="W321" s="250">
        <f t="shared" si="47"/>
        <v>0.2</v>
      </c>
      <c r="X321" s="201">
        <f t="shared" si="44"/>
        <v>0</v>
      </c>
      <c r="Y321" s="201">
        <f t="shared" si="45"/>
        <v>0</v>
      </c>
      <c r="Z321" s="201">
        <f t="shared" si="46"/>
        <v>0</v>
      </c>
      <c r="AA321" s="203">
        <f>+Table1[[#This Row],[calculated sale price]]</f>
        <v>0</v>
      </c>
      <c r="AB321" s="202"/>
      <c r="AC321" s="206"/>
      <c r="AD321" s="414"/>
    </row>
    <row r="322" spans="1:30" x14ac:dyDescent="0.25">
      <c r="A322" s="186">
        <v>1313</v>
      </c>
      <c r="C322" s="186"/>
      <c r="I322" s="186"/>
      <c r="J322" s="186"/>
      <c r="K322" s="186"/>
      <c r="L322" s="197"/>
      <c r="M322" s="186"/>
      <c r="N322" s="198"/>
      <c r="O322" s="199">
        <v>0</v>
      </c>
      <c r="P322" s="199">
        <f>Table1[[#This Row],[unit cost]]</f>
        <v>0</v>
      </c>
      <c r="Q322" s="409"/>
      <c r="R322" s="186">
        <v>1</v>
      </c>
      <c r="S322" s="249">
        <f t="shared" si="48"/>
        <v>0.42</v>
      </c>
      <c r="T322" s="201">
        <f>Table1[[#This Row],[man minutes]]*Table1[[#This Row],[labor rate]]</f>
        <v>0</v>
      </c>
      <c r="U322" s="201">
        <f t="shared" si="43"/>
        <v>0</v>
      </c>
      <c r="V322" s="187">
        <f t="shared" si="42"/>
        <v>0.22</v>
      </c>
      <c r="W322" s="250">
        <f t="shared" si="47"/>
        <v>0.2</v>
      </c>
      <c r="X322" s="201">
        <f t="shared" si="44"/>
        <v>0</v>
      </c>
      <c r="Y322" s="201">
        <f t="shared" si="45"/>
        <v>0</v>
      </c>
      <c r="Z322" s="201">
        <f t="shared" si="46"/>
        <v>0</v>
      </c>
      <c r="AA322" s="203">
        <f>+Table1[[#This Row],[calculated sale price]]</f>
        <v>0</v>
      </c>
      <c r="AB322" s="202"/>
      <c r="AC322" s="206"/>
      <c r="AD322" s="414"/>
    </row>
    <row r="323" spans="1:30" x14ac:dyDescent="0.25">
      <c r="A323" s="186">
        <v>1314</v>
      </c>
      <c r="C323" s="186"/>
      <c r="I323" s="186"/>
      <c r="J323" s="186"/>
      <c r="K323" s="186"/>
      <c r="L323" s="197"/>
      <c r="M323" s="186"/>
      <c r="N323" s="198"/>
      <c r="O323" s="199">
        <v>0</v>
      </c>
      <c r="P323" s="199">
        <f>Table1[[#This Row],[unit cost]]</f>
        <v>0</v>
      </c>
      <c r="Q323" s="409"/>
      <c r="R323" s="186">
        <v>1</v>
      </c>
      <c r="S323" s="249">
        <f t="shared" si="48"/>
        <v>0.42</v>
      </c>
      <c r="T323" s="201">
        <f>Table1[[#This Row],[man minutes]]*Table1[[#This Row],[labor rate]]</f>
        <v>0</v>
      </c>
      <c r="U323" s="201">
        <f t="shared" si="43"/>
        <v>0</v>
      </c>
      <c r="V323" s="187">
        <f t="shared" si="42"/>
        <v>0.22</v>
      </c>
      <c r="W323" s="250">
        <f t="shared" si="47"/>
        <v>0.2</v>
      </c>
      <c r="X323" s="201">
        <f t="shared" si="44"/>
        <v>0</v>
      </c>
      <c r="Y323" s="201">
        <f t="shared" si="45"/>
        <v>0</v>
      </c>
      <c r="Z323" s="201">
        <f t="shared" si="46"/>
        <v>0</v>
      </c>
      <c r="AA323" s="203">
        <f>+Table1[[#This Row],[calculated sale price]]</f>
        <v>0</v>
      </c>
      <c r="AB323" s="202"/>
      <c r="AC323" s="206"/>
      <c r="AD323" s="414"/>
    </row>
    <row r="324" spans="1:30" x14ac:dyDescent="0.25">
      <c r="A324" s="186">
        <v>1315</v>
      </c>
      <c r="C324" s="186"/>
      <c r="I324" s="186"/>
      <c r="J324" s="186"/>
      <c r="K324" s="186"/>
      <c r="L324" s="197"/>
      <c r="M324" s="186"/>
      <c r="N324" s="198"/>
      <c r="O324" s="199">
        <v>0</v>
      </c>
      <c r="P324" s="199">
        <f>Table1[[#This Row],[unit cost]]</f>
        <v>0</v>
      </c>
      <c r="Q324" s="409"/>
      <c r="R324" s="186">
        <v>1</v>
      </c>
      <c r="S324" s="249">
        <f t="shared" si="48"/>
        <v>0.42</v>
      </c>
      <c r="T324" s="201">
        <f>Table1[[#This Row],[man minutes]]*Table1[[#This Row],[labor rate]]</f>
        <v>0</v>
      </c>
      <c r="U324" s="201">
        <f t="shared" si="43"/>
        <v>0</v>
      </c>
      <c r="V324" s="187">
        <f t="shared" si="42"/>
        <v>0.22</v>
      </c>
      <c r="W324" s="250">
        <f t="shared" si="47"/>
        <v>0.2</v>
      </c>
      <c r="X324" s="201">
        <f t="shared" si="44"/>
        <v>0</v>
      </c>
      <c r="Y324" s="201">
        <f t="shared" si="45"/>
        <v>0</v>
      </c>
      <c r="Z324" s="201">
        <f t="shared" si="46"/>
        <v>0</v>
      </c>
      <c r="AA324" s="203">
        <f>+Table1[[#This Row],[calculated sale price]]</f>
        <v>0</v>
      </c>
      <c r="AB324" s="202"/>
      <c r="AC324" s="206"/>
      <c r="AD324" s="414"/>
    </row>
    <row r="325" spans="1:30" x14ac:dyDescent="0.25">
      <c r="A325" s="186">
        <v>1316</v>
      </c>
      <c r="C325" s="186"/>
      <c r="I325" s="186"/>
      <c r="J325" s="186"/>
      <c r="K325" s="186"/>
      <c r="L325" s="197"/>
      <c r="M325" s="186"/>
      <c r="N325" s="198"/>
      <c r="O325" s="199">
        <v>0</v>
      </c>
      <c r="P325" s="199">
        <f>Table1[[#This Row],[unit cost]]</f>
        <v>0</v>
      </c>
      <c r="Q325" s="409"/>
      <c r="R325" s="186">
        <v>1</v>
      </c>
      <c r="S325" s="249">
        <f t="shared" si="48"/>
        <v>0.42</v>
      </c>
      <c r="T325" s="201">
        <f>Table1[[#This Row],[man minutes]]*Table1[[#This Row],[labor rate]]</f>
        <v>0</v>
      </c>
      <c r="U325" s="201">
        <f t="shared" si="43"/>
        <v>0</v>
      </c>
      <c r="V325" s="187">
        <f t="shared" si="42"/>
        <v>0.22</v>
      </c>
      <c r="W325" s="250">
        <f t="shared" si="47"/>
        <v>0.2</v>
      </c>
      <c r="X325" s="201">
        <f t="shared" si="44"/>
        <v>0</v>
      </c>
      <c r="Y325" s="201">
        <f t="shared" si="45"/>
        <v>0</v>
      </c>
      <c r="Z325" s="201">
        <f t="shared" si="46"/>
        <v>0</v>
      </c>
      <c r="AA325" s="203">
        <f>+Table1[[#This Row],[calculated sale price]]</f>
        <v>0</v>
      </c>
      <c r="AB325" s="202"/>
      <c r="AC325" s="206"/>
      <c r="AD325" s="414"/>
    </row>
    <row r="326" spans="1:30" x14ac:dyDescent="0.25">
      <c r="A326" s="186">
        <v>1317</v>
      </c>
      <c r="C326" s="186"/>
      <c r="I326" s="186"/>
      <c r="J326" s="186"/>
      <c r="K326" s="186"/>
      <c r="L326" s="197"/>
      <c r="M326" s="186"/>
      <c r="N326" s="198"/>
      <c r="O326" s="199">
        <v>0</v>
      </c>
      <c r="P326" s="199">
        <f>Table1[[#This Row],[unit cost]]</f>
        <v>0</v>
      </c>
      <c r="Q326" s="409"/>
      <c r="R326" s="186">
        <v>1</v>
      </c>
      <c r="S326" s="249">
        <f t="shared" si="48"/>
        <v>0.42</v>
      </c>
      <c r="T326" s="201">
        <f>Table1[[#This Row],[man minutes]]*Table1[[#This Row],[labor rate]]</f>
        <v>0</v>
      </c>
      <c r="U326" s="201">
        <f t="shared" si="43"/>
        <v>0</v>
      </c>
      <c r="V326" s="187">
        <f t="shared" si="42"/>
        <v>0.22</v>
      </c>
      <c r="W326" s="250">
        <f t="shared" si="47"/>
        <v>0.2</v>
      </c>
      <c r="X326" s="201">
        <f t="shared" si="44"/>
        <v>0</v>
      </c>
      <c r="Y326" s="201">
        <f t="shared" si="45"/>
        <v>0</v>
      </c>
      <c r="Z326" s="201">
        <f t="shared" si="46"/>
        <v>0</v>
      </c>
      <c r="AA326" s="203">
        <f>+Table1[[#This Row],[calculated sale price]]</f>
        <v>0</v>
      </c>
      <c r="AB326" s="202"/>
      <c r="AC326" s="206"/>
      <c r="AD326" s="414"/>
    </row>
    <row r="327" spans="1:30" x14ac:dyDescent="0.25">
      <c r="A327" s="186">
        <v>1318</v>
      </c>
      <c r="C327" s="186"/>
      <c r="I327" s="186"/>
      <c r="J327" s="186"/>
      <c r="K327" s="186"/>
      <c r="L327" s="197"/>
      <c r="M327" s="186"/>
      <c r="N327" s="198"/>
      <c r="O327" s="199">
        <v>0</v>
      </c>
      <c r="P327" s="199">
        <f>Table1[[#This Row],[unit cost]]</f>
        <v>0</v>
      </c>
      <c r="Q327" s="409"/>
      <c r="R327" s="186">
        <v>1</v>
      </c>
      <c r="S327" s="249">
        <f t="shared" si="48"/>
        <v>0.42</v>
      </c>
      <c r="T327" s="201">
        <f>Table1[[#This Row],[man minutes]]*Table1[[#This Row],[labor rate]]</f>
        <v>0</v>
      </c>
      <c r="U327" s="201">
        <f t="shared" si="43"/>
        <v>0</v>
      </c>
      <c r="V327" s="187">
        <f t="shared" si="42"/>
        <v>0.22</v>
      </c>
      <c r="W327" s="250">
        <f t="shared" si="47"/>
        <v>0.2</v>
      </c>
      <c r="X327" s="201">
        <f t="shared" si="44"/>
        <v>0</v>
      </c>
      <c r="Y327" s="201">
        <f t="shared" si="45"/>
        <v>0</v>
      </c>
      <c r="Z327" s="201">
        <f t="shared" si="46"/>
        <v>0</v>
      </c>
      <c r="AA327" s="203">
        <f>+Table1[[#This Row],[calculated sale price]]</f>
        <v>0</v>
      </c>
      <c r="AB327" s="202"/>
      <c r="AC327" s="206"/>
      <c r="AD327" s="414"/>
    </row>
    <row r="328" spans="1:30" s="205" customFormat="1" x14ac:dyDescent="0.25">
      <c r="A328" s="186">
        <v>1319</v>
      </c>
      <c r="B328"/>
      <c r="C328" s="186"/>
      <c r="D328" s="186"/>
      <c r="E328" s="186"/>
      <c r="F328" s="186"/>
      <c r="G328" s="186"/>
      <c r="H328" s="186"/>
      <c r="I328" s="186"/>
      <c r="J328" s="186"/>
      <c r="K328" s="186"/>
      <c r="L328" s="197"/>
      <c r="M328" s="186"/>
      <c r="N328" s="198"/>
      <c r="O328" s="199">
        <v>0</v>
      </c>
      <c r="P328" s="199">
        <f>Table1[[#This Row],[unit cost]]</f>
        <v>0</v>
      </c>
      <c r="Q328" s="409"/>
      <c r="R328" s="186">
        <v>1</v>
      </c>
      <c r="S328" s="249">
        <f t="shared" si="48"/>
        <v>0.42</v>
      </c>
      <c r="T328" s="201">
        <f>Table1[[#This Row],[man minutes]]*Table1[[#This Row],[labor rate]]</f>
        <v>0</v>
      </c>
      <c r="U328" s="201">
        <f t="shared" si="43"/>
        <v>0</v>
      </c>
      <c r="V328" s="187">
        <f t="shared" si="42"/>
        <v>0.22</v>
      </c>
      <c r="W328" s="250">
        <f t="shared" si="47"/>
        <v>0.2</v>
      </c>
      <c r="X328" s="201">
        <f t="shared" si="44"/>
        <v>0</v>
      </c>
      <c r="Y328" s="201">
        <f t="shared" si="45"/>
        <v>0</v>
      </c>
      <c r="Z328" s="201">
        <f t="shared" si="46"/>
        <v>0</v>
      </c>
      <c r="AA328" s="203">
        <f>+Table1[[#This Row],[calculated sale price]]</f>
        <v>0</v>
      </c>
      <c r="AB328" s="202"/>
      <c r="AC328" s="206"/>
      <c r="AD328" s="414"/>
    </row>
    <row r="329" spans="1:30" x14ac:dyDescent="0.25">
      <c r="A329" s="186">
        <v>1320</v>
      </c>
      <c r="C329" s="186"/>
      <c r="I329" s="186"/>
      <c r="J329" s="186"/>
      <c r="K329" s="186"/>
      <c r="L329" s="197"/>
      <c r="M329" s="186"/>
      <c r="N329" s="198"/>
      <c r="O329" s="199">
        <v>0</v>
      </c>
      <c r="P329" s="199">
        <f>Table1[[#This Row],[unit cost]]</f>
        <v>0</v>
      </c>
      <c r="Q329" s="409"/>
      <c r="R329" s="186">
        <v>1</v>
      </c>
      <c r="S329" s="249">
        <f t="shared" si="48"/>
        <v>0.42</v>
      </c>
      <c r="T329" s="201">
        <f>Table1[[#This Row],[man minutes]]*Table1[[#This Row],[labor rate]]</f>
        <v>0</v>
      </c>
      <c r="U329" s="201">
        <f t="shared" si="43"/>
        <v>0</v>
      </c>
      <c r="V329" s="187">
        <f t="shared" si="42"/>
        <v>0.22</v>
      </c>
      <c r="W329" s="250">
        <f t="shared" si="47"/>
        <v>0.2</v>
      </c>
      <c r="X329" s="201">
        <f t="shared" si="44"/>
        <v>0</v>
      </c>
      <c r="Y329" s="201">
        <f t="shared" si="45"/>
        <v>0</v>
      </c>
      <c r="Z329" s="201">
        <f t="shared" si="46"/>
        <v>0</v>
      </c>
      <c r="AA329" s="203">
        <f>+Table1[[#This Row],[calculated sale price]]</f>
        <v>0</v>
      </c>
      <c r="AB329" s="202"/>
      <c r="AC329" s="206"/>
      <c r="AD329" s="414"/>
    </row>
    <row r="330" spans="1:30" x14ac:dyDescent="0.25">
      <c r="A330" s="186">
        <v>1321</v>
      </c>
      <c r="C330" s="186"/>
      <c r="I330" s="186"/>
      <c r="J330" s="186"/>
      <c r="K330" s="186"/>
      <c r="L330" s="197"/>
      <c r="M330" s="186"/>
      <c r="N330" s="198"/>
      <c r="O330" s="199">
        <v>0</v>
      </c>
      <c r="P330" s="199">
        <f>Table1[[#This Row],[unit cost]]</f>
        <v>0</v>
      </c>
      <c r="Q330" s="409"/>
      <c r="R330" s="186">
        <v>1</v>
      </c>
      <c r="S330" s="249">
        <f t="shared" si="48"/>
        <v>0.42</v>
      </c>
      <c r="T330" s="201">
        <f>Table1[[#This Row],[man minutes]]*Table1[[#This Row],[labor rate]]</f>
        <v>0</v>
      </c>
      <c r="U330" s="201">
        <f t="shared" si="43"/>
        <v>0</v>
      </c>
      <c r="V330" s="187">
        <f t="shared" si="42"/>
        <v>0.22</v>
      </c>
      <c r="W330" s="250">
        <f t="shared" si="47"/>
        <v>0.2</v>
      </c>
      <c r="X330" s="201">
        <f t="shared" si="44"/>
        <v>0</v>
      </c>
      <c r="Y330" s="201">
        <f t="shared" si="45"/>
        <v>0</v>
      </c>
      <c r="Z330" s="201">
        <f t="shared" si="46"/>
        <v>0</v>
      </c>
      <c r="AA330" s="203">
        <f>+Table1[[#This Row],[calculated sale price]]</f>
        <v>0</v>
      </c>
      <c r="AB330" s="202"/>
      <c r="AC330" s="206"/>
      <c r="AD330" s="414"/>
    </row>
    <row r="331" spans="1:30" x14ac:dyDescent="0.25">
      <c r="A331" s="186">
        <v>1322</v>
      </c>
      <c r="C331" s="186"/>
      <c r="I331" s="186"/>
      <c r="J331" s="186"/>
      <c r="K331" s="186"/>
      <c r="L331" s="197"/>
      <c r="M331" s="186"/>
      <c r="N331" s="198"/>
      <c r="O331" s="199">
        <v>0</v>
      </c>
      <c r="P331" s="199">
        <f>Table1[[#This Row],[unit cost]]</f>
        <v>0</v>
      </c>
      <c r="Q331" s="409"/>
      <c r="R331" s="186">
        <v>1</v>
      </c>
      <c r="S331" s="249">
        <f t="shared" si="48"/>
        <v>0.42</v>
      </c>
      <c r="T331" s="201">
        <f>Table1[[#This Row],[man minutes]]*Table1[[#This Row],[labor rate]]</f>
        <v>0</v>
      </c>
      <c r="U331" s="201">
        <f t="shared" si="43"/>
        <v>0</v>
      </c>
      <c r="V331" s="187">
        <f t="shared" si="42"/>
        <v>0.22</v>
      </c>
      <c r="W331" s="250">
        <f t="shared" si="47"/>
        <v>0.2</v>
      </c>
      <c r="X331" s="201">
        <f t="shared" si="44"/>
        <v>0</v>
      </c>
      <c r="Y331" s="201">
        <f t="shared" si="45"/>
        <v>0</v>
      </c>
      <c r="Z331" s="201">
        <f t="shared" si="46"/>
        <v>0</v>
      </c>
      <c r="AA331" s="203">
        <f>+Table1[[#This Row],[calculated sale price]]</f>
        <v>0</v>
      </c>
      <c r="AB331" s="202"/>
      <c r="AC331" s="206"/>
      <c r="AD331" s="414"/>
    </row>
    <row r="332" spans="1:30" s="205" customFormat="1" x14ac:dyDescent="0.25">
      <c r="A332" s="186">
        <v>1323</v>
      </c>
      <c r="B332"/>
      <c r="C332" s="186"/>
      <c r="D332" s="186"/>
      <c r="E332" s="186"/>
      <c r="F332" s="186"/>
      <c r="G332" s="186"/>
      <c r="H332" s="186"/>
      <c r="I332" s="186"/>
      <c r="J332" s="186"/>
      <c r="K332" s="186"/>
      <c r="L332" s="197"/>
      <c r="M332" s="186"/>
      <c r="N332" s="198"/>
      <c r="O332" s="199">
        <v>0</v>
      </c>
      <c r="P332" s="199">
        <f>Table1[[#This Row],[unit cost]]</f>
        <v>0</v>
      </c>
      <c r="Q332" s="409"/>
      <c r="R332" s="186">
        <v>1</v>
      </c>
      <c r="S332" s="249">
        <f t="shared" si="48"/>
        <v>0.42</v>
      </c>
      <c r="T332" s="201">
        <f>Table1[[#This Row],[man minutes]]*Table1[[#This Row],[labor rate]]</f>
        <v>0</v>
      </c>
      <c r="U332" s="201">
        <f t="shared" si="43"/>
        <v>0</v>
      </c>
      <c r="V332" s="187">
        <f t="shared" si="42"/>
        <v>0.22</v>
      </c>
      <c r="W332" s="250">
        <f t="shared" si="47"/>
        <v>0.2</v>
      </c>
      <c r="X332" s="201">
        <f t="shared" si="44"/>
        <v>0</v>
      </c>
      <c r="Y332" s="201">
        <f t="shared" si="45"/>
        <v>0</v>
      </c>
      <c r="Z332" s="201">
        <f t="shared" si="46"/>
        <v>0</v>
      </c>
      <c r="AA332" s="203">
        <f>+Table1[[#This Row],[calculated sale price]]</f>
        <v>0</v>
      </c>
      <c r="AB332" s="202"/>
      <c r="AC332" s="206"/>
      <c r="AD332" s="414"/>
    </row>
    <row r="333" spans="1:30" x14ac:dyDescent="0.25">
      <c r="A333" s="186">
        <v>1324</v>
      </c>
      <c r="C333" s="186"/>
      <c r="I333" s="186"/>
      <c r="J333" s="186"/>
      <c r="K333" s="186"/>
      <c r="L333" s="197"/>
      <c r="M333" s="186"/>
      <c r="N333" s="198"/>
      <c r="O333" s="199">
        <v>0</v>
      </c>
      <c r="P333" s="199">
        <f>Table1[[#This Row],[unit cost]]</f>
        <v>0</v>
      </c>
      <c r="Q333" s="409"/>
      <c r="R333" s="186">
        <v>1</v>
      </c>
      <c r="S333" s="249">
        <f t="shared" si="48"/>
        <v>0.42</v>
      </c>
      <c r="T333" s="201">
        <f>Table1[[#This Row],[man minutes]]*Table1[[#This Row],[labor rate]]</f>
        <v>0</v>
      </c>
      <c r="U333" s="201">
        <f t="shared" si="43"/>
        <v>0</v>
      </c>
      <c r="V333" s="187">
        <f t="shared" si="42"/>
        <v>0.22</v>
      </c>
      <c r="W333" s="250">
        <f t="shared" si="47"/>
        <v>0.2</v>
      </c>
      <c r="X333" s="201">
        <f t="shared" si="44"/>
        <v>0</v>
      </c>
      <c r="Y333" s="201">
        <f t="shared" si="45"/>
        <v>0</v>
      </c>
      <c r="Z333" s="201">
        <f t="shared" si="46"/>
        <v>0</v>
      </c>
      <c r="AA333" s="203">
        <f>+Table1[[#This Row],[calculated sale price]]</f>
        <v>0</v>
      </c>
      <c r="AB333" s="202"/>
      <c r="AC333" s="206"/>
      <c r="AD333" s="414"/>
    </row>
    <row r="334" spans="1:30" x14ac:dyDescent="0.25">
      <c r="A334" s="186">
        <v>1325</v>
      </c>
      <c r="C334" s="186"/>
      <c r="I334" s="186"/>
      <c r="J334" s="186"/>
      <c r="K334" s="186"/>
      <c r="L334" s="197"/>
      <c r="M334" s="186"/>
      <c r="N334" s="198"/>
      <c r="O334" s="199">
        <v>0</v>
      </c>
      <c r="P334" s="199">
        <f>Table1[[#This Row],[unit cost]]</f>
        <v>0</v>
      </c>
      <c r="Q334" s="409"/>
      <c r="R334" s="186">
        <v>1</v>
      </c>
      <c r="S334" s="249">
        <f t="shared" si="48"/>
        <v>0.42</v>
      </c>
      <c r="T334" s="201">
        <f>Table1[[#This Row],[man minutes]]*Table1[[#This Row],[labor rate]]</f>
        <v>0</v>
      </c>
      <c r="U334" s="201">
        <f t="shared" si="43"/>
        <v>0</v>
      </c>
      <c r="V334" s="187">
        <f t="shared" si="42"/>
        <v>0.22</v>
      </c>
      <c r="W334" s="250">
        <f t="shared" si="47"/>
        <v>0.2</v>
      </c>
      <c r="X334" s="201">
        <f t="shared" si="44"/>
        <v>0</v>
      </c>
      <c r="Y334" s="201">
        <f t="shared" si="45"/>
        <v>0</v>
      </c>
      <c r="Z334" s="201">
        <f t="shared" si="46"/>
        <v>0</v>
      </c>
      <c r="AA334" s="203">
        <f>+Table1[[#This Row],[calculated sale price]]</f>
        <v>0</v>
      </c>
      <c r="AB334" s="202"/>
      <c r="AC334" s="206"/>
      <c r="AD334" s="414"/>
    </row>
    <row r="335" spans="1:30" x14ac:dyDescent="0.25">
      <c r="A335" s="186">
        <v>1326</v>
      </c>
      <c r="C335" s="186"/>
      <c r="I335" s="186"/>
      <c r="J335" s="186"/>
      <c r="K335" s="186"/>
      <c r="L335" s="197"/>
      <c r="M335" s="186"/>
      <c r="N335" s="198"/>
      <c r="O335" s="199">
        <v>0</v>
      </c>
      <c r="P335" s="199">
        <f>Table1[[#This Row],[unit cost]]</f>
        <v>0</v>
      </c>
      <c r="Q335" s="409"/>
      <c r="R335" s="186">
        <v>1</v>
      </c>
      <c r="S335" s="249">
        <f t="shared" si="48"/>
        <v>0.42</v>
      </c>
      <c r="T335" s="201">
        <f>Table1[[#This Row],[man minutes]]*Table1[[#This Row],[labor rate]]</f>
        <v>0</v>
      </c>
      <c r="U335" s="201">
        <f t="shared" si="43"/>
        <v>0</v>
      </c>
      <c r="V335" s="187">
        <f t="shared" si="42"/>
        <v>0.22</v>
      </c>
      <c r="W335" s="250">
        <f t="shared" si="47"/>
        <v>0.2</v>
      </c>
      <c r="X335" s="201">
        <f t="shared" si="44"/>
        <v>0</v>
      </c>
      <c r="Y335" s="201">
        <f t="shared" si="45"/>
        <v>0</v>
      </c>
      <c r="Z335" s="201">
        <f t="shared" si="46"/>
        <v>0</v>
      </c>
      <c r="AA335" s="203">
        <f>+Table1[[#This Row],[calculated sale price]]</f>
        <v>0</v>
      </c>
      <c r="AB335" s="202"/>
      <c r="AC335" s="206"/>
      <c r="AD335" s="414"/>
    </row>
    <row r="336" spans="1:30" x14ac:dyDescent="0.25">
      <c r="A336" s="186">
        <v>1327</v>
      </c>
      <c r="C336" s="186"/>
      <c r="I336" s="186"/>
      <c r="J336" s="186"/>
      <c r="K336" s="186"/>
      <c r="L336" s="197"/>
      <c r="M336" s="186"/>
      <c r="N336" s="198"/>
      <c r="O336" s="199">
        <v>0</v>
      </c>
      <c r="P336" s="199">
        <f>Table1[[#This Row],[unit cost]]</f>
        <v>0</v>
      </c>
      <c r="Q336" s="409"/>
      <c r="R336" s="186">
        <v>1</v>
      </c>
      <c r="S336" s="249">
        <f t="shared" si="48"/>
        <v>0.42</v>
      </c>
      <c r="T336" s="201">
        <f>Table1[[#This Row],[man minutes]]*Table1[[#This Row],[labor rate]]</f>
        <v>0</v>
      </c>
      <c r="U336" s="201">
        <f t="shared" si="43"/>
        <v>0</v>
      </c>
      <c r="V336" s="187">
        <f t="shared" ref="V336:V399" si="49">$V$2</f>
        <v>0.22</v>
      </c>
      <c r="W336" s="250">
        <f t="shared" si="47"/>
        <v>0.2</v>
      </c>
      <c r="X336" s="201">
        <f t="shared" si="44"/>
        <v>0</v>
      </c>
      <c r="Y336" s="201">
        <f t="shared" si="45"/>
        <v>0</v>
      </c>
      <c r="Z336" s="201">
        <f t="shared" si="46"/>
        <v>0</v>
      </c>
      <c r="AA336" s="203">
        <f>+Table1[[#This Row],[calculated sale price]]</f>
        <v>0</v>
      </c>
      <c r="AB336" s="202"/>
      <c r="AC336" s="206"/>
      <c r="AD336" s="414"/>
    </row>
    <row r="337" spans="1:30" x14ac:dyDescent="0.25">
      <c r="A337" s="186">
        <v>1328</v>
      </c>
      <c r="C337" s="186"/>
      <c r="I337" s="186"/>
      <c r="J337" s="186"/>
      <c r="K337" s="186"/>
      <c r="L337" s="197"/>
      <c r="M337" s="186"/>
      <c r="N337" s="198"/>
      <c r="O337" s="199">
        <v>0</v>
      </c>
      <c r="P337" s="199">
        <f>Table1[[#This Row],[unit cost]]</f>
        <v>0</v>
      </c>
      <c r="Q337" s="409"/>
      <c r="R337" s="186">
        <v>1</v>
      </c>
      <c r="S337" s="249">
        <f t="shared" si="48"/>
        <v>0.42</v>
      </c>
      <c r="T337" s="201">
        <f>Table1[[#This Row],[man minutes]]*Table1[[#This Row],[labor rate]]</f>
        <v>0</v>
      </c>
      <c r="U337" s="201">
        <f t="shared" si="43"/>
        <v>0</v>
      </c>
      <c r="V337" s="187">
        <f t="shared" si="49"/>
        <v>0.22</v>
      </c>
      <c r="W337" s="250">
        <f t="shared" si="47"/>
        <v>0.2</v>
      </c>
      <c r="X337" s="201">
        <f t="shared" si="44"/>
        <v>0</v>
      </c>
      <c r="Y337" s="201">
        <f t="shared" si="45"/>
        <v>0</v>
      </c>
      <c r="Z337" s="201">
        <f t="shared" si="46"/>
        <v>0</v>
      </c>
      <c r="AA337" s="203">
        <f>+Table1[[#This Row],[calculated sale price]]</f>
        <v>0</v>
      </c>
      <c r="AB337" s="202"/>
      <c r="AC337" s="206"/>
      <c r="AD337" s="414"/>
    </row>
    <row r="338" spans="1:30" x14ac:dyDescent="0.25">
      <c r="A338" s="186">
        <v>1329</v>
      </c>
      <c r="C338" s="186"/>
      <c r="I338" s="186"/>
      <c r="J338" s="186"/>
      <c r="K338" s="186"/>
      <c r="L338" s="197"/>
      <c r="M338" s="186"/>
      <c r="N338" s="198"/>
      <c r="O338" s="199">
        <v>0</v>
      </c>
      <c r="P338" s="199">
        <f>Table1[[#This Row],[unit cost]]</f>
        <v>0</v>
      </c>
      <c r="Q338" s="409"/>
      <c r="R338" s="186">
        <v>1</v>
      </c>
      <c r="S338" s="249">
        <f t="shared" si="48"/>
        <v>0.42</v>
      </c>
      <c r="T338" s="201">
        <f>Table1[[#This Row],[man minutes]]*Table1[[#This Row],[labor rate]]</f>
        <v>0</v>
      </c>
      <c r="U338" s="201">
        <f t="shared" si="43"/>
        <v>0</v>
      </c>
      <c r="V338" s="187">
        <f t="shared" si="49"/>
        <v>0.22</v>
      </c>
      <c r="W338" s="250">
        <f t="shared" si="47"/>
        <v>0.2</v>
      </c>
      <c r="X338" s="201">
        <f t="shared" si="44"/>
        <v>0</v>
      </c>
      <c r="Y338" s="201">
        <f t="shared" si="45"/>
        <v>0</v>
      </c>
      <c r="Z338" s="201">
        <f t="shared" si="46"/>
        <v>0</v>
      </c>
      <c r="AA338" s="203">
        <f>+Table1[[#This Row],[calculated sale price]]</f>
        <v>0</v>
      </c>
      <c r="AB338" s="202"/>
      <c r="AC338" s="206"/>
      <c r="AD338" s="414"/>
    </row>
    <row r="339" spans="1:30" x14ac:dyDescent="0.25">
      <c r="A339" s="186">
        <v>1330</v>
      </c>
      <c r="C339" s="186"/>
      <c r="I339" s="186"/>
      <c r="J339" s="186"/>
      <c r="K339" s="186"/>
      <c r="L339" s="197"/>
      <c r="M339" s="186"/>
      <c r="N339" s="198"/>
      <c r="O339" s="199">
        <v>0</v>
      </c>
      <c r="P339" s="199">
        <f>Table1[[#This Row],[unit cost]]</f>
        <v>0</v>
      </c>
      <c r="Q339" s="409"/>
      <c r="R339" s="186">
        <v>1</v>
      </c>
      <c r="S339" s="249">
        <f t="shared" si="48"/>
        <v>0.42</v>
      </c>
      <c r="T339" s="201">
        <f>Table1[[#This Row],[man minutes]]*Table1[[#This Row],[labor rate]]</f>
        <v>0</v>
      </c>
      <c r="U339" s="201">
        <f t="shared" si="43"/>
        <v>0</v>
      </c>
      <c r="V339" s="187">
        <f t="shared" si="49"/>
        <v>0.22</v>
      </c>
      <c r="W339" s="250">
        <f t="shared" si="47"/>
        <v>0.2</v>
      </c>
      <c r="X339" s="201">
        <f t="shared" si="44"/>
        <v>0</v>
      </c>
      <c r="Y339" s="201">
        <f t="shared" si="45"/>
        <v>0</v>
      </c>
      <c r="Z339" s="201">
        <f t="shared" si="46"/>
        <v>0</v>
      </c>
      <c r="AA339" s="203">
        <f>+Table1[[#This Row],[calculated sale price]]</f>
        <v>0</v>
      </c>
      <c r="AB339" s="202"/>
      <c r="AC339" s="206"/>
      <c r="AD339" s="414"/>
    </row>
    <row r="340" spans="1:30" x14ac:dyDescent="0.25">
      <c r="A340" s="186">
        <v>1331</v>
      </c>
      <c r="C340" s="186"/>
      <c r="I340" s="186"/>
      <c r="J340" s="186"/>
      <c r="K340" s="186"/>
      <c r="L340" s="197"/>
      <c r="M340" s="186"/>
      <c r="N340" s="198"/>
      <c r="O340" s="199">
        <v>0</v>
      </c>
      <c r="P340" s="199">
        <f>Table1[[#This Row],[unit cost]]</f>
        <v>0</v>
      </c>
      <c r="Q340" s="409"/>
      <c r="R340" s="186">
        <v>1</v>
      </c>
      <c r="S340" s="249">
        <f t="shared" si="48"/>
        <v>0.42</v>
      </c>
      <c r="T340" s="201">
        <f>Table1[[#This Row],[man minutes]]*Table1[[#This Row],[labor rate]]</f>
        <v>0</v>
      </c>
      <c r="U340" s="201">
        <f t="shared" si="43"/>
        <v>0</v>
      </c>
      <c r="V340" s="187">
        <f t="shared" si="49"/>
        <v>0.22</v>
      </c>
      <c r="W340" s="250">
        <f t="shared" si="47"/>
        <v>0.2</v>
      </c>
      <c r="X340" s="201">
        <f t="shared" si="44"/>
        <v>0</v>
      </c>
      <c r="Y340" s="201">
        <f t="shared" si="45"/>
        <v>0</v>
      </c>
      <c r="Z340" s="201">
        <f t="shared" si="46"/>
        <v>0</v>
      </c>
      <c r="AA340" s="203">
        <f>+Table1[[#This Row],[calculated sale price]]</f>
        <v>0</v>
      </c>
      <c r="AB340" s="202"/>
      <c r="AC340" s="206"/>
      <c r="AD340" s="414"/>
    </row>
    <row r="341" spans="1:30" x14ac:dyDescent="0.25">
      <c r="A341" s="186">
        <v>1332</v>
      </c>
      <c r="C341" s="186"/>
      <c r="I341" s="186"/>
      <c r="J341" s="186"/>
      <c r="K341" s="186"/>
      <c r="L341" s="197"/>
      <c r="M341" s="186"/>
      <c r="N341" s="198"/>
      <c r="O341" s="199">
        <v>0</v>
      </c>
      <c r="P341" s="199">
        <f>Table1[[#This Row],[unit cost]]</f>
        <v>0</v>
      </c>
      <c r="Q341" s="409"/>
      <c r="R341" s="186">
        <v>1</v>
      </c>
      <c r="S341" s="249">
        <f t="shared" si="48"/>
        <v>0.42</v>
      </c>
      <c r="T341" s="201">
        <f>Table1[[#This Row],[man minutes]]*Table1[[#This Row],[labor rate]]</f>
        <v>0</v>
      </c>
      <c r="U341" s="201">
        <f t="shared" si="43"/>
        <v>0</v>
      </c>
      <c r="V341" s="187">
        <f t="shared" si="49"/>
        <v>0.22</v>
      </c>
      <c r="W341" s="250">
        <f t="shared" si="47"/>
        <v>0.2</v>
      </c>
      <c r="X341" s="201">
        <f t="shared" si="44"/>
        <v>0</v>
      </c>
      <c r="Y341" s="201">
        <f t="shared" si="45"/>
        <v>0</v>
      </c>
      <c r="Z341" s="201">
        <f t="shared" si="46"/>
        <v>0</v>
      </c>
      <c r="AA341" s="203">
        <f>+Table1[[#This Row],[calculated sale price]]</f>
        <v>0</v>
      </c>
      <c r="AB341" s="202"/>
      <c r="AC341" s="206"/>
      <c r="AD341" s="414"/>
    </row>
    <row r="342" spans="1:30" x14ac:dyDescent="0.25">
      <c r="A342" s="186">
        <v>1333</v>
      </c>
      <c r="C342" s="186"/>
      <c r="I342" s="186"/>
      <c r="J342" s="186"/>
      <c r="K342" s="186"/>
      <c r="L342" s="197"/>
      <c r="M342" s="186"/>
      <c r="N342" s="198"/>
      <c r="O342" s="199">
        <v>0</v>
      </c>
      <c r="P342" s="199">
        <f>Table1[[#This Row],[unit cost]]</f>
        <v>0</v>
      </c>
      <c r="Q342" s="409"/>
      <c r="R342" s="186">
        <v>1</v>
      </c>
      <c r="S342" s="249">
        <f t="shared" si="48"/>
        <v>0.42</v>
      </c>
      <c r="T342" s="201">
        <f>Table1[[#This Row],[man minutes]]*Table1[[#This Row],[labor rate]]</f>
        <v>0</v>
      </c>
      <c r="U342" s="201">
        <f t="shared" si="43"/>
        <v>0</v>
      </c>
      <c r="V342" s="187">
        <f t="shared" si="49"/>
        <v>0.22</v>
      </c>
      <c r="W342" s="250">
        <f t="shared" si="47"/>
        <v>0.2</v>
      </c>
      <c r="X342" s="201">
        <f t="shared" si="44"/>
        <v>0</v>
      </c>
      <c r="Y342" s="201">
        <f t="shared" si="45"/>
        <v>0</v>
      </c>
      <c r="Z342" s="201">
        <f t="shared" si="46"/>
        <v>0</v>
      </c>
      <c r="AA342" s="203">
        <f>+Table1[[#This Row],[calculated sale price]]</f>
        <v>0</v>
      </c>
      <c r="AB342" s="202"/>
      <c r="AC342" s="206"/>
      <c r="AD342" s="414"/>
    </row>
    <row r="343" spans="1:30" x14ac:dyDescent="0.25">
      <c r="A343" s="186">
        <v>1334</v>
      </c>
      <c r="C343" s="186"/>
      <c r="I343" s="186"/>
      <c r="J343" s="186"/>
      <c r="K343" s="186"/>
      <c r="L343" s="197"/>
      <c r="M343" s="186"/>
      <c r="N343" s="198"/>
      <c r="O343" s="199">
        <v>0</v>
      </c>
      <c r="P343" s="199">
        <f>Table1[[#This Row],[unit cost]]</f>
        <v>0</v>
      </c>
      <c r="Q343" s="409"/>
      <c r="R343" s="186">
        <v>1</v>
      </c>
      <c r="S343" s="249">
        <f t="shared" si="48"/>
        <v>0.42</v>
      </c>
      <c r="T343" s="201">
        <f>Table1[[#This Row],[man minutes]]*Table1[[#This Row],[labor rate]]</f>
        <v>0</v>
      </c>
      <c r="U343" s="201">
        <f t="shared" si="43"/>
        <v>0</v>
      </c>
      <c r="V343" s="187">
        <f t="shared" si="49"/>
        <v>0.22</v>
      </c>
      <c r="W343" s="250">
        <f t="shared" si="47"/>
        <v>0.2</v>
      </c>
      <c r="X343" s="201">
        <f t="shared" si="44"/>
        <v>0</v>
      </c>
      <c r="Y343" s="201">
        <f t="shared" si="45"/>
        <v>0</v>
      </c>
      <c r="Z343" s="201">
        <f t="shared" si="46"/>
        <v>0</v>
      </c>
      <c r="AA343" s="203">
        <f>+Table1[[#This Row],[calculated sale price]]</f>
        <v>0</v>
      </c>
      <c r="AB343" s="202"/>
      <c r="AC343" s="206"/>
      <c r="AD343" s="414"/>
    </row>
    <row r="344" spans="1:30" x14ac:dyDescent="0.25">
      <c r="A344" s="186">
        <v>1335</v>
      </c>
      <c r="C344" s="186"/>
      <c r="I344" s="186"/>
      <c r="J344" s="186"/>
      <c r="K344" s="186"/>
      <c r="L344" s="197"/>
      <c r="M344" s="186"/>
      <c r="N344" s="198"/>
      <c r="O344" s="199">
        <v>0</v>
      </c>
      <c r="P344" s="199">
        <f>Table1[[#This Row],[unit cost]]</f>
        <v>0</v>
      </c>
      <c r="Q344" s="409"/>
      <c r="R344" s="186">
        <v>1</v>
      </c>
      <c r="S344" s="249">
        <f t="shared" si="48"/>
        <v>0.42</v>
      </c>
      <c r="T344" s="201">
        <f>Table1[[#This Row],[man minutes]]*Table1[[#This Row],[labor rate]]</f>
        <v>0</v>
      </c>
      <c r="U344" s="201">
        <f t="shared" si="43"/>
        <v>0</v>
      </c>
      <c r="V344" s="187">
        <f t="shared" si="49"/>
        <v>0.22</v>
      </c>
      <c r="W344" s="250">
        <f t="shared" si="47"/>
        <v>0.2</v>
      </c>
      <c r="X344" s="201">
        <f t="shared" si="44"/>
        <v>0</v>
      </c>
      <c r="Y344" s="201">
        <f t="shared" si="45"/>
        <v>0</v>
      </c>
      <c r="Z344" s="201">
        <f t="shared" si="46"/>
        <v>0</v>
      </c>
      <c r="AA344" s="203">
        <f>+Table1[[#This Row],[calculated sale price]]</f>
        <v>0</v>
      </c>
      <c r="AB344" s="202"/>
      <c r="AC344" s="206"/>
      <c r="AD344" s="414"/>
    </row>
    <row r="345" spans="1:30" x14ac:dyDescent="0.25">
      <c r="A345" s="186">
        <v>1336</v>
      </c>
      <c r="C345" s="186"/>
      <c r="I345" s="186"/>
      <c r="J345" s="186"/>
      <c r="K345" s="186"/>
      <c r="L345" s="197"/>
      <c r="M345" s="186"/>
      <c r="N345" s="198"/>
      <c r="O345" s="199">
        <v>0</v>
      </c>
      <c r="P345" s="199">
        <f>Table1[[#This Row],[unit cost]]</f>
        <v>0</v>
      </c>
      <c r="Q345" s="409"/>
      <c r="R345" s="186">
        <v>1</v>
      </c>
      <c r="S345" s="249">
        <f t="shared" si="48"/>
        <v>0.42</v>
      </c>
      <c r="T345" s="201">
        <f>Table1[[#This Row],[man minutes]]*Table1[[#This Row],[labor rate]]</f>
        <v>0</v>
      </c>
      <c r="U345" s="201">
        <f t="shared" si="43"/>
        <v>0</v>
      </c>
      <c r="V345" s="187">
        <f t="shared" si="49"/>
        <v>0.22</v>
      </c>
      <c r="W345" s="250">
        <f t="shared" si="47"/>
        <v>0.2</v>
      </c>
      <c r="X345" s="201">
        <f t="shared" si="44"/>
        <v>0</v>
      </c>
      <c r="Y345" s="201">
        <f t="shared" si="45"/>
        <v>0</v>
      </c>
      <c r="Z345" s="201">
        <f t="shared" si="46"/>
        <v>0</v>
      </c>
      <c r="AA345" s="203">
        <f>+Table1[[#This Row],[calculated sale price]]</f>
        <v>0</v>
      </c>
      <c r="AB345" s="202"/>
      <c r="AC345" s="206"/>
      <c r="AD345" s="414"/>
    </row>
    <row r="346" spans="1:30" x14ac:dyDescent="0.25">
      <c r="A346" s="186">
        <v>1337</v>
      </c>
      <c r="C346" s="186"/>
      <c r="I346" s="186"/>
      <c r="J346" s="186"/>
      <c r="K346" s="186"/>
      <c r="L346" s="197"/>
      <c r="M346" s="186"/>
      <c r="N346" s="198"/>
      <c r="O346" s="199">
        <v>0</v>
      </c>
      <c r="P346" s="199">
        <f>Table1[[#This Row],[unit cost]]</f>
        <v>0</v>
      </c>
      <c r="Q346" s="409"/>
      <c r="R346" s="186">
        <v>1</v>
      </c>
      <c r="S346" s="249">
        <f t="shared" si="48"/>
        <v>0.42</v>
      </c>
      <c r="T346" s="201">
        <f>Table1[[#This Row],[man minutes]]*Table1[[#This Row],[labor rate]]</f>
        <v>0</v>
      </c>
      <c r="U346" s="201">
        <f t="shared" si="43"/>
        <v>0</v>
      </c>
      <c r="V346" s="187">
        <f t="shared" si="49"/>
        <v>0.22</v>
      </c>
      <c r="W346" s="250">
        <f t="shared" si="47"/>
        <v>0.2</v>
      </c>
      <c r="X346" s="201">
        <f t="shared" si="44"/>
        <v>0</v>
      </c>
      <c r="Y346" s="201">
        <f t="shared" si="45"/>
        <v>0</v>
      </c>
      <c r="Z346" s="201">
        <f t="shared" si="46"/>
        <v>0</v>
      </c>
      <c r="AA346" s="203">
        <f>+Table1[[#This Row],[calculated sale price]]</f>
        <v>0</v>
      </c>
      <c r="AB346" s="202"/>
      <c r="AC346" s="206"/>
      <c r="AD346" s="414"/>
    </row>
    <row r="347" spans="1:30" x14ac:dyDescent="0.25">
      <c r="A347" s="186">
        <v>1338</v>
      </c>
      <c r="C347" s="186"/>
      <c r="I347" s="186"/>
      <c r="J347" s="186"/>
      <c r="K347" s="186"/>
      <c r="L347" s="197"/>
      <c r="M347" s="186"/>
      <c r="N347" s="198"/>
      <c r="O347" s="199">
        <v>0</v>
      </c>
      <c r="P347" s="199">
        <f>Table1[[#This Row],[unit cost]]</f>
        <v>0</v>
      </c>
      <c r="Q347" s="409"/>
      <c r="R347" s="186">
        <v>1</v>
      </c>
      <c r="S347" s="249">
        <f t="shared" si="48"/>
        <v>0.42</v>
      </c>
      <c r="T347" s="201">
        <f>Table1[[#This Row],[man minutes]]*Table1[[#This Row],[labor rate]]</f>
        <v>0</v>
      </c>
      <c r="U347" s="201">
        <f t="shared" si="43"/>
        <v>0</v>
      </c>
      <c r="V347" s="187">
        <f t="shared" si="49"/>
        <v>0.22</v>
      </c>
      <c r="W347" s="250">
        <f t="shared" si="47"/>
        <v>0.2</v>
      </c>
      <c r="X347" s="201">
        <f t="shared" si="44"/>
        <v>0</v>
      </c>
      <c r="Y347" s="201">
        <f t="shared" si="45"/>
        <v>0</v>
      </c>
      <c r="Z347" s="201">
        <f t="shared" si="46"/>
        <v>0</v>
      </c>
      <c r="AA347" s="203">
        <f>+Table1[[#This Row],[calculated sale price]]</f>
        <v>0</v>
      </c>
      <c r="AB347" s="202"/>
      <c r="AC347" s="206"/>
      <c r="AD347" s="414"/>
    </row>
    <row r="348" spans="1:30" x14ac:dyDescent="0.25">
      <c r="A348" s="186">
        <v>1339</v>
      </c>
      <c r="C348" s="186"/>
      <c r="I348" s="186"/>
      <c r="J348" s="186"/>
      <c r="K348" s="186"/>
      <c r="L348" s="197"/>
      <c r="M348" s="186"/>
      <c r="N348" s="198"/>
      <c r="O348" s="199">
        <v>0</v>
      </c>
      <c r="P348" s="199">
        <f>Table1[[#This Row],[unit cost]]</f>
        <v>0</v>
      </c>
      <c r="Q348" s="409"/>
      <c r="R348" s="186">
        <v>1</v>
      </c>
      <c r="S348" s="249">
        <f t="shared" si="48"/>
        <v>0.42</v>
      </c>
      <c r="T348" s="201">
        <f>Table1[[#This Row],[man minutes]]*Table1[[#This Row],[labor rate]]</f>
        <v>0</v>
      </c>
      <c r="U348" s="201">
        <f t="shared" si="43"/>
        <v>0</v>
      </c>
      <c r="V348" s="187">
        <f t="shared" si="49"/>
        <v>0.22</v>
      </c>
      <c r="W348" s="250">
        <f t="shared" si="47"/>
        <v>0.2</v>
      </c>
      <c r="X348" s="201">
        <f t="shared" si="44"/>
        <v>0</v>
      </c>
      <c r="Y348" s="201">
        <f t="shared" si="45"/>
        <v>0</v>
      </c>
      <c r="Z348" s="201">
        <f t="shared" si="46"/>
        <v>0</v>
      </c>
      <c r="AA348" s="203">
        <f>+Table1[[#This Row],[calculated sale price]]</f>
        <v>0</v>
      </c>
      <c r="AB348" s="202"/>
      <c r="AC348" s="206"/>
      <c r="AD348" s="414"/>
    </row>
    <row r="349" spans="1:30" x14ac:dyDescent="0.25">
      <c r="A349" s="186">
        <v>1340</v>
      </c>
      <c r="C349" s="186"/>
      <c r="I349" s="186"/>
      <c r="J349" s="186"/>
      <c r="K349" s="186"/>
      <c r="L349" s="197"/>
      <c r="M349" s="186"/>
      <c r="N349" s="198"/>
      <c r="O349" s="199">
        <v>0</v>
      </c>
      <c r="P349" s="199">
        <f>Table1[[#This Row],[unit cost]]</f>
        <v>0</v>
      </c>
      <c r="Q349" s="409"/>
      <c r="R349" s="186">
        <v>1</v>
      </c>
      <c r="S349" s="249">
        <f t="shared" si="48"/>
        <v>0.42</v>
      </c>
      <c r="T349" s="201">
        <f>Table1[[#This Row],[man minutes]]*Table1[[#This Row],[labor rate]]</f>
        <v>0</v>
      </c>
      <c r="U349" s="201">
        <f t="shared" si="43"/>
        <v>0</v>
      </c>
      <c r="V349" s="187">
        <f t="shared" si="49"/>
        <v>0.22</v>
      </c>
      <c r="W349" s="250">
        <f t="shared" si="47"/>
        <v>0.2</v>
      </c>
      <c r="X349" s="201">
        <f t="shared" si="44"/>
        <v>0</v>
      </c>
      <c r="Y349" s="201">
        <f t="shared" si="45"/>
        <v>0</v>
      </c>
      <c r="Z349" s="201">
        <f t="shared" si="46"/>
        <v>0</v>
      </c>
      <c r="AA349" s="203">
        <f>+Table1[[#This Row],[calculated sale price]]</f>
        <v>0</v>
      </c>
      <c r="AB349" s="202"/>
      <c r="AC349" s="206"/>
      <c r="AD349" s="414"/>
    </row>
    <row r="350" spans="1:30" x14ac:dyDescent="0.25">
      <c r="A350" s="186">
        <v>1341</v>
      </c>
      <c r="C350" s="186"/>
      <c r="I350" s="186"/>
      <c r="J350" s="186"/>
      <c r="K350" s="186"/>
      <c r="L350" s="197"/>
      <c r="M350" s="186"/>
      <c r="N350" s="198"/>
      <c r="O350" s="199">
        <v>0</v>
      </c>
      <c r="P350" s="199">
        <f>Table1[[#This Row],[unit cost]]</f>
        <v>0</v>
      </c>
      <c r="Q350" s="409"/>
      <c r="R350" s="186">
        <v>1</v>
      </c>
      <c r="S350" s="249">
        <f t="shared" si="48"/>
        <v>0.42</v>
      </c>
      <c r="T350" s="201">
        <f>Table1[[#This Row],[man minutes]]*Table1[[#This Row],[labor rate]]</f>
        <v>0</v>
      </c>
      <c r="U350" s="201">
        <f t="shared" si="43"/>
        <v>0</v>
      </c>
      <c r="V350" s="187">
        <f t="shared" si="49"/>
        <v>0.22</v>
      </c>
      <c r="W350" s="250">
        <f t="shared" si="47"/>
        <v>0.2</v>
      </c>
      <c r="X350" s="201">
        <f t="shared" si="44"/>
        <v>0</v>
      </c>
      <c r="Y350" s="201">
        <f t="shared" si="45"/>
        <v>0</v>
      </c>
      <c r="Z350" s="201">
        <f t="shared" si="46"/>
        <v>0</v>
      </c>
      <c r="AA350" s="203">
        <f>+Table1[[#This Row],[calculated sale price]]</f>
        <v>0</v>
      </c>
      <c r="AB350" s="202"/>
      <c r="AC350" s="206"/>
      <c r="AD350" s="414"/>
    </row>
    <row r="351" spans="1:30" x14ac:dyDescent="0.25">
      <c r="A351" s="186">
        <v>1342</v>
      </c>
      <c r="C351" s="186"/>
      <c r="I351" s="186"/>
      <c r="J351" s="186"/>
      <c r="K351" s="186"/>
      <c r="L351" s="197"/>
      <c r="M351" s="186"/>
      <c r="N351" s="198"/>
      <c r="O351" s="199">
        <v>0</v>
      </c>
      <c r="P351" s="199">
        <f>Table1[[#This Row],[unit cost]]</f>
        <v>0</v>
      </c>
      <c r="Q351" s="409"/>
      <c r="R351" s="186">
        <v>1</v>
      </c>
      <c r="S351" s="249">
        <f t="shared" si="48"/>
        <v>0.42</v>
      </c>
      <c r="T351" s="201">
        <f>Table1[[#This Row],[man minutes]]*Table1[[#This Row],[labor rate]]</f>
        <v>0</v>
      </c>
      <c r="U351" s="201">
        <f t="shared" si="43"/>
        <v>0</v>
      </c>
      <c r="V351" s="187">
        <f t="shared" si="49"/>
        <v>0.22</v>
      </c>
      <c r="W351" s="250">
        <f t="shared" si="47"/>
        <v>0.2</v>
      </c>
      <c r="X351" s="201">
        <f t="shared" si="44"/>
        <v>0</v>
      </c>
      <c r="Y351" s="201">
        <f t="shared" si="45"/>
        <v>0</v>
      </c>
      <c r="Z351" s="201">
        <f t="shared" si="46"/>
        <v>0</v>
      </c>
      <c r="AA351" s="203">
        <f>+Table1[[#This Row],[calculated sale price]]</f>
        <v>0</v>
      </c>
      <c r="AB351" s="202"/>
      <c r="AC351" s="206"/>
      <c r="AD351" s="414"/>
    </row>
    <row r="352" spans="1:30" x14ac:dyDescent="0.25">
      <c r="A352" s="186">
        <v>1343</v>
      </c>
      <c r="C352" s="186"/>
      <c r="I352" s="186"/>
      <c r="J352" s="186"/>
      <c r="K352" s="186"/>
      <c r="L352" s="197"/>
      <c r="M352" s="186"/>
      <c r="N352" s="198"/>
      <c r="O352" s="199">
        <v>0</v>
      </c>
      <c r="P352" s="199">
        <f>Table1[[#This Row],[unit cost]]</f>
        <v>0</v>
      </c>
      <c r="Q352" s="409"/>
      <c r="R352" s="186">
        <v>1</v>
      </c>
      <c r="S352" s="249">
        <f t="shared" si="48"/>
        <v>0.42</v>
      </c>
      <c r="T352" s="201">
        <f>Table1[[#This Row],[man minutes]]*Table1[[#This Row],[labor rate]]</f>
        <v>0</v>
      </c>
      <c r="U352" s="201">
        <f t="shared" si="43"/>
        <v>0</v>
      </c>
      <c r="V352" s="187">
        <f t="shared" si="49"/>
        <v>0.22</v>
      </c>
      <c r="W352" s="250">
        <f t="shared" si="47"/>
        <v>0.2</v>
      </c>
      <c r="X352" s="201">
        <f t="shared" si="44"/>
        <v>0</v>
      </c>
      <c r="Y352" s="201">
        <f t="shared" si="45"/>
        <v>0</v>
      </c>
      <c r="Z352" s="201">
        <f t="shared" si="46"/>
        <v>0</v>
      </c>
      <c r="AA352" s="203">
        <f>+Table1[[#This Row],[calculated sale price]]</f>
        <v>0</v>
      </c>
      <c r="AB352" s="202"/>
      <c r="AC352" s="206"/>
      <c r="AD352" s="414"/>
    </row>
    <row r="353" spans="1:30" x14ac:dyDescent="0.25">
      <c r="A353" s="186">
        <v>1344</v>
      </c>
      <c r="C353" s="186"/>
      <c r="I353" s="186"/>
      <c r="J353" s="186"/>
      <c r="K353" s="186"/>
      <c r="L353" s="197"/>
      <c r="M353" s="186"/>
      <c r="N353" s="198"/>
      <c r="O353" s="199">
        <v>0</v>
      </c>
      <c r="P353" s="199">
        <f>Table1[[#This Row],[unit cost]]</f>
        <v>0</v>
      </c>
      <c r="Q353" s="409"/>
      <c r="R353" s="186">
        <v>1</v>
      </c>
      <c r="S353" s="249">
        <f t="shared" si="48"/>
        <v>0.42</v>
      </c>
      <c r="T353" s="201">
        <f>Table1[[#This Row],[man minutes]]*Table1[[#This Row],[labor rate]]</f>
        <v>0</v>
      </c>
      <c r="U353" s="201">
        <f t="shared" si="43"/>
        <v>0</v>
      </c>
      <c r="V353" s="187">
        <f t="shared" si="49"/>
        <v>0.22</v>
      </c>
      <c r="W353" s="250">
        <f t="shared" si="47"/>
        <v>0.2</v>
      </c>
      <c r="X353" s="201">
        <f t="shared" si="44"/>
        <v>0</v>
      </c>
      <c r="Y353" s="201">
        <f t="shared" si="45"/>
        <v>0</v>
      </c>
      <c r="Z353" s="201">
        <f t="shared" si="46"/>
        <v>0</v>
      </c>
      <c r="AA353" s="203">
        <f>+Table1[[#This Row],[calculated sale price]]</f>
        <v>0</v>
      </c>
      <c r="AB353" s="202"/>
      <c r="AC353" s="206"/>
      <c r="AD353" s="414"/>
    </row>
    <row r="354" spans="1:30" x14ac:dyDescent="0.25">
      <c r="A354" s="186">
        <v>1345</v>
      </c>
      <c r="C354" s="186"/>
      <c r="I354" s="186"/>
      <c r="J354" s="186"/>
      <c r="K354" s="186"/>
      <c r="L354" s="197"/>
      <c r="M354" s="186"/>
      <c r="N354" s="198"/>
      <c r="O354" s="199">
        <v>0</v>
      </c>
      <c r="P354" s="199">
        <f>Table1[[#This Row],[unit cost]]</f>
        <v>0</v>
      </c>
      <c r="Q354" s="409"/>
      <c r="R354" s="186">
        <v>1</v>
      </c>
      <c r="S354" s="249">
        <f t="shared" si="48"/>
        <v>0.42</v>
      </c>
      <c r="T354" s="201">
        <f>Table1[[#This Row],[man minutes]]*Table1[[#This Row],[labor rate]]</f>
        <v>0</v>
      </c>
      <c r="U354" s="201">
        <f t="shared" si="43"/>
        <v>0</v>
      </c>
      <c r="V354" s="187">
        <f t="shared" si="49"/>
        <v>0.22</v>
      </c>
      <c r="W354" s="250">
        <f t="shared" si="47"/>
        <v>0.2</v>
      </c>
      <c r="X354" s="201">
        <f t="shared" si="44"/>
        <v>0</v>
      </c>
      <c r="Y354" s="201">
        <f t="shared" si="45"/>
        <v>0</v>
      </c>
      <c r="Z354" s="201">
        <f t="shared" si="46"/>
        <v>0</v>
      </c>
      <c r="AA354" s="203">
        <f>+Table1[[#This Row],[calculated sale price]]</f>
        <v>0</v>
      </c>
      <c r="AB354" s="202"/>
      <c r="AC354" s="206"/>
      <c r="AD354" s="414"/>
    </row>
    <row r="355" spans="1:30" x14ac:dyDescent="0.25">
      <c r="A355" s="186">
        <v>1346</v>
      </c>
      <c r="C355" s="186"/>
      <c r="I355" s="186"/>
      <c r="J355" s="186"/>
      <c r="K355" s="186"/>
      <c r="L355" s="197"/>
      <c r="M355" s="186"/>
      <c r="N355" s="198"/>
      <c r="O355" s="199">
        <v>0</v>
      </c>
      <c r="P355" s="199">
        <f>Table1[[#This Row],[unit cost]]</f>
        <v>0</v>
      </c>
      <c r="Q355" s="409"/>
      <c r="R355" s="186">
        <v>1</v>
      </c>
      <c r="S355" s="249">
        <f t="shared" si="48"/>
        <v>0.42</v>
      </c>
      <c r="T355" s="201">
        <f>Table1[[#This Row],[man minutes]]*Table1[[#This Row],[labor rate]]</f>
        <v>0</v>
      </c>
      <c r="U355" s="201">
        <f t="shared" si="43"/>
        <v>0</v>
      </c>
      <c r="V355" s="187">
        <f t="shared" si="49"/>
        <v>0.22</v>
      </c>
      <c r="W355" s="250">
        <f t="shared" si="47"/>
        <v>0.2</v>
      </c>
      <c r="X355" s="201">
        <f t="shared" si="44"/>
        <v>0</v>
      </c>
      <c r="Y355" s="201">
        <f t="shared" si="45"/>
        <v>0</v>
      </c>
      <c r="Z355" s="201">
        <f t="shared" si="46"/>
        <v>0</v>
      </c>
      <c r="AA355" s="203">
        <f>+Table1[[#This Row],[calculated sale price]]</f>
        <v>0</v>
      </c>
      <c r="AB355" s="202"/>
      <c r="AC355" s="206"/>
      <c r="AD355" s="414"/>
    </row>
    <row r="356" spans="1:30" x14ac:dyDescent="0.25">
      <c r="A356" s="186">
        <v>1347</v>
      </c>
      <c r="C356" s="186"/>
      <c r="I356" s="186"/>
      <c r="J356" s="186"/>
      <c r="K356" s="186"/>
      <c r="L356" s="197"/>
      <c r="M356" s="186"/>
      <c r="N356" s="198"/>
      <c r="O356" s="199">
        <v>0</v>
      </c>
      <c r="P356" s="199">
        <f>Table1[[#This Row],[unit cost]]</f>
        <v>0</v>
      </c>
      <c r="Q356" s="409"/>
      <c r="R356" s="186">
        <v>1</v>
      </c>
      <c r="S356" s="249">
        <f t="shared" si="48"/>
        <v>0.42</v>
      </c>
      <c r="T356" s="201">
        <f>Table1[[#This Row],[man minutes]]*Table1[[#This Row],[labor rate]]</f>
        <v>0</v>
      </c>
      <c r="U356" s="201">
        <f t="shared" si="43"/>
        <v>0</v>
      </c>
      <c r="V356" s="187">
        <f t="shared" si="49"/>
        <v>0.22</v>
      </c>
      <c r="W356" s="250">
        <f t="shared" si="47"/>
        <v>0.2</v>
      </c>
      <c r="X356" s="201">
        <f t="shared" si="44"/>
        <v>0</v>
      </c>
      <c r="Y356" s="201">
        <f t="shared" si="45"/>
        <v>0</v>
      </c>
      <c r="Z356" s="201">
        <f t="shared" si="46"/>
        <v>0</v>
      </c>
      <c r="AA356" s="203">
        <f>+Table1[[#This Row],[calculated sale price]]</f>
        <v>0</v>
      </c>
      <c r="AB356" s="202"/>
      <c r="AC356" s="206"/>
      <c r="AD356" s="414"/>
    </row>
    <row r="357" spans="1:30" x14ac:dyDescent="0.25">
      <c r="A357" s="186">
        <v>1348</v>
      </c>
      <c r="C357" s="186"/>
      <c r="I357" s="186"/>
      <c r="J357" s="186"/>
      <c r="K357" s="186"/>
      <c r="L357" s="197"/>
      <c r="M357" s="186"/>
      <c r="N357" s="198"/>
      <c r="O357" s="199">
        <v>0</v>
      </c>
      <c r="P357" s="199">
        <f>Table1[[#This Row],[unit cost]]</f>
        <v>0</v>
      </c>
      <c r="Q357" s="409"/>
      <c r="R357" s="186">
        <v>1</v>
      </c>
      <c r="S357" s="249">
        <f t="shared" si="48"/>
        <v>0.42</v>
      </c>
      <c r="T357" s="201">
        <f>Table1[[#This Row],[man minutes]]*Table1[[#This Row],[labor rate]]</f>
        <v>0</v>
      </c>
      <c r="U357" s="201">
        <f t="shared" si="43"/>
        <v>0</v>
      </c>
      <c r="V357" s="187">
        <f t="shared" si="49"/>
        <v>0.22</v>
      </c>
      <c r="W357" s="250">
        <f t="shared" si="47"/>
        <v>0.2</v>
      </c>
      <c r="X357" s="201">
        <f t="shared" si="44"/>
        <v>0</v>
      </c>
      <c r="Y357" s="201">
        <f t="shared" si="45"/>
        <v>0</v>
      </c>
      <c r="Z357" s="201">
        <f t="shared" si="46"/>
        <v>0</v>
      </c>
      <c r="AA357" s="203">
        <f>+Table1[[#This Row],[calculated sale price]]</f>
        <v>0</v>
      </c>
      <c r="AB357" s="202"/>
      <c r="AC357" s="206"/>
      <c r="AD357" s="414"/>
    </row>
    <row r="358" spans="1:30" x14ac:dyDescent="0.25">
      <c r="A358" s="186">
        <v>1349</v>
      </c>
      <c r="C358" s="186"/>
      <c r="I358" s="186"/>
      <c r="J358" s="186"/>
      <c r="K358" s="186"/>
      <c r="L358" s="197"/>
      <c r="M358" s="186"/>
      <c r="N358" s="198"/>
      <c r="O358" s="199">
        <v>0</v>
      </c>
      <c r="P358" s="199">
        <f>Table1[[#This Row],[unit cost]]</f>
        <v>0</v>
      </c>
      <c r="Q358" s="409"/>
      <c r="R358" s="186">
        <v>1</v>
      </c>
      <c r="S358" s="249">
        <f t="shared" si="48"/>
        <v>0.42</v>
      </c>
      <c r="T358" s="201">
        <f>Table1[[#This Row],[man minutes]]*Table1[[#This Row],[labor rate]]</f>
        <v>0</v>
      </c>
      <c r="U358" s="201">
        <f t="shared" si="43"/>
        <v>0</v>
      </c>
      <c r="V358" s="187">
        <f t="shared" si="49"/>
        <v>0.22</v>
      </c>
      <c r="W358" s="250">
        <f t="shared" si="47"/>
        <v>0.2</v>
      </c>
      <c r="X358" s="201">
        <f t="shared" si="44"/>
        <v>0</v>
      </c>
      <c r="Y358" s="201">
        <f t="shared" si="45"/>
        <v>0</v>
      </c>
      <c r="Z358" s="201">
        <f t="shared" si="46"/>
        <v>0</v>
      </c>
      <c r="AA358" s="203">
        <f>+Table1[[#This Row],[calculated sale price]]</f>
        <v>0</v>
      </c>
      <c r="AB358" s="202"/>
      <c r="AC358" s="206"/>
      <c r="AD358" s="414"/>
    </row>
    <row r="359" spans="1:30" x14ac:dyDescent="0.25">
      <c r="A359" s="186">
        <v>1350</v>
      </c>
      <c r="C359" s="186"/>
      <c r="I359" s="186"/>
      <c r="J359" s="186"/>
      <c r="K359" s="186"/>
      <c r="L359" s="197"/>
      <c r="M359" s="186"/>
      <c r="N359" s="198"/>
      <c r="O359" s="199">
        <v>0</v>
      </c>
      <c r="P359" s="199">
        <f>Table1[[#This Row],[unit cost]]</f>
        <v>0</v>
      </c>
      <c r="Q359" s="409"/>
      <c r="R359" s="186">
        <v>1</v>
      </c>
      <c r="S359" s="249">
        <f t="shared" si="48"/>
        <v>0.42</v>
      </c>
      <c r="T359" s="201">
        <f>Table1[[#This Row],[man minutes]]*Table1[[#This Row],[labor rate]]</f>
        <v>0</v>
      </c>
      <c r="U359" s="201">
        <f t="shared" si="43"/>
        <v>0</v>
      </c>
      <c r="V359" s="187">
        <f t="shared" si="49"/>
        <v>0.22</v>
      </c>
      <c r="W359" s="250">
        <f t="shared" si="47"/>
        <v>0.2</v>
      </c>
      <c r="X359" s="201">
        <f t="shared" si="44"/>
        <v>0</v>
      </c>
      <c r="Y359" s="201">
        <f t="shared" si="45"/>
        <v>0</v>
      </c>
      <c r="Z359" s="201">
        <f t="shared" si="46"/>
        <v>0</v>
      </c>
      <c r="AA359" s="203">
        <f>+Table1[[#This Row],[calculated sale price]]</f>
        <v>0</v>
      </c>
      <c r="AB359" s="202"/>
      <c r="AC359" s="206"/>
      <c r="AD359" s="414"/>
    </row>
    <row r="360" spans="1:30" x14ac:dyDescent="0.25">
      <c r="A360" s="186">
        <v>1351</v>
      </c>
      <c r="C360" s="186"/>
      <c r="I360" s="186"/>
      <c r="J360" s="186"/>
      <c r="K360" s="186"/>
      <c r="L360" s="197"/>
      <c r="M360" s="186"/>
      <c r="N360" s="198"/>
      <c r="O360" s="199">
        <v>0</v>
      </c>
      <c r="P360" s="199">
        <f>Table1[[#This Row],[unit cost]]</f>
        <v>0</v>
      </c>
      <c r="Q360" s="409"/>
      <c r="R360" s="186">
        <v>1</v>
      </c>
      <c r="S360" s="249">
        <f t="shared" si="48"/>
        <v>0.42</v>
      </c>
      <c r="T360" s="201">
        <f>Table1[[#This Row],[man minutes]]*Table1[[#This Row],[labor rate]]</f>
        <v>0</v>
      </c>
      <c r="U360" s="201">
        <f t="shared" si="43"/>
        <v>0</v>
      </c>
      <c r="V360" s="187">
        <f t="shared" si="49"/>
        <v>0.22</v>
      </c>
      <c r="W360" s="250">
        <f t="shared" si="47"/>
        <v>0.2</v>
      </c>
      <c r="X360" s="201">
        <f t="shared" si="44"/>
        <v>0</v>
      </c>
      <c r="Y360" s="201">
        <f t="shared" si="45"/>
        <v>0</v>
      </c>
      <c r="Z360" s="201">
        <f t="shared" si="46"/>
        <v>0</v>
      </c>
      <c r="AA360" s="203">
        <f>+Table1[[#This Row],[calculated sale price]]</f>
        <v>0</v>
      </c>
      <c r="AB360" s="202"/>
      <c r="AC360" s="206"/>
      <c r="AD360" s="414"/>
    </row>
    <row r="361" spans="1:30" x14ac:dyDescent="0.25">
      <c r="A361" s="186">
        <v>1352</v>
      </c>
      <c r="C361" s="186"/>
      <c r="I361" s="186"/>
      <c r="J361" s="186"/>
      <c r="K361" s="186"/>
      <c r="L361" s="197"/>
      <c r="M361" s="186"/>
      <c r="N361" s="198"/>
      <c r="O361" s="199">
        <v>0</v>
      </c>
      <c r="P361" s="199">
        <f>Table1[[#This Row],[unit cost]]</f>
        <v>0</v>
      </c>
      <c r="Q361" s="409"/>
      <c r="R361" s="186">
        <v>1</v>
      </c>
      <c r="S361" s="249">
        <f t="shared" si="48"/>
        <v>0.42</v>
      </c>
      <c r="T361" s="201">
        <f>Table1[[#This Row],[man minutes]]*Table1[[#This Row],[labor rate]]</f>
        <v>0</v>
      </c>
      <c r="U361" s="201">
        <f t="shared" si="43"/>
        <v>0</v>
      </c>
      <c r="V361" s="187">
        <f t="shared" si="49"/>
        <v>0.22</v>
      </c>
      <c r="W361" s="250">
        <f t="shared" si="47"/>
        <v>0.2</v>
      </c>
      <c r="X361" s="201">
        <f t="shared" si="44"/>
        <v>0</v>
      </c>
      <c r="Y361" s="201">
        <f t="shared" si="45"/>
        <v>0</v>
      </c>
      <c r="Z361" s="201">
        <f t="shared" si="46"/>
        <v>0</v>
      </c>
      <c r="AA361" s="203">
        <f>+Table1[[#This Row],[calculated sale price]]</f>
        <v>0</v>
      </c>
      <c r="AB361" s="202"/>
      <c r="AC361" s="206"/>
      <c r="AD361" s="414"/>
    </row>
    <row r="362" spans="1:30" x14ac:dyDescent="0.25">
      <c r="A362" s="186">
        <v>1353</v>
      </c>
      <c r="C362" s="186"/>
      <c r="I362" s="186"/>
      <c r="J362" s="186"/>
      <c r="K362" s="186"/>
      <c r="L362" s="197"/>
      <c r="M362" s="186"/>
      <c r="N362" s="198"/>
      <c r="O362" s="199">
        <v>0</v>
      </c>
      <c r="P362" s="199">
        <f>Table1[[#This Row],[unit cost]]</f>
        <v>0</v>
      </c>
      <c r="Q362" s="409"/>
      <c r="R362" s="186">
        <v>1</v>
      </c>
      <c r="S362" s="249">
        <f t="shared" si="48"/>
        <v>0.42</v>
      </c>
      <c r="T362" s="201">
        <f>Table1[[#This Row],[man minutes]]*Table1[[#This Row],[labor rate]]</f>
        <v>0</v>
      </c>
      <c r="U362" s="201">
        <f t="shared" si="43"/>
        <v>0</v>
      </c>
      <c r="V362" s="187">
        <f t="shared" si="49"/>
        <v>0.22</v>
      </c>
      <c r="W362" s="250">
        <f t="shared" si="47"/>
        <v>0.2</v>
      </c>
      <c r="X362" s="201">
        <f t="shared" si="44"/>
        <v>0</v>
      </c>
      <c r="Y362" s="201">
        <f t="shared" si="45"/>
        <v>0</v>
      </c>
      <c r="Z362" s="201">
        <f t="shared" si="46"/>
        <v>0</v>
      </c>
      <c r="AA362" s="203">
        <f>+Table1[[#This Row],[calculated sale price]]</f>
        <v>0</v>
      </c>
      <c r="AB362" s="202"/>
      <c r="AC362" s="206"/>
      <c r="AD362" s="414"/>
    </row>
    <row r="363" spans="1:30" x14ac:dyDescent="0.25">
      <c r="A363" s="186">
        <v>1354</v>
      </c>
      <c r="C363" s="186"/>
      <c r="I363" s="186"/>
      <c r="J363" s="186"/>
      <c r="K363" s="186"/>
      <c r="L363" s="197"/>
      <c r="M363" s="186"/>
      <c r="N363" s="198"/>
      <c r="O363" s="199">
        <v>0</v>
      </c>
      <c r="P363" s="199">
        <f>Table1[[#This Row],[unit cost]]</f>
        <v>0</v>
      </c>
      <c r="Q363" s="409"/>
      <c r="R363" s="186">
        <v>1</v>
      </c>
      <c r="S363" s="249">
        <f t="shared" si="48"/>
        <v>0.42</v>
      </c>
      <c r="T363" s="201">
        <f>Table1[[#This Row],[man minutes]]*Table1[[#This Row],[labor rate]]</f>
        <v>0</v>
      </c>
      <c r="U363" s="201">
        <f t="shared" si="43"/>
        <v>0</v>
      </c>
      <c r="V363" s="187">
        <f t="shared" si="49"/>
        <v>0.22</v>
      </c>
      <c r="W363" s="250">
        <f t="shared" si="47"/>
        <v>0.2</v>
      </c>
      <c r="X363" s="201">
        <f t="shared" si="44"/>
        <v>0</v>
      </c>
      <c r="Y363" s="201">
        <f t="shared" si="45"/>
        <v>0</v>
      </c>
      <c r="Z363" s="201">
        <f t="shared" si="46"/>
        <v>0</v>
      </c>
      <c r="AA363" s="203">
        <f>+Table1[[#This Row],[calculated sale price]]</f>
        <v>0</v>
      </c>
      <c r="AB363" s="202"/>
      <c r="AC363" s="206"/>
      <c r="AD363" s="414"/>
    </row>
    <row r="364" spans="1:30" x14ac:dyDescent="0.25">
      <c r="A364" s="186">
        <v>1355</v>
      </c>
      <c r="C364" s="186"/>
      <c r="I364" s="186"/>
      <c r="J364" s="186"/>
      <c r="K364" s="186"/>
      <c r="L364" s="197"/>
      <c r="M364" s="186"/>
      <c r="N364" s="198"/>
      <c r="O364" s="199">
        <v>0</v>
      </c>
      <c r="P364" s="199">
        <f>Table1[[#This Row],[unit cost]]</f>
        <v>0</v>
      </c>
      <c r="Q364" s="409"/>
      <c r="R364" s="186">
        <v>1</v>
      </c>
      <c r="S364" s="249">
        <f t="shared" si="48"/>
        <v>0.42</v>
      </c>
      <c r="T364" s="201">
        <f>Table1[[#This Row],[man minutes]]*Table1[[#This Row],[labor rate]]</f>
        <v>0</v>
      </c>
      <c r="U364" s="201">
        <f t="shared" si="43"/>
        <v>0</v>
      </c>
      <c r="V364" s="187">
        <f t="shared" si="49"/>
        <v>0.22</v>
      </c>
      <c r="W364" s="250">
        <f t="shared" si="47"/>
        <v>0.2</v>
      </c>
      <c r="X364" s="201">
        <f t="shared" si="44"/>
        <v>0</v>
      </c>
      <c r="Y364" s="201">
        <f t="shared" si="45"/>
        <v>0</v>
      </c>
      <c r="Z364" s="201">
        <f t="shared" si="46"/>
        <v>0</v>
      </c>
      <c r="AA364" s="203">
        <f>+Table1[[#This Row],[calculated sale price]]</f>
        <v>0</v>
      </c>
      <c r="AB364" s="202"/>
      <c r="AC364" s="206"/>
      <c r="AD364" s="414"/>
    </row>
    <row r="365" spans="1:30" x14ac:dyDescent="0.25">
      <c r="A365" s="186">
        <v>1356</v>
      </c>
      <c r="C365" s="186"/>
      <c r="I365" s="186"/>
      <c r="J365" s="186"/>
      <c r="K365" s="186"/>
      <c r="L365" s="197"/>
      <c r="M365" s="186"/>
      <c r="N365" s="198"/>
      <c r="O365" s="199">
        <v>0</v>
      </c>
      <c r="P365" s="199">
        <f>Table1[[#This Row],[unit cost]]</f>
        <v>0</v>
      </c>
      <c r="Q365" s="409"/>
      <c r="R365" s="186">
        <v>1</v>
      </c>
      <c r="S365" s="249">
        <f t="shared" si="48"/>
        <v>0.42</v>
      </c>
      <c r="T365" s="201">
        <f>Table1[[#This Row],[man minutes]]*Table1[[#This Row],[labor rate]]</f>
        <v>0</v>
      </c>
      <c r="U365" s="201">
        <f t="shared" si="43"/>
        <v>0</v>
      </c>
      <c r="V365" s="187">
        <f t="shared" si="49"/>
        <v>0.22</v>
      </c>
      <c r="W365" s="250">
        <f t="shared" si="47"/>
        <v>0.2</v>
      </c>
      <c r="X365" s="201">
        <f t="shared" si="44"/>
        <v>0</v>
      </c>
      <c r="Y365" s="201">
        <f t="shared" si="45"/>
        <v>0</v>
      </c>
      <c r="Z365" s="201">
        <f t="shared" si="46"/>
        <v>0</v>
      </c>
      <c r="AA365" s="203">
        <f>+Table1[[#This Row],[calculated sale price]]</f>
        <v>0</v>
      </c>
      <c r="AB365" s="202"/>
      <c r="AC365" s="206"/>
      <c r="AD365" s="414"/>
    </row>
    <row r="366" spans="1:30" x14ac:dyDescent="0.25">
      <c r="A366" s="186">
        <v>1357</v>
      </c>
      <c r="C366" s="186"/>
      <c r="I366" s="186"/>
      <c r="J366" s="186"/>
      <c r="K366" s="186"/>
      <c r="L366" s="197"/>
      <c r="M366" s="186"/>
      <c r="N366" s="198"/>
      <c r="O366" s="199">
        <v>0</v>
      </c>
      <c r="P366" s="199">
        <f>Table1[[#This Row],[unit cost]]</f>
        <v>0</v>
      </c>
      <c r="Q366" s="409"/>
      <c r="R366" s="186">
        <v>1</v>
      </c>
      <c r="S366" s="249">
        <f t="shared" si="48"/>
        <v>0.42</v>
      </c>
      <c r="T366" s="201">
        <f>Table1[[#This Row],[man minutes]]*Table1[[#This Row],[labor rate]]</f>
        <v>0</v>
      </c>
      <c r="U366" s="201">
        <f t="shared" si="43"/>
        <v>0</v>
      </c>
      <c r="V366" s="187">
        <f t="shared" si="49"/>
        <v>0.22</v>
      </c>
      <c r="W366" s="250">
        <f t="shared" si="47"/>
        <v>0.2</v>
      </c>
      <c r="X366" s="201">
        <f t="shared" si="44"/>
        <v>0</v>
      </c>
      <c r="Y366" s="201">
        <f t="shared" si="45"/>
        <v>0</v>
      </c>
      <c r="Z366" s="201">
        <f t="shared" si="46"/>
        <v>0</v>
      </c>
      <c r="AA366" s="203">
        <f>+Table1[[#This Row],[calculated sale price]]</f>
        <v>0</v>
      </c>
      <c r="AB366" s="202"/>
      <c r="AC366" s="206"/>
      <c r="AD366" s="414"/>
    </row>
    <row r="367" spans="1:30" x14ac:dyDescent="0.25">
      <c r="A367" s="186">
        <v>1358</v>
      </c>
      <c r="C367" s="186"/>
      <c r="I367" s="186"/>
      <c r="J367" s="186"/>
      <c r="K367" s="186"/>
      <c r="L367" s="197"/>
      <c r="M367" s="186"/>
      <c r="N367" s="198"/>
      <c r="O367" s="199">
        <v>0</v>
      </c>
      <c r="P367" s="199">
        <f>Table1[[#This Row],[unit cost]]</f>
        <v>0</v>
      </c>
      <c r="Q367" s="409"/>
      <c r="R367" s="186">
        <v>1</v>
      </c>
      <c r="S367" s="249">
        <f t="shared" si="48"/>
        <v>0.42</v>
      </c>
      <c r="T367" s="201">
        <f>Table1[[#This Row],[man minutes]]*Table1[[#This Row],[labor rate]]</f>
        <v>0</v>
      </c>
      <c r="U367" s="201">
        <f t="shared" si="43"/>
        <v>0</v>
      </c>
      <c r="V367" s="187">
        <f t="shared" si="49"/>
        <v>0.22</v>
      </c>
      <c r="W367" s="250">
        <f t="shared" si="47"/>
        <v>0.2</v>
      </c>
      <c r="X367" s="201">
        <f t="shared" si="44"/>
        <v>0</v>
      </c>
      <c r="Y367" s="201">
        <f t="shared" si="45"/>
        <v>0</v>
      </c>
      <c r="Z367" s="201">
        <f t="shared" si="46"/>
        <v>0</v>
      </c>
      <c r="AA367" s="203">
        <f>+Table1[[#This Row],[calculated sale price]]</f>
        <v>0</v>
      </c>
      <c r="AB367" s="202"/>
      <c r="AC367" s="206"/>
      <c r="AD367" s="414"/>
    </row>
    <row r="368" spans="1:30" x14ac:dyDescent="0.25">
      <c r="A368" s="186">
        <v>1359</v>
      </c>
      <c r="C368" s="186"/>
      <c r="I368" s="186"/>
      <c r="J368" s="186"/>
      <c r="K368" s="186"/>
      <c r="L368" s="197"/>
      <c r="M368" s="186"/>
      <c r="N368" s="198"/>
      <c r="O368" s="199">
        <v>0</v>
      </c>
      <c r="P368" s="199">
        <f>Table1[[#This Row],[unit cost]]</f>
        <v>0</v>
      </c>
      <c r="Q368" s="409"/>
      <c r="R368" s="186">
        <v>1</v>
      </c>
      <c r="S368" s="249">
        <f t="shared" si="48"/>
        <v>0.42</v>
      </c>
      <c r="T368" s="201">
        <f>Table1[[#This Row],[man minutes]]*Table1[[#This Row],[labor rate]]</f>
        <v>0</v>
      </c>
      <c r="U368" s="201">
        <f t="shared" si="43"/>
        <v>0</v>
      </c>
      <c r="V368" s="187">
        <f t="shared" si="49"/>
        <v>0.22</v>
      </c>
      <c r="W368" s="250">
        <f t="shared" si="47"/>
        <v>0.2</v>
      </c>
      <c r="X368" s="201">
        <f t="shared" si="44"/>
        <v>0</v>
      </c>
      <c r="Y368" s="201">
        <f t="shared" si="45"/>
        <v>0</v>
      </c>
      <c r="Z368" s="201">
        <f t="shared" si="46"/>
        <v>0</v>
      </c>
      <c r="AA368" s="203">
        <f>+Table1[[#This Row],[calculated sale price]]</f>
        <v>0</v>
      </c>
      <c r="AB368" s="202"/>
      <c r="AC368" s="206"/>
      <c r="AD368" s="414"/>
    </row>
    <row r="369" spans="1:30" x14ac:dyDescent="0.25">
      <c r="A369" s="186">
        <v>1360</v>
      </c>
      <c r="C369" s="186"/>
      <c r="I369" s="186"/>
      <c r="J369" s="186"/>
      <c r="K369" s="186"/>
      <c r="L369" s="197"/>
      <c r="M369" s="186"/>
      <c r="N369" s="198"/>
      <c r="O369" s="199">
        <v>0</v>
      </c>
      <c r="P369" s="199">
        <f>Table1[[#This Row],[unit cost]]</f>
        <v>0</v>
      </c>
      <c r="Q369" s="409"/>
      <c r="R369" s="186">
        <v>1</v>
      </c>
      <c r="S369" s="249">
        <f t="shared" si="48"/>
        <v>0.42</v>
      </c>
      <c r="T369" s="201">
        <f>Table1[[#This Row],[man minutes]]*Table1[[#This Row],[labor rate]]</f>
        <v>0</v>
      </c>
      <c r="U369" s="201">
        <f t="shared" si="43"/>
        <v>0</v>
      </c>
      <c r="V369" s="187">
        <f t="shared" si="49"/>
        <v>0.22</v>
      </c>
      <c r="W369" s="250">
        <f t="shared" si="47"/>
        <v>0.2</v>
      </c>
      <c r="X369" s="201">
        <f t="shared" si="44"/>
        <v>0</v>
      </c>
      <c r="Y369" s="201">
        <f t="shared" si="45"/>
        <v>0</v>
      </c>
      <c r="Z369" s="201">
        <f t="shared" si="46"/>
        <v>0</v>
      </c>
      <c r="AA369" s="203">
        <f>+Table1[[#This Row],[calculated sale price]]</f>
        <v>0</v>
      </c>
      <c r="AB369" s="202"/>
      <c r="AC369" s="206"/>
      <c r="AD369" s="414"/>
    </row>
    <row r="370" spans="1:30" x14ac:dyDescent="0.25">
      <c r="A370" s="186">
        <v>1361</v>
      </c>
      <c r="C370" s="186"/>
      <c r="I370" s="186"/>
      <c r="J370" s="186"/>
      <c r="K370" s="186"/>
      <c r="L370" s="197"/>
      <c r="M370" s="186"/>
      <c r="N370" s="198"/>
      <c r="O370" s="199">
        <v>0</v>
      </c>
      <c r="P370" s="199">
        <f>Table1[[#This Row],[unit cost]]</f>
        <v>0</v>
      </c>
      <c r="Q370" s="409"/>
      <c r="R370" s="186">
        <v>1</v>
      </c>
      <c r="S370" s="249">
        <f t="shared" si="48"/>
        <v>0.42</v>
      </c>
      <c r="T370" s="201">
        <f>Table1[[#This Row],[man minutes]]*Table1[[#This Row],[labor rate]]</f>
        <v>0</v>
      </c>
      <c r="U370" s="201">
        <f t="shared" si="43"/>
        <v>0</v>
      </c>
      <c r="V370" s="187">
        <f t="shared" si="49"/>
        <v>0.22</v>
      </c>
      <c r="W370" s="250">
        <f t="shared" si="47"/>
        <v>0.2</v>
      </c>
      <c r="X370" s="201">
        <f t="shared" si="44"/>
        <v>0</v>
      </c>
      <c r="Y370" s="201">
        <f t="shared" si="45"/>
        <v>0</v>
      </c>
      <c r="Z370" s="201">
        <f t="shared" si="46"/>
        <v>0</v>
      </c>
      <c r="AA370" s="203">
        <f>+Table1[[#This Row],[calculated sale price]]</f>
        <v>0</v>
      </c>
      <c r="AB370" s="202"/>
      <c r="AC370" s="206"/>
      <c r="AD370" s="414"/>
    </row>
    <row r="371" spans="1:30" x14ac:dyDescent="0.25">
      <c r="A371" s="186">
        <v>1362</v>
      </c>
      <c r="C371" s="186"/>
      <c r="I371" s="186"/>
      <c r="J371" s="186"/>
      <c r="K371" s="186"/>
      <c r="L371" s="197"/>
      <c r="M371" s="186"/>
      <c r="N371" s="198"/>
      <c r="O371" s="199">
        <v>0</v>
      </c>
      <c r="P371" s="199">
        <f>Table1[[#This Row],[unit cost]]</f>
        <v>0</v>
      </c>
      <c r="Q371" s="409"/>
      <c r="R371" s="186">
        <v>1</v>
      </c>
      <c r="S371" s="249">
        <f t="shared" si="48"/>
        <v>0.42</v>
      </c>
      <c r="T371" s="201">
        <f>Table1[[#This Row],[man minutes]]*Table1[[#This Row],[labor rate]]</f>
        <v>0</v>
      </c>
      <c r="U371" s="201">
        <f t="shared" si="43"/>
        <v>0</v>
      </c>
      <c r="V371" s="187">
        <f t="shared" si="49"/>
        <v>0.22</v>
      </c>
      <c r="W371" s="250">
        <f t="shared" si="47"/>
        <v>0.2</v>
      </c>
      <c r="X371" s="201">
        <f t="shared" si="44"/>
        <v>0</v>
      </c>
      <c r="Y371" s="201">
        <f t="shared" si="45"/>
        <v>0</v>
      </c>
      <c r="Z371" s="201">
        <f t="shared" si="46"/>
        <v>0</v>
      </c>
      <c r="AA371" s="203">
        <f>+Table1[[#This Row],[calculated sale price]]</f>
        <v>0</v>
      </c>
      <c r="AB371" s="202"/>
      <c r="AC371" s="206"/>
      <c r="AD371" s="414"/>
    </row>
    <row r="372" spans="1:30" x14ac:dyDescent="0.25">
      <c r="A372" s="186">
        <v>1363</v>
      </c>
      <c r="C372" s="186"/>
      <c r="I372" s="186"/>
      <c r="J372" s="186"/>
      <c r="K372" s="186"/>
      <c r="L372" s="197"/>
      <c r="M372" s="186"/>
      <c r="N372" s="198"/>
      <c r="O372" s="199">
        <v>0</v>
      </c>
      <c r="P372" s="199">
        <f>Table1[[#This Row],[unit cost]]</f>
        <v>0</v>
      </c>
      <c r="Q372" s="409"/>
      <c r="R372" s="186">
        <v>1</v>
      </c>
      <c r="S372" s="249">
        <f t="shared" si="48"/>
        <v>0.42</v>
      </c>
      <c r="T372" s="201">
        <f>Table1[[#This Row],[man minutes]]*Table1[[#This Row],[labor rate]]</f>
        <v>0</v>
      </c>
      <c r="U372" s="201">
        <f t="shared" si="43"/>
        <v>0</v>
      </c>
      <c r="V372" s="187">
        <f t="shared" si="49"/>
        <v>0.22</v>
      </c>
      <c r="W372" s="250">
        <f t="shared" si="47"/>
        <v>0.2</v>
      </c>
      <c r="X372" s="201">
        <f t="shared" si="44"/>
        <v>0</v>
      </c>
      <c r="Y372" s="201">
        <f t="shared" si="45"/>
        <v>0</v>
      </c>
      <c r="Z372" s="201">
        <f t="shared" si="46"/>
        <v>0</v>
      </c>
      <c r="AA372" s="203">
        <f>+Table1[[#This Row],[calculated sale price]]</f>
        <v>0</v>
      </c>
      <c r="AB372" s="202"/>
      <c r="AC372" s="206"/>
      <c r="AD372" s="414"/>
    </row>
    <row r="373" spans="1:30" x14ac:dyDescent="0.25">
      <c r="A373" s="186">
        <v>1364</v>
      </c>
      <c r="C373" s="186"/>
      <c r="I373" s="186"/>
      <c r="J373" s="186"/>
      <c r="K373" s="186"/>
      <c r="L373" s="197"/>
      <c r="M373" s="186"/>
      <c r="N373" s="198"/>
      <c r="O373" s="199">
        <v>0</v>
      </c>
      <c r="P373" s="199">
        <f>Table1[[#This Row],[unit cost]]</f>
        <v>0</v>
      </c>
      <c r="Q373" s="409"/>
      <c r="R373" s="186">
        <v>1</v>
      </c>
      <c r="S373" s="249">
        <f t="shared" si="48"/>
        <v>0.42</v>
      </c>
      <c r="T373" s="201">
        <f>Table1[[#This Row],[man minutes]]*Table1[[#This Row],[labor rate]]</f>
        <v>0</v>
      </c>
      <c r="U373" s="201">
        <f t="shared" si="43"/>
        <v>0</v>
      </c>
      <c r="V373" s="187">
        <f t="shared" si="49"/>
        <v>0.22</v>
      </c>
      <c r="W373" s="250">
        <f t="shared" si="47"/>
        <v>0.2</v>
      </c>
      <c r="X373" s="201">
        <f t="shared" si="44"/>
        <v>0</v>
      </c>
      <c r="Y373" s="201">
        <f t="shared" si="45"/>
        <v>0</v>
      </c>
      <c r="Z373" s="201">
        <f t="shared" si="46"/>
        <v>0</v>
      </c>
      <c r="AA373" s="203">
        <f>+Table1[[#This Row],[calculated sale price]]</f>
        <v>0</v>
      </c>
      <c r="AB373" s="202"/>
      <c r="AC373" s="206"/>
      <c r="AD373" s="414"/>
    </row>
    <row r="374" spans="1:30" x14ac:dyDescent="0.25">
      <c r="A374" s="186">
        <v>1365</v>
      </c>
      <c r="C374" s="186"/>
      <c r="I374" s="186"/>
      <c r="J374" s="186"/>
      <c r="K374" s="186"/>
      <c r="L374" s="197"/>
      <c r="M374" s="186"/>
      <c r="N374" s="198"/>
      <c r="O374" s="199">
        <v>0</v>
      </c>
      <c r="P374" s="199">
        <f>Table1[[#This Row],[unit cost]]</f>
        <v>0</v>
      </c>
      <c r="Q374" s="409"/>
      <c r="R374" s="186">
        <v>1</v>
      </c>
      <c r="S374" s="249">
        <f t="shared" si="48"/>
        <v>0.42</v>
      </c>
      <c r="T374" s="201">
        <f>Table1[[#This Row],[man minutes]]*Table1[[#This Row],[labor rate]]</f>
        <v>0</v>
      </c>
      <c r="U374" s="201">
        <f t="shared" si="43"/>
        <v>0</v>
      </c>
      <c r="V374" s="187">
        <f t="shared" si="49"/>
        <v>0.22</v>
      </c>
      <c r="W374" s="250">
        <f t="shared" si="47"/>
        <v>0.2</v>
      </c>
      <c r="X374" s="201">
        <f t="shared" si="44"/>
        <v>0</v>
      </c>
      <c r="Y374" s="201">
        <f t="shared" si="45"/>
        <v>0</v>
      </c>
      <c r="Z374" s="201">
        <f t="shared" si="46"/>
        <v>0</v>
      </c>
      <c r="AA374" s="203">
        <f>+Table1[[#This Row],[calculated sale price]]</f>
        <v>0</v>
      </c>
      <c r="AB374" s="202"/>
      <c r="AC374" s="206"/>
      <c r="AD374" s="414"/>
    </row>
    <row r="375" spans="1:30" x14ac:dyDescent="0.25">
      <c r="A375" s="186">
        <v>1366</v>
      </c>
      <c r="C375" s="186"/>
      <c r="I375" s="186"/>
      <c r="J375" s="186"/>
      <c r="K375" s="186"/>
      <c r="L375" s="197"/>
      <c r="M375" s="186"/>
      <c r="N375" s="198"/>
      <c r="O375" s="199">
        <v>0</v>
      </c>
      <c r="P375" s="199">
        <f>Table1[[#This Row],[unit cost]]</f>
        <v>0</v>
      </c>
      <c r="Q375" s="409"/>
      <c r="R375" s="186">
        <v>1</v>
      </c>
      <c r="S375" s="249">
        <f t="shared" si="48"/>
        <v>0.42</v>
      </c>
      <c r="T375" s="201">
        <f>Table1[[#This Row],[man minutes]]*Table1[[#This Row],[labor rate]]</f>
        <v>0</v>
      </c>
      <c r="U375" s="201">
        <f t="shared" si="43"/>
        <v>0</v>
      </c>
      <c r="V375" s="187">
        <f t="shared" si="49"/>
        <v>0.22</v>
      </c>
      <c r="W375" s="250">
        <f t="shared" si="47"/>
        <v>0.2</v>
      </c>
      <c r="X375" s="201">
        <f t="shared" si="44"/>
        <v>0</v>
      </c>
      <c r="Y375" s="201">
        <f t="shared" si="45"/>
        <v>0</v>
      </c>
      <c r="Z375" s="201">
        <f t="shared" si="46"/>
        <v>0</v>
      </c>
      <c r="AA375" s="203">
        <f>+Table1[[#This Row],[calculated sale price]]</f>
        <v>0</v>
      </c>
      <c r="AB375" s="202"/>
      <c r="AC375" s="206"/>
      <c r="AD375" s="414"/>
    </row>
    <row r="376" spans="1:30" x14ac:dyDescent="0.25">
      <c r="A376" s="186">
        <v>1367</v>
      </c>
      <c r="C376" s="186"/>
      <c r="I376" s="186"/>
      <c r="J376" s="186"/>
      <c r="K376" s="186"/>
      <c r="L376" s="197"/>
      <c r="M376" s="186"/>
      <c r="N376" s="198"/>
      <c r="O376" s="199">
        <v>0</v>
      </c>
      <c r="P376" s="199">
        <f>Table1[[#This Row],[unit cost]]</f>
        <v>0</v>
      </c>
      <c r="Q376" s="409"/>
      <c r="R376" s="186">
        <v>1</v>
      </c>
      <c r="S376" s="249">
        <f t="shared" si="48"/>
        <v>0.42</v>
      </c>
      <c r="T376" s="201">
        <f>Table1[[#This Row],[man minutes]]*Table1[[#This Row],[labor rate]]</f>
        <v>0</v>
      </c>
      <c r="U376" s="201">
        <f t="shared" si="43"/>
        <v>0</v>
      </c>
      <c r="V376" s="187">
        <f t="shared" si="49"/>
        <v>0.22</v>
      </c>
      <c r="W376" s="250">
        <f t="shared" si="47"/>
        <v>0.2</v>
      </c>
      <c r="X376" s="201">
        <f t="shared" si="44"/>
        <v>0</v>
      </c>
      <c r="Y376" s="201">
        <f t="shared" si="45"/>
        <v>0</v>
      </c>
      <c r="Z376" s="201">
        <f t="shared" si="46"/>
        <v>0</v>
      </c>
      <c r="AA376" s="203">
        <f>+Table1[[#This Row],[calculated sale price]]</f>
        <v>0</v>
      </c>
      <c r="AB376" s="202"/>
      <c r="AC376" s="206"/>
      <c r="AD376" s="414"/>
    </row>
    <row r="377" spans="1:30" x14ac:dyDescent="0.25">
      <c r="A377" s="186">
        <v>1368</v>
      </c>
      <c r="C377" s="186"/>
      <c r="I377" s="186"/>
      <c r="J377" s="186"/>
      <c r="K377" s="186"/>
      <c r="L377" s="197"/>
      <c r="M377" s="186"/>
      <c r="N377" s="198"/>
      <c r="O377" s="199">
        <v>0</v>
      </c>
      <c r="P377" s="199">
        <f>Table1[[#This Row],[unit cost]]</f>
        <v>0</v>
      </c>
      <c r="Q377" s="409"/>
      <c r="R377" s="186">
        <v>1</v>
      </c>
      <c r="S377" s="249">
        <f t="shared" si="48"/>
        <v>0.42</v>
      </c>
      <c r="T377" s="201">
        <f>Table1[[#This Row],[man minutes]]*Table1[[#This Row],[labor rate]]</f>
        <v>0</v>
      </c>
      <c r="U377" s="201">
        <f t="shared" si="43"/>
        <v>0</v>
      </c>
      <c r="V377" s="187">
        <f t="shared" si="49"/>
        <v>0.22</v>
      </c>
      <c r="W377" s="250">
        <f t="shared" si="47"/>
        <v>0.2</v>
      </c>
      <c r="X377" s="201">
        <f t="shared" si="44"/>
        <v>0</v>
      </c>
      <c r="Y377" s="201">
        <f t="shared" si="45"/>
        <v>0</v>
      </c>
      <c r="Z377" s="201">
        <f t="shared" si="46"/>
        <v>0</v>
      </c>
      <c r="AA377" s="203">
        <f>+Table1[[#This Row],[calculated sale price]]</f>
        <v>0</v>
      </c>
      <c r="AB377" s="202"/>
      <c r="AC377" s="206"/>
      <c r="AD377" s="414"/>
    </row>
    <row r="378" spans="1:30" x14ac:dyDescent="0.25">
      <c r="A378" s="186">
        <v>1369</v>
      </c>
      <c r="C378" s="186"/>
      <c r="I378" s="186"/>
      <c r="J378" s="186"/>
      <c r="K378" s="186"/>
      <c r="L378" s="197"/>
      <c r="M378" s="186"/>
      <c r="N378" s="198"/>
      <c r="O378" s="199">
        <v>0</v>
      </c>
      <c r="P378" s="199">
        <f>Table1[[#This Row],[unit cost]]</f>
        <v>0</v>
      </c>
      <c r="Q378" s="409"/>
      <c r="R378" s="186">
        <v>1</v>
      </c>
      <c r="S378" s="249">
        <f t="shared" si="48"/>
        <v>0.42</v>
      </c>
      <c r="T378" s="201">
        <f>Table1[[#This Row],[man minutes]]*Table1[[#This Row],[labor rate]]</f>
        <v>0</v>
      </c>
      <c r="U378" s="201">
        <f t="shared" si="43"/>
        <v>0</v>
      </c>
      <c r="V378" s="187">
        <f t="shared" si="49"/>
        <v>0.22</v>
      </c>
      <c r="W378" s="250">
        <f t="shared" si="47"/>
        <v>0.2</v>
      </c>
      <c r="X378" s="201">
        <f t="shared" si="44"/>
        <v>0</v>
      </c>
      <c r="Y378" s="201">
        <f t="shared" si="45"/>
        <v>0</v>
      </c>
      <c r="Z378" s="201">
        <f t="shared" si="46"/>
        <v>0</v>
      </c>
      <c r="AA378" s="203">
        <f>+Table1[[#This Row],[calculated sale price]]</f>
        <v>0</v>
      </c>
      <c r="AB378" s="202"/>
      <c r="AC378" s="206"/>
      <c r="AD378" s="414"/>
    </row>
    <row r="379" spans="1:30" x14ac:dyDescent="0.25">
      <c r="A379" s="186">
        <v>1370</v>
      </c>
      <c r="C379" s="186"/>
      <c r="I379" s="186"/>
      <c r="J379" s="186"/>
      <c r="K379" s="186"/>
      <c r="L379" s="197"/>
      <c r="M379" s="186"/>
      <c r="N379" s="198"/>
      <c r="O379" s="199">
        <v>0</v>
      </c>
      <c r="P379" s="199">
        <f>Table1[[#This Row],[unit cost]]</f>
        <v>0</v>
      </c>
      <c r="Q379" s="409"/>
      <c r="R379" s="186">
        <v>1</v>
      </c>
      <c r="S379" s="249">
        <f t="shared" si="48"/>
        <v>0.42</v>
      </c>
      <c r="T379" s="201">
        <f>Table1[[#This Row],[man minutes]]*Table1[[#This Row],[labor rate]]</f>
        <v>0</v>
      </c>
      <c r="U379" s="201">
        <f t="shared" si="43"/>
        <v>0</v>
      </c>
      <c r="V379" s="187">
        <f t="shared" si="49"/>
        <v>0.22</v>
      </c>
      <c r="W379" s="250">
        <f t="shared" si="47"/>
        <v>0.2</v>
      </c>
      <c r="X379" s="201">
        <f t="shared" si="44"/>
        <v>0</v>
      </c>
      <c r="Y379" s="201">
        <f t="shared" si="45"/>
        <v>0</v>
      </c>
      <c r="Z379" s="201">
        <f t="shared" si="46"/>
        <v>0</v>
      </c>
      <c r="AA379" s="203">
        <f>+Table1[[#This Row],[calculated sale price]]</f>
        <v>0</v>
      </c>
      <c r="AB379" s="202"/>
      <c r="AC379" s="206"/>
      <c r="AD379" s="414"/>
    </row>
    <row r="380" spans="1:30" x14ac:dyDescent="0.25">
      <c r="A380" s="186">
        <v>1371</v>
      </c>
      <c r="C380" s="186"/>
      <c r="I380" s="186"/>
      <c r="J380" s="186"/>
      <c r="K380" s="186"/>
      <c r="L380" s="197"/>
      <c r="M380" s="186"/>
      <c r="N380" s="198"/>
      <c r="O380" s="199">
        <v>0</v>
      </c>
      <c r="P380" s="199">
        <f>Table1[[#This Row],[unit cost]]</f>
        <v>0</v>
      </c>
      <c r="Q380" s="409"/>
      <c r="R380" s="186">
        <v>1</v>
      </c>
      <c r="S380" s="249">
        <f t="shared" si="48"/>
        <v>0.42</v>
      </c>
      <c r="T380" s="201">
        <f>Table1[[#This Row],[man minutes]]*Table1[[#This Row],[labor rate]]</f>
        <v>0</v>
      </c>
      <c r="U380" s="201">
        <f t="shared" si="43"/>
        <v>0</v>
      </c>
      <c r="V380" s="187">
        <f t="shared" si="49"/>
        <v>0.22</v>
      </c>
      <c r="W380" s="250">
        <f t="shared" si="47"/>
        <v>0.2</v>
      </c>
      <c r="X380" s="201">
        <f t="shared" si="44"/>
        <v>0</v>
      </c>
      <c r="Y380" s="201">
        <f t="shared" si="45"/>
        <v>0</v>
      </c>
      <c r="Z380" s="201">
        <f t="shared" si="46"/>
        <v>0</v>
      </c>
      <c r="AA380" s="203">
        <f>+Table1[[#This Row],[calculated sale price]]</f>
        <v>0</v>
      </c>
      <c r="AB380" s="202"/>
      <c r="AC380" s="206"/>
      <c r="AD380" s="414"/>
    </row>
    <row r="381" spans="1:30" x14ac:dyDescent="0.25">
      <c r="A381" s="186">
        <v>1372</v>
      </c>
      <c r="C381" s="186"/>
      <c r="I381" s="186"/>
      <c r="J381" s="186"/>
      <c r="K381" s="186"/>
      <c r="L381" s="197"/>
      <c r="M381" s="186"/>
      <c r="N381" s="198"/>
      <c r="O381" s="199">
        <v>0</v>
      </c>
      <c r="P381" s="199">
        <f>Table1[[#This Row],[unit cost]]</f>
        <v>0</v>
      </c>
      <c r="Q381" s="409"/>
      <c r="R381" s="186">
        <v>1</v>
      </c>
      <c r="S381" s="249">
        <f t="shared" si="48"/>
        <v>0.42</v>
      </c>
      <c r="T381" s="201">
        <f>Table1[[#This Row],[man minutes]]*Table1[[#This Row],[labor rate]]</f>
        <v>0</v>
      </c>
      <c r="U381" s="201">
        <f t="shared" si="43"/>
        <v>0</v>
      </c>
      <c r="V381" s="187">
        <f t="shared" si="49"/>
        <v>0.22</v>
      </c>
      <c r="W381" s="250">
        <f t="shared" si="47"/>
        <v>0.2</v>
      </c>
      <c r="X381" s="201">
        <f t="shared" si="44"/>
        <v>0</v>
      </c>
      <c r="Y381" s="201">
        <f t="shared" si="45"/>
        <v>0</v>
      </c>
      <c r="Z381" s="201">
        <f t="shared" si="46"/>
        <v>0</v>
      </c>
      <c r="AA381" s="203">
        <f>+Table1[[#This Row],[calculated sale price]]</f>
        <v>0</v>
      </c>
      <c r="AB381" s="202"/>
      <c r="AC381" s="206"/>
      <c r="AD381" s="414"/>
    </row>
    <row r="382" spans="1:30" x14ac:dyDescent="0.25">
      <c r="A382" s="186">
        <v>1373</v>
      </c>
      <c r="C382" s="186"/>
      <c r="I382" s="186"/>
      <c r="J382" s="186"/>
      <c r="K382" s="186"/>
      <c r="L382" s="197"/>
      <c r="M382" s="186"/>
      <c r="N382" s="198"/>
      <c r="O382" s="199">
        <v>0</v>
      </c>
      <c r="P382" s="199">
        <f>Table1[[#This Row],[unit cost]]</f>
        <v>0</v>
      </c>
      <c r="Q382" s="409"/>
      <c r="R382" s="186">
        <v>1</v>
      </c>
      <c r="S382" s="249">
        <f t="shared" si="48"/>
        <v>0.42</v>
      </c>
      <c r="T382" s="201">
        <f>Table1[[#This Row],[man minutes]]*Table1[[#This Row],[labor rate]]</f>
        <v>0</v>
      </c>
      <c r="U382" s="201">
        <f t="shared" ref="U382:U445" si="50">P382+T382</f>
        <v>0</v>
      </c>
      <c r="V382" s="187">
        <f t="shared" si="49"/>
        <v>0.22</v>
      </c>
      <c r="W382" s="250">
        <f t="shared" si="47"/>
        <v>0.2</v>
      </c>
      <c r="X382" s="201">
        <f t="shared" ref="X382:X445" si="51">P382*(1+V382)</f>
        <v>0</v>
      </c>
      <c r="Y382" s="201">
        <f t="shared" ref="Y382:Y445" si="52">T382+(T382*W382)</f>
        <v>0</v>
      </c>
      <c r="Z382" s="201">
        <f t="shared" ref="Z382:Z445" si="53">IFERROR(ROUNDUP(X382+Y382,2)," ")</f>
        <v>0</v>
      </c>
      <c r="AA382" s="203">
        <f>+Table1[[#This Row],[calculated sale price]]</f>
        <v>0</v>
      </c>
      <c r="AB382" s="202"/>
      <c r="AC382" s="206"/>
      <c r="AD382" s="414"/>
    </row>
    <row r="383" spans="1:30" x14ac:dyDescent="0.25">
      <c r="A383" s="186">
        <v>1374</v>
      </c>
      <c r="C383" s="186"/>
      <c r="I383" s="186"/>
      <c r="J383" s="186"/>
      <c r="K383" s="186"/>
      <c r="L383" s="197"/>
      <c r="M383" s="186"/>
      <c r="N383" s="198"/>
      <c r="O383" s="199">
        <v>0</v>
      </c>
      <c r="P383" s="199">
        <f>Table1[[#This Row],[unit cost]]</f>
        <v>0</v>
      </c>
      <c r="Q383" s="409"/>
      <c r="R383" s="186">
        <v>1</v>
      </c>
      <c r="S383" s="249">
        <f t="shared" si="48"/>
        <v>0.42</v>
      </c>
      <c r="T383" s="201">
        <f>Table1[[#This Row],[man minutes]]*Table1[[#This Row],[labor rate]]</f>
        <v>0</v>
      </c>
      <c r="U383" s="201">
        <f t="shared" si="50"/>
        <v>0</v>
      </c>
      <c r="V383" s="187">
        <f t="shared" si="49"/>
        <v>0.22</v>
      </c>
      <c r="W383" s="250">
        <f t="shared" ref="W383:W446" si="54">$W$2</f>
        <v>0.2</v>
      </c>
      <c r="X383" s="201">
        <f t="shared" si="51"/>
        <v>0</v>
      </c>
      <c r="Y383" s="201">
        <f t="shared" si="52"/>
        <v>0</v>
      </c>
      <c r="Z383" s="201">
        <f t="shared" si="53"/>
        <v>0</v>
      </c>
      <c r="AA383" s="203">
        <f>+Table1[[#This Row],[calculated sale price]]</f>
        <v>0</v>
      </c>
      <c r="AB383" s="202"/>
      <c r="AC383" s="206"/>
      <c r="AD383" s="414"/>
    </row>
    <row r="384" spans="1:30" x14ac:dyDescent="0.25">
      <c r="A384" s="186">
        <v>1375</v>
      </c>
      <c r="C384" s="186"/>
      <c r="I384" s="186"/>
      <c r="J384" s="186"/>
      <c r="K384" s="186"/>
      <c r="L384" s="197"/>
      <c r="M384" s="186"/>
      <c r="N384" s="198"/>
      <c r="O384" s="199">
        <v>0</v>
      </c>
      <c r="P384" s="199">
        <f>Table1[[#This Row],[unit cost]]</f>
        <v>0</v>
      </c>
      <c r="Q384" s="409"/>
      <c r="R384" s="186">
        <v>1</v>
      </c>
      <c r="S384" s="249">
        <f t="shared" si="48"/>
        <v>0.42</v>
      </c>
      <c r="T384" s="201">
        <f>Table1[[#This Row],[man minutes]]*Table1[[#This Row],[labor rate]]</f>
        <v>0</v>
      </c>
      <c r="U384" s="201">
        <f t="shared" si="50"/>
        <v>0</v>
      </c>
      <c r="V384" s="187">
        <f t="shared" si="49"/>
        <v>0.22</v>
      </c>
      <c r="W384" s="250">
        <f t="shared" si="54"/>
        <v>0.2</v>
      </c>
      <c r="X384" s="201">
        <f t="shared" si="51"/>
        <v>0</v>
      </c>
      <c r="Y384" s="201">
        <f t="shared" si="52"/>
        <v>0</v>
      </c>
      <c r="Z384" s="201">
        <f t="shared" si="53"/>
        <v>0</v>
      </c>
      <c r="AA384" s="203">
        <f>+Table1[[#This Row],[calculated sale price]]</f>
        <v>0</v>
      </c>
      <c r="AB384" s="202"/>
      <c r="AC384" s="206"/>
      <c r="AD384" s="414"/>
    </row>
    <row r="385" spans="1:30" x14ac:dyDescent="0.25">
      <c r="A385" s="186">
        <v>1376</v>
      </c>
      <c r="C385" s="186"/>
      <c r="I385" s="186"/>
      <c r="J385" s="186"/>
      <c r="K385" s="186"/>
      <c r="L385" s="197"/>
      <c r="M385" s="186"/>
      <c r="N385" s="198"/>
      <c r="O385" s="199">
        <v>0</v>
      </c>
      <c r="P385" s="199">
        <f>Table1[[#This Row],[unit cost]]</f>
        <v>0</v>
      </c>
      <c r="Q385" s="409"/>
      <c r="R385" s="186">
        <v>1</v>
      </c>
      <c r="S385" s="249">
        <f t="shared" ref="S385:S448" si="55">$S$2</f>
        <v>0.42</v>
      </c>
      <c r="T385" s="201">
        <f>Table1[[#This Row],[man minutes]]*Table1[[#This Row],[labor rate]]</f>
        <v>0</v>
      </c>
      <c r="U385" s="201">
        <f t="shared" si="50"/>
        <v>0</v>
      </c>
      <c r="V385" s="187">
        <f t="shared" si="49"/>
        <v>0.22</v>
      </c>
      <c r="W385" s="250">
        <f t="shared" si="54"/>
        <v>0.2</v>
      </c>
      <c r="X385" s="201">
        <f t="shared" si="51"/>
        <v>0</v>
      </c>
      <c r="Y385" s="201">
        <f t="shared" si="52"/>
        <v>0</v>
      </c>
      <c r="Z385" s="201">
        <f t="shared" si="53"/>
        <v>0</v>
      </c>
      <c r="AA385" s="203">
        <f>+Table1[[#This Row],[calculated sale price]]</f>
        <v>0</v>
      </c>
      <c r="AB385" s="202"/>
      <c r="AC385" s="206"/>
      <c r="AD385" s="414"/>
    </row>
    <row r="386" spans="1:30" x14ac:dyDescent="0.25">
      <c r="A386" s="186">
        <v>1377</v>
      </c>
      <c r="C386" s="186"/>
      <c r="I386" s="186"/>
      <c r="J386" s="186"/>
      <c r="K386" s="186"/>
      <c r="L386" s="197"/>
      <c r="M386" s="186"/>
      <c r="N386" s="198"/>
      <c r="O386" s="199">
        <v>0</v>
      </c>
      <c r="P386" s="199">
        <f>Table1[[#This Row],[unit cost]]</f>
        <v>0</v>
      </c>
      <c r="Q386" s="409"/>
      <c r="R386" s="186">
        <v>1</v>
      </c>
      <c r="S386" s="249">
        <f t="shared" si="55"/>
        <v>0.42</v>
      </c>
      <c r="T386" s="201">
        <f>Table1[[#This Row],[man minutes]]*Table1[[#This Row],[labor rate]]</f>
        <v>0</v>
      </c>
      <c r="U386" s="201">
        <f t="shared" si="50"/>
        <v>0</v>
      </c>
      <c r="V386" s="187">
        <f t="shared" si="49"/>
        <v>0.22</v>
      </c>
      <c r="W386" s="250">
        <f t="shared" si="54"/>
        <v>0.2</v>
      </c>
      <c r="X386" s="201">
        <f t="shared" si="51"/>
        <v>0</v>
      </c>
      <c r="Y386" s="201">
        <f t="shared" si="52"/>
        <v>0</v>
      </c>
      <c r="Z386" s="201">
        <f t="shared" si="53"/>
        <v>0</v>
      </c>
      <c r="AA386" s="203">
        <f>+Table1[[#This Row],[calculated sale price]]</f>
        <v>0</v>
      </c>
      <c r="AB386" s="202"/>
      <c r="AC386" s="206"/>
      <c r="AD386" s="414"/>
    </row>
    <row r="387" spans="1:30" x14ac:dyDescent="0.25">
      <c r="A387" s="186">
        <v>1378</v>
      </c>
      <c r="C387" s="186"/>
      <c r="I387" s="186"/>
      <c r="J387" s="186"/>
      <c r="K387" s="186"/>
      <c r="L387" s="197"/>
      <c r="M387" s="186"/>
      <c r="N387" s="198"/>
      <c r="O387" s="199">
        <v>0</v>
      </c>
      <c r="P387" s="199">
        <f>Table1[[#This Row],[unit cost]]</f>
        <v>0</v>
      </c>
      <c r="Q387" s="409"/>
      <c r="R387" s="186">
        <v>1</v>
      </c>
      <c r="S387" s="249">
        <f t="shared" si="55"/>
        <v>0.42</v>
      </c>
      <c r="T387" s="201">
        <f>Table1[[#This Row],[man minutes]]*Table1[[#This Row],[labor rate]]</f>
        <v>0</v>
      </c>
      <c r="U387" s="201">
        <f t="shared" si="50"/>
        <v>0</v>
      </c>
      <c r="V387" s="187">
        <f t="shared" si="49"/>
        <v>0.22</v>
      </c>
      <c r="W387" s="250">
        <f t="shared" si="54"/>
        <v>0.2</v>
      </c>
      <c r="X387" s="201">
        <f t="shared" si="51"/>
        <v>0</v>
      </c>
      <c r="Y387" s="201">
        <f t="shared" si="52"/>
        <v>0</v>
      </c>
      <c r="Z387" s="201">
        <f t="shared" si="53"/>
        <v>0</v>
      </c>
      <c r="AA387" s="203">
        <f>+Table1[[#This Row],[calculated sale price]]</f>
        <v>0</v>
      </c>
      <c r="AB387" s="202"/>
      <c r="AC387" s="206"/>
      <c r="AD387" s="414"/>
    </row>
    <row r="388" spans="1:30" x14ac:dyDescent="0.25">
      <c r="A388" s="186">
        <v>1379</v>
      </c>
      <c r="C388" s="186"/>
      <c r="I388" s="186"/>
      <c r="J388" s="186"/>
      <c r="K388" s="186"/>
      <c r="L388" s="197"/>
      <c r="M388" s="186"/>
      <c r="N388" s="198"/>
      <c r="O388" s="199">
        <v>0</v>
      </c>
      <c r="P388" s="199">
        <f>Table1[[#This Row],[unit cost]]</f>
        <v>0</v>
      </c>
      <c r="Q388" s="409"/>
      <c r="R388" s="186">
        <v>1</v>
      </c>
      <c r="S388" s="249">
        <f t="shared" si="55"/>
        <v>0.42</v>
      </c>
      <c r="T388" s="201">
        <f>Table1[[#This Row],[man minutes]]*Table1[[#This Row],[labor rate]]</f>
        <v>0</v>
      </c>
      <c r="U388" s="201">
        <f t="shared" si="50"/>
        <v>0</v>
      </c>
      <c r="V388" s="187">
        <f t="shared" si="49"/>
        <v>0.22</v>
      </c>
      <c r="W388" s="250">
        <f t="shared" si="54"/>
        <v>0.2</v>
      </c>
      <c r="X388" s="201">
        <f t="shared" si="51"/>
        <v>0</v>
      </c>
      <c r="Y388" s="201">
        <f t="shared" si="52"/>
        <v>0</v>
      </c>
      <c r="Z388" s="201">
        <f t="shared" si="53"/>
        <v>0</v>
      </c>
      <c r="AA388" s="203">
        <f>+Table1[[#This Row],[calculated sale price]]</f>
        <v>0</v>
      </c>
      <c r="AB388" s="202"/>
      <c r="AC388" s="206"/>
      <c r="AD388" s="414"/>
    </row>
    <row r="389" spans="1:30" x14ac:dyDescent="0.25">
      <c r="A389" s="186">
        <v>1380</v>
      </c>
      <c r="C389" s="186"/>
      <c r="I389" s="186"/>
      <c r="J389" s="186"/>
      <c r="K389" s="186"/>
      <c r="L389" s="197"/>
      <c r="M389" s="186"/>
      <c r="N389" s="198"/>
      <c r="O389" s="199">
        <v>0</v>
      </c>
      <c r="P389" s="199">
        <f>Table1[[#This Row],[unit cost]]</f>
        <v>0</v>
      </c>
      <c r="Q389" s="409"/>
      <c r="R389" s="186">
        <v>1</v>
      </c>
      <c r="S389" s="249">
        <f t="shared" si="55"/>
        <v>0.42</v>
      </c>
      <c r="T389" s="201">
        <f>Table1[[#This Row],[man minutes]]*Table1[[#This Row],[labor rate]]</f>
        <v>0</v>
      </c>
      <c r="U389" s="201">
        <f t="shared" si="50"/>
        <v>0</v>
      </c>
      <c r="V389" s="187">
        <f t="shared" si="49"/>
        <v>0.22</v>
      </c>
      <c r="W389" s="250">
        <f t="shared" si="54"/>
        <v>0.2</v>
      </c>
      <c r="X389" s="201">
        <f t="shared" si="51"/>
        <v>0</v>
      </c>
      <c r="Y389" s="201">
        <f t="shared" si="52"/>
        <v>0</v>
      </c>
      <c r="Z389" s="201">
        <f t="shared" si="53"/>
        <v>0</v>
      </c>
      <c r="AA389" s="203">
        <f>+Table1[[#This Row],[calculated sale price]]</f>
        <v>0</v>
      </c>
      <c r="AB389" s="202"/>
      <c r="AC389" s="206"/>
      <c r="AD389" s="414"/>
    </row>
    <row r="390" spans="1:30" x14ac:dyDescent="0.25">
      <c r="A390" s="186">
        <v>1381</v>
      </c>
      <c r="C390" s="186"/>
      <c r="I390" s="186"/>
      <c r="J390" s="186"/>
      <c r="K390" s="186"/>
      <c r="L390" s="197"/>
      <c r="M390" s="186"/>
      <c r="N390" s="198"/>
      <c r="O390" s="199">
        <v>0</v>
      </c>
      <c r="P390" s="199">
        <f>Table1[[#This Row],[unit cost]]</f>
        <v>0</v>
      </c>
      <c r="Q390" s="409"/>
      <c r="R390" s="186">
        <v>1</v>
      </c>
      <c r="S390" s="249">
        <f t="shared" si="55"/>
        <v>0.42</v>
      </c>
      <c r="T390" s="201">
        <f>Table1[[#This Row],[man minutes]]*Table1[[#This Row],[labor rate]]</f>
        <v>0</v>
      </c>
      <c r="U390" s="201">
        <f t="shared" si="50"/>
        <v>0</v>
      </c>
      <c r="V390" s="187">
        <f t="shared" si="49"/>
        <v>0.22</v>
      </c>
      <c r="W390" s="250">
        <f t="shared" si="54"/>
        <v>0.2</v>
      </c>
      <c r="X390" s="201">
        <f t="shared" si="51"/>
        <v>0</v>
      </c>
      <c r="Y390" s="201">
        <f t="shared" si="52"/>
        <v>0</v>
      </c>
      <c r="Z390" s="201">
        <f t="shared" si="53"/>
        <v>0</v>
      </c>
      <c r="AA390" s="203">
        <f>+Table1[[#This Row],[calculated sale price]]</f>
        <v>0</v>
      </c>
      <c r="AB390" s="202"/>
      <c r="AC390" s="206"/>
      <c r="AD390" s="414"/>
    </row>
    <row r="391" spans="1:30" x14ac:dyDescent="0.25">
      <c r="A391" s="186">
        <v>1382</v>
      </c>
      <c r="C391" s="186"/>
      <c r="I391" s="186"/>
      <c r="J391" s="186"/>
      <c r="K391" s="186"/>
      <c r="L391" s="197"/>
      <c r="M391" s="186"/>
      <c r="N391" s="198"/>
      <c r="O391" s="199">
        <v>0</v>
      </c>
      <c r="P391" s="199">
        <f>Table1[[#This Row],[unit cost]]</f>
        <v>0</v>
      </c>
      <c r="Q391" s="409"/>
      <c r="R391" s="186">
        <v>1</v>
      </c>
      <c r="S391" s="249">
        <f t="shared" si="55"/>
        <v>0.42</v>
      </c>
      <c r="T391" s="201">
        <f>Table1[[#This Row],[man minutes]]*Table1[[#This Row],[labor rate]]</f>
        <v>0</v>
      </c>
      <c r="U391" s="201">
        <f t="shared" si="50"/>
        <v>0</v>
      </c>
      <c r="V391" s="187">
        <f t="shared" si="49"/>
        <v>0.22</v>
      </c>
      <c r="W391" s="250">
        <f t="shared" si="54"/>
        <v>0.2</v>
      </c>
      <c r="X391" s="201">
        <f t="shared" si="51"/>
        <v>0</v>
      </c>
      <c r="Y391" s="201">
        <f t="shared" si="52"/>
        <v>0</v>
      </c>
      <c r="Z391" s="201">
        <f t="shared" si="53"/>
        <v>0</v>
      </c>
      <c r="AA391" s="203">
        <f>+Table1[[#This Row],[calculated sale price]]</f>
        <v>0</v>
      </c>
      <c r="AB391" s="202"/>
      <c r="AC391" s="206"/>
      <c r="AD391" s="414"/>
    </row>
    <row r="392" spans="1:30" x14ac:dyDescent="0.25">
      <c r="A392" s="186">
        <v>1383</v>
      </c>
      <c r="C392" s="186"/>
      <c r="I392" s="186"/>
      <c r="J392" s="186"/>
      <c r="K392" s="186"/>
      <c r="L392" s="197"/>
      <c r="M392" s="186"/>
      <c r="N392" s="198"/>
      <c r="O392" s="199">
        <v>0</v>
      </c>
      <c r="P392" s="199">
        <f>Table1[[#This Row],[unit cost]]</f>
        <v>0</v>
      </c>
      <c r="Q392" s="409"/>
      <c r="R392" s="186">
        <v>1</v>
      </c>
      <c r="S392" s="249">
        <f t="shared" si="55"/>
        <v>0.42</v>
      </c>
      <c r="T392" s="201">
        <f>Table1[[#This Row],[man minutes]]*Table1[[#This Row],[labor rate]]</f>
        <v>0</v>
      </c>
      <c r="U392" s="201">
        <f t="shared" si="50"/>
        <v>0</v>
      </c>
      <c r="V392" s="187">
        <f t="shared" si="49"/>
        <v>0.22</v>
      </c>
      <c r="W392" s="250">
        <f t="shared" si="54"/>
        <v>0.2</v>
      </c>
      <c r="X392" s="201">
        <f t="shared" si="51"/>
        <v>0</v>
      </c>
      <c r="Y392" s="201">
        <f t="shared" si="52"/>
        <v>0</v>
      </c>
      <c r="Z392" s="201">
        <f t="shared" si="53"/>
        <v>0</v>
      </c>
      <c r="AA392" s="203">
        <f>+Table1[[#This Row],[calculated sale price]]</f>
        <v>0</v>
      </c>
      <c r="AB392" s="202"/>
      <c r="AC392" s="206"/>
      <c r="AD392" s="414"/>
    </row>
    <row r="393" spans="1:30" x14ac:dyDescent="0.25">
      <c r="A393" s="186">
        <v>1384</v>
      </c>
      <c r="C393" s="186"/>
      <c r="I393" s="186"/>
      <c r="J393" s="186"/>
      <c r="K393" s="186"/>
      <c r="L393" s="197"/>
      <c r="M393" s="186"/>
      <c r="N393" s="198"/>
      <c r="O393" s="199">
        <v>0</v>
      </c>
      <c r="P393" s="199">
        <f>Table1[[#This Row],[unit cost]]</f>
        <v>0</v>
      </c>
      <c r="Q393" s="409"/>
      <c r="R393" s="186">
        <v>1</v>
      </c>
      <c r="S393" s="249">
        <f t="shared" si="55"/>
        <v>0.42</v>
      </c>
      <c r="T393" s="201">
        <f>Table1[[#This Row],[man minutes]]*Table1[[#This Row],[labor rate]]</f>
        <v>0</v>
      </c>
      <c r="U393" s="201">
        <f t="shared" si="50"/>
        <v>0</v>
      </c>
      <c r="V393" s="187">
        <f t="shared" si="49"/>
        <v>0.22</v>
      </c>
      <c r="W393" s="250">
        <f t="shared" si="54"/>
        <v>0.2</v>
      </c>
      <c r="X393" s="201">
        <f t="shared" si="51"/>
        <v>0</v>
      </c>
      <c r="Y393" s="201">
        <f t="shared" si="52"/>
        <v>0</v>
      </c>
      <c r="Z393" s="201">
        <f t="shared" si="53"/>
        <v>0</v>
      </c>
      <c r="AA393" s="203">
        <f>+Table1[[#This Row],[calculated sale price]]</f>
        <v>0</v>
      </c>
      <c r="AB393" s="202"/>
      <c r="AC393" s="206"/>
      <c r="AD393" s="414"/>
    </row>
    <row r="394" spans="1:30" x14ac:dyDescent="0.25">
      <c r="A394" s="186">
        <v>1385</v>
      </c>
      <c r="C394" s="186"/>
      <c r="I394" s="186"/>
      <c r="J394" s="186"/>
      <c r="K394" s="186"/>
      <c r="L394" s="197"/>
      <c r="M394" s="186"/>
      <c r="N394" s="198"/>
      <c r="O394" s="199">
        <v>0</v>
      </c>
      <c r="P394" s="199">
        <f>Table1[[#This Row],[unit cost]]</f>
        <v>0</v>
      </c>
      <c r="Q394" s="409"/>
      <c r="R394" s="186">
        <v>1</v>
      </c>
      <c r="S394" s="249">
        <f t="shared" si="55"/>
        <v>0.42</v>
      </c>
      <c r="T394" s="201">
        <f>Table1[[#This Row],[man minutes]]*Table1[[#This Row],[labor rate]]</f>
        <v>0</v>
      </c>
      <c r="U394" s="201">
        <f t="shared" si="50"/>
        <v>0</v>
      </c>
      <c r="V394" s="187">
        <f t="shared" si="49"/>
        <v>0.22</v>
      </c>
      <c r="W394" s="250">
        <f t="shared" si="54"/>
        <v>0.2</v>
      </c>
      <c r="X394" s="201">
        <f t="shared" si="51"/>
        <v>0</v>
      </c>
      <c r="Y394" s="201">
        <f t="shared" si="52"/>
        <v>0</v>
      </c>
      <c r="Z394" s="201">
        <f t="shared" si="53"/>
        <v>0</v>
      </c>
      <c r="AA394" s="203">
        <f>+Table1[[#This Row],[calculated sale price]]</f>
        <v>0</v>
      </c>
      <c r="AB394" s="202"/>
      <c r="AC394" s="206"/>
      <c r="AD394" s="414"/>
    </row>
    <row r="395" spans="1:30" x14ac:dyDescent="0.25">
      <c r="A395" s="186">
        <v>1386</v>
      </c>
      <c r="C395" s="186"/>
      <c r="I395" s="186"/>
      <c r="J395" s="186"/>
      <c r="K395" s="186"/>
      <c r="L395" s="197"/>
      <c r="M395" s="186"/>
      <c r="N395" s="198"/>
      <c r="O395" s="199">
        <v>0</v>
      </c>
      <c r="P395" s="199">
        <f>Table1[[#This Row],[unit cost]]</f>
        <v>0</v>
      </c>
      <c r="Q395" s="409"/>
      <c r="R395" s="186">
        <v>1</v>
      </c>
      <c r="S395" s="249">
        <f t="shared" si="55"/>
        <v>0.42</v>
      </c>
      <c r="T395" s="201">
        <f>Table1[[#This Row],[man minutes]]*Table1[[#This Row],[labor rate]]</f>
        <v>0</v>
      </c>
      <c r="U395" s="201">
        <f t="shared" si="50"/>
        <v>0</v>
      </c>
      <c r="V395" s="187">
        <f t="shared" si="49"/>
        <v>0.22</v>
      </c>
      <c r="W395" s="250">
        <f t="shared" si="54"/>
        <v>0.2</v>
      </c>
      <c r="X395" s="201">
        <f t="shared" si="51"/>
        <v>0</v>
      </c>
      <c r="Y395" s="201">
        <f t="shared" si="52"/>
        <v>0</v>
      </c>
      <c r="Z395" s="201">
        <f t="shared" si="53"/>
        <v>0</v>
      </c>
      <c r="AA395" s="203">
        <f>+Table1[[#This Row],[calculated sale price]]</f>
        <v>0</v>
      </c>
      <c r="AB395" s="202"/>
      <c r="AC395" s="206"/>
      <c r="AD395" s="414"/>
    </row>
    <row r="396" spans="1:30" x14ac:dyDescent="0.25">
      <c r="A396" s="186">
        <v>1387</v>
      </c>
      <c r="C396" s="186"/>
      <c r="I396" s="186"/>
      <c r="J396" s="186"/>
      <c r="K396" s="186"/>
      <c r="L396" s="197"/>
      <c r="M396" s="186"/>
      <c r="N396" s="198"/>
      <c r="O396" s="199">
        <v>0</v>
      </c>
      <c r="P396" s="199">
        <f>Table1[[#This Row],[unit cost]]</f>
        <v>0</v>
      </c>
      <c r="Q396" s="409"/>
      <c r="R396" s="186">
        <v>1</v>
      </c>
      <c r="S396" s="249">
        <f t="shared" si="55"/>
        <v>0.42</v>
      </c>
      <c r="T396" s="201">
        <f>Table1[[#This Row],[man minutes]]*Table1[[#This Row],[labor rate]]</f>
        <v>0</v>
      </c>
      <c r="U396" s="201">
        <f t="shared" si="50"/>
        <v>0</v>
      </c>
      <c r="V396" s="187">
        <f t="shared" si="49"/>
        <v>0.22</v>
      </c>
      <c r="W396" s="250">
        <f t="shared" si="54"/>
        <v>0.2</v>
      </c>
      <c r="X396" s="201">
        <f t="shared" si="51"/>
        <v>0</v>
      </c>
      <c r="Y396" s="201">
        <f t="shared" si="52"/>
        <v>0</v>
      </c>
      <c r="Z396" s="201">
        <f t="shared" si="53"/>
        <v>0</v>
      </c>
      <c r="AA396" s="203">
        <f>+Table1[[#This Row],[calculated sale price]]</f>
        <v>0</v>
      </c>
      <c r="AB396" s="202"/>
      <c r="AC396" s="206"/>
      <c r="AD396" s="414"/>
    </row>
    <row r="397" spans="1:30" x14ac:dyDescent="0.25">
      <c r="A397" s="186">
        <v>1388</v>
      </c>
      <c r="C397" s="186"/>
      <c r="I397" s="186"/>
      <c r="J397" s="186"/>
      <c r="K397" s="186"/>
      <c r="L397" s="197"/>
      <c r="M397" s="186"/>
      <c r="N397" s="198"/>
      <c r="O397" s="199">
        <v>0</v>
      </c>
      <c r="P397" s="199">
        <f>Table1[[#This Row],[unit cost]]</f>
        <v>0</v>
      </c>
      <c r="Q397" s="409"/>
      <c r="R397" s="186">
        <v>1</v>
      </c>
      <c r="S397" s="249">
        <f t="shared" si="55"/>
        <v>0.42</v>
      </c>
      <c r="T397" s="201">
        <f>Table1[[#This Row],[man minutes]]*Table1[[#This Row],[labor rate]]</f>
        <v>0</v>
      </c>
      <c r="U397" s="201">
        <f t="shared" si="50"/>
        <v>0</v>
      </c>
      <c r="V397" s="187">
        <f t="shared" si="49"/>
        <v>0.22</v>
      </c>
      <c r="W397" s="250">
        <f t="shared" si="54"/>
        <v>0.2</v>
      </c>
      <c r="X397" s="201">
        <f t="shared" si="51"/>
        <v>0</v>
      </c>
      <c r="Y397" s="201">
        <f t="shared" si="52"/>
        <v>0</v>
      </c>
      <c r="Z397" s="201">
        <f t="shared" si="53"/>
        <v>0</v>
      </c>
      <c r="AA397" s="203">
        <f>+Table1[[#This Row],[calculated sale price]]</f>
        <v>0</v>
      </c>
      <c r="AB397" s="202"/>
      <c r="AC397" s="206"/>
      <c r="AD397" s="414"/>
    </row>
    <row r="398" spans="1:30" x14ac:dyDescent="0.25">
      <c r="A398" s="186">
        <v>1389</v>
      </c>
      <c r="C398" s="186"/>
      <c r="I398" s="186"/>
      <c r="J398" s="186"/>
      <c r="K398" s="186"/>
      <c r="L398" s="197"/>
      <c r="M398" s="186"/>
      <c r="N398" s="198"/>
      <c r="O398" s="199">
        <v>0</v>
      </c>
      <c r="P398" s="199">
        <f>Table1[[#This Row],[unit cost]]</f>
        <v>0</v>
      </c>
      <c r="Q398" s="409"/>
      <c r="R398" s="186">
        <v>1</v>
      </c>
      <c r="S398" s="249">
        <f t="shared" si="55"/>
        <v>0.42</v>
      </c>
      <c r="T398" s="201">
        <f>Table1[[#This Row],[man minutes]]*Table1[[#This Row],[labor rate]]</f>
        <v>0</v>
      </c>
      <c r="U398" s="201">
        <f t="shared" si="50"/>
        <v>0</v>
      </c>
      <c r="V398" s="187">
        <f t="shared" si="49"/>
        <v>0.22</v>
      </c>
      <c r="W398" s="250">
        <f t="shared" si="54"/>
        <v>0.2</v>
      </c>
      <c r="X398" s="201">
        <f t="shared" si="51"/>
        <v>0</v>
      </c>
      <c r="Y398" s="201">
        <f t="shared" si="52"/>
        <v>0</v>
      </c>
      <c r="Z398" s="201">
        <f t="shared" si="53"/>
        <v>0</v>
      </c>
      <c r="AA398" s="203">
        <f>+Table1[[#This Row],[calculated sale price]]</f>
        <v>0</v>
      </c>
      <c r="AB398" s="202"/>
      <c r="AC398" s="206"/>
      <c r="AD398" s="414"/>
    </row>
    <row r="399" spans="1:30" x14ac:dyDescent="0.25">
      <c r="A399" s="186">
        <v>1390</v>
      </c>
      <c r="C399" s="186"/>
      <c r="I399" s="186"/>
      <c r="J399" s="186"/>
      <c r="K399" s="186"/>
      <c r="L399" s="197"/>
      <c r="M399" s="186"/>
      <c r="N399" s="198"/>
      <c r="O399" s="199">
        <v>0</v>
      </c>
      <c r="P399" s="199">
        <f>Table1[[#This Row],[unit cost]]</f>
        <v>0</v>
      </c>
      <c r="Q399" s="409"/>
      <c r="R399" s="186">
        <v>1</v>
      </c>
      <c r="S399" s="249">
        <f t="shared" si="55"/>
        <v>0.42</v>
      </c>
      <c r="T399" s="201">
        <f>Table1[[#This Row],[man minutes]]*Table1[[#This Row],[labor rate]]</f>
        <v>0</v>
      </c>
      <c r="U399" s="201">
        <f t="shared" si="50"/>
        <v>0</v>
      </c>
      <c r="V399" s="187">
        <f t="shared" si="49"/>
        <v>0.22</v>
      </c>
      <c r="W399" s="250">
        <f t="shared" si="54"/>
        <v>0.2</v>
      </c>
      <c r="X399" s="201">
        <f t="shared" si="51"/>
        <v>0</v>
      </c>
      <c r="Y399" s="201">
        <f t="shared" si="52"/>
        <v>0</v>
      </c>
      <c r="Z399" s="201">
        <f t="shared" si="53"/>
        <v>0</v>
      </c>
      <c r="AA399" s="203">
        <f>+Table1[[#This Row],[calculated sale price]]</f>
        <v>0</v>
      </c>
      <c r="AB399" s="202"/>
      <c r="AC399" s="206"/>
      <c r="AD399" s="414"/>
    </row>
    <row r="400" spans="1:30" x14ac:dyDescent="0.25">
      <c r="A400" s="186">
        <v>1391</v>
      </c>
      <c r="C400" s="186"/>
      <c r="I400" s="186"/>
      <c r="J400" s="186"/>
      <c r="K400" s="186"/>
      <c r="L400" s="197"/>
      <c r="M400" s="186"/>
      <c r="N400" s="198"/>
      <c r="O400" s="199">
        <v>0</v>
      </c>
      <c r="P400" s="199">
        <f>Table1[[#This Row],[unit cost]]</f>
        <v>0</v>
      </c>
      <c r="Q400" s="409"/>
      <c r="R400" s="186">
        <v>1</v>
      </c>
      <c r="S400" s="249">
        <f t="shared" si="55"/>
        <v>0.42</v>
      </c>
      <c r="T400" s="201">
        <f>Table1[[#This Row],[man minutes]]*Table1[[#This Row],[labor rate]]</f>
        <v>0</v>
      </c>
      <c r="U400" s="201">
        <f t="shared" si="50"/>
        <v>0</v>
      </c>
      <c r="V400" s="187">
        <f t="shared" ref="V400:V457" si="56">$V$2</f>
        <v>0.22</v>
      </c>
      <c r="W400" s="250">
        <f t="shared" si="54"/>
        <v>0.2</v>
      </c>
      <c r="X400" s="201">
        <f t="shared" si="51"/>
        <v>0</v>
      </c>
      <c r="Y400" s="201">
        <f t="shared" si="52"/>
        <v>0</v>
      </c>
      <c r="Z400" s="201">
        <f t="shared" si="53"/>
        <v>0</v>
      </c>
      <c r="AA400" s="203">
        <f>+Table1[[#This Row],[calculated sale price]]</f>
        <v>0</v>
      </c>
      <c r="AB400" s="202"/>
      <c r="AC400" s="206"/>
      <c r="AD400" s="414"/>
    </row>
    <row r="401" spans="1:30" x14ac:dyDescent="0.25">
      <c r="A401" s="186">
        <v>1392</v>
      </c>
      <c r="C401" s="186"/>
      <c r="I401" s="186"/>
      <c r="J401" s="186"/>
      <c r="K401" s="186"/>
      <c r="L401" s="197"/>
      <c r="M401" s="186"/>
      <c r="N401" s="198"/>
      <c r="O401" s="199">
        <v>0</v>
      </c>
      <c r="P401" s="199">
        <f>Table1[[#This Row],[unit cost]]</f>
        <v>0</v>
      </c>
      <c r="Q401" s="409"/>
      <c r="R401" s="186">
        <v>1</v>
      </c>
      <c r="S401" s="249">
        <f t="shared" si="55"/>
        <v>0.42</v>
      </c>
      <c r="T401" s="201">
        <f>Table1[[#This Row],[man minutes]]*Table1[[#This Row],[labor rate]]</f>
        <v>0</v>
      </c>
      <c r="U401" s="201">
        <f t="shared" si="50"/>
        <v>0</v>
      </c>
      <c r="V401" s="187">
        <f t="shared" si="56"/>
        <v>0.22</v>
      </c>
      <c r="W401" s="250">
        <f t="shared" si="54"/>
        <v>0.2</v>
      </c>
      <c r="X401" s="201">
        <f t="shared" si="51"/>
        <v>0</v>
      </c>
      <c r="Y401" s="201">
        <f t="shared" si="52"/>
        <v>0</v>
      </c>
      <c r="Z401" s="201">
        <f t="shared" si="53"/>
        <v>0</v>
      </c>
      <c r="AA401" s="203">
        <f>+Table1[[#This Row],[calculated sale price]]</f>
        <v>0</v>
      </c>
      <c r="AB401" s="202"/>
      <c r="AC401" s="206"/>
      <c r="AD401" s="414"/>
    </row>
    <row r="402" spans="1:30" x14ac:dyDescent="0.25">
      <c r="A402" s="186">
        <v>1393</v>
      </c>
      <c r="C402" s="186"/>
      <c r="I402" s="186"/>
      <c r="J402" s="186"/>
      <c r="K402" s="186"/>
      <c r="L402" s="197"/>
      <c r="M402" s="186"/>
      <c r="N402" s="198"/>
      <c r="O402" s="199">
        <v>0</v>
      </c>
      <c r="P402" s="199">
        <f>Table1[[#This Row],[unit cost]]</f>
        <v>0</v>
      </c>
      <c r="Q402" s="409"/>
      <c r="R402" s="186">
        <v>1</v>
      </c>
      <c r="S402" s="249">
        <f t="shared" si="55"/>
        <v>0.42</v>
      </c>
      <c r="T402" s="201">
        <f>Table1[[#This Row],[man minutes]]*Table1[[#This Row],[labor rate]]</f>
        <v>0</v>
      </c>
      <c r="U402" s="201">
        <f t="shared" si="50"/>
        <v>0</v>
      </c>
      <c r="V402" s="187">
        <f t="shared" si="56"/>
        <v>0.22</v>
      </c>
      <c r="W402" s="250">
        <f t="shared" si="54"/>
        <v>0.2</v>
      </c>
      <c r="X402" s="201">
        <f t="shared" si="51"/>
        <v>0</v>
      </c>
      <c r="Y402" s="201">
        <f t="shared" si="52"/>
        <v>0</v>
      </c>
      <c r="Z402" s="201">
        <f t="shared" si="53"/>
        <v>0</v>
      </c>
      <c r="AA402" s="203">
        <f>+Table1[[#This Row],[calculated sale price]]</f>
        <v>0</v>
      </c>
      <c r="AB402" s="202"/>
      <c r="AC402" s="206"/>
      <c r="AD402" s="414"/>
    </row>
    <row r="403" spans="1:30" x14ac:dyDescent="0.25">
      <c r="A403" s="186">
        <v>1394</v>
      </c>
      <c r="C403" s="186"/>
      <c r="I403" s="186"/>
      <c r="J403" s="186"/>
      <c r="K403" s="186"/>
      <c r="L403" s="197"/>
      <c r="M403" s="186"/>
      <c r="N403" s="198"/>
      <c r="O403" s="199">
        <v>0</v>
      </c>
      <c r="P403" s="199">
        <f>Table1[[#This Row],[unit cost]]</f>
        <v>0</v>
      </c>
      <c r="Q403" s="409"/>
      <c r="R403" s="186">
        <v>1</v>
      </c>
      <c r="S403" s="249">
        <f t="shared" si="55"/>
        <v>0.42</v>
      </c>
      <c r="T403" s="201">
        <f>Table1[[#This Row],[man minutes]]*Table1[[#This Row],[labor rate]]</f>
        <v>0</v>
      </c>
      <c r="U403" s="201">
        <f t="shared" si="50"/>
        <v>0</v>
      </c>
      <c r="V403" s="187">
        <f t="shared" si="56"/>
        <v>0.22</v>
      </c>
      <c r="W403" s="250">
        <f t="shared" si="54"/>
        <v>0.2</v>
      </c>
      <c r="X403" s="201">
        <f t="shared" si="51"/>
        <v>0</v>
      </c>
      <c r="Y403" s="201">
        <f t="shared" si="52"/>
        <v>0</v>
      </c>
      <c r="Z403" s="201">
        <f t="shared" si="53"/>
        <v>0</v>
      </c>
      <c r="AA403" s="203">
        <f>+Table1[[#This Row],[calculated sale price]]</f>
        <v>0</v>
      </c>
      <c r="AB403" s="202"/>
      <c r="AC403" s="206"/>
      <c r="AD403" s="414"/>
    </row>
    <row r="404" spans="1:30" x14ac:dyDescent="0.25">
      <c r="A404" s="186">
        <v>1395</v>
      </c>
      <c r="C404" s="186"/>
      <c r="I404" s="186"/>
      <c r="J404" s="186"/>
      <c r="K404" s="186"/>
      <c r="L404" s="197"/>
      <c r="M404" s="186"/>
      <c r="N404" s="198"/>
      <c r="O404" s="199">
        <v>0</v>
      </c>
      <c r="P404" s="199">
        <f>Table1[[#This Row],[unit cost]]</f>
        <v>0</v>
      </c>
      <c r="Q404" s="409"/>
      <c r="R404" s="186">
        <v>1</v>
      </c>
      <c r="S404" s="249">
        <f t="shared" si="55"/>
        <v>0.42</v>
      </c>
      <c r="T404" s="201">
        <f>Table1[[#This Row],[man minutes]]*Table1[[#This Row],[labor rate]]</f>
        <v>0</v>
      </c>
      <c r="U404" s="201">
        <f t="shared" si="50"/>
        <v>0</v>
      </c>
      <c r="V404" s="187">
        <f t="shared" si="56"/>
        <v>0.22</v>
      </c>
      <c r="W404" s="250">
        <f t="shared" si="54"/>
        <v>0.2</v>
      </c>
      <c r="X404" s="201">
        <f t="shared" si="51"/>
        <v>0</v>
      </c>
      <c r="Y404" s="201">
        <f t="shared" si="52"/>
        <v>0</v>
      </c>
      <c r="Z404" s="201">
        <f t="shared" si="53"/>
        <v>0</v>
      </c>
      <c r="AA404" s="203">
        <f>+Table1[[#This Row],[calculated sale price]]</f>
        <v>0</v>
      </c>
      <c r="AB404" s="202"/>
      <c r="AC404" s="206"/>
      <c r="AD404" s="414"/>
    </row>
    <row r="405" spans="1:30" x14ac:dyDescent="0.25">
      <c r="A405" s="186">
        <v>1396</v>
      </c>
      <c r="C405" s="186"/>
      <c r="I405" s="186"/>
      <c r="J405" s="186"/>
      <c r="K405" s="186"/>
      <c r="L405" s="197"/>
      <c r="M405" s="186"/>
      <c r="N405" s="198"/>
      <c r="O405" s="199">
        <v>0</v>
      </c>
      <c r="P405" s="199">
        <f>Table1[[#This Row],[unit cost]]</f>
        <v>0</v>
      </c>
      <c r="Q405" s="409"/>
      <c r="R405" s="186">
        <v>1</v>
      </c>
      <c r="S405" s="249">
        <f t="shared" si="55"/>
        <v>0.42</v>
      </c>
      <c r="T405" s="201">
        <f>Table1[[#This Row],[man minutes]]*Table1[[#This Row],[labor rate]]</f>
        <v>0</v>
      </c>
      <c r="U405" s="201">
        <f t="shared" si="50"/>
        <v>0</v>
      </c>
      <c r="V405" s="187">
        <f t="shared" si="56"/>
        <v>0.22</v>
      </c>
      <c r="W405" s="250">
        <f t="shared" si="54"/>
        <v>0.2</v>
      </c>
      <c r="X405" s="201">
        <f t="shared" si="51"/>
        <v>0</v>
      </c>
      <c r="Y405" s="201">
        <f t="shared" si="52"/>
        <v>0</v>
      </c>
      <c r="Z405" s="201">
        <f t="shared" si="53"/>
        <v>0</v>
      </c>
      <c r="AA405" s="203">
        <f>+Table1[[#This Row],[calculated sale price]]</f>
        <v>0</v>
      </c>
      <c r="AB405" s="202"/>
      <c r="AC405" s="206"/>
      <c r="AD405" s="414"/>
    </row>
    <row r="406" spans="1:30" x14ac:dyDescent="0.25">
      <c r="A406" s="186">
        <v>1397</v>
      </c>
      <c r="C406" s="186"/>
      <c r="I406" s="186"/>
      <c r="J406" s="186"/>
      <c r="K406" s="186"/>
      <c r="L406" s="197"/>
      <c r="M406" s="186"/>
      <c r="N406" s="198"/>
      <c r="O406" s="199">
        <v>0</v>
      </c>
      <c r="P406" s="199">
        <f>Table1[[#This Row],[unit cost]]</f>
        <v>0</v>
      </c>
      <c r="Q406" s="409"/>
      <c r="R406" s="186">
        <v>1</v>
      </c>
      <c r="S406" s="249">
        <f t="shared" si="55"/>
        <v>0.42</v>
      </c>
      <c r="T406" s="201">
        <f>Table1[[#This Row],[man minutes]]*Table1[[#This Row],[labor rate]]</f>
        <v>0</v>
      </c>
      <c r="U406" s="201">
        <f t="shared" si="50"/>
        <v>0</v>
      </c>
      <c r="V406" s="187">
        <f t="shared" si="56"/>
        <v>0.22</v>
      </c>
      <c r="W406" s="250">
        <f t="shared" si="54"/>
        <v>0.2</v>
      </c>
      <c r="X406" s="201">
        <f t="shared" si="51"/>
        <v>0</v>
      </c>
      <c r="Y406" s="201">
        <f t="shared" si="52"/>
        <v>0</v>
      </c>
      <c r="Z406" s="201">
        <f t="shared" si="53"/>
        <v>0</v>
      </c>
      <c r="AA406" s="203">
        <f>+Table1[[#This Row],[calculated sale price]]</f>
        <v>0</v>
      </c>
      <c r="AB406" s="202"/>
      <c r="AC406" s="206"/>
      <c r="AD406" s="414"/>
    </row>
    <row r="407" spans="1:30" x14ac:dyDescent="0.25">
      <c r="A407" s="186">
        <v>1398</v>
      </c>
      <c r="C407" s="186"/>
      <c r="I407" s="186"/>
      <c r="J407" s="186"/>
      <c r="K407" s="186"/>
      <c r="L407" s="197"/>
      <c r="M407" s="186"/>
      <c r="N407" s="198"/>
      <c r="O407" s="199">
        <v>0</v>
      </c>
      <c r="P407" s="199">
        <f>Table1[[#This Row],[unit cost]]</f>
        <v>0</v>
      </c>
      <c r="Q407" s="409"/>
      <c r="R407" s="186">
        <v>1</v>
      </c>
      <c r="S407" s="249">
        <f t="shared" si="55"/>
        <v>0.42</v>
      </c>
      <c r="T407" s="201">
        <f>Table1[[#This Row],[man minutes]]*Table1[[#This Row],[labor rate]]</f>
        <v>0</v>
      </c>
      <c r="U407" s="201">
        <f t="shared" si="50"/>
        <v>0</v>
      </c>
      <c r="V407" s="187">
        <f t="shared" si="56"/>
        <v>0.22</v>
      </c>
      <c r="W407" s="250">
        <f t="shared" si="54"/>
        <v>0.2</v>
      </c>
      <c r="X407" s="201">
        <f t="shared" si="51"/>
        <v>0</v>
      </c>
      <c r="Y407" s="201">
        <f t="shared" si="52"/>
        <v>0</v>
      </c>
      <c r="Z407" s="201">
        <f t="shared" si="53"/>
        <v>0</v>
      </c>
      <c r="AA407" s="203">
        <f>+Table1[[#This Row],[calculated sale price]]</f>
        <v>0</v>
      </c>
      <c r="AB407" s="202"/>
      <c r="AC407" s="206"/>
      <c r="AD407" s="414"/>
    </row>
    <row r="408" spans="1:30" x14ac:dyDescent="0.25">
      <c r="A408" s="186">
        <v>1399</v>
      </c>
      <c r="C408" s="186"/>
      <c r="I408" s="186"/>
      <c r="J408" s="186"/>
      <c r="K408" s="186"/>
      <c r="L408" s="197"/>
      <c r="M408" s="186"/>
      <c r="N408" s="198"/>
      <c r="O408" s="199">
        <v>0</v>
      </c>
      <c r="P408" s="199">
        <f>Table1[[#This Row],[unit cost]]</f>
        <v>0</v>
      </c>
      <c r="Q408" s="409"/>
      <c r="R408" s="186">
        <v>1</v>
      </c>
      <c r="S408" s="249">
        <f t="shared" si="55"/>
        <v>0.42</v>
      </c>
      <c r="T408" s="201">
        <f>Table1[[#This Row],[man minutes]]*Table1[[#This Row],[labor rate]]</f>
        <v>0</v>
      </c>
      <c r="U408" s="201">
        <f t="shared" si="50"/>
        <v>0</v>
      </c>
      <c r="V408" s="187">
        <f t="shared" si="56"/>
        <v>0.22</v>
      </c>
      <c r="W408" s="250">
        <f t="shared" si="54"/>
        <v>0.2</v>
      </c>
      <c r="X408" s="201">
        <f t="shared" si="51"/>
        <v>0</v>
      </c>
      <c r="Y408" s="201">
        <f t="shared" si="52"/>
        <v>0</v>
      </c>
      <c r="Z408" s="201">
        <f t="shared" si="53"/>
        <v>0</v>
      </c>
      <c r="AA408" s="203">
        <f>+Table1[[#This Row],[calculated sale price]]</f>
        <v>0</v>
      </c>
      <c r="AB408" s="202"/>
      <c r="AC408" s="206"/>
      <c r="AD408" s="414"/>
    </row>
    <row r="409" spans="1:30" x14ac:dyDescent="0.25">
      <c r="A409" s="186">
        <v>1400</v>
      </c>
      <c r="C409" s="186"/>
      <c r="I409" s="186"/>
      <c r="J409" s="186"/>
      <c r="K409" s="186"/>
      <c r="L409" s="197"/>
      <c r="M409" s="186"/>
      <c r="N409" s="198"/>
      <c r="O409" s="199">
        <v>0</v>
      </c>
      <c r="P409" s="199">
        <f>Table1[[#This Row],[unit cost]]</f>
        <v>0</v>
      </c>
      <c r="Q409" s="409"/>
      <c r="R409" s="186">
        <v>1</v>
      </c>
      <c r="S409" s="249">
        <f t="shared" si="55"/>
        <v>0.42</v>
      </c>
      <c r="T409" s="201">
        <f>Table1[[#This Row],[man minutes]]*Table1[[#This Row],[labor rate]]</f>
        <v>0</v>
      </c>
      <c r="U409" s="201">
        <f t="shared" si="50"/>
        <v>0</v>
      </c>
      <c r="V409" s="187">
        <f t="shared" si="56"/>
        <v>0.22</v>
      </c>
      <c r="W409" s="250">
        <f t="shared" si="54"/>
        <v>0.2</v>
      </c>
      <c r="X409" s="201">
        <f t="shared" si="51"/>
        <v>0</v>
      </c>
      <c r="Y409" s="201">
        <f t="shared" si="52"/>
        <v>0</v>
      </c>
      <c r="Z409" s="201">
        <f t="shared" si="53"/>
        <v>0</v>
      </c>
      <c r="AA409" s="203">
        <f>+Table1[[#This Row],[calculated sale price]]</f>
        <v>0</v>
      </c>
      <c r="AB409" s="202"/>
      <c r="AC409" s="206"/>
      <c r="AD409" s="414"/>
    </row>
    <row r="410" spans="1:30" x14ac:dyDescent="0.25">
      <c r="A410" s="186">
        <v>1401</v>
      </c>
      <c r="C410" s="186"/>
      <c r="I410" s="186"/>
      <c r="J410" s="186"/>
      <c r="K410" s="186"/>
      <c r="L410" s="197"/>
      <c r="M410" s="186"/>
      <c r="N410" s="198"/>
      <c r="O410" s="199">
        <v>0</v>
      </c>
      <c r="P410" s="199">
        <f>Table1[[#This Row],[unit cost]]</f>
        <v>0</v>
      </c>
      <c r="Q410" s="409"/>
      <c r="R410" s="186">
        <v>1</v>
      </c>
      <c r="S410" s="249">
        <f t="shared" si="55"/>
        <v>0.42</v>
      </c>
      <c r="T410" s="201">
        <f>Table1[[#This Row],[man minutes]]*Table1[[#This Row],[labor rate]]</f>
        <v>0</v>
      </c>
      <c r="U410" s="201">
        <f t="shared" si="50"/>
        <v>0</v>
      </c>
      <c r="V410" s="187">
        <f t="shared" si="56"/>
        <v>0.22</v>
      </c>
      <c r="W410" s="250">
        <f t="shared" si="54"/>
        <v>0.2</v>
      </c>
      <c r="X410" s="201">
        <f t="shared" si="51"/>
        <v>0</v>
      </c>
      <c r="Y410" s="201">
        <f t="shared" si="52"/>
        <v>0</v>
      </c>
      <c r="Z410" s="201">
        <f t="shared" si="53"/>
        <v>0</v>
      </c>
      <c r="AA410" s="203">
        <f>+Table1[[#This Row],[calculated sale price]]</f>
        <v>0</v>
      </c>
      <c r="AB410" s="202"/>
      <c r="AC410" s="206"/>
      <c r="AD410" s="414"/>
    </row>
    <row r="411" spans="1:30" x14ac:dyDescent="0.25">
      <c r="A411" s="186">
        <v>1402</v>
      </c>
      <c r="C411" s="186"/>
      <c r="I411" s="186"/>
      <c r="J411" s="186"/>
      <c r="K411" s="186"/>
      <c r="L411" s="197"/>
      <c r="M411" s="186"/>
      <c r="N411" s="198"/>
      <c r="O411" s="199">
        <v>0</v>
      </c>
      <c r="P411" s="199">
        <f>Table1[[#This Row],[unit cost]]</f>
        <v>0</v>
      </c>
      <c r="Q411" s="409"/>
      <c r="R411" s="186">
        <v>1</v>
      </c>
      <c r="S411" s="249">
        <f t="shared" si="55"/>
        <v>0.42</v>
      </c>
      <c r="T411" s="201">
        <f>Table1[[#This Row],[man minutes]]*Table1[[#This Row],[labor rate]]</f>
        <v>0</v>
      </c>
      <c r="U411" s="201">
        <f t="shared" si="50"/>
        <v>0</v>
      </c>
      <c r="V411" s="187">
        <f t="shared" si="56"/>
        <v>0.22</v>
      </c>
      <c r="W411" s="250">
        <f t="shared" si="54"/>
        <v>0.2</v>
      </c>
      <c r="X411" s="201">
        <f t="shared" si="51"/>
        <v>0</v>
      </c>
      <c r="Y411" s="201">
        <f t="shared" si="52"/>
        <v>0</v>
      </c>
      <c r="Z411" s="201">
        <f t="shared" si="53"/>
        <v>0</v>
      </c>
      <c r="AA411" s="203">
        <f>+Table1[[#This Row],[calculated sale price]]</f>
        <v>0</v>
      </c>
      <c r="AB411" s="202"/>
      <c r="AC411" s="206"/>
      <c r="AD411" s="414"/>
    </row>
    <row r="412" spans="1:30" x14ac:dyDescent="0.25">
      <c r="A412" s="186">
        <v>1403</v>
      </c>
      <c r="C412" s="186"/>
      <c r="I412" s="186"/>
      <c r="J412" s="186"/>
      <c r="K412" s="186"/>
      <c r="L412" s="197"/>
      <c r="M412" s="186"/>
      <c r="N412" s="198"/>
      <c r="O412" s="199">
        <v>0</v>
      </c>
      <c r="P412" s="199">
        <f>Table1[[#This Row],[unit cost]]</f>
        <v>0</v>
      </c>
      <c r="Q412" s="409"/>
      <c r="R412" s="186">
        <v>1</v>
      </c>
      <c r="S412" s="249">
        <f t="shared" si="55"/>
        <v>0.42</v>
      </c>
      <c r="T412" s="201">
        <f>Table1[[#This Row],[man minutes]]*Table1[[#This Row],[labor rate]]</f>
        <v>0</v>
      </c>
      <c r="U412" s="201">
        <f t="shared" si="50"/>
        <v>0</v>
      </c>
      <c r="V412" s="187">
        <f t="shared" si="56"/>
        <v>0.22</v>
      </c>
      <c r="W412" s="250">
        <f t="shared" si="54"/>
        <v>0.2</v>
      </c>
      <c r="X412" s="201">
        <f t="shared" si="51"/>
        <v>0</v>
      </c>
      <c r="Y412" s="201">
        <f t="shared" si="52"/>
        <v>0</v>
      </c>
      <c r="Z412" s="201">
        <f t="shared" si="53"/>
        <v>0</v>
      </c>
      <c r="AA412" s="203">
        <f>+Table1[[#This Row],[calculated sale price]]</f>
        <v>0</v>
      </c>
      <c r="AB412" s="202"/>
      <c r="AC412" s="206"/>
      <c r="AD412" s="414"/>
    </row>
    <row r="413" spans="1:30" x14ac:dyDescent="0.25">
      <c r="A413" s="186">
        <v>1404</v>
      </c>
      <c r="C413" s="186"/>
      <c r="I413" s="186"/>
      <c r="J413" s="186"/>
      <c r="K413" s="186"/>
      <c r="L413" s="197"/>
      <c r="M413" s="186"/>
      <c r="N413" s="198"/>
      <c r="O413" s="199">
        <v>0</v>
      </c>
      <c r="P413" s="199">
        <f>Table1[[#This Row],[unit cost]]</f>
        <v>0</v>
      </c>
      <c r="Q413" s="409"/>
      <c r="R413" s="186">
        <v>1</v>
      </c>
      <c r="S413" s="249">
        <f t="shared" si="55"/>
        <v>0.42</v>
      </c>
      <c r="T413" s="201">
        <f>Table1[[#This Row],[man minutes]]*Table1[[#This Row],[labor rate]]</f>
        <v>0</v>
      </c>
      <c r="U413" s="201">
        <f t="shared" si="50"/>
        <v>0</v>
      </c>
      <c r="V413" s="187">
        <f t="shared" si="56"/>
        <v>0.22</v>
      </c>
      <c r="W413" s="250">
        <f t="shared" si="54"/>
        <v>0.2</v>
      </c>
      <c r="X413" s="201">
        <f t="shared" si="51"/>
        <v>0</v>
      </c>
      <c r="Y413" s="201">
        <f t="shared" si="52"/>
        <v>0</v>
      </c>
      <c r="Z413" s="201">
        <f t="shared" si="53"/>
        <v>0</v>
      </c>
      <c r="AA413" s="203">
        <f>+Table1[[#This Row],[calculated sale price]]</f>
        <v>0</v>
      </c>
      <c r="AB413" s="202"/>
      <c r="AC413" s="206"/>
      <c r="AD413" s="414"/>
    </row>
    <row r="414" spans="1:30" x14ac:dyDescent="0.25">
      <c r="A414" s="186">
        <v>1405</v>
      </c>
      <c r="C414" s="186"/>
      <c r="I414" s="186"/>
      <c r="J414" s="186"/>
      <c r="K414" s="186"/>
      <c r="L414" s="197"/>
      <c r="M414" s="186"/>
      <c r="N414" s="198"/>
      <c r="O414" s="199">
        <v>0</v>
      </c>
      <c r="P414" s="199">
        <f>Table1[[#This Row],[unit cost]]</f>
        <v>0</v>
      </c>
      <c r="Q414" s="409"/>
      <c r="R414" s="186">
        <v>1</v>
      </c>
      <c r="S414" s="249">
        <f t="shared" si="55"/>
        <v>0.42</v>
      </c>
      <c r="T414" s="201">
        <f>Table1[[#This Row],[man minutes]]*Table1[[#This Row],[labor rate]]</f>
        <v>0</v>
      </c>
      <c r="U414" s="201">
        <f t="shared" si="50"/>
        <v>0</v>
      </c>
      <c r="V414" s="187">
        <f t="shared" si="56"/>
        <v>0.22</v>
      </c>
      <c r="W414" s="250">
        <f t="shared" si="54"/>
        <v>0.2</v>
      </c>
      <c r="X414" s="201">
        <f t="shared" si="51"/>
        <v>0</v>
      </c>
      <c r="Y414" s="201">
        <f t="shared" si="52"/>
        <v>0</v>
      </c>
      <c r="Z414" s="201">
        <f t="shared" si="53"/>
        <v>0</v>
      </c>
      <c r="AA414" s="203">
        <f>+Table1[[#This Row],[calculated sale price]]</f>
        <v>0</v>
      </c>
      <c r="AB414" s="202"/>
      <c r="AC414" s="206"/>
      <c r="AD414" s="414"/>
    </row>
    <row r="415" spans="1:30" x14ac:dyDescent="0.25">
      <c r="A415" s="186">
        <v>1406</v>
      </c>
      <c r="C415" s="186"/>
      <c r="I415" s="186"/>
      <c r="J415" s="186"/>
      <c r="K415" s="186"/>
      <c r="L415" s="197"/>
      <c r="M415" s="186"/>
      <c r="N415" s="198"/>
      <c r="O415" s="199">
        <v>0</v>
      </c>
      <c r="P415" s="199">
        <f>Table1[[#This Row],[unit cost]]</f>
        <v>0</v>
      </c>
      <c r="Q415" s="409"/>
      <c r="R415" s="186">
        <v>1</v>
      </c>
      <c r="S415" s="249">
        <f t="shared" si="55"/>
        <v>0.42</v>
      </c>
      <c r="T415" s="201">
        <f>Table1[[#This Row],[man minutes]]*Table1[[#This Row],[labor rate]]</f>
        <v>0</v>
      </c>
      <c r="U415" s="201">
        <f t="shared" si="50"/>
        <v>0</v>
      </c>
      <c r="V415" s="187">
        <f t="shared" si="56"/>
        <v>0.22</v>
      </c>
      <c r="W415" s="250">
        <f t="shared" si="54"/>
        <v>0.2</v>
      </c>
      <c r="X415" s="201">
        <f t="shared" si="51"/>
        <v>0</v>
      </c>
      <c r="Y415" s="201">
        <f t="shared" si="52"/>
        <v>0</v>
      </c>
      <c r="Z415" s="201">
        <f t="shared" si="53"/>
        <v>0</v>
      </c>
      <c r="AA415" s="203">
        <f>+Table1[[#This Row],[calculated sale price]]</f>
        <v>0</v>
      </c>
      <c r="AB415" s="202"/>
      <c r="AC415" s="206"/>
      <c r="AD415" s="414"/>
    </row>
    <row r="416" spans="1:30" x14ac:dyDescent="0.25">
      <c r="A416" s="186">
        <v>1407</v>
      </c>
      <c r="C416" s="186"/>
      <c r="I416" s="186"/>
      <c r="J416" s="186"/>
      <c r="K416" s="186"/>
      <c r="L416" s="197"/>
      <c r="M416" s="186"/>
      <c r="N416" s="198"/>
      <c r="O416" s="199">
        <v>0</v>
      </c>
      <c r="P416" s="199">
        <f>Table1[[#This Row],[unit cost]]</f>
        <v>0</v>
      </c>
      <c r="Q416" s="409"/>
      <c r="R416" s="186">
        <v>1</v>
      </c>
      <c r="S416" s="249">
        <f t="shared" si="55"/>
        <v>0.42</v>
      </c>
      <c r="T416" s="201">
        <f>Table1[[#This Row],[man minutes]]*Table1[[#This Row],[labor rate]]</f>
        <v>0</v>
      </c>
      <c r="U416" s="201">
        <f t="shared" si="50"/>
        <v>0</v>
      </c>
      <c r="V416" s="187">
        <f t="shared" si="56"/>
        <v>0.22</v>
      </c>
      <c r="W416" s="250">
        <f t="shared" si="54"/>
        <v>0.2</v>
      </c>
      <c r="X416" s="201">
        <f t="shared" si="51"/>
        <v>0</v>
      </c>
      <c r="Y416" s="201">
        <f t="shared" si="52"/>
        <v>0</v>
      </c>
      <c r="Z416" s="201">
        <f t="shared" si="53"/>
        <v>0</v>
      </c>
      <c r="AA416" s="203">
        <f>+Table1[[#This Row],[calculated sale price]]</f>
        <v>0</v>
      </c>
      <c r="AB416" s="202"/>
      <c r="AC416" s="206"/>
      <c r="AD416" s="414"/>
    </row>
    <row r="417" spans="1:30" x14ac:dyDescent="0.25">
      <c r="A417" s="186">
        <v>1408</v>
      </c>
      <c r="C417" s="186"/>
      <c r="I417" s="186"/>
      <c r="J417" s="186"/>
      <c r="K417" s="186"/>
      <c r="L417" s="197"/>
      <c r="M417" s="186"/>
      <c r="N417" s="198"/>
      <c r="O417" s="199">
        <v>0</v>
      </c>
      <c r="P417" s="199">
        <f>Table1[[#This Row],[unit cost]]</f>
        <v>0</v>
      </c>
      <c r="Q417" s="409"/>
      <c r="R417" s="186">
        <v>1</v>
      </c>
      <c r="S417" s="249">
        <f t="shared" si="55"/>
        <v>0.42</v>
      </c>
      <c r="T417" s="201">
        <f>Table1[[#This Row],[man minutes]]*Table1[[#This Row],[labor rate]]</f>
        <v>0</v>
      </c>
      <c r="U417" s="201">
        <f t="shared" si="50"/>
        <v>0</v>
      </c>
      <c r="V417" s="187">
        <f t="shared" si="56"/>
        <v>0.22</v>
      </c>
      <c r="W417" s="250">
        <f t="shared" si="54"/>
        <v>0.2</v>
      </c>
      <c r="X417" s="201">
        <f t="shared" si="51"/>
        <v>0</v>
      </c>
      <c r="Y417" s="201">
        <f t="shared" si="52"/>
        <v>0</v>
      </c>
      <c r="Z417" s="201">
        <f t="shared" si="53"/>
        <v>0</v>
      </c>
      <c r="AA417" s="203">
        <f>+Table1[[#This Row],[calculated sale price]]</f>
        <v>0</v>
      </c>
      <c r="AB417" s="202"/>
      <c r="AC417" s="206"/>
      <c r="AD417" s="414"/>
    </row>
    <row r="418" spans="1:30" x14ac:dyDescent="0.25">
      <c r="A418" s="186">
        <v>1409</v>
      </c>
      <c r="C418" s="186"/>
      <c r="I418" s="186"/>
      <c r="J418" s="186"/>
      <c r="K418" s="186"/>
      <c r="L418" s="197"/>
      <c r="M418" s="186"/>
      <c r="N418" s="198"/>
      <c r="O418" s="199">
        <v>0</v>
      </c>
      <c r="P418" s="199">
        <f>Table1[[#This Row],[unit cost]]</f>
        <v>0</v>
      </c>
      <c r="Q418" s="409"/>
      <c r="R418" s="186">
        <v>1</v>
      </c>
      <c r="S418" s="249">
        <f t="shared" si="55"/>
        <v>0.42</v>
      </c>
      <c r="T418" s="201">
        <f>Table1[[#This Row],[man minutes]]*Table1[[#This Row],[labor rate]]</f>
        <v>0</v>
      </c>
      <c r="U418" s="201">
        <f t="shared" si="50"/>
        <v>0</v>
      </c>
      <c r="V418" s="187">
        <f t="shared" si="56"/>
        <v>0.22</v>
      </c>
      <c r="W418" s="250">
        <f t="shared" si="54"/>
        <v>0.2</v>
      </c>
      <c r="X418" s="201">
        <f t="shared" si="51"/>
        <v>0</v>
      </c>
      <c r="Y418" s="201">
        <f t="shared" si="52"/>
        <v>0</v>
      </c>
      <c r="Z418" s="201">
        <f t="shared" si="53"/>
        <v>0</v>
      </c>
      <c r="AA418" s="203">
        <f>+Table1[[#This Row],[calculated sale price]]</f>
        <v>0</v>
      </c>
      <c r="AB418" s="202"/>
      <c r="AC418" s="206"/>
      <c r="AD418" s="414"/>
    </row>
    <row r="419" spans="1:30" x14ac:dyDescent="0.25">
      <c r="A419" s="186">
        <v>1410</v>
      </c>
      <c r="C419" s="186"/>
      <c r="I419" s="186"/>
      <c r="J419" s="186"/>
      <c r="K419" s="186"/>
      <c r="L419" s="197"/>
      <c r="M419" s="186"/>
      <c r="N419" s="198"/>
      <c r="O419" s="199">
        <v>0</v>
      </c>
      <c r="P419" s="199">
        <f>Table1[[#This Row],[unit cost]]</f>
        <v>0</v>
      </c>
      <c r="Q419" s="409"/>
      <c r="R419" s="186">
        <v>1</v>
      </c>
      <c r="S419" s="249">
        <f t="shared" si="55"/>
        <v>0.42</v>
      </c>
      <c r="T419" s="201">
        <f>Table1[[#This Row],[man minutes]]*Table1[[#This Row],[labor rate]]</f>
        <v>0</v>
      </c>
      <c r="U419" s="201">
        <f t="shared" si="50"/>
        <v>0</v>
      </c>
      <c r="V419" s="187">
        <f t="shared" si="56"/>
        <v>0.22</v>
      </c>
      <c r="W419" s="250">
        <f t="shared" si="54"/>
        <v>0.2</v>
      </c>
      <c r="X419" s="201">
        <f t="shared" si="51"/>
        <v>0</v>
      </c>
      <c r="Y419" s="201">
        <f t="shared" si="52"/>
        <v>0</v>
      </c>
      <c r="Z419" s="201">
        <f t="shared" si="53"/>
        <v>0</v>
      </c>
      <c r="AA419" s="203">
        <f>+Table1[[#This Row],[calculated sale price]]</f>
        <v>0</v>
      </c>
      <c r="AB419" s="202"/>
      <c r="AC419" s="206"/>
      <c r="AD419" s="414"/>
    </row>
    <row r="420" spans="1:30" x14ac:dyDescent="0.25">
      <c r="A420" s="186">
        <v>1411</v>
      </c>
      <c r="C420" s="186"/>
      <c r="I420" s="186"/>
      <c r="J420" s="186"/>
      <c r="K420" s="186"/>
      <c r="L420" s="197"/>
      <c r="M420" s="186"/>
      <c r="N420" s="198"/>
      <c r="O420" s="199">
        <v>0</v>
      </c>
      <c r="P420" s="199">
        <f>Table1[[#This Row],[unit cost]]</f>
        <v>0</v>
      </c>
      <c r="Q420" s="409"/>
      <c r="R420" s="186">
        <v>1</v>
      </c>
      <c r="S420" s="249">
        <f t="shared" si="55"/>
        <v>0.42</v>
      </c>
      <c r="T420" s="201">
        <f>Table1[[#This Row],[man minutes]]*Table1[[#This Row],[labor rate]]</f>
        <v>0</v>
      </c>
      <c r="U420" s="201">
        <f t="shared" si="50"/>
        <v>0</v>
      </c>
      <c r="V420" s="187">
        <f t="shared" si="56"/>
        <v>0.22</v>
      </c>
      <c r="W420" s="250">
        <f t="shared" si="54"/>
        <v>0.2</v>
      </c>
      <c r="X420" s="201">
        <f t="shared" si="51"/>
        <v>0</v>
      </c>
      <c r="Y420" s="201">
        <f t="shared" si="52"/>
        <v>0</v>
      </c>
      <c r="Z420" s="201">
        <f t="shared" si="53"/>
        <v>0</v>
      </c>
      <c r="AA420" s="203">
        <f>+Table1[[#This Row],[calculated sale price]]</f>
        <v>0</v>
      </c>
      <c r="AB420" s="202"/>
      <c r="AC420" s="206"/>
      <c r="AD420" s="414"/>
    </row>
    <row r="421" spans="1:30" x14ac:dyDescent="0.25">
      <c r="A421" s="186">
        <v>1412</v>
      </c>
      <c r="C421" s="186"/>
      <c r="I421" s="186"/>
      <c r="J421" s="186"/>
      <c r="K421" s="186"/>
      <c r="L421" s="197"/>
      <c r="M421" s="186"/>
      <c r="N421" s="198"/>
      <c r="O421" s="199">
        <v>0</v>
      </c>
      <c r="P421" s="199">
        <f>Table1[[#This Row],[unit cost]]</f>
        <v>0</v>
      </c>
      <c r="Q421" s="409"/>
      <c r="R421" s="186">
        <v>1</v>
      </c>
      <c r="S421" s="249">
        <f t="shared" si="55"/>
        <v>0.42</v>
      </c>
      <c r="T421" s="201">
        <f>Table1[[#This Row],[man minutes]]*Table1[[#This Row],[labor rate]]</f>
        <v>0</v>
      </c>
      <c r="U421" s="201">
        <f t="shared" si="50"/>
        <v>0</v>
      </c>
      <c r="V421" s="187">
        <f t="shared" si="56"/>
        <v>0.22</v>
      </c>
      <c r="W421" s="250">
        <f t="shared" si="54"/>
        <v>0.2</v>
      </c>
      <c r="X421" s="201">
        <f t="shared" si="51"/>
        <v>0</v>
      </c>
      <c r="Y421" s="201">
        <f t="shared" si="52"/>
        <v>0</v>
      </c>
      <c r="Z421" s="201">
        <f t="shared" si="53"/>
        <v>0</v>
      </c>
      <c r="AA421" s="203">
        <f>+Table1[[#This Row],[calculated sale price]]</f>
        <v>0</v>
      </c>
      <c r="AB421" s="202"/>
      <c r="AC421" s="206"/>
      <c r="AD421" s="414"/>
    </row>
    <row r="422" spans="1:30" x14ac:dyDescent="0.25">
      <c r="A422" s="186">
        <v>1413</v>
      </c>
      <c r="C422" s="186"/>
      <c r="I422" s="186"/>
      <c r="J422" s="186"/>
      <c r="K422" s="186"/>
      <c r="L422" s="197"/>
      <c r="M422" s="186"/>
      <c r="N422" s="198"/>
      <c r="O422" s="199">
        <v>0</v>
      </c>
      <c r="P422" s="199">
        <f>Table1[[#This Row],[unit cost]]</f>
        <v>0</v>
      </c>
      <c r="Q422" s="409"/>
      <c r="R422" s="186">
        <v>1</v>
      </c>
      <c r="S422" s="249">
        <f t="shared" si="55"/>
        <v>0.42</v>
      </c>
      <c r="T422" s="201">
        <f>Table1[[#This Row],[man minutes]]*Table1[[#This Row],[labor rate]]</f>
        <v>0</v>
      </c>
      <c r="U422" s="201">
        <f t="shared" si="50"/>
        <v>0</v>
      </c>
      <c r="V422" s="187">
        <f t="shared" si="56"/>
        <v>0.22</v>
      </c>
      <c r="W422" s="250">
        <f t="shared" si="54"/>
        <v>0.2</v>
      </c>
      <c r="X422" s="201">
        <f t="shared" si="51"/>
        <v>0</v>
      </c>
      <c r="Y422" s="201">
        <f t="shared" si="52"/>
        <v>0</v>
      </c>
      <c r="Z422" s="201">
        <f t="shared" si="53"/>
        <v>0</v>
      </c>
      <c r="AA422" s="203">
        <f>+Table1[[#This Row],[calculated sale price]]</f>
        <v>0</v>
      </c>
      <c r="AB422" s="202"/>
      <c r="AC422" s="206"/>
      <c r="AD422" s="414"/>
    </row>
    <row r="423" spans="1:30" x14ac:dyDescent="0.25">
      <c r="A423" s="186">
        <v>1414</v>
      </c>
      <c r="C423" s="186"/>
      <c r="I423" s="186"/>
      <c r="J423" s="186"/>
      <c r="K423" s="186"/>
      <c r="L423" s="197"/>
      <c r="M423" s="186"/>
      <c r="N423" s="198"/>
      <c r="O423" s="199">
        <v>0</v>
      </c>
      <c r="P423" s="199">
        <f>Table1[[#This Row],[unit cost]]</f>
        <v>0</v>
      </c>
      <c r="Q423" s="409"/>
      <c r="R423" s="186">
        <v>1</v>
      </c>
      <c r="S423" s="249">
        <f t="shared" si="55"/>
        <v>0.42</v>
      </c>
      <c r="T423" s="201">
        <f>Table1[[#This Row],[man minutes]]*Table1[[#This Row],[labor rate]]</f>
        <v>0</v>
      </c>
      <c r="U423" s="201">
        <f t="shared" si="50"/>
        <v>0</v>
      </c>
      <c r="V423" s="187">
        <f t="shared" si="56"/>
        <v>0.22</v>
      </c>
      <c r="W423" s="250">
        <f t="shared" si="54"/>
        <v>0.2</v>
      </c>
      <c r="X423" s="201">
        <f t="shared" si="51"/>
        <v>0</v>
      </c>
      <c r="Y423" s="201">
        <f t="shared" si="52"/>
        <v>0</v>
      </c>
      <c r="Z423" s="201">
        <f t="shared" si="53"/>
        <v>0</v>
      </c>
      <c r="AA423" s="203">
        <f>+Table1[[#This Row],[calculated sale price]]</f>
        <v>0</v>
      </c>
      <c r="AB423" s="202"/>
      <c r="AC423" s="206"/>
      <c r="AD423" s="414"/>
    </row>
    <row r="424" spans="1:30" x14ac:dyDescent="0.25">
      <c r="A424" s="186">
        <v>1415</v>
      </c>
      <c r="C424" s="186"/>
      <c r="I424" s="186"/>
      <c r="J424" s="186"/>
      <c r="K424" s="186"/>
      <c r="L424" s="197"/>
      <c r="M424" s="186"/>
      <c r="N424" s="198"/>
      <c r="O424" s="199">
        <v>0</v>
      </c>
      <c r="P424" s="199">
        <f>Table1[[#This Row],[unit cost]]</f>
        <v>0</v>
      </c>
      <c r="Q424" s="409"/>
      <c r="R424" s="186">
        <v>1</v>
      </c>
      <c r="S424" s="249">
        <f t="shared" si="55"/>
        <v>0.42</v>
      </c>
      <c r="T424" s="201">
        <f>Table1[[#This Row],[man minutes]]*Table1[[#This Row],[labor rate]]</f>
        <v>0</v>
      </c>
      <c r="U424" s="201">
        <f t="shared" si="50"/>
        <v>0</v>
      </c>
      <c r="V424" s="187">
        <f t="shared" si="56"/>
        <v>0.22</v>
      </c>
      <c r="W424" s="250">
        <f t="shared" si="54"/>
        <v>0.2</v>
      </c>
      <c r="X424" s="201">
        <f t="shared" si="51"/>
        <v>0</v>
      </c>
      <c r="Y424" s="201">
        <f t="shared" si="52"/>
        <v>0</v>
      </c>
      <c r="Z424" s="201">
        <f t="shared" si="53"/>
        <v>0</v>
      </c>
      <c r="AA424" s="203">
        <f>+Table1[[#This Row],[calculated sale price]]</f>
        <v>0</v>
      </c>
      <c r="AB424" s="202"/>
      <c r="AC424" s="206"/>
      <c r="AD424" s="414"/>
    </row>
    <row r="425" spans="1:30" x14ac:dyDescent="0.25">
      <c r="A425" s="186">
        <v>1416</v>
      </c>
      <c r="C425" s="186"/>
      <c r="I425" s="186"/>
      <c r="J425" s="186"/>
      <c r="K425" s="186"/>
      <c r="L425" s="197"/>
      <c r="M425" s="186"/>
      <c r="N425" s="198"/>
      <c r="O425" s="199">
        <v>0</v>
      </c>
      <c r="P425" s="199">
        <f>Table1[[#This Row],[unit cost]]</f>
        <v>0</v>
      </c>
      <c r="Q425" s="409"/>
      <c r="R425" s="186">
        <v>1</v>
      </c>
      <c r="S425" s="249">
        <f t="shared" si="55"/>
        <v>0.42</v>
      </c>
      <c r="T425" s="201">
        <f>Table1[[#This Row],[man minutes]]*Table1[[#This Row],[labor rate]]</f>
        <v>0</v>
      </c>
      <c r="U425" s="201">
        <f t="shared" si="50"/>
        <v>0</v>
      </c>
      <c r="V425" s="187">
        <f t="shared" si="56"/>
        <v>0.22</v>
      </c>
      <c r="W425" s="250">
        <f t="shared" si="54"/>
        <v>0.2</v>
      </c>
      <c r="X425" s="201">
        <f t="shared" si="51"/>
        <v>0</v>
      </c>
      <c r="Y425" s="201">
        <f t="shared" si="52"/>
        <v>0</v>
      </c>
      <c r="Z425" s="201">
        <f t="shared" si="53"/>
        <v>0</v>
      </c>
      <c r="AA425" s="203">
        <f>+Table1[[#This Row],[calculated sale price]]</f>
        <v>0</v>
      </c>
      <c r="AB425" s="202"/>
      <c r="AC425" s="206"/>
      <c r="AD425" s="414"/>
    </row>
    <row r="426" spans="1:30" x14ac:dyDescent="0.25">
      <c r="A426" s="186">
        <v>1417</v>
      </c>
      <c r="C426" s="186"/>
      <c r="I426" s="186"/>
      <c r="J426" s="186"/>
      <c r="K426" s="186"/>
      <c r="L426" s="197"/>
      <c r="M426" s="186"/>
      <c r="N426" s="198"/>
      <c r="O426" s="199">
        <v>0</v>
      </c>
      <c r="P426" s="199">
        <f>Table1[[#This Row],[unit cost]]</f>
        <v>0</v>
      </c>
      <c r="Q426" s="409"/>
      <c r="R426" s="186">
        <v>1</v>
      </c>
      <c r="S426" s="249">
        <f t="shared" si="55"/>
        <v>0.42</v>
      </c>
      <c r="T426" s="201">
        <f>Table1[[#This Row],[man minutes]]*Table1[[#This Row],[labor rate]]</f>
        <v>0</v>
      </c>
      <c r="U426" s="201">
        <f t="shared" si="50"/>
        <v>0</v>
      </c>
      <c r="V426" s="187">
        <f t="shared" si="56"/>
        <v>0.22</v>
      </c>
      <c r="W426" s="250">
        <f t="shared" si="54"/>
        <v>0.2</v>
      </c>
      <c r="X426" s="201">
        <f t="shared" si="51"/>
        <v>0</v>
      </c>
      <c r="Y426" s="201">
        <f t="shared" si="52"/>
        <v>0</v>
      </c>
      <c r="Z426" s="201">
        <f t="shared" si="53"/>
        <v>0</v>
      </c>
      <c r="AA426" s="203">
        <f>+Table1[[#This Row],[calculated sale price]]</f>
        <v>0</v>
      </c>
      <c r="AB426" s="202"/>
      <c r="AC426" s="206"/>
      <c r="AD426" s="414"/>
    </row>
    <row r="427" spans="1:30" x14ac:dyDescent="0.25">
      <c r="A427" s="186">
        <v>1418</v>
      </c>
      <c r="C427" s="186"/>
      <c r="I427" s="186"/>
      <c r="J427" s="186"/>
      <c r="K427" s="186"/>
      <c r="L427" s="197"/>
      <c r="M427" s="186"/>
      <c r="N427" s="198"/>
      <c r="O427" s="199">
        <v>0</v>
      </c>
      <c r="P427" s="199">
        <f>Table1[[#This Row],[unit cost]]</f>
        <v>0</v>
      </c>
      <c r="Q427" s="409"/>
      <c r="R427" s="186">
        <v>1</v>
      </c>
      <c r="S427" s="249">
        <f t="shared" si="55"/>
        <v>0.42</v>
      </c>
      <c r="T427" s="201">
        <f>Table1[[#This Row],[man minutes]]*Table1[[#This Row],[labor rate]]</f>
        <v>0</v>
      </c>
      <c r="U427" s="201">
        <f t="shared" si="50"/>
        <v>0</v>
      </c>
      <c r="V427" s="187">
        <f t="shared" si="56"/>
        <v>0.22</v>
      </c>
      <c r="W427" s="250">
        <f t="shared" si="54"/>
        <v>0.2</v>
      </c>
      <c r="X427" s="201">
        <f t="shared" si="51"/>
        <v>0</v>
      </c>
      <c r="Y427" s="201">
        <f t="shared" si="52"/>
        <v>0</v>
      </c>
      <c r="Z427" s="201">
        <f t="shared" si="53"/>
        <v>0</v>
      </c>
      <c r="AA427" s="203">
        <f>+Table1[[#This Row],[calculated sale price]]</f>
        <v>0</v>
      </c>
      <c r="AB427" s="202"/>
      <c r="AC427" s="206"/>
      <c r="AD427" s="414"/>
    </row>
    <row r="428" spans="1:30" x14ac:dyDescent="0.25">
      <c r="A428" s="186">
        <v>1419</v>
      </c>
      <c r="C428" s="186"/>
      <c r="I428" s="186"/>
      <c r="J428" s="186"/>
      <c r="K428" s="186"/>
      <c r="L428" s="197"/>
      <c r="M428" s="186"/>
      <c r="N428" s="198"/>
      <c r="O428" s="199">
        <v>0</v>
      </c>
      <c r="P428" s="199">
        <f>Table1[[#This Row],[unit cost]]</f>
        <v>0</v>
      </c>
      <c r="Q428" s="409"/>
      <c r="R428" s="186">
        <v>1</v>
      </c>
      <c r="S428" s="249">
        <f t="shared" si="55"/>
        <v>0.42</v>
      </c>
      <c r="T428" s="201">
        <f>Table1[[#This Row],[man minutes]]*Table1[[#This Row],[labor rate]]</f>
        <v>0</v>
      </c>
      <c r="U428" s="201">
        <f t="shared" si="50"/>
        <v>0</v>
      </c>
      <c r="V428" s="187">
        <f t="shared" si="56"/>
        <v>0.22</v>
      </c>
      <c r="W428" s="250">
        <f t="shared" si="54"/>
        <v>0.2</v>
      </c>
      <c r="X428" s="201">
        <f t="shared" si="51"/>
        <v>0</v>
      </c>
      <c r="Y428" s="201">
        <f t="shared" si="52"/>
        <v>0</v>
      </c>
      <c r="Z428" s="201">
        <f t="shared" si="53"/>
        <v>0</v>
      </c>
      <c r="AA428" s="203">
        <f>+Table1[[#This Row],[calculated sale price]]</f>
        <v>0</v>
      </c>
      <c r="AB428" s="202"/>
      <c r="AC428" s="206"/>
      <c r="AD428" s="414"/>
    </row>
    <row r="429" spans="1:30" x14ac:dyDescent="0.25">
      <c r="A429" s="186">
        <v>1420</v>
      </c>
      <c r="C429" s="186"/>
      <c r="I429" s="186"/>
      <c r="J429" s="186"/>
      <c r="K429" s="186"/>
      <c r="L429" s="197"/>
      <c r="M429" s="186"/>
      <c r="N429" s="198"/>
      <c r="O429" s="199">
        <v>0</v>
      </c>
      <c r="P429" s="199">
        <f>Table1[[#This Row],[unit cost]]</f>
        <v>0</v>
      </c>
      <c r="Q429" s="409"/>
      <c r="R429" s="186">
        <v>1</v>
      </c>
      <c r="S429" s="249">
        <f t="shared" si="55"/>
        <v>0.42</v>
      </c>
      <c r="T429" s="201">
        <f>Table1[[#This Row],[man minutes]]*Table1[[#This Row],[labor rate]]</f>
        <v>0</v>
      </c>
      <c r="U429" s="201">
        <f t="shared" si="50"/>
        <v>0</v>
      </c>
      <c r="V429" s="187">
        <f t="shared" si="56"/>
        <v>0.22</v>
      </c>
      <c r="W429" s="250">
        <f t="shared" si="54"/>
        <v>0.2</v>
      </c>
      <c r="X429" s="201">
        <f t="shared" si="51"/>
        <v>0</v>
      </c>
      <c r="Y429" s="201">
        <f t="shared" si="52"/>
        <v>0</v>
      </c>
      <c r="Z429" s="201">
        <f t="shared" si="53"/>
        <v>0</v>
      </c>
      <c r="AA429" s="203">
        <f>+Table1[[#This Row],[calculated sale price]]</f>
        <v>0</v>
      </c>
      <c r="AB429" s="202"/>
      <c r="AC429" s="206"/>
      <c r="AD429" s="414"/>
    </row>
    <row r="430" spans="1:30" x14ac:dyDescent="0.25">
      <c r="A430" s="186">
        <v>1421</v>
      </c>
      <c r="C430" s="186"/>
      <c r="I430" s="186"/>
      <c r="J430" s="186"/>
      <c r="K430" s="186"/>
      <c r="L430" s="197"/>
      <c r="M430" s="186"/>
      <c r="N430" s="198"/>
      <c r="O430" s="199">
        <v>0</v>
      </c>
      <c r="P430" s="199">
        <f>Table1[[#This Row],[unit cost]]</f>
        <v>0</v>
      </c>
      <c r="Q430" s="409"/>
      <c r="R430" s="186">
        <v>1</v>
      </c>
      <c r="S430" s="249">
        <f t="shared" si="55"/>
        <v>0.42</v>
      </c>
      <c r="T430" s="201">
        <f>Table1[[#This Row],[man minutes]]*Table1[[#This Row],[labor rate]]</f>
        <v>0</v>
      </c>
      <c r="U430" s="201">
        <f t="shared" si="50"/>
        <v>0</v>
      </c>
      <c r="V430" s="187">
        <f t="shared" si="56"/>
        <v>0.22</v>
      </c>
      <c r="W430" s="250">
        <f t="shared" si="54"/>
        <v>0.2</v>
      </c>
      <c r="X430" s="201">
        <f t="shared" si="51"/>
        <v>0</v>
      </c>
      <c r="Y430" s="201">
        <f t="shared" si="52"/>
        <v>0</v>
      </c>
      <c r="Z430" s="201">
        <f t="shared" si="53"/>
        <v>0</v>
      </c>
      <c r="AA430" s="203">
        <f>+Table1[[#This Row],[calculated sale price]]</f>
        <v>0</v>
      </c>
      <c r="AB430" s="202"/>
      <c r="AC430" s="206"/>
      <c r="AD430" s="414"/>
    </row>
    <row r="431" spans="1:30" x14ac:dyDescent="0.25">
      <c r="A431" s="186">
        <v>1422</v>
      </c>
      <c r="C431" s="186"/>
      <c r="I431" s="186"/>
      <c r="J431" s="186"/>
      <c r="K431" s="186"/>
      <c r="L431" s="197"/>
      <c r="M431" s="186"/>
      <c r="N431" s="198"/>
      <c r="O431" s="199">
        <v>0</v>
      </c>
      <c r="P431" s="199">
        <f>Table1[[#This Row],[unit cost]]</f>
        <v>0</v>
      </c>
      <c r="Q431" s="409"/>
      <c r="R431" s="186">
        <v>1</v>
      </c>
      <c r="S431" s="249">
        <f t="shared" si="55"/>
        <v>0.42</v>
      </c>
      <c r="T431" s="201">
        <f>Table1[[#This Row],[man minutes]]*Table1[[#This Row],[labor rate]]</f>
        <v>0</v>
      </c>
      <c r="U431" s="201">
        <f t="shared" si="50"/>
        <v>0</v>
      </c>
      <c r="V431" s="187">
        <f t="shared" si="56"/>
        <v>0.22</v>
      </c>
      <c r="W431" s="250">
        <f t="shared" si="54"/>
        <v>0.2</v>
      </c>
      <c r="X431" s="201">
        <f t="shared" si="51"/>
        <v>0</v>
      </c>
      <c r="Y431" s="201">
        <f t="shared" si="52"/>
        <v>0</v>
      </c>
      <c r="Z431" s="201">
        <f t="shared" si="53"/>
        <v>0</v>
      </c>
      <c r="AA431" s="203">
        <f>+Table1[[#This Row],[calculated sale price]]</f>
        <v>0</v>
      </c>
      <c r="AB431" s="202"/>
      <c r="AC431" s="206"/>
      <c r="AD431" s="414"/>
    </row>
    <row r="432" spans="1:30" x14ac:dyDescent="0.25">
      <c r="A432" s="186">
        <v>1423</v>
      </c>
      <c r="C432" s="186"/>
      <c r="I432" s="186"/>
      <c r="J432" s="186"/>
      <c r="K432" s="186"/>
      <c r="L432" s="197"/>
      <c r="M432" s="186"/>
      <c r="N432" s="198"/>
      <c r="O432" s="199">
        <v>0</v>
      </c>
      <c r="P432" s="199">
        <f>Table1[[#This Row],[unit cost]]</f>
        <v>0</v>
      </c>
      <c r="Q432" s="409"/>
      <c r="R432" s="186">
        <v>1</v>
      </c>
      <c r="S432" s="249">
        <f t="shared" si="55"/>
        <v>0.42</v>
      </c>
      <c r="T432" s="201">
        <f>Table1[[#This Row],[man minutes]]*Table1[[#This Row],[labor rate]]</f>
        <v>0</v>
      </c>
      <c r="U432" s="201">
        <f t="shared" si="50"/>
        <v>0</v>
      </c>
      <c r="V432" s="187">
        <f t="shared" si="56"/>
        <v>0.22</v>
      </c>
      <c r="W432" s="250">
        <f t="shared" si="54"/>
        <v>0.2</v>
      </c>
      <c r="X432" s="201">
        <f t="shared" si="51"/>
        <v>0</v>
      </c>
      <c r="Y432" s="201">
        <f t="shared" si="52"/>
        <v>0</v>
      </c>
      <c r="Z432" s="201">
        <f t="shared" si="53"/>
        <v>0</v>
      </c>
      <c r="AA432" s="203">
        <f>+Table1[[#This Row],[calculated sale price]]</f>
        <v>0</v>
      </c>
      <c r="AB432" s="202"/>
      <c r="AC432" s="206"/>
      <c r="AD432" s="414"/>
    </row>
    <row r="433" spans="1:30" x14ac:dyDescent="0.25">
      <c r="A433" s="186">
        <v>1424</v>
      </c>
      <c r="C433" s="186"/>
      <c r="I433" s="186"/>
      <c r="J433" s="186"/>
      <c r="K433" s="186"/>
      <c r="L433" s="197"/>
      <c r="M433" s="186"/>
      <c r="N433" s="198"/>
      <c r="O433" s="199">
        <v>0</v>
      </c>
      <c r="P433" s="199">
        <f>Table1[[#This Row],[unit cost]]</f>
        <v>0</v>
      </c>
      <c r="Q433" s="409"/>
      <c r="R433" s="186">
        <v>1</v>
      </c>
      <c r="S433" s="249">
        <f t="shared" si="55"/>
        <v>0.42</v>
      </c>
      <c r="T433" s="201">
        <f>Table1[[#This Row],[man minutes]]*Table1[[#This Row],[labor rate]]</f>
        <v>0</v>
      </c>
      <c r="U433" s="201">
        <f t="shared" si="50"/>
        <v>0</v>
      </c>
      <c r="V433" s="187">
        <f t="shared" si="56"/>
        <v>0.22</v>
      </c>
      <c r="W433" s="250">
        <f t="shared" si="54"/>
        <v>0.2</v>
      </c>
      <c r="X433" s="201">
        <f t="shared" si="51"/>
        <v>0</v>
      </c>
      <c r="Y433" s="201">
        <f t="shared" si="52"/>
        <v>0</v>
      </c>
      <c r="Z433" s="201">
        <f t="shared" si="53"/>
        <v>0</v>
      </c>
      <c r="AA433" s="203">
        <f>+Table1[[#This Row],[calculated sale price]]</f>
        <v>0</v>
      </c>
      <c r="AB433" s="202"/>
      <c r="AC433" s="206"/>
      <c r="AD433" s="414"/>
    </row>
    <row r="434" spans="1:30" x14ac:dyDescent="0.25">
      <c r="A434" s="186">
        <v>1425</v>
      </c>
      <c r="C434" s="186"/>
      <c r="I434" s="186"/>
      <c r="J434" s="186"/>
      <c r="K434" s="186"/>
      <c r="L434" s="197"/>
      <c r="M434" s="186"/>
      <c r="N434" s="198"/>
      <c r="O434" s="199">
        <v>0</v>
      </c>
      <c r="P434" s="199">
        <f>Table1[[#This Row],[unit cost]]</f>
        <v>0</v>
      </c>
      <c r="Q434" s="409"/>
      <c r="R434" s="186">
        <v>1</v>
      </c>
      <c r="S434" s="249">
        <f t="shared" si="55"/>
        <v>0.42</v>
      </c>
      <c r="T434" s="201">
        <f>Table1[[#This Row],[man minutes]]*Table1[[#This Row],[labor rate]]</f>
        <v>0</v>
      </c>
      <c r="U434" s="201">
        <f t="shared" si="50"/>
        <v>0</v>
      </c>
      <c r="V434" s="187">
        <f t="shared" si="56"/>
        <v>0.22</v>
      </c>
      <c r="W434" s="250">
        <f t="shared" si="54"/>
        <v>0.2</v>
      </c>
      <c r="X434" s="201">
        <f t="shared" si="51"/>
        <v>0</v>
      </c>
      <c r="Y434" s="201">
        <f t="shared" si="52"/>
        <v>0</v>
      </c>
      <c r="Z434" s="201">
        <f t="shared" si="53"/>
        <v>0</v>
      </c>
      <c r="AA434" s="203">
        <f>+Table1[[#This Row],[calculated sale price]]</f>
        <v>0</v>
      </c>
      <c r="AB434" s="202"/>
      <c r="AC434" s="206"/>
      <c r="AD434" s="414"/>
    </row>
    <row r="435" spans="1:30" x14ac:dyDescent="0.25">
      <c r="A435" s="186">
        <v>1426</v>
      </c>
      <c r="C435" s="186"/>
      <c r="I435" s="186"/>
      <c r="J435" s="186"/>
      <c r="K435" s="186"/>
      <c r="L435" s="197"/>
      <c r="M435" s="186"/>
      <c r="N435" s="198"/>
      <c r="O435" s="199">
        <v>0</v>
      </c>
      <c r="P435" s="199">
        <f>Table1[[#This Row],[unit cost]]</f>
        <v>0</v>
      </c>
      <c r="Q435" s="409"/>
      <c r="R435" s="186">
        <v>1</v>
      </c>
      <c r="S435" s="249">
        <f t="shared" si="55"/>
        <v>0.42</v>
      </c>
      <c r="T435" s="201">
        <f>Table1[[#This Row],[man minutes]]*Table1[[#This Row],[labor rate]]</f>
        <v>0</v>
      </c>
      <c r="U435" s="201">
        <f t="shared" si="50"/>
        <v>0</v>
      </c>
      <c r="V435" s="187">
        <f t="shared" si="56"/>
        <v>0.22</v>
      </c>
      <c r="W435" s="250">
        <f t="shared" si="54"/>
        <v>0.2</v>
      </c>
      <c r="X435" s="201">
        <f t="shared" si="51"/>
        <v>0</v>
      </c>
      <c r="Y435" s="201">
        <f t="shared" si="52"/>
        <v>0</v>
      </c>
      <c r="Z435" s="201">
        <f t="shared" si="53"/>
        <v>0</v>
      </c>
      <c r="AA435" s="203">
        <f>+Table1[[#This Row],[calculated sale price]]</f>
        <v>0</v>
      </c>
      <c r="AB435" s="202"/>
      <c r="AC435" s="206"/>
      <c r="AD435" s="414"/>
    </row>
    <row r="436" spans="1:30" x14ac:dyDescent="0.25">
      <c r="A436" s="186">
        <v>1427</v>
      </c>
      <c r="C436" s="186"/>
      <c r="I436" s="186"/>
      <c r="J436" s="186"/>
      <c r="K436" s="186"/>
      <c r="L436" s="197"/>
      <c r="M436" s="186"/>
      <c r="N436" s="198"/>
      <c r="O436" s="199">
        <v>0</v>
      </c>
      <c r="P436" s="199">
        <f>Table1[[#This Row],[unit cost]]</f>
        <v>0</v>
      </c>
      <c r="Q436" s="409"/>
      <c r="R436" s="186">
        <v>1</v>
      </c>
      <c r="S436" s="249">
        <f t="shared" si="55"/>
        <v>0.42</v>
      </c>
      <c r="T436" s="201">
        <f>Table1[[#This Row],[man minutes]]*Table1[[#This Row],[labor rate]]</f>
        <v>0</v>
      </c>
      <c r="U436" s="201">
        <f t="shared" si="50"/>
        <v>0</v>
      </c>
      <c r="V436" s="187">
        <f t="shared" si="56"/>
        <v>0.22</v>
      </c>
      <c r="W436" s="250">
        <f t="shared" si="54"/>
        <v>0.2</v>
      </c>
      <c r="X436" s="201">
        <f t="shared" si="51"/>
        <v>0</v>
      </c>
      <c r="Y436" s="201">
        <f t="shared" si="52"/>
        <v>0</v>
      </c>
      <c r="Z436" s="201">
        <f t="shared" si="53"/>
        <v>0</v>
      </c>
      <c r="AA436" s="203">
        <f>+Table1[[#This Row],[calculated sale price]]</f>
        <v>0</v>
      </c>
      <c r="AB436" s="202"/>
      <c r="AC436" s="206"/>
      <c r="AD436" s="414"/>
    </row>
    <row r="437" spans="1:30" x14ac:dyDescent="0.25">
      <c r="A437" s="186">
        <v>1428</v>
      </c>
      <c r="C437" s="186"/>
      <c r="I437" s="186"/>
      <c r="J437" s="186"/>
      <c r="K437" s="186"/>
      <c r="L437" s="197"/>
      <c r="M437" s="186"/>
      <c r="N437" s="198"/>
      <c r="O437" s="199">
        <v>0</v>
      </c>
      <c r="P437" s="199">
        <f>Table1[[#This Row],[unit cost]]</f>
        <v>0</v>
      </c>
      <c r="Q437" s="409"/>
      <c r="R437" s="186">
        <v>1</v>
      </c>
      <c r="S437" s="249">
        <f t="shared" si="55"/>
        <v>0.42</v>
      </c>
      <c r="T437" s="201">
        <f>Table1[[#This Row],[man minutes]]*Table1[[#This Row],[labor rate]]</f>
        <v>0</v>
      </c>
      <c r="U437" s="201">
        <f t="shared" si="50"/>
        <v>0</v>
      </c>
      <c r="V437" s="187">
        <f t="shared" si="56"/>
        <v>0.22</v>
      </c>
      <c r="W437" s="250">
        <f t="shared" si="54"/>
        <v>0.2</v>
      </c>
      <c r="X437" s="201">
        <f t="shared" si="51"/>
        <v>0</v>
      </c>
      <c r="Y437" s="201">
        <f t="shared" si="52"/>
        <v>0</v>
      </c>
      <c r="Z437" s="201">
        <f t="shared" si="53"/>
        <v>0</v>
      </c>
      <c r="AA437" s="203">
        <f>+Table1[[#This Row],[calculated sale price]]</f>
        <v>0</v>
      </c>
      <c r="AB437" s="202"/>
      <c r="AC437" s="206"/>
      <c r="AD437" s="414"/>
    </row>
    <row r="438" spans="1:30" x14ac:dyDescent="0.25">
      <c r="A438" s="186">
        <v>1429</v>
      </c>
      <c r="C438" s="186"/>
      <c r="I438" s="186"/>
      <c r="J438" s="186"/>
      <c r="K438" s="186"/>
      <c r="L438" s="197"/>
      <c r="M438" s="186"/>
      <c r="N438" s="198"/>
      <c r="O438" s="199">
        <v>0</v>
      </c>
      <c r="P438" s="199">
        <f>Table1[[#This Row],[unit cost]]</f>
        <v>0</v>
      </c>
      <c r="Q438" s="409"/>
      <c r="R438" s="186">
        <v>1</v>
      </c>
      <c r="S438" s="249">
        <f t="shared" si="55"/>
        <v>0.42</v>
      </c>
      <c r="T438" s="201">
        <f>Table1[[#This Row],[man minutes]]*Table1[[#This Row],[labor rate]]</f>
        <v>0</v>
      </c>
      <c r="U438" s="201">
        <f t="shared" si="50"/>
        <v>0</v>
      </c>
      <c r="V438" s="187">
        <f t="shared" si="56"/>
        <v>0.22</v>
      </c>
      <c r="W438" s="250">
        <f t="shared" si="54"/>
        <v>0.2</v>
      </c>
      <c r="X438" s="201">
        <f t="shared" si="51"/>
        <v>0</v>
      </c>
      <c r="Y438" s="201">
        <f t="shared" si="52"/>
        <v>0</v>
      </c>
      <c r="Z438" s="201">
        <f t="shared" si="53"/>
        <v>0</v>
      </c>
      <c r="AA438" s="203">
        <f>+Table1[[#This Row],[calculated sale price]]</f>
        <v>0</v>
      </c>
      <c r="AB438" s="202"/>
      <c r="AC438" s="206"/>
      <c r="AD438" s="414"/>
    </row>
    <row r="439" spans="1:30" x14ac:dyDescent="0.25">
      <c r="A439" s="186">
        <v>1430</v>
      </c>
      <c r="C439" s="186"/>
      <c r="I439" s="186"/>
      <c r="J439" s="186"/>
      <c r="K439" s="186"/>
      <c r="L439" s="197"/>
      <c r="M439" s="186"/>
      <c r="N439" s="198"/>
      <c r="O439" s="199">
        <v>0</v>
      </c>
      <c r="P439" s="199">
        <f>Table1[[#This Row],[unit cost]]</f>
        <v>0</v>
      </c>
      <c r="Q439" s="409"/>
      <c r="R439" s="186">
        <v>1</v>
      </c>
      <c r="S439" s="249">
        <f t="shared" si="55"/>
        <v>0.42</v>
      </c>
      <c r="T439" s="201">
        <f>Table1[[#This Row],[man minutes]]*Table1[[#This Row],[labor rate]]</f>
        <v>0</v>
      </c>
      <c r="U439" s="201">
        <f t="shared" si="50"/>
        <v>0</v>
      </c>
      <c r="V439" s="187">
        <f t="shared" si="56"/>
        <v>0.22</v>
      </c>
      <c r="W439" s="250">
        <f t="shared" si="54"/>
        <v>0.2</v>
      </c>
      <c r="X439" s="201">
        <f t="shared" si="51"/>
        <v>0</v>
      </c>
      <c r="Y439" s="201">
        <f t="shared" si="52"/>
        <v>0</v>
      </c>
      <c r="Z439" s="201">
        <f t="shared" si="53"/>
        <v>0</v>
      </c>
      <c r="AA439" s="203">
        <f>+Table1[[#This Row],[calculated sale price]]</f>
        <v>0</v>
      </c>
      <c r="AB439" s="202"/>
      <c r="AC439" s="206"/>
      <c r="AD439" s="414"/>
    </row>
    <row r="440" spans="1:30" x14ac:dyDescent="0.25">
      <c r="A440" s="186">
        <v>1431</v>
      </c>
      <c r="C440" s="186"/>
      <c r="I440" s="186"/>
      <c r="J440" s="186"/>
      <c r="K440" s="186"/>
      <c r="L440" s="197"/>
      <c r="M440" s="186"/>
      <c r="N440" s="198"/>
      <c r="O440" s="199">
        <v>0</v>
      </c>
      <c r="P440" s="199">
        <f>Table1[[#This Row],[unit cost]]</f>
        <v>0</v>
      </c>
      <c r="Q440" s="409"/>
      <c r="R440" s="186">
        <v>1</v>
      </c>
      <c r="S440" s="249">
        <f t="shared" si="55"/>
        <v>0.42</v>
      </c>
      <c r="T440" s="201">
        <f>Table1[[#This Row],[man minutes]]*Table1[[#This Row],[labor rate]]</f>
        <v>0</v>
      </c>
      <c r="U440" s="201">
        <f t="shared" si="50"/>
        <v>0</v>
      </c>
      <c r="V440" s="187">
        <f t="shared" si="56"/>
        <v>0.22</v>
      </c>
      <c r="W440" s="250">
        <f t="shared" si="54"/>
        <v>0.2</v>
      </c>
      <c r="X440" s="201">
        <f t="shared" si="51"/>
        <v>0</v>
      </c>
      <c r="Y440" s="201">
        <f t="shared" si="52"/>
        <v>0</v>
      </c>
      <c r="Z440" s="201">
        <f t="shared" si="53"/>
        <v>0</v>
      </c>
      <c r="AA440" s="203">
        <f>+Table1[[#This Row],[calculated sale price]]</f>
        <v>0</v>
      </c>
      <c r="AB440" s="202"/>
      <c r="AC440" s="206"/>
      <c r="AD440" s="414"/>
    </row>
    <row r="441" spans="1:30" x14ac:dyDescent="0.25">
      <c r="A441" s="186">
        <v>1432</v>
      </c>
      <c r="C441" s="186"/>
      <c r="I441" s="186"/>
      <c r="J441" s="186"/>
      <c r="K441" s="186"/>
      <c r="L441" s="197"/>
      <c r="M441" s="186"/>
      <c r="N441" s="198"/>
      <c r="O441" s="199">
        <v>0</v>
      </c>
      <c r="P441" s="199">
        <f>Table1[[#This Row],[unit cost]]</f>
        <v>0</v>
      </c>
      <c r="Q441" s="409"/>
      <c r="R441" s="186">
        <v>1</v>
      </c>
      <c r="S441" s="249">
        <f t="shared" si="55"/>
        <v>0.42</v>
      </c>
      <c r="T441" s="201">
        <f>Table1[[#This Row],[man minutes]]*Table1[[#This Row],[labor rate]]</f>
        <v>0</v>
      </c>
      <c r="U441" s="201">
        <f t="shared" si="50"/>
        <v>0</v>
      </c>
      <c r="V441" s="187">
        <f t="shared" si="56"/>
        <v>0.22</v>
      </c>
      <c r="W441" s="250">
        <f t="shared" si="54"/>
        <v>0.2</v>
      </c>
      <c r="X441" s="201">
        <f t="shared" si="51"/>
        <v>0</v>
      </c>
      <c r="Y441" s="201">
        <f t="shared" si="52"/>
        <v>0</v>
      </c>
      <c r="Z441" s="201">
        <f t="shared" si="53"/>
        <v>0</v>
      </c>
      <c r="AA441" s="203">
        <f>+Table1[[#This Row],[calculated sale price]]</f>
        <v>0</v>
      </c>
      <c r="AB441" s="202"/>
      <c r="AC441" s="206"/>
      <c r="AD441" s="414"/>
    </row>
    <row r="442" spans="1:30" x14ac:dyDescent="0.25">
      <c r="A442" s="186">
        <v>1433</v>
      </c>
      <c r="C442" s="186"/>
      <c r="I442" s="186"/>
      <c r="J442" s="186"/>
      <c r="K442" s="186"/>
      <c r="L442" s="197"/>
      <c r="M442" s="186"/>
      <c r="N442" s="198"/>
      <c r="O442" s="199">
        <v>0</v>
      </c>
      <c r="P442" s="199">
        <f>Table1[[#This Row],[unit cost]]</f>
        <v>0</v>
      </c>
      <c r="Q442" s="409"/>
      <c r="R442" s="186">
        <v>1</v>
      </c>
      <c r="S442" s="249">
        <f t="shared" si="55"/>
        <v>0.42</v>
      </c>
      <c r="T442" s="201">
        <f>Table1[[#This Row],[man minutes]]*Table1[[#This Row],[labor rate]]</f>
        <v>0</v>
      </c>
      <c r="U442" s="201">
        <f t="shared" si="50"/>
        <v>0</v>
      </c>
      <c r="V442" s="187">
        <f t="shared" si="56"/>
        <v>0.22</v>
      </c>
      <c r="W442" s="250">
        <f t="shared" si="54"/>
        <v>0.2</v>
      </c>
      <c r="X442" s="201">
        <f t="shared" si="51"/>
        <v>0</v>
      </c>
      <c r="Y442" s="201">
        <f t="shared" si="52"/>
        <v>0</v>
      </c>
      <c r="Z442" s="201">
        <f t="shared" si="53"/>
        <v>0</v>
      </c>
      <c r="AA442" s="203">
        <f>+Table1[[#This Row],[calculated sale price]]</f>
        <v>0</v>
      </c>
      <c r="AB442" s="202"/>
      <c r="AC442" s="206"/>
      <c r="AD442" s="414"/>
    </row>
    <row r="443" spans="1:30" x14ac:dyDescent="0.25">
      <c r="A443" s="186">
        <v>1434</v>
      </c>
      <c r="C443" s="186"/>
      <c r="I443" s="186"/>
      <c r="J443" s="186"/>
      <c r="K443" s="186"/>
      <c r="L443" s="197"/>
      <c r="M443" s="186"/>
      <c r="N443" s="198"/>
      <c r="O443" s="199">
        <v>0</v>
      </c>
      <c r="P443" s="199">
        <f>Table1[[#This Row],[unit cost]]</f>
        <v>0</v>
      </c>
      <c r="Q443" s="409"/>
      <c r="R443" s="186">
        <v>1</v>
      </c>
      <c r="S443" s="249">
        <f t="shared" si="55"/>
        <v>0.42</v>
      </c>
      <c r="T443" s="201">
        <f>Table1[[#This Row],[man minutes]]*Table1[[#This Row],[labor rate]]</f>
        <v>0</v>
      </c>
      <c r="U443" s="201">
        <f t="shared" si="50"/>
        <v>0</v>
      </c>
      <c r="V443" s="187">
        <f t="shared" si="56"/>
        <v>0.22</v>
      </c>
      <c r="W443" s="250">
        <f t="shared" si="54"/>
        <v>0.2</v>
      </c>
      <c r="X443" s="201">
        <f t="shared" si="51"/>
        <v>0</v>
      </c>
      <c r="Y443" s="201">
        <f t="shared" si="52"/>
        <v>0</v>
      </c>
      <c r="Z443" s="201">
        <f t="shared" si="53"/>
        <v>0</v>
      </c>
      <c r="AA443" s="203">
        <f>+Table1[[#This Row],[calculated sale price]]</f>
        <v>0</v>
      </c>
      <c r="AB443" s="202"/>
      <c r="AC443" s="206"/>
      <c r="AD443" s="414"/>
    </row>
    <row r="444" spans="1:30" x14ac:dyDescent="0.25">
      <c r="A444" s="186">
        <v>1435</v>
      </c>
      <c r="C444" s="186"/>
      <c r="I444" s="186"/>
      <c r="J444" s="186"/>
      <c r="K444" s="186"/>
      <c r="L444" s="197"/>
      <c r="M444" s="186"/>
      <c r="N444" s="198"/>
      <c r="O444" s="199">
        <v>0</v>
      </c>
      <c r="P444" s="199">
        <f>Table1[[#This Row],[unit cost]]</f>
        <v>0</v>
      </c>
      <c r="Q444" s="409"/>
      <c r="R444" s="186">
        <v>1</v>
      </c>
      <c r="S444" s="249">
        <f t="shared" si="55"/>
        <v>0.42</v>
      </c>
      <c r="T444" s="201">
        <f>Table1[[#This Row],[man minutes]]*Table1[[#This Row],[labor rate]]</f>
        <v>0</v>
      </c>
      <c r="U444" s="201">
        <f t="shared" si="50"/>
        <v>0</v>
      </c>
      <c r="V444" s="187">
        <f t="shared" si="56"/>
        <v>0.22</v>
      </c>
      <c r="W444" s="250">
        <f t="shared" si="54"/>
        <v>0.2</v>
      </c>
      <c r="X444" s="201">
        <f t="shared" si="51"/>
        <v>0</v>
      </c>
      <c r="Y444" s="201">
        <f t="shared" si="52"/>
        <v>0</v>
      </c>
      <c r="Z444" s="201">
        <f t="shared" si="53"/>
        <v>0</v>
      </c>
      <c r="AA444" s="203">
        <f>+Table1[[#This Row],[calculated sale price]]</f>
        <v>0</v>
      </c>
      <c r="AB444" s="202"/>
      <c r="AC444" s="206"/>
      <c r="AD444" s="414"/>
    </row>
    <row r="445" spans="1:30" x14ac:dyDescent="0.25">
      <c r="A445" s="186">
        <v>1436</v>
      </c>
      <c r="C445" s="186"/>
      <c r="I445" s="186"/>
      <c r="J445" s="186"/>
      <c r="K445" s="186"/>
      <c r="L445" s="197"/>
      <c r="M445" s="186"/>
      <c r="N445" s="198"/>
      <c r="O445" s="199">
        <v>0</v>
      </c>
      <c r="P445" s="199">
        <f>Table1[[#This Row],[unit cost]]</f>
        <v>0</v>
      </c>
      <c r="Q445" s="409"/>
      <c r="R445" s="186">
        <v>1</v>
      </c>
      <c r="S445" s="249">
        <f t="shared" si="55"/>
        <v>0.42</v>
      </c>
      <c r="T445" s="201">
        <f>Table1[[#This Row],[man minutes]]*Table1[[#This Row],[labor rate]]</f>
        <v>0</v>
      </c>
      <c r="U445" s="201">
        <f t="shared" si="50"/>
        <v>0</v>
      </c>
      <c r="V445" s="187">
        <f t="shared" si="56"/>
        <v>0.22</v>
      </c>
      <c r="W445" s="250">
        <f t="shared" si="54"/>
        <v>0.2</v>
      </c>
      <c r="X445" s="201">
        <f t="shared" si="51"/>
        <v>0</v>
      </c>
      <c r="Y445" s="201">
        <f t="shared" si="52"/>
        <v>0</v>
      </c>
      <c r="Z445" s="201">
        <f t="shared" si="53"/>
        <v>0</v>
      </c>
      <c r="AA445" s="203">
        <f>+Table1[[#This Row],[calculated sale price]]</f>
        <v>0</v>
      </c>
      <c r="AB445" s="202"/>
      <c r="AC445" s="206"/>
      <c r="AD445" s="414"/>
    </row>
    <row r="446" spans="1:30" x14ac:dyDescent="0.25">
      <c r="A446" s="186">
        <v>1437</v>
      </c>
      <c r="C446" s="186"/>
      <c r="I446" s="186"/>
      <c r="J446" s="186"/>
      <c r="K446" s="186"/>
      <c r="L446" s="197"/>
      <c r="M446" s="186"/>
      <c r="N446" s="198"/>
      <c r="O446" s="199">
        <v>0</v>
      </c>
      <c r="P446" s="199">
        <f>Table1[[#This Row],[unit cost]]</f>
        <v>0</v>
      </c>
      <c r="Q446" s="409"/>
      <c r="R446" s="186">
        <v>1</v>
      </c>
      <c r="S446" s="249">
        <f t="shared" si="55"/>
        <v>0.42</v>
      </c>
      <c r="T446" s="201">
        <f>Table1[[#This Row],[man minutes]]*Table1[[#This Row],[labor rate]]</f>
        <v>0</v>
      </c>
      <c r="U446" s="201">
        <f t="shared" ref="U446:U457" si="57">P446+T446</f>
        <v>0</v>
      </c>
      <c r="V446" s="187">
        <f t="shared" si="56"/>
        <v>0.22</v>
      </c>
      <c r="W446" s="250">
        <f t="shared" si="54"/>
        <v>0.2</v>
      </c>
      <c r="X446" s="201">
        <f t="shared" ref="X446:X457" si="58">P446*(1+V446)</f>
        <v>0</v>
      </c>
      <c r="Y446" s="201">
        <f t="shared" ref="Y446:Y457" si="59">T446+(T446*W446)</f>
        <v>0</v>
      </c>
      <c r="Z446" s="201">
        <f t="shared" ref="Z446:Z457" si="60">IFERROR(ROUNDUP(X446+Y446,2)," ")</f>
        <v>0</v>
      </c>
      <c r="AA446" s="203">
        <f>+Table1[[#This Row],[calculated sale price]]</f>
        <v>0</v>
      </c>
      <c r="AB446" s="202"/>
      <c r="AC446" s="206"/>
      <c r="AD446" s="414"/>
    </row>
    <row r="447" spans="1:30" x14ac:dyDescent="0.25">
      <c r="A447" s="186">
        <v>1438</v>
      </c>
      <c r="C447" s="186"/>
      <c r="I447" s="186"/>
      <c r="J447" s="186"/>
      <c r="K447" s="186"/>
      <c r="L447" s="197"/>
      <c r="M447" s="186"/>
      <c r="N447" s="198"/>
      <c r="O447" s="199">
        <v>0</v>
      </c>
      <c r="P447" s="199">
        <f>Table1[[#This Row],[unit cost]]</f>
        <v>0</v>
      </c>
      <c r="Q447" s="409"/>
      <c r="R447" s="186">
        <v>1</v>
      </c>
      <c r="S447" s="249">
        <f t="shared" si="55"/>
        <v>0.42</v>
      </c>
      <c r="T447" s="201">
        <f>Table1[[#This Row],[man minutes]]*Table1[[#This Row],[labor rate]]</f>
        <v>0</v>
      </c>
      <c r="U447" s="201">
        <f t="shared" si="57"/>
        <v>0</v>
      </c>
      <c r="V447" s="187">
        <f t="shared" si="56"/>
        <v>0.22</v>
      </c>
      <c r="W447" s="250">
        <f t="shared" ref="W447:W457" si="61">$W$2</f>
        <v>0.2</v>
      </c>
      <c r="X447" s="201">
        <f t="shared" si="58"/>
        <v>0</v>
      </c>
      <c r="Y447" s="201">
        <f t="shared" si="59"/>
        <v>0</v>
      </c>
      <c r="Z447" s="201">
        <f t="shared" si="60"/>
        <v>0</v>
      </c>
      <c r="AA447" s="203">
        <f>+Table1[[#This Row],[calculated sale price]]</f>
        <v>0</v>
      </c>
      <c r="AB447" s="202"/>
      <c r="AC447" s="206"/>
      <c r="AD447" s="414"/>
    </row>
    <row r="448" spans="1:30" x14ac:dyDescent="0.25">
      <c r="A448" s="186">
        <v>1439</v>
      </c>
      <c r="C448" s="186"/>
      <c r="I448" s="186"/>
      <c r="J448" s="186"/>
      <c r="K448" s="186"/>
      <c r="L448" s="197"/>
      <c r="M448" s="186"/>
      <c r="N448" s="198"/>
      <c r="O448" s="199">
        <v>0</v>
      </c>
      <c r="P448" s="199">
        <f>Table1[[#This Row],[unit cost]]</f>
        <v>0</v>
      </c>
      <c r="Q448" s="409"/>
      <c r="R448" s="186">
        <v>1</v>
      </c>
      <c r="S448" s="249">
        <f t="shared" si="55"/>
        <v>0.42</v>
      </c>
      <c r="T448" s="201">
        <f>Table1[[#This Row],[man minutes]]*Table1[[#This Row],[labor rate]]</f>
        <v>0</v>
      </c>
      <c r="U448" s="201">
        <f t="shared" si="57"/>
        <v>0</v>
      </c>
      <c r="V448" s="187">
        <f t="shared" si="56"/>
        <v>0.22</v>
      </c>
      <c r="W448" s="250">
        <f t="shared" si="61"/>
        <v>0.2</v>
      </c>
      <c r="X448" s="201">
        <f t="shared" si="58"/>
        <v>0</v>
      </c>
      <c r="Y448" s="201">
        <f t="shared" si="59"/>
        <v>0</v>
      </c>
      <c r="Z448" s="201">
        <f t="shared" si="60"/>
        <v>0</v>
      </c>
      <c r="AA448" s="203">
        <f>+Table1[[#This Row],[calculated sale price]]</f>
        <v>0</v>
      </c>
      <c r="AB448" s="202"/>
      <c r="AC448" s="206"/>
      <c r="AD448" s="414"/>
    </row>
    <row r="449" spans="1:30" x14ac:dyDescent="0.25">
      <c r="A449" s="186">
        <v>1440</v>
      </c>
      <c r="C449" s="186"/>
      <c r="I449" s="186"/>
      <c r="J449" s="186"/>
      <c r="K449" s="186"/>
      <c r="L449" s="197"/>
      <c r="M449" s="186"/>
      <c r="N449" s="198"/>
      <c r="O449" s="199">
        <v>0</v>
      </c>
      <c r="P449" s="199">
        <f>Table1[[#This Row],[unit cost]]</f>
        <v>0</v>
      </c>
      <c r="Q449" s="409"/>
      <c r="R449" s="186">
        <v>1</v>
      </c>
      <c r="S449" s="249">
        <f t="shared" ref="S449:S457" si="62">$S$2</f>
        <v>0.42</v>
      </c>
      <c r="T449" s="201">
        <f>Table1[[#This Row],[man minutes]]*Table1[[#This Row],[labor rate]]</f>
        <v>0</v>
      </c>
      <c r="U449" s="201">
        <f t="shared" si="57"/>
        <v>0</v>
      </c>
      <c r="V449" s="187">
        <f t="shared" si="56"/>
        <v>0.22</v>
      </c>
      <c r="W449" s="250">
        <f t="shared" si="61"/>
        <v>0.2</v>
      </c>
      <c r="X449" s="201">
        <f t="shared" si="58"/>
        <v>0</v>
      </c>
      <c r="Y449" s="201">
        <f t="shared" si="59"/>
        <v>0</v>
      </c>
      <c r="Z449" s="201">
        <f t="shared" si="60"/>
        <v>0</v>
      </c>
      <c r="AA449" s="203">
        <f>+Table1[[#This Row],[calculated sale price]]</f>
        <v>0</v>
      </c>
      <c r="AB449" s="202"/>
      <c r="AC449" s="206"/>
      <c r="AD449" s="414"/>
    </row>
    <row r="450" spans="1:30" x14ac:dyDescent="0.25">
      <c r="A450" s="186">
        <v>1441</v>
      </c>
      <c r="C450" s="186"/>
      <c r="I450" s="186"/>
      <c r="J450" s="186"/>
      <c r="K450" s="186"/>
      <c r="L450" s="197"/>
      <c r="M450" s="186"/>
      <c r="N450" s="198"/>
      <c r="O450" s="199">
        <v>0</v>
      </c>
      <c r="P450" s="199">
        <f>Table1[[#This Row],[unit cost]]</f>
        <v>0</v>
      </c>
      <c r="Q450" s="409"/>
      <c r="R450" s="186">
        <v>1</v>
      </c>
      <c r="S450" s="249">
        <f t="shared" si="62"/>
        <v>0.42</v>
      </c>
      <c r="T450" s="201">
        <f>Table1[[#This Row],[man minutes]]*Table1[[#This Row],[labor rate]]</f>
        <v>0</v>
      </c>
      <c r="U450" s="201">
        <f t="shared" si="57"/>
        <v>0</v>
      </c>
      <c r="V450" s="187">
        <f t="shared" si="56"/>
        <v>0.22</v>
      </c>
      <c r="W450" s="250">
        <f t="shared" si="61"/>
        <v>0.2</v>
      </c>
      <c r="X450" s="201">
        <f t="shared" si="58"/>
        <v>0</v>
      </c>
      <c r="Y450" s="201">
        <f t="shared" si="59"/>
        <v>0</v>
      </c>
      <c r="Z450" s="201">
        <f t="shared" si="60"/>
        <v>0</v>
      </c>
      <c r="AA450" s="203">
        <f>+Table1[[#This Row],[calculated sale price]]</f>
        <v>0</v>
      </c>
      <c r="AB450" s="202"/>
      <c r="AC450" s="206"/>
      <c r="AD450" s="414"/>
    </row>
    <row r="451" spans="1:30" x14ac:dyDescent="0.25">
      <c r="A451" s="186">
        <v>1442</v>
      </c>
      <c r="C451" s="186"/>
      <c r="I451" s="186"/>
      <c r="J451" s="186"/>
      <c r="K451" s="186"/>
      <c r="L451" s="197"/>
      <c r="M451" s="186"/>
      <c r="N451" s="198"/>
      <c r="O451" s="199">
        <v>0</v>
      </c>
      <c r="P451" s="199">
        <f>Table1[[#This Row],[unit cost]]</f>
        <v>0</v>
      </c>
      <c r="Q451" s="409"/>
      <c r="R451" s="186">
        <v>1</v>
      </c>
      <c r="S451" s="249">
        <f t="shared" si="62"/>
        <v>0.42</v>
      </c>
      <c r="T451" s="201">
        <f>Table1[[#This Row],[man minutes]]*Table1[[#This Row],[labor rate]]</f>
        <v>0</v>
      </c>
      <c r="U451" s="201">
        <f t="shared" si="57"/>
        <v>0</v>
      </c>
      <c r="V451" s="187">
        <f t="shared" si="56"/>
        <v>0.22</v>
      </c>
      <c r="W451" s="250">
        <f t="shared" si="61"/>
        <v>0.2</v>
      </c>
      <c r="X451" s="201">
        <f t="shared" si="58"/>
        <v>0</v>
      </c>
      <c r="Y451" s="201">
        <f t="shared" si="59"/>
        <v>0</v>
      </c>
      <c r="Z451" s="201">
        <f t="shared" si="60"/>
        <v>0</v>
      </c>
      <c r="AA451" s="203">
        <f>+Table1[[#This Row],[calculated sale price]]</f>
        <v>0</v>
      </c>
      <c r="AB451" s="202"/>
      <c r="AC451" s="206"/>
      <c r="AD451" s="414"/>
    </row>
    <row r="452" spans="1:30" x14ac:dyDescent="0.25">
      <c r="A452" s="186">
        <v>1443</v>
      </c>
      <c r="C452" s="186"/>
      <c r="I452" s="186"/>
      <c r="J452" s="186"/>
      <c r="K452" s="186"/>
      <c r="L452" s="197"/>
      <c r="M452" s="186"/>
      <c r="N452" s="198"/>
      <c r="O452" s="199">
        <v>0</v>
      </c>
      <c r="P452" s="199">
        <f>Table1[[#This Row],[unit cost]]</f>
        <v>0</v>
      </c>
      <c r="Q452" s="409"/>
      <c r="R452" s="186">
        <v>1</v>
      </c>
      <c r="S452" s="249">
        <f t="shared" si="62"/>
        <v>0.42</v>
      </c>
      <c r="T452" s="201">
        <f>Table1[[#This Row],[man minutes]]*Table1[[#This Row],[labor rate]]</f>
        <v>0</v>
      </c>
      <c r="U452" s="201">
        <f t="shared" si="57"/>
        <v>0</v>
      </c>
      <c r="V452" s="187">
        <f t="shared" si="56"/>
        <v>0.22</v>
      </c>
      <c r="W452" s="250">
        <f t="shared" si="61"/>
        <v>0.2</v>
      </c>
      <c r="X452" s="201">
        <f t="shared" si="58"/>
        <v>0</v>
      </c>
      <c r="Y452" s="201">
        <f t="shared" si="59"/>
        <v>0</v>
      </c>
      <c r="Z452" s="201">
        <f t="shared" si="60"/>
        <v>0</v>
      </c>
      <c r="AA452" s="203">
        <f>+Table1[[#This Row],[calculated sale price]]</f>
        <v>0</v>
      </c>
      <c r="AB452" s="202"/>
      <c r="AC452" s="206"/>
      <c r="AD452" s="414"/>
    </row>
    <row r="453" spans="1:30" x14ac:dyDescent="0.25">
      <c r="A453" s="186">
        <v>1444</v>
      </c>
      <c r="C453" s="186"/>
      <c r="I453" s="186"/>
      <c r="J453" s="186"/>
      <c r="K453" s="186"/>
      <c r="L453" s="197"/>
      <c r="M453" s="186"/>
      <c r="N453" s="198"/>
      <c r="O453" s="199">
        <v>0</v>
      </c>
      <c r="P453" s="199">
        <f>Table1[[#This Row],[unit cost]]</f>
        <v>0</v>
      </c>
      <c r="Q453" s="409"/>
      <c r="R453" s="186">
        <v>1</v>
      </c>
      <c r="S453" s="249">
        <f t="shared" si="62"/>
        <v>0.42</v>
      </c>
      <c r="T453" s="201">
        <f>Table1[[#This Row],[man minutes]]*Table1[[#This Row],[labor rate]]</f>
        <v>0</v>
      </c>
      <c r="U453" s="201">
        <f t="shared" si="57"/>
        <v>0</v>
      </c>
      <c r="V453" s="187">
        <f t="shared" si="56"/>
        <v>0.22</v>
      </c>
      <c r="W453" s="250">
        <f t="shared" si="61"/>
        <v>0.2</v>
      </c>
      <c r="X453" s="201">
        <f t="shared" si="58"/>
        <v>0</v>
      </c>
      <c r="Y453" s="201">
        <f t="shared" si="59"/>
        <v>0</v>
      </c>
      <c r="Z453" s="201">
        <f t="shared" si="60"/>
        <v>0</v>
      </c>
      <c r="AA453" s="203">
        <f>+Table1[[#This Row],[calculated sale price]]</f>
        <v>0</v>
      </c>
      <c r="AB453" s="202"/>
      <c r="AC453" s="206"/>
      <c r="AD453" s="414"/>
    </row>
    <row r="454" spans="1:30" x14ac:dyDescent="0.25">
      <c r="A454" s="186">
        <v>1445</v>
      </c>
      <c r="C454" s="186"/>
      <c r="I454" s="186"/>
      <c r="J454" s="186"/>
      <c r="K454" s="186"/>
      <c r="L454" s="197"/>
      <c r="M454" s="186"/>
      <c r="N454" s="198"/>
      <c r="O454" s="199">
        <v>0</v>
      </c>
      <c r="P454" s="199">
        <f>Table1[[#This Row],[unit cost]]</f>
        <v>0</v>
      </c>
      <c r="Q454" s="409"/>
      <c r="R454" s="186">
        <v>1</v>
      </c>
      <c r="S454" s="249">
        <f t="shared" si="62"/>
        <v>0.42</v>
      </c>
      <c r="T454" s="201">
        <f>Table1[[#This Row],[man minutes]]*Table1[[#This Row],[labor rate]]</f>
        <v>0</v>
      </c>
      <c r="U454" s="201">
        <f t="shared" si="57"/>
        <v>0</v>
      </c>
      <c r="V454" s="187">
        <f t="shared" si="56"/>
        <v>0.22</v>
      </c>
      <c r="W454" s="250">
        <f t="shared" si="61"/>
        <v>0.2</v>
      </c>
      <c r="X454" s="201">
        <f t="shared" si="58"/>
        <v>0</v>
      </c>
      <c r="Y454" s="201">
        <f t="shared" si="59"/>
        <v>0</v>
      </c>
      <c r="Z454" s="201">
        <f t="shared" si="60"/>
        <v>0</v>
      </c>
      <c r="AA454" s="203">
        <f>+Table1[[#This Row],[calculated sale price]]</f>
        <v>0</v>
      </c>
      <c r="AB454" s="202"/>
      <c r="AC454" s="206"/>
      <c r="AD454" s="414"/>
    </row>
    <row r="455" spans="1:30" x14ac:dyDescent="0.25">
      <c r="A455" s="186">
        <v>1446</v>
      </c>
      <c r="C455" s="186"/>
      <c r="I455" s="186"/>
      <c r="J455" s="186"/>
      <c r="K455" s="186"/>
      <c r="L455" s="197"/>
      <c r="M455" s="186"/>
      <c r="N455" s="198"/>
      <c r="O455" s="199">
        <v>0</v>
      </c>
      <c r="P455" s="199">
        <f>Table1[[#This Row],[unit cost]]</f>
        <v>0</v>
      </c>
      <c r="Q455" s="409"/>
      <c r="R455" s="186">
        <v>1</v>
      </c>
      <c r="S455" s="249">
        <f t="shared" si="62"/>
        <v>0.42</v>
      </c>
      <c r="T455" s="201">
        <f>Table1[[#This Row],[man minutes]]*Table1[[#This Row],[labor rate]]</f>
        <v>0</v>
      </c>
      <c r="U455" s="201">
        <f t="shared" si="57"/>
        <v>0</v>
      </c>
      <c r="V455" s="187">
        <f t="shared" si="56"/>
        <v>0.22</v>
      </c>
      <c r="W455" s="250">
        <f t="shared" si="61"/>
        <v>0.2</v>
      </c>
      <c r="X455" s="201">
        <f t="shared" si="58"/>
        <v>0</v>
      </c>
      <c r="Y455" s="201">
        <f t="shared" si="59"/>
        <v>0</v>
      </c>
      <c r="Z455" s="201">
        <f t="shared" si="60"/>
        <v>0</v>
      </c>
      <c r="AA455" s="203">
        <f>+Table1[[#This Row],[calculated sale price]]</f>
        <v>0</v>
      </c>
      <c r="AB455" s="202"/>
      <c r="AC455" s="206"/>
      <c r="AD455" s="414"/>
    </row>
    <row r="456" spans="1:30" x14ac:dyDescent="0.25">
      <c r="A456" s="186">
        <v>1447</v>
      </c>
      <c r="C456" s="186"/>
      <c r="I456" s="186"/>
      <c r="J456" s="186"/>
      <c r="K456" s="186"/>
      <c r="L456" s="197"/>
      <c r="M456" s="186"/>
      <c r="N456" s="198"/>
      <c r="O456" s="199">
        <v>0</v>
      </c>
      <c r="P456" s="199">
        <f>Table1[[#This Row],[unit cost]]</f>
        <v>0</v>
      </c>
      <c r="Q456" s="409"/>
      <c r="R456" s="186">
        <v>1</v>
      </c>
      <c r="S456" s="249">
        <f t="shared" si="62"/>
        <v>0.42</v>
      </c>
      <c r="T456" s="201">
        <f>Table1[[#This Row],[man minutes]]*Table1[[#This Row],[labor rate]]</f>
        <v>0</v>
      </c>
      <c r="U456" s="201">
        <f t="shared" si="57"/>
        <v>0</v>
      </c>
      <c r="V456" s="187">
        <f t="shared" si="56"/>
        <v>0.22</v>
      </c>
      <c r="W456" s="250">
        <f t="shared" si="61"/>
        <v>0.2</v>
      </c>
      <c r="X456" s="201">
        <f t="shared" si="58"/>
        <v>0</v>
      </c>
      <c r="Y456" s="201">
        <f t="shared" si="59"/>
        <v>0</v>
      </c>
      <c r="Z456" s="201">
        <f t="shared" si="60"/>
        <v>0</v>
      </c>
      <c r="AA456" s="203">
        <f>+Table1[[#This Row],[calculated sale price]]</f>
        <v>0</v>
      </c>
      <c r="AB456" s="202"/>
      <c r="AC456" s="206"/>
      <c r="AD456" s="414"/>
    </row>
    <row r="457" spans="1:30" ht="15" customHeight="1" x14ac:dyDescent="0.25">
      <c r="A457" s="186">
        <v>1448</v>
      </c>
      <c r="C457" s="186"/>
      <c r="I457" s="186"/>
      <c r="J457" s="186"/>
      <c r="K457" s="186"/>
      <c r="L457" s="197"/>
      <c r="M457" s="186"/>
      <c r="N457" s="198"/>
      <c r="O457" s="199">
        <v>0</v>
      </c>
      <c r="P457" s="199">
        <f>Table1[[#This Row],[unit cost]]</f>
        <v>0</v>
      </c>
      <c r="Q457" s="409"/>
      <c r="R457" s="186">
        <v>1</v>
      </c>
      <c r="S457" s="249">
        <f t="shared" si="62"/>
        <v>0.42</v>
      </c>
      <c r="T457" s="201">
        <f>Table1[[#This Row],[man minutes]]*Table1[[#This Row],[labor rate]]</f>
        <v>0</v>
      </c>
      <c r="U457" s="201">
        <f t="shared" si="57"/>
        <v>0</v>
      </c>
      <c r="V457" s="187">
        <f t="shared" si="56"/>
        <v>0.22</v>
      </c>
      <c r="W457" s="250">
        <f t="shared" si="61"/>
        <v>0.2</v>
      </c>
      <c r="X457" s="201">
        <f t="shared" si="58"/>
        <v>0</v>
      </c>
      <c r="Y457" s="201">
        <f t="shared" si="59"/>
        <v>0</v>
      </c>
      <c r="Z457" s="201">
        <f t="shared" si="60"/>
        <v>0</v>
      </c>
      <c r="AA457" s="203">
        <f>+Table1[[#This Row],[calculated sale price]]</f>
        <v>0</v>
      </c>
      <c r="AB457" s="202"/>
      <c r="AC457" s="206"/>
      <c r="AD457" s="414"/>
    </row>
    <row r="458" spans="1:30" x14ac:dyDescent="0.25">
      <c r="A458" s="186"/>
      <c r="C458" s="186"/>
      <c r="I458" s="186"/>
      <c r="J458" s="186"/>
      <c r="K458" s="186"/>
      <c r="L458" s="197"/>
      <c r="M458" s="186"/>
      <c r="N458" s="198"/>
      <c r="O458" s="199"/>
      <c r="P458" s="200"/>
      <c r="Q458" s="409"/>
      <c r="S458" s="207"/>
      <c r="T458" s="207"/>
      <c r="U458" s="207"/>
      <c r="V458" s="208"/>
      <c r="W458" s="197"/>
      <c r="X458" s="207"/>
      <c r="Y458" s="207"/>
      <c r="Z458" s="207"/>
      <c r="AA458" s="238"/>
      <c r="AB458" s="209"/>
      <c r="AC458" s="207"/>
    </row>
    <row r="459" spans="1:30" x14ac:dyDescent="0.25">
      <c r="AD459" s="205"/>
    </row>
    <row r="467" spans="30:30" x14ac:dyDescent="0.25">
      <c r="AD467" s="205"/>
    </row>
    <row r="470" spans="30:30" x14ac:dyDescent="0.25">
      <c r="AD470" s="205"/>
    </row>
    <row r="486" spans="30:30" x14ac:dyDescent="0.25">
      <c r="AD486" s="204"/>
    </row>
    <row r="500" spans="30:30" x14ac:dyDescent="0.25">
      <c r="AD500" s="205"/>
    </row>
    <row r="517" spans="30:30" x14ac:dyDescent="0.25">
      <c r="AD517" s="205"/>
    </row>
    <row r="529" spans="30:30" x14ac:dyDescent="0.25">
      <c r="AD529" s="205"/>
    </row>
    <row r="533" spans="30:30" x14ac:dyDescent="0.25">
      <c r="AD533" s="205"/>
    </row>
  </sheetData>
  <mergeCells count="1">
    <mergeCell ref="A8:AB8"/>
  </mergeCells>
  <phoneticPr fontId="16" type="noConversion"/>
  <conditionalFormatting sqref="A1:A1048576">
    <cfRule type="duplicateValues" dxfId="44" priority="1"/>
  </conditionalFormatting>
  <conditionalFormatting sqref="A9">
    <cfRule type="duplicateValues" dxfId="43" priority="68"/>
  </conditionalFormatting>
  <conditionalFormatting sqref="A10:A457">
    <cfRule type="duplicateValues" dxfId="42" priority="949"/>
  </conditionalFormatting>
  <conditionalFormatting sqref="A10:A458">
    <cfRule type="duplicateValues" dxfId="41" priority="828"/>
  </conditionalFormatting>
  <conditionalFormatting sqref="A33:A68 A70 A72:A73 A75:A85">
    <cfRule type="duplicateValues" dxfId="40" priority="67"/>
  </conditionalFormatting>
  <conditionalFormatting sqref="A69">
    <cfRule type="duplicateValues" dxfId="39" priority="6"/>
    <cfRule type="duplicateValues" dxfId="38" priority="7"/>
  </conditionalFormatting>
  <conditionalFormatting sqref="A71">
    <cfRule type="duplicateValues" dxfId="37" priority="5"/>
  </conditionalFormatting>
  <conditionalFormatting sqref="A87:A90">
    <cfRule type="duplicateValues" dxfId="36" priority="8"/>
    <cfRule type="duplicateValues" dxfId="35" priority="9"/>
    <cfRule type="duplicateValues" dxfId="34" priority="10"/>
    <cfRule type="duplicateValues" dxfId="33" priority="11"/>
    <cfRule type="duplicateValues" dxfId="32" priority="12"/>
  </conditionalFormatting>
  <conditionalFormatting sqref="A101:A102 A106:A109">
    <cfRule type="duplicateValues" dxfId="31" priority="4"/>
  </conditionalFormatting>
  <conditionalFormatting sqref="A103:A105">
    <cfRule type="duplicateValues" dxfId="30" priority="2"/>
  </conditionalFormatting>
  <conditionalFormatting sqref="N10:N458">
    <cfRule type="cellIs" dxfId="29" priority="3" operator="equal">
      <formula>0</formula>
    </cfRule>
  </conditionalFormatting>
  <conditionalFormatting sqref="AA10:AA458">
    <cfRule type="expression" dxfId="28" priority="64">
      <formula>AA10&lt;&gt;Z10</formula>
    </cfRule>
  </conditionalFormatting>
  <printOptions horizontalCentered="1"/>
  <pageMargins left="0.45" right="0.45" top="0.5" bottom="0.5" header="0.3" footer="0.3"/>
  <pageSetup scale="95" orientation="landscape" verticalDpi="1200" r:id="rId1"/>
  <headerFooter>
    <oddHeader>&amp;A</oddHeader>
    <oddFooter>&amp;L&amp;B Confidential&amp;B&amp;C&amp;D&amp;RPage &amp;P</oddFooter>
  </headerFooter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4377E-7F1B-4765-A233-5F6B3746AFD2}">
  <dimension ref="A39:E42"/>
  <sheetViews>
    <sheetView workbookViewId="0">
      <selection activeCell="J44" sqref="J44"/>
    </sheetView>
  </sheetViews>
  <sheetFormatPr defaultRowHeight="15" x14ac:dyDescent="0.25"/>
  <cols>
    <col min="4" max="4" width="11.5703125" bestFit="1" customWidth="1"/>
    <col min="5" max="5" width="10.85546875" bestFit="1" customWidth="1"/>
  </cols>
  <sheetData>
    <row r="39" spans="1:5" x14ac:dyDescent="0.25">
      <c r="A39" s="33"/>
      <c r="B39" s="33"/>
      <c r="C39" s="33"/>
      <c r="D39" s="404" t="s">
        <v>679</v>
      </c>
      <c r="E39" s="404" t="s">
        <v>680</v>
      </c>
    </row>
    <row r="40" spans="1:5" x14ac:dyDescent="0.25">
      <c r="A40" s="405" t="s">
        <v>44</v>
      </c>
      <c r="B40" s="33">
        <f>162/2</f>
        <v>81</v>
      </c>
      <c r="C40" s="33">
        <f>B40*1.15</f>
        <v>93.149999999999991</v>
      </c>
      <c r="D40" s="406">
        <f>C40*0.65</f>
        <v>60.547499999999999</v>
      </c>
      <c r="E40" s="406">
        <f>C40-D40</f>
        <v>32.602499999999992</v>
      </c>
    </row>
    <row r="41" spans="1:5" x14ac:dyDescent="0.25">
      <c r="A41" s="405" t="s">
        <v>45</v>
      </c>
      <c r="B41" s="33">
        <f>175.62/3</f>
        <v>58.54</v>
      </c>
      <c r="C41" s="33">
        <f>B41*1.2</f>
        <v>70.24799999999999</v>
      </c>
      <c r="D41" s="406">
        <f t="shared" ref="D41:D42" si="0">C41*0.65</f>
        <v>45.661199999999994</v>
      </c>
      <c r="E41" s="406">
        <f t="shared" ref="E41:E42" si="1">C41-D41</f>
        <v>24.586799999999997</v>
      </c>
    </row>
    <row r="42" spans="1:5" x14ac:dyDescent="0.25">
      <c r="A42" s="405" t="s">
        <v>58</v>
      </c>
      <c r="B42" s="33">
        <f>201.66/6</f>
        <v>33.61</v>
      </c>
      <c r="C42" s="33">
        <f>B42*1.2</f>
        <v>40.332000000000001</v>
      </c>
      <c r="D42" s="406">
        <f t="shared" si="0"/>
        <v>26.215800000000002</v>
      </c>
      <c r="E42" s="406">
        <f t="shared" si="1"/>
        <v>14.116199999999999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b03f2f-74c7-4926-a36d-d4bdb9e02d45" xsi:nil="true"/>
    <lcf76f155ced4ddcb4097134ff3c332f xmlns="042478ca-ca2d-4d01-83eb-90396d5625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5363B5-A169-4309-904C-2914063464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331B24-521D-4132-AFAB-D37C1FF5A6B4}"/>
</file>

<file path=customXml/itemProps3.xml><?xml version="1.0" encoding="utf-8"?>
<ds:datastoreItem xmlns:ds="http://schemas.openxmlformats.org/officeDocument/2006/customXml" ds:itemID="{55812349-904E-4FEB-B97A-79910B993EA7}">
  <ds:schemaRefs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7ef595a4-033d-4184-be87-9afbd01194a4"/>
    <ds:schemaRef ds:uri="97a86f65-4516-4324-bcd9-bc0d55ce378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</vt:i4>
      </vt:variant>
    </vt:vector>
  </HeadingPairs>
  <TitlesOfParts>
    <vt:vector size="21" baseType="lpstr">
      <vt:lpstr>P&amp;L</vt:lpstr>
      <vt:lpstr>Bid Assumption </vt:lpstr>
      <vt:lpstr>Summary </vt:lpstr>
      <vt:lpstr>Summary Short Haul</vt:lpstr>
      <vt:lpstr>Summary Long Haul</vt:lpstr>
      <vt:lpstr>Summary  735</vt:lpstr>
      <vt:lpstr>Summary 2221</vt:lpstr>
      <vt:lpstr>Summary 2439</vt:lpstr>
      <vt:lpstr>Summary 2682</vt:lpstr>
      <vt:lpstr>Summary 2855</vt:lpstr>
      <vt:lpstr>Summary FLT104</vt:lpstr>
      <vt:lpstr>Summary FLT110</vt:lpstr>
      <vt:lpstr>Summary 2037</vt:lpstr>
      <vt:lpstr>Summary 2817</vt:lpstr>
      <vt:lpstr>Handling</vt:lpstr>
      <vt:lpstr>FlightConfig </vt:lpstr>
      <vt:lpstr>Food</vt:lpstr>
      <vt:lpstr>Avg Per Flight</vt:lpstr>
      <vt:lpstr>FG MASTER</vt:lpstr>
      <vt:lpstr>SPML</vt:lpstr>
      <vt:lpstr>'FG MASTER'!Print_Area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Preetham Rajupeta</dc:creator>
  <cp:keywords/>
  <dc:description/>
  <cp:lastModifiedBy>Sue  Lu</cp:lastModifiedBy>
  <cp:revision/>
  <dcterms:created xsi:type="dcterms:W3CDTF">2021-04-30T01:45:45Z</dcterms:created>
  <dcterms:modified xsi:type="dcterms:W3CDTF">2026-04-15T15:30:39Z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MediaServiceImageTags">
    <vt:lpwstr/>
  </property>
</Properties>
</file>