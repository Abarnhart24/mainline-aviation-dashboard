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oldberggroup-my.sharepoint.com/personal/slu_mainlineaviation_com/Documents/Airline catering file/Non-Current Customer/VA ATL 20240628/"/>
    </mc:Choice>
  </mc:AlternateContent>
  <xr:revisionPtr revIDLastSave="141" documentId="8_{53A36C86-A8C3-4601-89EB-DB22999F66C2}" xr6:coauthVersionLast="47" xr6:coauthVersionMax="47" xr10:uidLastSave="{0C6BD374-8EF6-4E69-8F22-BAC124D2602D}"/>
  <bookViews>
    <workbookView xWindow="67080" yWindow="-5370" windowWidth="38640" windowHeight="21120" xr2:uid="{887AFEA8-6E04-46E5-897D-6FBBF058A045}"/>
  </bookViews>
  <sheets>
    <sheet name="Sheet1" sheetId="1" r:id="rId1"/>
  </sheets>
  <definedNames>
    <definedName name="_xlnm.Print_Area" localSheetId="0">Sheet1!$A$1:$K$247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3" i="1" l="1"/>
  <c r="I21" i="1"/>
  <c r="I16" i="1"/>
  <c r="I63" i="1"/>
  <c r="I40" i="1" l="1"/>
  <c r="I98" i="1" l="1"/>
  <c r="I247" i="1" l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0" i="1"/>
  <c r="I99" i="1"/>
  <c r="I97" i="1"/>
  <c r="I96" i="1"/>
  <c r="I95" i="1"/>
  <c r="I94" i="1"/>
  <c r="I93" i="1"/>
  <c r="I92" i="1"/>
  <c r="I91" i="1"/>
  <c r="I90" i="1"/>
  <c r="I89" i="1"/>
  <c r="I88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2" i="1"/>
  <c r="I61" i="1"/>
  <c r="I60" i="1"/>
  <c r="I59" i="1"/>
  <c r="I58" i="1"/>
  <c r="I57" i="1"/>
  <c r="I52" i="1"/>
  <c r="I51" i="1"/>
  <c r="I50" i="1"/>
  <c r="I49" i="1"/>
  <c r="I48" i="1"/>
  <c r="I47" i="1"/>
  <c r="I46" i="1"/>
  <c r="I45" i="1"/>
  <c r="I39" i="1"/>
  <c r="I38" i="1"/>
  <c r="I37" i="1"/>
  <c r="I36" i="1"/>
  <c r="I35" i="1"/>
  <c r="I34" i="1"/>
  <c r="I32" i="1"/>
  <c r="I31" i="1"/>
  <c r="I30" i="1"/>
  <c r="I29" i="1"/>
  <c r="I28" i="1"/>
  <c r="I27" i="1"/>
  <c r="I26" i="1"/>
  <c r="I25" i="1"/>
  <c r="I24" i="1"/>
  <c r="I23" i="1"/>
  <c r="I22" i="1"/>
  <c r="I20" i="1"/>
  <c r="I19" i="1"/>
  <c r="I18" i="1"/>
  <c r="I17" i="1"/>
  <c r="I15" i="1"/>
  <c r="I14" i="1"/>
  <c r="I13" i="1"/>
  <c r="I12" i="1"/>
  <c r="I11" i="1"/>
  <c r="I10" i="1"/>
  <c r="I9" i="1"/>
  <c r="I8" i="1"/>
</calcChain>
</file>

<file path=xl/sharedStrings.xml><?xml version="1.0" encoding="utf-8"?>
<sst xmlns="http://schemas.openxmlformats.org/spreadsheetml/2006/main" count="413" uniqueCount="169">
  <si>
    <t>Code</t>
  </si>
  <si>
    <t>Description</t>
  </si>
  <si>
    <t>Quantity</t>
  </si>
  <si>
    <t>Ratio</t>
  </si>
  <si>
    <t>S. Price</t>
  </si>
  <si>
    <t xml:space="preserve">BC C1 DINNER GEORGIA PEACH CHILI WHIPPED BUTTER </t>
  </si>
  <si>
    <t xml:space="preserve">BC C1 DINNER SWEETWATER BEET AND CHEESE ROLL </t>
  </si>
  <si>
    <t xml:space="preserve">BC C1 DINNER HERB FOCACCIA ROLL </t>
  </si>
  <si>
    <t xml:space="preserve">BC C1 DINNER HHAWAIIAN ROLL </t>
  </si>
  <si>
    <t>BC C1 BREAKFAST SIDE 2 PEACH AND PECAN SCONE</t>
  </si>
  <si>
    <t>PREMIUM ECONOMY CLASS (W CLASS)</t>
  </si>
  <si>
    <t>BUSINESS CLASS (J CLASS)</t>
  </si>
  <si>
    <t>TSU (INCLUDE BREAD, BUTTER, SALAD, DESSERT AND CHEESE)</t>
  </si>
  <si>
    <t>ECONOMY CLASS (Y CLASS)</t>
  </si>
  <si>
    <t xml:space="preserve">FULL FAT MILK 1LT </t>
  </si>
  <si>
    <t xml:space="preserve">SKIM MILK 1LT </t>
  </si>
  <si>
    <t>LEMON SLICE 10CT</t>
  </si>
  <si>
    <t>CUCUMBER SLICE 10CT</t>
  </si>
  <si>
    <t>LIME WEDGE 8CT</t>
  </si>
  <si>
    <t>WET ICE 1KG</t>
  </si>
  <si>
    <t>TSU (INCLUDE BREAD, BUTTER, SALAD, AND DESSERT)</t>
  </si>
  <si>
    <t>CREW C1 DINNER CHEESE &amp; CRACKER, CELERY STICK, CARROT, HUMMUS</t>
  </si>
  <si>
    <t>CREW C1 DINNER HARD BOILED EGG WITH TURKEY CUBES AND CHEDDAR</t>
  </si>
  <si>
    <t>CABIN CREW CLASS CC CLASS)</t>
  </si>
  <si>
    <t>S. Price Aft Tax</t>
  </si>
  <si>
    <t xml:space="preserve">UPLIFT ITEM LIST </t>
  </si>
  <si>
    <t>BEVERAGES - MINERAL WATER STILL - 1.5 LT</t>
  </si>
  <si>
    <t>BEVERAGES - TOMATO JUICE - 1 LT</t>
  </si>
  <si>
    <t>BEVERAGES - MINERAL WATER SPARK - 1 LT</t>
  </si>
  <si>
    <t>BEVERAGES - APPLE JUICE - 1 LT</t>
  </si>
  <si>
    <t>BEVERAGES - ORANGE JUICE - 1 LT</t>
  </si>
  <si>
    <t>BEVERAGES - CRANBERRY JUICE - 1 LT</t>
  </si>
  <si>
    <t>WET STORES - FULL FAT MILK - J CLASS - PINT/LITRE</t>
  </si>
  <si>
    <t>WET STORES - FULL FAT MILK - W/Y CLASS - PINT/LITRE</t>
  </si>
  <si>
    <t>WET STORES - SEMI SKIMMED MILK - J CLASS - PINT/LITRE</t>
  </si>
  <si>
    <t>WET STORES - SEMI SKIMMED MILK - W/Y CLASS - PINT/LITRE</t>
  </si>
  <si>
    <t>DRY ICE - DRY ICE - 1KG/2.2LB</t>
  </si>
  <si>
    <t>CHARGES - ALCOHOL EXCHANGE - A330-300</t>
  </si>
  <si>
    <t>CHARGES - ALCOHOL EXCHANGE - A330-900</t>
  </si>
  <si>
    <t>CHARGES - ALCOHOL EXCHANGE - A350-1000</t>
  </si>
  <si>
    <t>CHARGES - ALCOHOL EXCHANGE - A350-1000B</t>
  </si>
  <si>
    <t>CHARGES - ALCOHOL EXCHANGE - B787-900</t>
  </si>
  <si>
    <t>TURNAROUND - STRIP &amp; LOAD - A330-300</t>
  </si>
  <si>
    <t>TURNAROUND - STRIP &amp; LOAD - A330-900</t>
  </si>
  <si>
    <t>TURNAROUND - STRIP &amp; LOAD - A350-1000</t>
  </si>
  <si>
    <t>TURNAROUND - STRIP &amp; LOAD - A350-1000B</t>
  </si>
  <si>
    <t>TURNAROUND - STRIP &amp; LOAD - B787-900</t>
  </si>
  <si>
    <t>STRIP - STRIP ONLY - A330-300</t>
  </si>
  <si>
    <t>STRIP - STRIP ONLY - A330-900</t>
  </si>
  <si>
    <t>STRIP - STRIP ONLY - A350-1000</t>
  </si>
  <si>
    <t>STRIP - STRIP ONLY - A350-1000B</t>
  </si>
  <si>
    <t>STRIP - STRIP ONLY - B787-900</t>
  </si>
  <si>
    <t>LOAD - LOAD ONLY - A330-300</t>
  </si>
  <si>
    <t>LOAD - LOAD ONLY - A330-900</t>
  </si>
  <si>
    <t>LOAD - LOAD ONLY - A350-1000</t>
  </si>
  <si>
    <t>LOAD - LOAD ONLY - A350-1000B</t>
  </si>
  <si>
    <t>LOAD - LOAD ONLY - B787-900</t>
  </si>
  <si>
    <t>RUN OUT - EXTRA TRUCK - RUN OUT</t>
  </si>
  <si>
    <t>RUN OUT - EXTRA VAN - RUN OUT</t>
  </si>
  <si>
    <t>AC CHANGE - AIRCRAFT CHANGE - AIRSIDE - A330-300</t>
  </si>
  <si>
    <t>AC CHANGE - AIRCRAFT CHANGE - AIRSIDE - A330-900</t>
  </si>
  <si>
    <t>AC CHANGE - AIRCRAFT CHANGE - AIRSIDE - A350-1000</t>
  </si>
  <si>
    <t>AC CHANGE - AIRCRAFT CHANGE - AIRSIDE - A350-1000B</t>
  </si>
  <si>
    <t>AC CHANGE - AIRCRAFT CHANGE - AIRSIDE - B787-900</t>
  </si>
  <si>
    <t>WASH UP - WASH UP - A330-300</t>
  </si>
  <si>
    <t>WASH UP - WASH UP - A330-900</t>
  </si>
  <si>
    <t>WASH UP - WASH UP - A350-1000</t>
  </si>
  <si>
    <t>WASH UP - WASH UP - A350-1000B</t>
  </si>
  <si>
    <t>WASH UP - WASH UP - B787-900</t>
  </si>
  <si>
    <t>PACKING - FLIGHT PACKING - A330-300</t>
  </si>
  <si>
    <t>PACKING - FLIGHT PACKING - A330-900</t>
  </si>
  <si>
    <t>PACKING - FLIGHT PACKING - A350-1000</t>
  </si>
  <si>
    <t>PACKING - FLIGHT PACKING - A350-1000B</t>
  </si>
  <si>
    <t>PACKING - FLIGHT PACKING - B787-900</t>
  </si>
  <si>
    <t>GARBAGE - GARBAGE REMOVAL - A330-300</t>
  </si>
  <si>
    <t>GARBAGE - GARBAGE REMOVAL - A330-900</t>
  </si>
  <si>
    <t>GARBAGE - GARBAGE REMOVAL - A350-1000</t>
  </si>
  <si>
    <t>GARBAGE - GARBAGE REMOVAL - A350-1000B</t>
  </si>
  <si>
    <t>GARBAGE - GARBAGE REMOVAL - B787-900</t>
  </si>
  <si>
    <t>WET ICE - ICE CUBES/WET ICE - J CLASS 1KG</t>
  </si>
  <si>
    <t>WET ICE - ICE CUBES/WET ICE - W/Y CLASS 1KG</t>
  </si>
  <si>
    <t>HANDLING</t>
  </si>
  <si>
    <t>HANDLING NO TAX</t>
  </si>
  <si>
    <t>J CLASS</t>
  </si>
  <si>
    <t xml:space="preserve">AVML - 1ST SERVICE </t>
  </si>
  <si>
    <t>BBML - 1ST SERVICE</t>
  </si>
  <si>
    <t>CHML - 1ST SERVICE</t>
  </si>
  <si>
    <t xml:space="preserve">DBML - 1ST SERVICE </t>
  </si>
  <si>
    <t>FPML - 1ST SERVICE</t>
  </si>
  <si>
    <t xml:space="preserve">AVML - 2ND SERVICE </t>
  </si>
  <si>
    <t>BBML - 2ND SERVICE</t>
  </si>
  <si>
    <t>CHML - 2ND SERVICE</t>
  </si>
  <si>
    <t xml:space="preserve">DBML - 2ND SERVICE </t>
  </si>
  <si>
    <t>FPML - 2ND SERVICE</t>
  </si>
  <si>
    <t xml:space="preserve">GFML - 1ST SERVICE </t>
  </si>
  <si>
    <t xml:space="preserve">GFML - 2ND SERVICE </t>
  </si>
  <si>
    <t xml:space="preserve">HNML - 1ST SERVICE </t>
  </si>
  <si>
    <t xml:space="preserve">HNML - 2ND SERVICE </t>
  </si>
  <si>
    <t>KSML - 1ST SERVICE</t>
  </si>
  <si>
    <t>KSML - 2ND SERVICE</t>
  </si>
  <si>
    <t xml:space="preserve">LFML - 1ST SERVICE </t>
  </si>
  <si>
    <t xml:space="preserve">LFML - 2ND SERVICE </t>
  </si>
  <si>
    <t xml:space="preserve">LSML - 1ST SERVICE </t>
  </si>
  <si>
    <t xml:space="preserve">LSML - 2ND SERVICE </t>
  </si>
  <si>
    <t xml:space="preserve">MOML - 1ST SERVICE </t>
  </si>
  <si>
    <t xml:space="preserve">MOML - 2ND SERVICE </t>
  </si>
  <si>
    <t xml:space="preserve">NLML - 1ST SERVICE </t>
  </si>
  <si>
    <t xml:space="preserve">NLML - 2ND SERVICE </t>
  </si>
  <si>
    <t>PUML - 1ST SERVICE</t>
  </si>
  <si>
    <t xml:space="preserve">PUML - 2ND SERVICE </t>
  </si>
  <si>
    <t xml:space="preserve">VGML - 1ST SERVICE </t>
  </si>
  <si>
    <t xml:space="preserve">VGML - 2ND SERVICE </t>
  </si>
  <si>
    <t xml:space="preserve">VJML - 1ST SERVICE </t>
  </si>
  <si>
    <t xml:space="preserve">VJML - 2ND SERVICE </t>
  </si>
  <si>
    <t xml:space="preserve">VLML - 1ST SERVICE </t>
  </si>
  <si>
    <t xml:space="preserve">VLML - 2ND SERVICE </t>
  </si>
  <si>
    <t>W CLASS</t>
  </si>
  <si>
    <t>Y CLASS</t>
  </si>
  <si>
    <t>VA ATL MPL</t>
  </si>
  <si>
    <t>TAX RATE</t>
  </si>
  <si>
    <t>BC C1 DINNER STARTER 1 GRILLED PRAWN, MANGO CURRY AIOLI, SWEET PEPPER CILANTRO SLAW</t>
  </si>
  <si>
    <t>BC C1 DINNER STARTER 2 BURRATA CCHEESE, MARINATED HEIRLOOM TOMATOES, ARUGULA, BALSAMIC PEARLS</t>
  </si>
  <si>
    <t>BC C1 DINNER STARTER 1 PROSCUITTO WRAPPED GRILLED PEACHES, FRISSEE, LIME MINT WATERMELON CHUNK, FETA CUBES, MINT LIME VINAIGRETTE GEL</t>
  </si>
  <si>
    <t xml:space="preserve">BC C1 DINNER STARTER 2 PIMENTO CHEESE, GREEN TOMATO FRITTER, DOU SOUTH RED PEPPER JELLY </t>
  </si>
  <si>
    <t>BC C1 DINNER ENTRÉE 1 LEMON CHICKEN BREAST, WILD MUSHROOM CONSERVA, LEMON CHICKEN JUS, ROASTED FINGERLING POTATOES, HARICOT VERT</t>
  </si>
  <si>
    <t>BC C1 DINNER ENTRÉE 2 SEARED SEABASS, TOMATO CITRUS NAGE, FENNEL CAPER OLIVE RELISH, SAFFRON COUSCOUS, BLISTERED TOMATO</t>
  </si>
  <si>
    <t>BC C1 DINNER ENTRÉE 3 TRUFFLE PARM RISSOTTO, GRILLED BABY ZUCCHINI, MUSHROOM VONSERVA, ASPARAGUS, BABY ARTICHOKE</t>
  </si>
  <si>
    <t>BC C1 DINNER ENTRÉE 4 CHALLAH GRILLED TOAST, TRUFFLE CHEESE FILLING, PROVOLONE CHEESE SLICE, SMOKED TOMATO BISQUE</t>
  </si>
  <si>
    <t xml:space="preserve">BC C1 DINNER DESSERT 1 CHOCOLATE CAKE, COCOA BUTTER CREAM STRAWBERRY COULIS, CHOCOLATE PEARLS, CHANTILLY CREAM </t>
  </si>
  <si>
    <t xml:space="preserve">BC C1 DINNER DESSERT 2 STICKY TOFFEE PUDDINGM TOFFEE SAUCE, CHANTILLY CREAM </t>
  </si>
  <si>
    <t>BC C1 DINNER DESSERT 1 BANANA PUDDING CHEESECAKE, BISCOFF CRUMBLES, BLUEBERRIES, CARAMEL SAUCE, CHANTILLY CREAM</t>
  </si>
  <si>
    <t>BC C1 DINNER DESSERT 2 BLACKBERRY PEACH COBBLER TART, BRULEE SLICED PEACHES, CRÈME FRAICHE</t>
  </si>
  <si>
    <t xml:space="preserve">BC C1 DINNER ENTRÉE GARNISH BASIL OIL </t>
  </si>
  <si>
    <t xml:space="preserve">BC C1 BREAKFAST ENTRÉE 1 CURED SALMON, EVERTHING CREAM CHEESE, HALF EGG, PICKLED ONION </t>
  </si>
  <si>
    <t xml:space="preserve">BC C1 BREAKFAST ENTRÉE 2 SCRAMBLED EGG, BAKED BEAN, BACON, PORK SAUSAGE, HALF ROASTED TOMATO, </t>
  </si>
  <si>
    <t>BC C1 BREAKFAST ENTRÉE 3 BANANA BREAD FRENCH TOAST, HALF TOAST POINTS, BLUBERRY COULIS, BRULEE PEACHES</t>
  </si>
  <si>
    <t>BC C1 BREAKFAST ENTRÉE 4 ENGLEMANS ROLL, SPOTTED TROTTER - BACON, HP SAUCE</t>
  </si>
  <si>
    <t>BC C1 BREAKFAST SIDE 1 FRUIT PLATE KIWI, PINEAPPLE, ORANGE, BLUEBERRIES, STRAWBERRIES 140G</t>
  </si>
  <si>
    <t xml:space="preserve">BC C1 BREAKFAST SIDE 3 COCONUT YOGURT </t>
  </si>
  <si>
    <t>BC C1 BREAKFAST SIDE 4 SUPER SEED GRANOLA 250G</t>
  </si>
  <si>
    <t xml:space="preserve">PY C1 DINNER ENTRÉE 1 CRAB CAKE, POTATO RED ONION HASH, ASPARAGUS, RED PEPPER CREAM SAUCE </t>
  </si>
  <si>
    <t>PY C1 DINNER ENTRÉE 2 CHICKEN KEBAB, HONEY HARISSA GLAZE, RED PEPPER, LEMON HERB RICE, FETA CHEESE</t>
  </si>
  <si>
    <t xml:space="preserve">PY C1 DINNER ENTRÉE 3 SMOKED MOZZARELLA RAVIOLI, MARINARA SAUCE, PESTO MARINATED BOCCONCINI MOZZARELLA, SHREDDED PARMESAN, SPINACH </t>
  </si>
  <si>
    <t xml:space="preserve">PY C1 BREAKFAST ENTRÉE 1 SCRAMBLED EGGS, BAKED BEANS, PORK SAUSAGE, USHROOMS AND GRAPE TOMATO </t>
  </si>
  <si>
    <t>PY C1 BREAKFAST ENTRÉE 2 FETA EGG BITES, POTATOES AND RED ONION HASH, SHAKSHUKA SAUCE, FETA CHEESE CRUMBLES</t>
  </si>
  <si>
    <t xml:space="preserve">PY C1 BREAKFAST ENTRÉE 3 CHALLAH FRENCH TOAST CASSEROLE WITH ORANGE WHIPPED RICOTTA, AND MORELLO CHERRY COMPOTE </t>
  </si>
  <si>
    <t>YC C1 DINNER ENTRÉE 2 ORRECHIETTE, MARINARA SAUCE, HERB WHIPPED RICOTTA, VEGETABLE BOLOGNESE SAUCE</t>
  </si>
  <si>
    <t xml:space="preserve">OVERHEAD - STD PER SECTOR CHARGE </t>
  </si>
  <si>
    <t>BC C1 DINNER STARTER GARNISH ARUGULA 56G</t>
  </si>
  <si>
    <t xml:space="preserve">CREW C1 DINNER WHOLE FRUIT APPLE AND ORANGE </t>
  </si>
  <si>
    <t>CREW C1 DINNER ENTRÉE 1 VEGAN TOFU THAI GREEN CURRY WITH WHITE RICE, STIR FRIED VEGETABLES</t>
  </si>
  <si>
    <t xml:space="preserve">CREW C1 DINNER ENTRÉE 2 CRUSTED SALMON, MISO GLAZE, SHITAKE STICKY RICE, ROOT VEG WIT PERILLA </t>
  </si>
  <si>
    <t>CREW C1 DINNER ENTRÉE 3 LEMON CONFIT CHICKEN BREAST, GRAPE DEMI GLACE, WITH MASHED POTATO AND GREEN BEANS</t>
  </si>
  <si>
    <t xml:space="preserve">CREW C1 DINNER ENTRÉE 4 CAVATAPI WITH RED WINE TOMATO RAGU SAUCE, AND IMPOSSIBLE MEATBALL </t>
  </si>
  <si>
    <t xml:space="preserve">CREW C1 DINNER ENTRÉE 5 POTATO GNOCCHI WITH SAGE BROW BUTTER SAUCE AND MARINATED KALE </t>
  </si>
  <si>
    <t>CREW C1 SANDWICH 1 HUMMUS, SPROUT TORTILLA WRAP</t>
  </si>
  <si>
    <t xml:space="preserve">CREW C1 SANDWICH 2 HAM AND PROVOLINE ON WHITE </t>
  </si>
  <si>
    <t>CREW C1 SANDWICH 3 ROAST BEEF AND CHEDDAR ON HOAGIE</t>
  </si>
  <si>
    <t>CREW C1 SANDWICH 4 CAPRESES SANDWICH ON CIABATA</t>
  </si>
  <si>
    <t>CREW C1 SANDWICH 5 TUNA SALAD ON WHEAT</t>
  </si>
  <si>
    <t>CREW C1 BREAKFAST HOT SANDWICH 1 CROISSANT AND AGED CHEDDAR</t>
  </si>
  <si>
    <t>CREW C1 BREAKFAST HOT SANDWICH 2 CHICKEN SAUSAGE BISCUIT</t>
  </si>
  <si>
    <t xml:space="preserve">CREW C1 BREAKFAST HOT SANDWICH 3 BACON ROLL </t>
  </si>
  <si>
    <t>YC C1 DINNER ENTRÉE 1 THAI CHICKEN MEATBALL, GREEN CURRY, SCALLION, STICKY RICE AND STIR FRIED MIX VEGETABLES</t>
  </si>
  <si>
    <t>TSU (INCLUDE FRESH FRUIT 112G, YOGURT AND SCONE)</t>
  </si>
  <si>
    <t>YC C1 BREAKFAST BOX SIDES MUFFIN, CHOBANI YOGURT, MIX FRUIT CUP</t>
  </si>
  <si>
    <t>BC C1 DINNER CHEESE PLATE HUMBOLT FOG, LAMB CHOPPER, CHEDDAR, SOULSHINE CUCUMBERS, MUSCADINE JELLY, GRAPE, CRACKER</t>
  </si>
  <si>
    <r>
      <rPr>
        <b/>
        <sz val="20"/>
        <color theme="1"/>
        <rFont val="Aptos Narrow"/>
        <family val="2"/>
        <scheme val="minor"/>
      </rPr>
      <t xml:space="preserve">VERSION DATE: </t>
    </r>
    <r>
      <rPr>
        <sz val="20"/>
        <color theme="1"/>
        <rFont val="Aptos Narrow"/>
        <family val="2"/>
        <scheme val="minor"/>
      </rPr>
      <t>2025.02.10</t>
    </r>
  </si>
  <si>
    <r>
      <rPr>
        <b/>
        <sz val="20"/>
        <color theme="1"/>
        <rFont val="Aptos Narrow"/>
        <family val="2"/>
        <scheme val="minor"/>
      </rPr>
      <t xml:space="preserve">CREATED BY: </t>
    </r>
    <r>
      <rPr>
        <sz val="20"/>
        <color theme="1"/>
        <rFont val="Aptos Narrow"/>
        <family val="2"/>
        <scheme val="minor"/>
      </rPr>
      <t>MAINLINE AVIATION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</si>
</sst>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.000_);_(&quot;$&quot;* \(#,##0.000\);_(&quot;$&quot;* &quot;-&quot;??_);_(@_)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72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3" fillId="0" borderId="0" xfId="0" applyFont="1"/>
    <xf numFmtId="44" fontId="3" fillId="0" borderId="0" xfId="1" applyFont="1" applyAlignment="1">
      <alignment horizontal="center"/>
    </xf>
    <xf numFmtId="9" fontId="3" fillId="0" borderId="0" xfId="2" applyFont="1" applyAlignment="1">
      <alignment horizontal="center"/>
    </xf>
    <xf numFmtId="0" fontId="2" fillId="2" borderId="0" xfId="0" applyFont="1" applyFill="1"/>
    <xf numFmtId="0" fontId="3" fillId="2" borderId="0" xfId="0" applyFont="1" applyFill="1"/>
    <xf numFmtId="44" fontId="3" fillId="2" borderId="0" xfId="1" applyFont="1" applyFill="1"/>
    <xf numFmtId="164" fontId="3" fillId="2" borderId="0" xfId="0" applyNumberFormat="1" applyFont="1" applyFill="1"/>
    <xf numFmtId="0" fontId="2" fillId="3" borderId="0" xfId="0" applyFont="1" applyFill="1"/>
    <xf numFmtId="44" fontId="2" fillId="3" borderId="0" xfId="1" applyFont="1" applyFill="1"/>
    <xf numFmtId="164" fontId="2" fillId="3" borderId="0" xfId="0" applyNumberFormat="1" applyFont="1" applyFill="1"/>
    <xf numFmtId="44" fontId="3" fillId="0" borderId="0" xfId="1" applyFont="1"/>
    <xf numFmtId="164" fontId="3" fillId="0" borderId="0" xfId="0" applyNumberFormat="1" applyFont="1"/>
    <xf numFmtId="44" fontId="3" fillId="0" borderId="0" xfId="1" applyFont="1" applyFill="1"/>
    <xf numFmtId="44" fontId="3" fillId="4" borderId="0" xfId="1" applyFont="1" applyFill="1"/>
    <xf numFmtId="164" fontId="3" fillId="4" borderId="0" xfId="0" applyNumberFormat="1" applyFont="1" applyFill="1"/>
    <xf numFmtId="0" fontId="4" fillId="0" borderId="0" xfId="0" applyFont="1"/>
    <xf numFmtId="0" fontId="2" fillId="0" borderId="0" xfId="0" applyFont="1"/>
    <xf numFmtId="44" fontId="2" fillId="0" borderId="0" xfId="1" applyFont="1"/>
    <xf numFmtId="0" fontId="3" fillId="6" borderId="0" xfId="0" applyFont="1" applyFill="1"/>
    <xf numFmtId="0" fontId="3" fillId="5" borderId="0" xfId="0" applyFont="1" applyFill="1"/>
    <xf numFmtId="0" fontId="3" fillId="4" borderId="0" xfId="0" applyFont="1" applyFill="1"/>
    <xf numFmtId="0" fontId="6" fillId="0" borderId="0" xfId="0" applyFont="1" applyAlignment="1">
      <alignment horizontal="center"/>
    </xf>
    <xf numFmtId="0" fontId="6" fillId="8" borderId="0" xfId="0" applyFont="1" applyFill="1" applyAlignment="1">
      <alignment horizontal="center"/>
    </xf>
    <xf numFmtId="0" fontId="7" fillId="7" borderId="0" xfId="0" applyFont="1" applyFill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B5DA2-0623-4C44-A84E-7F900DB83E14}">
  <dimension ref="B1:L321"/>
  <sheetViews>
    <sheetView tabSelected="1" view="pageBreakPreview" topLeftCell="A30" zoomScale="60" zoomScaleNormal="115" workbookViewId="0">
      <selection activeCell="C1" sqref="C1:I1"/>
    </sheetView>
  </sheetViews>
  <sheetFormatPr defaultRowHeight="15.75" x14ac:dyDescent="0.25"/>
  <cols>
    <col min="1" max="2" width="9.140625" style="1"/>
    <col min="3" max="3" width="12" style="1" customWidth="1"/>
    <col min="4" max="4" width="113.5703125" style="1" customWidth="1"/>
    <col min="5" max="5" width="10.42578125" style="1" customWidth="1"/>
    <col min="6" max="6" width="9.140625" style="1"/>
    <col min="7" max="7" width="9.140625" style="1" customWidth="1"/>
    <col min="8" max="8" width="13.140625" style="11" customWidth="1"/>
    <col min="9" max="9" width="12.28515625" style="12" customWidth="1"/>
    <col min="10" max="10" width="12" style="1" customWidth="1"/>
    <col min="11" max="11" width="11" style="1" customWidth="1"/>
    <col min="12" max="12" width="0.7109375" style="1" customWidth="1"/>
    <col min="13" max="16384" width="9.140625" style="1"/>
  </cols>
  <sheetData>
    <row r="1" spans="3:9" ht="93.75" x14ac:dyDescent="1.4">
      <c r="C1" s="24" t="s">
        <v>118</v>
      </c>
      <c r="D1" s="24"/>
      <c r="E1" s="24"/>
      <c r="F1" s="24"/>
      <c r="G1" s="24"/>
      <c r="H1" s="24"/>
      <c r="I1" s="24"/>
    </row>
    <row r="2" spans="3:9" ht="26.25" x14ac:dyDescent="0.4">
      <c r="C2" s="23" t="s">
        <v>167</v>
      </c>
      <c r="D2" s="23"/>
      <c r="E2" s="23"/>
      <c r="F2" s="23"/>
      <c r="G2" s="23"/>
      <c r="H2" s="23"/>
      <c r="I2" s="23"/>
    </row>
    <row r="3" spans="3:9" ht="26.25" x14ac:dyDescent="0.4">
      <c r="C3" s="23" t="s">
        <v>168</v>
      </c>
      <c r="D3" s="23"/>
      <c r="E3" s="23"/>
      <c r="F3" s="23"/>
      <c r="G3" s="23"/>
      <c r="H3" s="23"/>
      <c r="I3" s="23"/>
    </row>
    <row r="4" spans="3:9" ht="26.25" x14ac:dyDescent="0.4">
      <c r="C4" s="22"/>
      <c r="D4" s="22"/>
      <c r="E4" s="22"/>
      <c r="F4" s="22"/>
      <c r="G4" s="22"/>
      <c r="H4" s="22"/>
      <c r="I4" s="22"/>
    </row>
    <row r="5" spans="3:9" x14ac:dyDescent="0.25">
      <c r="H5" s="2" t="s">
        <v>119</v>
      </c>
      <c r="I5" s="3">
        <v>0.05</v>
      </c>
    </row>
    <row r="6" spans="3:9" x14ac:dyDescent="0.25">
      <c r="C6" s="4" t="s">
        <v>11</v>
      </c>
      <c r="D6" s="5"/>
      <c r="E6" s="5"/>
      <c r="F6" s="5"/>
      <c r="G6" s="5"/>
      <c r="H6" s="6"/>
      <c r="I6" s="7"/>
    </row>
    <row r="7" spans="3:9" x14ac:dyDescent="0.25">
      <c r="C7" s="8" t="s">
        <v>0</v>
      </c>
      <c r="D7" s="8" t="s">
        <v>1</v>
      </c>
      <c r="E7" s="8"/>
      <c r="F7" s="8" t="s">
        <v>2</v>
      </c>
      <c r="G7" s="8" t="s">
        <v>3</v>
      </c>
      <c r="H7" s="9" t="s">
        <v>4</v>
      </c>
      <c r="I7" s="10" t="s">
        <v>24</v>
      </c>
    </row>
    <row r="8" spans="3:9" x14ac:dyDescent="0.25">
      <c r="D8" s="1" t="s">
        <v>5</v>
      </c>
      <c r="H8" s="11">
        <v>0.77</v>
      </c>
      <c r="I8" s="12">
        <f t="shared" ref="I8:I39" si="0">H8*(1+$I$5)</f>
        <v>0.80850000000000011</v>
      </c>
    </row>
    <row r="9" spans="3:9" x14ac:dyDescent="0.25">
      <c r="D9" s="1" t="s">
        <v>6</v>
      </c>
      <c r="H9" s="11">
        <v>0.47</v>
      </c>
      <c r="I9" s="12">
        <f t="shared" si="0"/>
        <v>0.49349999999999999</v>
      </c>
    </row>
    <row r="10" spans="3:9" x14ac:dyDescent="0.25">
      <c r="D10" s="1" t="s">
        <v>7</v>
      </c>
      <c r="H10" s="11">
        <v>0.28000000000000003</v>
      </c>
      <c r="I10" s="12">
        <f t="shared" si="0"/>
        <v>0.29400000000000004</v>
      </c>
    </row>
    <row r="11" spans="3:9" x14ac:dyDescent="0.25">
      <c r="D11" s="1" t="s">
        <v>8</v>
      </c>
      <c r="H11" s="11">
        <v>0.41</v>
      </c>
      <c r="I11" s="12">
        <f t="shared" si="0"/>
        <v>0.43049999999999999</v>
      </c>
    </row>
    <row r="12" spans="3:9" x14ac:dyDescent="0.25">
      <c r="D12" s="1" t="s">
        <v>120</v>
      </c>
      <c r="H12" s="11">
        <v>7.87</v>
      </c>
      <c r="I12" s="12">
        <f t="shared" si="0"/>
        <v>8.2635000000000005</v>
      </c>
    </row>
    <row r="13" spans="3:9" x14ac:dyDescent="0.25">
      <c r="D13" s="1" t="s">
        <v>121</v>
      </c>
      <c r="H13" s="11">
        <v>5.26</v>
      </c>
      <c r="I13" s="12">
        <f t="shared" si="0"/>
        <v>5.5229999999999997</v>
      </c>
    </row>
    <row r="14" spans="3:9" x14ac:dyDescent="0.25">
      <c r="D14" s="1" t="s">
        <v>122</v>
      </c>
      <c r="H14" s="11">
        <v>5.08</v>
      </c>
      <c r="I14" s="12">
        <f t="shared" si="0"/>
        <v>5.3340000000000005</v>
      </c>
    </row>
    <row r="15" spans="3:9" x14ac:dyDescent="0.25">
      <c r="D15" s="1" t="s">
        <v>123</v>
      </c>
      <c r="H15" s="11">
        <v>2.93</v>
      </c>
      <c r="I15" s="12">
        <f t="shared" si="0"/>
        <v>3.0765000000000002</v>
      </c>
    </row>
    <row r="16" spans="3:9" x14ac:dyDescent="0.25">
      <c r="D16" s="1" t="s">
        <v>148</v>
      </c>
      <c r="H16" s="11">
        <v>1.6</v>
      </c>
      <c r="I16" s="12">
        <f t="shared" si="0"/>
        <v>1.6800000000000002</v>
      </c>
    </row>
    <row r="17" spans="4:9" x14ac:dyDescent="0.25">
      <c r="D17" s="1" t="s">
        <v>124</v>
      </c>
      <c r="H17" s="11">
        <v>9.23</v>
      </c>
      <c r="I17" s="12">
        <f t="shared" si="0"/>
        <v>9.6915000000000013</v>
      </c>
    </row>
    <row r="18" spans="4:9" x14ac:dyDescent="0.25">
      <c r="D18" s="1" t="s">
        <v>125</v>
      </c>
      <c r="H18" s="11">
        <v>23.86</v>
      </c>
      <c r="I18" s="12">
        <f t="shared" si="0"/>
        <v>25.053000000000001</v>
      </c>
    </row>
    <row r="19" spans="4:9" x14ac:dyDescent="0.25">
      <c r="D19" s="1" t="s">
        <v>126</v>
      </c>
      <c r="H19" s="11">
        <v>6.87</v>
      </c>
      <c r="I19" s="12">
        <f t="shared" si="0"/>
        <v>7.2135000000000007</v>
      </c>
    </row>
    <row r="20" spans="4:9" x14ac:dyDescent="0.25">
      <c r="D20" s="1" t="s">
        <v>127</v>
      </c>
      <c r="H20" s="11">
        <v>3.48</v>
      </c>
      <c r="I20" s="12">
        <f t="shared" si="0"/>
        <v>3.6539999999999999</v>
      </c>
    </row>
    <row r="21" spans="4:9" x14ac:dyDescent="0.25">
      <c r="D21" s="1" t="s">
        <v>132</v>
      </c>
      <c r="H21" s="11">
        <v>6.03</v>
      </c>
      <c r="I21" s="12">
        <f t="shared" si="0"/>
        <v>6.3315000000000001</v>
      </c>
    </row>
    <row r="22" spans="4:9" x14ac:dyDescent="0.25">
      <c r="D22" s="1" t="s">
        <v>128</v>
      </c>
      <c r="H22" s="11">
        <v>3.6</v>
      </c>
      <c r="I22" s="12">
        <f t="shared" si="0"/>
        <v>3.7800000000000002</v>
      </c>
    </row>
    <row r="23" spans="4:9" x14ac:dyDescent="0.25">
      <c r="D23" s="1" t="s">
        <v>129</v>
      </c>
      <c r="H23" s="11">
        <v>1.86</v>
      </c>
      <c r="I23" s="12">
        <f t="shared" si="0"/>
        <v>1.9530000000000003</v>
      </c>
    </row>
    <row r="24" spans="4:9" x14ac:dyDescent="0.25">
      <c r="D24" s="1" t="s">
        <v>130</v>
      </c>
      <c r="H24" s="11">
        <v>2.67</v>
      </c>
      <c r="I24" s="12">
        <f t="shared" si="0"/>
        <v>2.8035000000000001</v>
      </c>
    </row>
    <row r="25" spans="4:9" x14ac:dyDescent="0.25">
      <c r="D25" s="1" t="s">
        <v>131</v>
      </c>
      <c r="H25" s="11">
        <v>2.5499999999999998</v>
      </c>
      <c r="I25" s="12">
        <f t="shared" si="0"/>
        <v>2.6774999999999998</v>
      </c>
    </row>
    <row r="26" spans="4:9" x14ac:dyDescent="0.25">
      <c r="D26" s="1" t="s">
        <v>166</v>
      </c>
      <c r="H26" s="11">
        <v>6.23</v>
      </c>
      <c r="I26" s="12">
        <f t="shared" si="0"/>
        <v>6.541500000000001</v>
      </c>
    </row>
    <row r="27" spans="4:9" x14ac:dyDescent="0.25">
      <c r="D27" s="1" t="s">
        <v>133</v>
      </c>
      <c r="H27" s="11">
        <v>6.06</v>
      </c>
      <c r="I27" s="12">
        <f t="shared" si="0"/>
        <v>6.3629999999999995</v>
      </c>
    </row>
    <row r="28" spans="4:9" x14ac:dyDescent="0.25">
      <c r="D28" s="1" t="s">
        <v>134</v>
      </c>
      <c r="H28" s="11">
        <v>6.72</v>
      </c>
      <c r="I28" s="12">
        <f t="shared" si="0"/>
        <v>7.056</v>
      </c>
    </row>
    <row r="29" spans="4:9" x14ac:dyDescent="0.25">
      <c r="D29" s="1" t="s">
        <v>135</v>
      </c>
      <c r="H29" s="11">
        <v>3.67</v>
      </c>
      <c r="I29" s="12">
        <f t="shared" si="0"/>
        <v>3.8534999999999999</v>
      </c>
    </row>
    <row r="30" spans="4:9" x14ac:dyDescent="0.25">
      <c r="D30" s="1" t="s">
        <v>136</v>
      </c>
      <c r="H30" s="11">
        <v>3.42</v>
      </c>
      <c r="I30" s="12">
        <f t="shared" si="0"/>
        <v>3.5910000000000002</v>
      </c>
    </row>
    <row r="31" spans="4:9" x14ac:dyDescent="0.25">
      <c r="D31" s="1" t="s">
        <v>137</v>
      </c>
      <c r="H31" s="11">
        <v>2.63</v>
      </c>
      <c r="I31" s="12">
        <f t="shared" si="0"/>
        <v>2.7614999999999998</v>
      </c>
    </row>
    <row r="32" spans="4:9" x14ac:dyDescent="0.25">
      <c r="D32" s="1" t="s">
        <v>9</v>
      </c>
      <c r="H32" s="11">
        <v>1.55</v>
      </c>
      <c r="I32" s="12">
        <f t="shared" si="0"/>
        <v>1.6275000000000002</v>
      </c>
    </row>
    <row r="33" spans="3:10" x14ac:dyDescent="0.25">
      <c r="D33" s="1" t="s">
        <v>138</v>
      </c>
      <c r="H33" s="13">
        <v>9.81</v>
      </c>
      <c r="I33" s="12">
        <f t="shared" si="0"/>
        <v>10.300500000000001</v>
      </c>
    </row>
    <row r="34" spans="3:10" x14ac:dyDescent="0.25">
      <c r="D34" s="1" t="s">
        <v>139</v>
      </c>
      <c r="H34" s="11">
        <v>4.3600000000000003</v>
      </c>
      <c r="I34" s="12">
        <f t="shared" si="0"/>
        <v>4.5780000000000003</v>
      </c>
    </row>
    <row r="35" spans="3:10" x14ac:dyDescent="0.25">
      <c r="D35" s="1" t="s">
        <v>14</v>
      </c>
      <c r="H35" s="11">
        <v>2.52</v>
      </c>
      <c r="I35" s="12">
        <f t="shared" si="0"/>
        <v>2.6460000000000004</v>
      </c>
    </row>
    <row r="36" spans="3:10" x14ac:dyDescent="0.25">
      <c r="D36" s="1" t="s">
        <v>15</v>
      </c>
      <c r="H36" s="11">
        <v>2.41</v>
      </c>
      <c r="I36" s="12">
        <f t="shared" si="0"/>
        <v>2.5305000000000004</v>
      </c>
    </row>
    <row r="37" spans="3:10" x14ac:dyDescent="0.25">
      <c r="D37" s="1" t="s">
        <v>16</v>
      </c>
      <c r="H37" s="11">
        <v>0.75</v>
      </c>
      <c r="I37" s="12">
        <f t="shared" si="0"/>
        <v>0.78750000000000009</v>
      </c>
    </row>
    <row r="38" spans="3:10" x14ac:dyDescent="0.25">
      <c r="D38" s="1" t="s">
        <v>17</v>
      </c>
      <c r="H38" s="11">
        <v>0.64</v>
      </c>
      <c r="I38" s="12">
        <f t="shared" si="0"/>
        <v>0.67200000000000004</v>
      </c>
    </row>
    <row r="39" spans="3:10" x14ac:dyDescent="0.25">
      <c r="D39" s="1" t="s">
        <v>18</v>
      </c>
      <c r="H39" s="11">
        <v>0.75</v>
      </c>
      <c r="I39" s="12">
        <f t="shared" si="0"/>
        <v>0.78750000000000009</v>
      </c>
    </row>
    <row r="40" spans="3:10" x14ac:dyDescent="0.25">
      <c r="D40" s="1" t="s">
        <v>19</v>
      </c>
      <c r="H40" s="14">
        <v>0.76</v>
      </c>
      <c r="I40" s="15">
        <f t="shared" ref="I40" si="1">H40</f>
        <v>0.76</v>
      </c>
      <c r="J40" s="16" t="s">
        <v>82</v>
      </c>
    </row>
    <row r="43" spans="3:10" x14ac:dyDescent="0.25">
      <c r="C43" s="4" t="s">
        <v>10</v>
      </c>
      <c r="D43" s="5"/>
      <c r="E43" s="5"/>
      <c r="F43" s="5"/>
      <c r="G43" s="5"/>
      <c r="H43" s="6"/>
      <c r="I43" s="7"/>
    </row>
    <row r="44" spans="3:10" x14ac:dyDescent="0.25">
      <c r="C44" s="8" t="s">
        <v>0</v>
      </c>
      <c r="D44" s="8" t="s">
        <v>1</v>
      </c>
      <c r="E44" s="8"/>
      <c r="F44" s="8" t="s">
        <v>2</v>
      </c>
      <c r="G44" s="8" t="s">
        <v>3</v>
      </c>
      <c r="H44" s="9" t="s">
        <v>4</v>
      </c>
      <c r="I44" s="10" t="s">
        <v>24</v>
      </c>
    </row>
    <row r="45" spans="3:10" x14ac:dyDescent="0.25">
      <c r="D45" s="1" t="s">
        <v>12</v>
      </c>
      <c r="H45" s="11">
        <v>8.52</v>
      </c>
      <c r="I45" s="12">
        <f t="shared" ref="I45:I52" si="2">H45*(1+$I$5)</f>
        <v>8.9459999999999997</v>
      </c>
    </row>
    <row r="46" spans="3:10" x14ac:dyDescent="0.25">
      <c r="D46" s="1" t="s">
        <v>140</v>
      </c>
      <c r="H46" s="11">
        <v>15.2</v>
      </c>
      <c r="I46" s="12">
        <f t="shared" si="2"/>
        <v>15.959999999999999</v>
      </c>
    </row>
    <row r="47" spans="3:10" x14ac:dyDescent="0.25">
      <c r="D47" s="1" t="s">
        <v>141</v>
      </c>
      <c r="H47" s="11">
        <v>6.2</v>
      </c>
      <c r="I47" s="12">
        <f t="shared" si="2"/>
        <v>6.5100000000000007</v>
      </c>
    </row>
    <row r="48" spans="3:10" x14ac:dyDescent="0.25">
      <c r="D48" s="1" t="s">
        <v>142</v>
      </c>
      <c r="H48" s="11">
        <v>6.66</v>
      </c>
      <c r="I48" s="12">
        <f t="shared" si="2"/>
        <v>6.9930000000000003</v>
      </c>
    </row>
    <row r="49" spans="3:10" x14ac:dyDescent="0.25">
      <c r="D49" s="1" t="s">
        <v>164</v>
      </c>
      <c r="H49" s="11">
        <v>5.42</v>
      </c>
      <c r="I49" s="12">
        <f t="shared" si="2"/>
        <v>5.6909999999999998</v>
      </c>
    </row>
    <row r="50" spans="3:10" x14ac:dyDescent="0.25">
      <c r="D50" s="1" t="s">
        <v>143</v>
      </c>
      <c r="H50" s="11">
        <v>3.99</v>
      </c>
      <c r="I50" s="12">
        <f t="shared" si="2"/>
        <v>4.1895000000000007</v>
      </c>
    </row>
    <row r="51" spans="3:10" x14ac:dyDescent="0.25">
      <c r="D51" s="1" t="s">
        <v>144</v>
      </c>
      <c r="H51" s="11">
        <v>4.4400000000000004</v>
      </c>
      <c r="I51" s="12">
        <f t="shared" si="2"/>
        <v>4.6620000000000008</v>
      </c>
    </row>
    <row r="52" spans="3:10" x14ac:dyDescent="0.25">
      <c r="D52" s="1" t="s">
        <v>145</v>
      </c>
      <c r="H52" s="11">
        <v>2.62</v>
      </c>
      <c r="I52" s="12">
        <f t="shared" si="2"/>
        <v>2.7510000000000003</v>
      </c>
    </row>
    <row r="55" spans="3:10" x14ac:dyDescent="0.25">
      <c r="C55" s="4" t="s">
        <v>13</v>
      </c>
      <c r="D55" s="5"/>
      <c r="E55" s="5"/>
      <c r="F55" s="5"/>
      <c r="G55" s="5"/>
      <c r="H55" s="6"/>
      <c r="I55" s="7"/>
    </row>
    <row r="56" spans="3:10" x14ac:dyDescent="0.25">
      <c r="C56" s="8" t="s">
        <v>0</v>
      </c>
      <c r="D56" s="8" t="s">
        <v>1</v>
      </c>
      <c r="E56" s="8"/>
      <c r="F56" s="8" t="s">
        <v>2</v>
      </c>
      <c r="G56" s="8" t="s">
        <v>3</v>
      </c>
      <c r="H56" s="9" t="s">
        <v>4</v>
      </c>
      <c r="I56" s="10" t="s">
        <v>24</v>
      </c>
    </row>
    <row r="57" spans="3:10" x14ac:dyDescent="0.25">
      <c r="D57" s="1" t="s">
        <v>20</v>
      </c>
      <c r="H57" s="11">
        <v>6.4</v>
      </c>
      <c r="I57" s="12">
        <f t="shared" ref="I57:I62" si="3">H57*(1+$I$5)</f>
        <v>6.7200000000000006</v>
      </c>
    </row>
    <row r="58" spans="3:10" x14ac:dyDescent="0.25">
      <c r="D58" s="1" t="s">
        <v>163</v>
      </c>
      <c r="H58" s="11">
        <v>5.69</v>
      </c>
      <c r="I58" s="12">
        <f t="shared" si="3"/>
        <v>5.9745000000000008</v>
      </c>
    </row>
    <row r="59" spans="3:10" x14ac:dyDescent="0.25">
      <c r="D59" s="1" t="s">
        <v>146</v>
      </c>
      <c r="H59" s="11">
        <v>4.18</v>
      </c>
      <c r="I59" s="12">
        <f t="shared" si="3"/>
        <v>4.3890000000000002</v>
      </c>
    </row>
    <row r="60" spans="3:10" x14ac:dyDescent="0.25">
      <c r="D60" s="1" t="s">
        <v>165</v>
      </c>
      <c r="H60" s="11">
        <v>3.58</v>
      </c>
      <c r="I60" s="12">
        <f t="shared" si="3"/>
        <v>3.7590000000000003</v>
      </c>
    </row>
    <row r="61" spans="3:10" x14ac:dyDescent="0.25">
      <c r="D61" s="1" t="s">
        <v>14</v>
      </c>
      <c r="H61" s="11">
        <v>2.52</v>
      </c>
      <c r="I61" s="12">
        <f t="shared" si="3"/>
        <v>2.6460000000000004</v>
      </c>
    </row>
    <row r="62" spans="3:10" x14ac:dyDescent="0.25">
      <c r="D62" s="1" t="s">
        <v>15</v>
      </c>
      <c r="H62" s="11">
        <v>2.41</v>
      </c>
      <c r="I62" s="12">
        <f t="shared" si="3"/>
        <v>2.5305000000000004</v>
      </c>
    </row>
    <row r="63" spans="3:10" x14ac:dyDescent="0.25">
      <c r="D63" s="1" t="s">
        <v>19</v>
      </c>
      <c r="H63" s="14">
        <v>0.76</v>
      </c>
      <c r="I63" s="15">
        <f t="shared" ref="I63" si="4">H63</f>
        <v>0.76</v>
      </c>
      <c r="J63" s="16" t="s">
        <v>82</v>
      </c>
    </row>
    <row r="66" spans="3:9" x14ac:dyDescent="0.25">
      <c r="C66" s="4" t="s">
        <v>23</v>
      </c>
      <c r="D66" s="5"/>
      <c r="E66" s="5"/>
      <c r="F66" s="5"/>
      <c r="G66" s="5"/>
      <c r="H66" s="6"/>
      <c r="I66" s="7"/>
    </row>
    <row r="67" spans="3:9" x14ac:dyDescent="0.25">
      <c r="C67" s="8" t="s">
        <v>0</v>
      </c>
      <c r="D67" s="8" t="s">
        <v>1</v>
      </c>
      <c r="E67" s="8"/>
      <c r="F67" s="8" t="s">
        <v>2</v>
      </c>
      <c r="G67" s="8" t="s">
        <v>3</v>
      </c>
      <c r="H67" s="9" t="s">
        <v>4</v>
      </c>
      <c r="I67" s="10" t="s">
        <v>24</v>
      </c>
    </row>
    <row r="68" spans="3:9" x14ac:dyDescent="0.25">
      <c r="D68" s="1" t="s">
        <v>21</v>
      </c>
      <c r="H68" s="11">
        <v>2.1</v>
      </c>
      <c r="I68" s="12">
        <f t="shared" ref="I68:I83" si="5">H68*(1+$I$5)</f>
        <v>2.2050000000000001</v>
      </c>
    </row>
    <row r="69" spans="3:9" x14ac:dyDescent="0.25">
      <c r="D69" s="1" t="s">
        <v>22</v>
      </c>
      <c r="H69" s="11">
        <v>2.85</v>
      </c>
      <c r="I69" s="12">
        <f t="shared" si="5"/>
        <v>2.9925000000000002</v>
      </c>
    </row>
    <row r="70" spans="3:9" x14ac:dyDescent="0.25">
      <c r="D70" s="1" t="s">
        <v>149</v>
      </c>
      <c r="H70" s="11">
        <v>1.98</v>
      </c>
      <c r="I70" s="12">
        <f t="shared" si="5"/>
        <v>2.0790000000000002</v>
      </c>
    </row>
    <row r="71" spans="3:9" x14ac:dyDescent="0.25">
      <c r="D71" s="1" t="s">
        <v>150</v>
      </c>
      <c r="H71" s="11">
        <v>4.21</v>
      </c>
      <c r="I71" s="12">
        <f t="shared" si="5"/>
        <v>4.4205000000000005</v>
      </c>
    </row>
    <row r="72" spans="3:9" x14ac:dyDescent="0.25">
      <c r="D72" s="1" t="s">
        <v>151</v>
      </c>
      <c r="H72" s="11">
        <v>10.84</v>
      </c>
      <c r="I72" s="12">
        <f t="shared" si="5"/>
        <v>11.382</v>
      </c>
    </row>
    <row r="73" spans="3:9" x14ac:dyDescent="0.25">
      <c r="D73" s="1" t="s">
        <v>152</v>
      </c>
      <c r="H73" s="11">
        <v>8.8800000000000008</v>
      </c>
      <c r="I73" s="12">
        <f t="shared" si="5"/>
        <v>9.3240000000000016</v>
      </c>
    </row>
    <row r="74" spans="3:9" x14ac:dyDescent="0.25">
      <c r="D74" s="1" t="s">
        <v>153</v>
      </c>
      <c r="H74" s="11">
        <v>8.84</v>
      </c>
      <c r="I74" s="12">
        <f t="shared" si="5"/>
        <v>9.282</v>
      </c>
    </row>
    <row r="75" spans="3:9" x14ac:dyDescent="0.25">
      <c r="D75" s="1" t="s">
        <v>154</v>
      </c>
      <c r="H75" s="11">
        <v>4.04</v>
      </c>
      <c r="I75" s="12">
        <f t="shared" si="5"/>
        <v>4.242</v>
      </c>
    </row>
    <row r="76" spans="3:9" x14ac:dyDescent="0.25">
      <c r="D76" s="1" t="s">
        <v>155</v>
      </c>
      <c r="H76" s="11">
        <v>2.94</v>
      </c>
      <c r="I76" s="12">
        <f t="shared" si="5"/>
        <v>3.0870000000000002</v>
      </c>
    </row>
    <row r="77" spans="3:9" x14ac:dyDescent="0.25">
      <c r="D77" s="1" t="s">
        <v>156</v>
      </c>
      <c r="H77" s="11">
        <v>2.62</v>
      </c>
      <c r="I77" s="12">
        <f t="shared" si="5"/>
        <v>2.7510000000000003</v>
      </c>
    </row>
    <row r="78" spans="3:9" x14ac:dyDescent="0.25">
      <c r="D78" s="1" t="s">
        <v>157</v>
      </c>
      <c r="H78" s="11">
        <v>3.34</v>
      </c>
      <c r="I78" s="12">
        <f t="shared" si="5"/>
        <v>3.5070000000000001</v>
      </c>
    </row>
    <row r="79" spans="3:9" x14ac:dyDescent="0.25">
      <c r="D79" s="1" t="s">
        <v>158</v>
      </c>
      <c r="H79" s="11">
        <v>2.56</v>
      </c>
      <c r="I79" s="12">
        <f t="shared" si="5"/>
        <v>2.6880000000000002</v>
      </c>
    </row>
    <row r="80" spans="3:9" x14ac:dyDescent="0.25">
      <c r="D80" s="1" t="s">
        <v>159</v>
      </c>
      <c r="H80" s="11">
        <v>2.98</v>
      </c>
      <c r="I80" s="12">
        <f t="shared" si="5"/>
        <v>3.129</v>
      </c>
    </row>
    <row r="81" spans="3:9" x14ac:dyDescent="0.25">
      <c r="D81" s="1" t="s">
        <v>160</v>
      </c>
      <c r="H81" s="11">
        <v>2.59</v>
      </c>
      <c r="I81" s="12">
        <f t="shared" si="5"/>
        <v>2.7195</v>
      </c>
    </row>
    <row r="82" spans="3:9" x14ac:dyDescent="0.25">
      <c r="D82" s="1" t="s">
        <v>161</v>
      </c>
      <c r="H82" s="11">
        <v>2.59</v>
      </c>
      <c r="I82" s="12">
        <f t="shared" si="5"/>
        <v>2.7195</v>
      </c>
    </row>
    <row r="83" spans="3:9" x14ac:dyDescent="0.25">
      <c r="D83" s="1" t="s">
        <v>162</v>
      </c>
      <c r="H83" s="11">
        <v>2.82</v>
      </c>
      <c r="I83" s="12">
        <f t="shared" si="5"/>
        <v>2.9609999999999999</v>
      </c>
    </row>
    <row r="86" spans="3:9" x14ac:dyDescent="0.25">
      <c r="C86" s="4" t="s">
        <v>25</v>
      </c>
      <c r="D86" s="5"/>
      <c r="E86" s="5"/>
      <c r="F86" s="5"/>
      <c r="G86" s="5"/>
      <c r="H86" s="6"/>
      <c r="I86" s="7"/>
    </row>
    <row r="87" spans="3:9" x14ac:dyDescent="0.25">
      <c r="C87" s="8" t="s">
        <v>0</v>
      </c>
      <c r="D87" s="8" t="s">
        <v>1</v>
      </c>
      <c r="E87" s="8"/>
      <c r="F87" s="8" t="s">
        <v>2</v>
      </c>
      <c r="G87" s="8" t="s">
        <v>3</v>
      </c>
      <c r="H87" s="9" t="s">
        <v>4</v>
      </c>
      <c r="I87" s="10" t="s">
        <v>24</v>
      </c>
    </row>
    <row r="88" spans="3:9" x14ac:dyDescent="0.25">
      <c r="D88" s="1" t="s">
        <v>26</v>
      </c>
      <c r="H88" s="11">
        <v>1.42</v>
      </c>
      <c r="I88" s="12">
        <f t="shared" ref="I88:I97" si="6">H88*(1+$I$5)</f>
        <v>1.4909999999999999</v>
      </c>
    </row>
    <row r="89" spans="3:9" x14ac:dyDescent="0.25">
      <c r="D89" s="1" t="s">
        <v>27</v>
      </c>
      <c r="H89" s="11">
        <v>3.42</v>
      </c>
      <c r="I89" s="12">
        <f t="shared" si="6"/>
        <v>3.5910000000000002</v>
      </c>
    </row>
    <row r="90" spans="3:9" x14ac:dyDescent="0.25">
      <c r="D90" s="1" t="s">
        <v>28</v>
      </c>
      <c r="H90" s="11">
        <v>3.04</v>
      </c>
      <c r="I90" s="12">
        <f t="shared" si="6"/>
        <v>3.1920000000000002</v>
      </c>
    </row>
    <row r="91" spans="3:9" x14ac:dyDescent="0.25">
      <c r="D91" s="1" t="s">
        <v>29</v>
      </c>
      <c r="H91" s="11">
        <v>1.83</v>
      </c>
      <c r="I91" s="12">
        <f t="shared" si="6"/>
        <v>1.9215000000000002</v>
      </c>
    </row>
    <row r="92" spans="3:9" x14ac:dyDescent="0.25">
      <c r="D92" s="1" t="s">
        <v>30</v>
      </c>
      <c r="H92" s="11">
        <v>2.6</v>
      </c>
      <c r="I92" s="12">
        <f t="shared" si="6"/>
        <v>2.7300000000000004</v>
      </c>
    </row>
    <row r="93" spans="3:9" x14ac:dyDescent="0.25">
      <c r="D93" s="1" t="s">
        <v>31</v>
      </c>
      <c r="H93" s="11">
        <v>5.0199999999999996</v>
      </c>
      <c r="I93" s="12">
        <f t="shared" si="6"/>
        <v>5.2709999999999999</v>
      </c>
    </row>
    <row r="94" spans="3:9" x14ac:dyDescent="0.25">
      <c r="D94" s="1" t="s">
        <v>32</v>
      </c>
      <c r="H94" s="11">
        <v>2.52</v>
      </c>
      <c r="I94" s="12">
        <f t="shared" si="6"/>
        <v>2.6460000000000004</v>
      </c>
    </row>
    <row r="95" spans="3:9" x14ac:dyDescent="0.25">
      <c r="D95" s="1" t="s">
        <v>33</v>
      </c>
      <c r="H95" s="11">
        <v>2.52</v>
      </c>
      <c r="I95" s="12">
        <f t="shared" si="6"/>
        <v>2.6460000000000004</v>
      </c>
    </row>
    <row r="96" spans="3:9" x14ac:dyDescent="0.25">
      <c r="D96" s="1" t="s">
        <v>34</v>
      </c>
      <c r="H96" s="11">
        <v>2.41</v>
      </c>
      <c r="I96" s="12">
        <f t="shared" si="6"/>
        <v>2.5305000000000004</v>
      </c>
    </row>
    <row r="97" spans="3:10" x14ac:dyDescent="0.25">
      <c r="D97" s="1" t="s">
        <v>35</v>
      </c>
      <c r="H97" s="11">
        <v>2.41</v>
      </c>
      <c r="I97" s="12">
        <f t="shared" si="6"/>
        <v>2.5305000000000004</v>
      </c>
    </row>
    <row r="98" spans="3:10" x14ac:dyDescent="0.25">
      <c r="D98" s="1" t="s">
        <v>36</v>
      </c>
      <c r="H98" s="11">
        <v>1.57</v>
      </c>
      <c r="I98" s="15">
        <f t="shared" ref="I98" si="7">H98</f>
        <v>1.57</v>
      </c>
      <c r="J98" s="16" t="s">
        <v>82</v>
      </c>
    </row>
    <row r="99" spans="3:10" x14ac:dyDescent="0.25">
      <c r="D99" s="1" t="s">
        <v>79</v>
      </c>
      <c r="H99" s="11">
        <v>0.76</v>
      </c>
      <c r="I99" s="15">
        <f t="shared" ref="I99:I147" si="8">H99</f>
        <v>0.76</v>
      </c>
      <c r="J99" s="16" t="s">
        <v>82</v>
      </c>
    </row>
    <row r="100" spans="3:10" x14ac:dyDescent="0.25">
      <c r="D100" s="1" t="s">
        <v>80</v>
      </c>
      <c r="H100" s="11">
        <v>0.76</v>
      </c>
      <c r="I100" s="15">
        <f t="shared" si="8"/>
        <v>0.76</v>
      </c>
      <c r="J100" s="16" t="s">
        <v>82</v>
      </c>
    </row>
    <row r="101" spans="3:10" x14ac:dyDescent="0.25">
      <c r="H101" s="13"/>
    </row>
    <row r="102" spans="3:10" x14ac:dyDescent="0.25">
      <c r="H102" s="13"/>
    </row>
    <row r="103" spans="3:10" x14ac:dyDescent="0.25">
      <c r="C103" s="4" t="s">
        <v>81</v>
      </c>
      <c r="D103" s="5"/>
      <c r="E103" s="5"/>
      <c r="F103" s="5"/>
      <c r="G103" s="5"/>
      <c r="H103" s="6"/>
      <c r="I103" s="7"/>
    </row>
    <row r="104" spans="3:10" x14ac:dyDescent="0.25">
      <c r="C104" s="8" t="s">
        <v>0</v>
      </c>
      <c r="D104" s="8" t="s">
        <v>1</v>
      </c>
      <c r="E104" s="8"/>
      <c r="F104" s="8" t="s">
        <v>2</v>
      </c>
      <c r="G104" s="8" t="s">
        <v>3</v>
      </c>
      <c r="H104" s="9" t="s">
        <v>4</v>
      </c>
      <c r="I104" s="10" t="s">
        <v>24</v>
      </c>
    </row>
    <row r="105" spans="3:10" x14ac:dyDescent="0.25">
      <c r="D105" s="17" t="s">
        <v>147</v>
      </c>
      <c r="E105" s="17"/>
      <c r="F105" s="17"/>
      <c r="G105" s="17"/>
      <c r="H105" s="18">
        <v>705</v>
      </c>
      <c r="I105" s="15">
        <f t="shared" si="8"/>
        <v>705</v>
      </c>
      <c r="J105" s="16" t="s">
        <v>82</v>
      </c>
    </row>
    <row r="106" spans="3:10" x14ac:dyDescent="0.25">
      <c r="D106" s="1" t="s">
        <v>37</v>
      </c>
      <c r="H106" s="11">
        <v>67.8</v>
      </c>
      <c r="I106" s="15">
        <f t="shared" si="8"/>
        <v>67.8</v>
      </c>
      <c r="J106" s="16" t="s">
        <v>82</v>
      </c>
    </row>
    <row r="107" spans="3:10" x14ac:dyDescent="0.25">
      <c r="D107" s="1" t="s">
        <v>38</v>
      </c>
      <c r="H107" s="11">
        <v>67.8</v>
      </c>
      <c r="I107" s="15">
        <f t="shared" si="8"/>
        <v>67.8</v>
      </c>
      <c r="J107" s="16" t="s">
        <v>82</v>
      </c>
    </row>
    <row r="108" spans="3:10" x14ac:dyDescent="0.25">
      <c r="D108" s="1" t="s">
        <v>39</v>
      </c>
      <c r="H108" s="11">
        <v>90.4</v>
      </c>
      <c r="I108" s="15">
        <f t="shared" si="8"/>
        <v>90.4</v>
      </c>
      <c r="J108" s="16" t="s">
        <v>82</v>
      </c>
    </row>
    <row r="109" spans="3:10" x14ac:dyDescent="0.25">
      <c r="D109" s="1" t="s">
        <v>40</v>
      </c>
      <c r="H109" s="11">
        <v>113</v>
      </c>
      <c r="I109" s="15">
        <f t="shared" si="8"/>
        <v>113</v>
      </c>
      <c r="J109" s="16" t="s">
        <v>82</v>
      </c>
    </row>
    <row r="110" spans="3:10" x14ac:dyDescent="0.25">
      <c r="D110" s="1" t="s">
        <v>41</v>
      </c>
      <c r="H110" s="11">
        <v>67.8</v>
      </c>
      <c r="I110" s="15">
        <f t="shared" si="8"/>
        <v>67.8</v>
      </c>
      <c r="J110" s="16" t="s">
        <v>82</v>
      </c>
    </row>
    <row r="111" spans="3:10" x14ac:dyDescent="0.25">
      <c r="D111" s="1" t="s">
        <v>42</v>
      </c>
      <c r="H111" s="11">
        <v>313.24</v>
      </c>
      <c r="I111" s="15">
        <f t="shared" si="8"/>
        <v>313.24</v>
      </c>
      <c r="J111" s="16" t="s">
        <v>82</v>
      </c>
    </row>
    <row r="112" spans="3:10" x14ac:dyDescent="0.25">
      <c r="D112" s="1" t="s">
        <v>43</v>
      </c>
      <c r="H112" s="11">
        <v>313.24</v>
      </c>
      <c r="I112" s="15">
        <f t="shared" si="8"/>
        <v>313.24</v>
      </c>
      <c r="J112" s="16" t="s">
        <v>82</v>
      </c>
    </row>
    <row r="113" spans="4:10" x14ac:dyDescent="0.25">
      <c r="D113" s="1" t="s">
        <v>44</v>
      </c>
      <c r="H113" s="11">
        <v>362.96</v>
      </c>
      <c r="I113" s="15">
        <f t="shared" si="8"/>
        <v>362.96</v>
      </c>
      <c r="J113" s="16" t="s">
        <v>82</v>
      </c>
    </row>
    <row r="114" spans="4:10" x14ac:dyDescent="0.25">
      <c r="D114" s="1" t="s">
        <v>45</v>
      </c>
      <c r="H114" s="11">
        <v>362.96</v>
      </c>
      <c r="I114" s="15">
        <f t="shared" si="8"/>
        <v>362.96</v>
      </c>
      <c r="J114" s="16" t="s">
        <v>82</v>
      </c>
    </row>
    <row r="115" spans="4:10" x14ac:dyDescent="0.25">
      <c r="D115" s="1" t="s">
        <v>46</v>
      </c>
      <c r="H115" s="11">
        <v>313.24</v>
      </c>
      <c r="I115" s="15">
        <f t="shared" si="8"/>
        <v>313.24</v>
      </c>
      <c r="J115" s="16" t="s">
        <v>82</v>
      </c>
    </row>
    <row r="116" spans="4:10" x14ac:dyDescent="0.25">
      <c r="D116" s="1" t="s">
        <v>47</v>
      </c>
      <c r="H116" s="11">
        <v>238.66</v>
      </c>
      <c r="I116" s="15">
        <f t="shared" si="8"/>
        <v>238.66</v>
      </c>
      <c r="J116" s="16" t="s">
        <v>82</v>
      </c>
    </row>
    <row r="117" spans="4:10" x14ac:dyDescent="0.25">
      <c r="D117" s="1" t="s">
        <v>48</v>
      </c>
      <c r="H117" s="11">
        <v>238.66</v>
      </c>
      <c r="I117" s="15">
        <f t="shared" si="8"/>
        <v>238.66</v>
      </c>
      <c r="J117" s="16" t="s">
        <v>82</v>
      </c>
    </row>
    <row r="118" spans="4:10" x14ac:dyDescent="0.25">
      <c r="D118" s="1" t="s">
        <v>49</v>
      </c>
      <c r="H118" s="11">
        <v>275.95</v>
      </c>
      <c r="I118" s="15">
        <f t="shared" si="8"/>
        <v>275.95</v>
      </c>
      <c r="J118" s="16" t="s">
        <v>82</v>
      </c>
    </row>
    <row r="119" spans="4:10" x14ac:dyDescent="0.25">
      <c r="D119" s="1" t="s">
        <v>50</v>
      </c>
      <c r="H119" s="11">
        <v>275.95</v>
      </c>
      <c r="I119" s="15">
        <f t="shared" si="8"/>
        <v>275.95</v>
      </c>
      <c r="J119" s="16" t="s">
        <v>82</v>
      </c>
    </row>
    <row r="120" spans="4:10" x14ac:dyDescent="0.25">
      <c r="D120" s="1" t="s">
        <v>51</v>
      </c>
      <c r="H120" s="11">
        <v>238.66</v>
      </c>
      <c r="I120" s="15">
        <f t="shared" si="8"/>
        <v>238.66</v>
      </c>
      <c r="J120" s="16" t="s">
        <v>82</v>
      </c>
    </row>
    <row r="121" spans="4:10" x14ac:dyDescent="0.25">
      <c r="D121" s="1" t="s">
        <v>52</v>
      </c>
      <c r="H121" s="11">
        <v>201.37</v>
      </c>
      <c r="I121" s="15">
        <f t="shared" si="8"/>
        <v>201.37</v>
      </c>
      <c r="J121" s="16" t="s">
        <v>82</v>
      </c>
    </row>
    <row r="122" spans="4:10" x14ac:dyDescent="0.25">
      <c r="D122" s="1" t="s">
        <v>53</v>
      </c>
      <c r="H122" s="11">
        <v>201.37</v>
      </c>
      <c r="I122" s="15">
        <f t="shared" si="8"/>
        <v>201.37</v>
      </c>
      <c r="J122" s="16" t="s">
        <v>82</v>
      </c>
    </row>
    <row r="123" spans="4:10" x14ac:dyDescent="0.25">
      <c r="D123" s="1" t="s">
        <v>54</v>
      </c>
      <c r="H123" s="11">
        <v>238.66</v>
      </c>
      <c r="I123" s="15">
        <f t="shared" si="8"/>
        <v>238.66</v>
      </c>
      <c r="J123" s="16" t="s">
        <v>82</v>
      </c>
    </row>
    <row r="124" spans="4:10" x14ac:dyDescent="0.25">
      <c r="D124" s="1" t="s">
        <v>55</v>
      </c>
      <c r="H124" s="11">
        <v>238.66</v>
      </c>
      <c r="I124" s="15">
        <f t="shared" si="8"/>
        <v>238.66</v>
      </c>
      <c r="J124" s="16" t="s">
        <v>82</v>
      </c>
    </row>
    <row r="125" spans="4:10" x14ac:dyDescent="0.25">
      <c r="D125" s="1" t="s">
        <v>56</v>
      </c>
      <c r="H125" s="11">
        <v>201.37</v>
      </c>
      <c r="I125" s="15">
        <f t="shared" si="8"/>
        <v>201.37</v>
      </c>
      <c r="J125" s="16" t="s">
        <v>82</v>
      </c>
    </row>
    <row r="126" spans="4:10" x14ac:dyDescent="0.25">
      <c r="D126" s="1" t="s">
        <v>57</v>
      </c>
      <c r="H126" s="11">
        <v>250</v>
      </c>
      <c r="I126" s="15">
        <f t="shared" si="8"/>
        <v>250</v>
      </c>
      <c r="J126" s="16" t="s">
        <v>82</v>
      </c>
    </row>
    <row r="127" spans="4:10" x14ac:dyDescent="0.25">
      <c r="D127" s="1" t="s">
        <v>58</v>
      </c>
      <c r="H127" s="11">
        <v>57.5</v>
      </c>
      <c r="I127" s="15">
        <f t="shared" si="8"/>
        <v>57.5</v>
      </c>
      <c r="J127" s="16" t="s">
        <v>82</v>
      </c>
    </row>
    <row r="128" spans="4:10" x14ac:dyDescent="0.25">
      <c r="D128" s="1" t="s">
        <v>59</v>
      </c>
      <c r="H128" s="11">
        <v>250</v>
      </c>
      <c r="I128" s="15">
        <f t="shared" si="8"/>
        <v>250</v>
      </c>
      <c r="J128" s="16" t="s">
        <v>82</v>
      </c>
    </row>
    <row r="129" spans="4:10" x14ac:dyDescent="0.25">
      <c r="D129" s="1" t="s">
        <v>60</v>
      </c>
      <c r="H129" s="11">
        <v>250</v>
      </c>
      <c r="I129" s="15">
        <f t="shared" si="8"/>
        <v>250</v>
      </c>
      <c r="J129" s="16" t="s">
        <v>82</v>
      </c>
    </row>
    <row r="130" spans="4:10" x14ac:dyDescent="0.25">
      <c r="D130" s="1" t="s">
        <v>61</v>
      </c>
      <c r="H130" s="11">
        <v>250</v>
      </c>
      <c r="I130" s="15">
        <f t="shared" si="8"/>
        <v>250</v>
      </c>
      <c r="J130" s="16" t="s">
        <v>82</v>
      </c>
    </row>
    <row r="131" spans="4:10" x14ac:dyDescent="0.25">
      <c r="D131" s="1" t="s">
        <v>62</v>
      </c>
      <c r="H131" s="11">
        <v>250</v>
      </c>
      <c r="I131" s="15">
        <f t="shared" si="8"/>
        <v>250</v>
      </c>
      <c r="J131" s="16" t="s">
        <v>82</v>
      </c>
    </row>
    <row r="132" spans="4:10" x14ac:dyDescent="0.25">
      <c r="D132" s="1" t="s">
        <v>63</v>
      </c>
      <c r="H132" s="11">
        <v>250</v>
      </c>
      <c r="I132" s="15">
        <f t="shared" si="8"/>
        <v>250</v>
      </c>
      <c r="J132" s="16" t="s">
        <v>82</v>
      </c>
    </row>
    <row r="133" spans="4:10" x14ac:dyDescent="0.25">
      <c r="D133" s="1" t="s">
        <v>64</v>
      </c>
      <c r="H133" s="11">
        <v>704.1</v>
      </c>
      <c r="I133" s="15">
        <f t="shared" si="8"/>
        <v>704.1</v>
      </c>
      <c r="J133" s="16" t="s">
        <v>82</v>
      </c>
    </row>
    <row r="134" spans="4:10" x14ac:dyDescent="0.25">
      <c r="D134" s="1" t="s">
        <v>65</v>
      </c>
      <c r="H134" s="11">
        <v>700.06</v>
      </c>
      <c r="I134" s="15">
        <f t="shared" si="8"/>
        <v>700.06</v>
      </c>
      <c r="J134" s="16" t="s">
        <v>82</v>
      </c>
    </row>
    <row r="135" spans="4:10" x14ac:dyDescent="0.25">
      <c r="D135" s="1" t="s">
        <v>66</v>
      </c>
      <c r="H135" s="11">
        <v>878.3</v>
      </c>
      <c r="I135" s="15">
        <f t="shared" si="8"/>
        <v>878.3</v>
      </c>
      <c r="J135" s="16" t="s">
        <v>82</v>
      </c>
    </row>
    <row r="136" spans="4:10" x14ac:dyDescent="0.25">
      <c r="D136" s="1" t="s">
        <v>67</v>
      </c>
      <c r="H136" s="11">
        <v>756.37</v>
      </c>
      <c r="I136" s="15">
        <f t="shared" si="8"/>
        <v>756.37</v>
      </c>
      <c r="J136" s="16" t="s">
        <v>82</v>
      </c>
    </row>
    <row r="137" spans="4:10" x14ac:dyDescent="0.25">
      <c r="D137" s="1" t="s">
        <v>68</v>
      </c>
      <c r="H137" s="11">
        <v>653.37</v>
      </c>
      <c r="I137" s="15">
        <f t="shared" si="8"/>
        <v>653.37</v>
      </c>
      <c r="J137" s="16" t="s">
        <v>82</v>
      </c>
    </row>
    <row r="138" spans="4:10" x14ac:dyDescent="0.25">
      <c r="D138" s="1" t="s">
        <v>69</v>
      </c>
      <c r="H138" s="11">
        <v>151.41999999999999</v>
      </c>
      <c r="I138" s="15">
        <f t="shared" si="8"/>
        <v>151.41999999999999</v>
      </c>
      <c r="J138" s="16" t="s">
        <v>82</v>
      </c>
    </row>
    <row r="139" spans="4:10" x14ac:dyDescent="0.25">
      <c r="D139" s="1" t="s">
        <v>70</v>
      </c>
      <c r="H139" s="11">
        <v>151.41999999999999</v>
      </c>
      <c r="I139" s="15">
        <f t="shared" si="8"/>
        <v>151.41999999999999</v>
      </c>
      <c r="J139" s="16" t="s">
        <v>82</v>
      </c>
    </row>
    <row r="140" spans="4:10" x14ac:dyDescent="0.25">
      <c r="D140" s="1" t="s">
        <v>71</v>
      </c>
      <c r="H140" s="11">
        <v>205.66</v>
      </c>
      <c r="I140" s="15">
        <f t="shared" si="8"/>
        <v>205.66</v>
      </c>
      <c r="J140" s="16" t="s">
        <v>82</v>
      </c>
    </row>
    <row r="141" spans="4:10" x14ac:dyDescent="0.25">
      <c r="D141" s="1" t="s">
        <v>72</v>
      </c>
      <c r="H141" s="11">
        <v>178.54</v>
      </c>
      <c r="I141" s="15">
        <f t="shared" si="8"/>
        <v>178.54</v>
      </c>
      <c r="J141" s="16" t="s">
        <v>82</v>
      </c>
    </row>
    <row r="142" spans="4:10" x14ac:dyDescent="0.25">
      <c r="D142" s="1" t="s">
        <v>73</v>
      </c>
      <c r="H142" s="11">
        <v>155.94</v>
      </c>
      <c r="I142" s="15">
        <f t="shared" si="8"/>
        <v>155.94</v>
      </c>
      <c r="J142" s="16" t="s">
        <v>82</v>
      </c>
    </row>
    <row r="143" spans="4:10" x14ac:dyDescent="0.25">
      <c r="D143" s="1" t="s">
        <v>74</v>
      </c>
      <c r="H143" s="11">
        <v>339</v>
      </c>
      <c r="I143" s="15">
        <f t="shared" si="8"/>
        <v>339</v>
      </c>
      <c r="J143" s="16" t="s">
        <v>82</v>
      </c>
    </row>
    <row r="144" spans="4:10" x14ac:dyDescent="0.25">
      <c r="D144" s="1" t="s">
        <v>75</v>
      </c>
      <c r="H144" s="11">
        <v>339</v>
      </c>
      <c r="I144" s="15">
        <f t="shared" si="8"/>
        <v>339</v>
      </c>
      <c r="J144" s="16" t="s">
        <v>82</v>
      </c>
    </row>
    <row r="145" spans="2:10" x14ac:dyDescent="0.25">
      <c r="D145" s="1" t="s">
        <v>76</v>
      </c>
      <c r="H145" s="11">
        <v>395.5</v>
      </c>
      <c r="I145" s="15">
        <f t="shared" si="8"/>
        <v>395.5</v>
      </c>
      <c r="J145" s="16" t="s">
        <v>82</v>
      </c>
    </row>
    <row r="146" spans="2:10" x14ac:dyDescent="0.25">
      <c r="D146" s="1" t="s">
        <v>77</v>
      </c>
      <c r="H146" s="11">
        <v>395.5</v>
      </c>
      <c r="I146" s="15">
        <f t="shared" si="8"/>
        <v>395.5</v>
      </c>
      <c r="J146" s="16" t="s">
        <v>82</v>
      </c>
    </row>
    <row r="147" spans="2:10" x14ac:dyDescent="0.25">
      <c r="D147" s="1" t="s">
        <v>78</v>
      </c>
      <c r="H147" s="11">
        <v>339</v>
      </c>
      <c r="I147" s="15">
        <f t="shared" si="8"/>
        <v>339</v>
      </c>
      <c r="J147" s="16" t="s">
        <v>82</v>
      </c>
    </row>
    <row r="150" spans="2:10" x14ac:dyDescent="0.25">
      <c r="C150" s="4" t="s">
        <v>25</v>
      </c>
      <c r="D150" s="5"/>
      <c r="E150" s="5"/>
      <c r="F150" s="5"/>
      <c r="G150" s="5"/>
      <c r="H150" s="6"/>
      <c r="I150" s="7"/>
    </row>
    <row r="151" spans="2:10" x14ac:dyDescent="0.25">
      <c r="C151" s="8" t="s">
        <v>0</v>
      </c>
      <c r="D151" s="8" t="s">
        <v>1</v>
      </c>
      <c r="E151" s="8"/>
      <c r="F151" s="8" t="s">
        <v>2</v>
      </c>
      <c r="G151" s="8" t="s">
        <v>3</v>
      </c>
      <c r="H151" s="9" t="s">
        <v>4</v>
      </c>
      <c r="I151" s="10" t="s">
        <v>24</v>
      </c>
    </row>
    <row r="152" spans="2:10" x14ac:dyDescent="0.25">
      <c r="B152" s="19" t="s">
        <v>83</v>
      </c>
      <c r="D152" s="1" t="s">
        <v>84</v>
      </c>
      <c r="H152" s="11">
        <v>21.59</v>
      </c>
      <c r="I152" s="12">
        <f t="shared" ref="I152:I215" si="9">H152*(1+$I$5)</f>
        <v>22.669499999999999</v>
      </c>
    </row>
    <row r="153" spans="2:10" x14ac:dyDescent="0.25">
      <c r="B153" s="19" t="s">
        <v>83</v>
      </c>
      <c r="D153" s="1" t="s">
        <v>89</v>
      </c>
      <c r="H153" s="11">
        <v>11.62</v>
      </c>
      <c r="I153" s="12">
        <f t="shared" si="9"/>
        <v>12.201000000000001</v>
      </c>
    </row>
    <row r="154" spans="2:10" x14ac:dyDescent="0.25">
      <c r="B154" s="19" t="s">
        <v>83</v>
      </c>
      <c r="D154" s="1" t="s">
        <v>85</v>
      </c>
      <c r="H154" s="11">
        <v>17.100000000000001</v>
      </c>
      <c r="I154" s="12">
        <f t="shared" si="9"/>
        <v>17.955000000000002</v>
      </c>
    </row>
    <row r="155" spans="2:10" x14ac:dyDescent="0.25">
      <c r="B155" s="19" t="s">
        <v>83</v>
      </c>
      <c r="D155" s="1" t="s">
        <v>90</v>
      </c>
      <c r="H155" s="11">
        <v>9.2100000000000009</v>
      </c>
      <c r="I155" s="12">
        <f t="shared" si="9"/>
        <v>9.6705000000000005</v>
      </c>
    </row>
    <row r="156" spans="2:10" x14ac:dyDescent="0.25">
      <c r="B156" s="19" t="s">
        <v>83</v>
      </c>
      <c r="D156" s="1" t="s">
        <v>86</v>
      </c>
      <c r="H156" s="11">
        <v>17.100000000000001</v>
      </c>
      <c r="I156" s="12">
        <f t="shared" si="9"/>
        <v>17.955000000000002</v>
      </c>
    </row>
    <row r="157" spans="2:10" x14ac:dyDescent="0.25">
      <c r="B157" s="19" t="s">
        <v>83</v>
      </c>
      <c r="D157" s="1" t="s">
        <v>91</v>
      </c>
      <c r="H157" s="11">
        <v>9.2100000000000009</v>
      </c>
      <c r="I157" s="12">
        <f t="shared" si="9"/>
        <v>9.6705000000000005</v>
      </c>
    </row>
    <row r="158" spans="2:10" x14ac:dyDescent="0.25">
      <c r="B158" s="19" t="s">
        <v>83</v>
      </c>
      <c r="D158" s="1" t="s">
        <v>87</v>
      </c>
      <c r="H158" s="11">
        <v>21.59</v>
      </c>
      <c r="I158" s="12">
        <f t="shared" si="9"/>
        <v>22.669499999999999</v>
      </c>
    </row>
    <row r="159" spans="2:10" x14ac:dyDescent="0.25">
      <c r="B159" s="19" t="s">
        <v>83</v>
      </c>
      <c r="D159" s="1" t="s">
        <v>92</v>
      </c>
      <c r="H159" s="11">
        <v>11.62</v>
      </c>
      <c r="I159" s="12">
        <f t="shared" si="9"/>
        <v>12.201000000000001</v>
      </c>
    </row>
    <row r="160" spans="2:10" x14ac:dyDescent="0.25">
      <c r="B160" s="19" t="s">
        <v>83</v>
      </c>
      <c r="D160" s="1" t="s">
        <v>88</v>
      </c>
      <c r="H160" s="11">
        <v>17.100000000000001</v>
      </c>
      <c r="I160" s="12">
        <f t="shared" si="9"/>
        <v>17.955000000000002</v>
      </c>
    </row>
    <row r="161" spans="2:9" x14ac:dyDescent="0.25">
      <c r="B161" s="19" t="s">
        <v>83</v>
      </c>
      <c r="D161" s="1" t="s">
        <v>93</v>
      </c>
      <c r="H161" s="11">
        <v>9.2100000000000009</v>
      </c>
      <c r="I161" s="12">
        <f t="shared" si="9"/>
        <v>9.6705000000000005</v>
      </c>
    </row>
    <row r="162" spans="2:9" x14ac:dyDescent="0.25">
      <c r="B162" s="19" t="s">
        <v>83</v>
      </c>
      <c r="D162" s="1" t="s">
        <v>94</v>
      </c>
      <c r="H162" s="11">
        <v>23.08</v>
      </c>
      <c r="I162" s="12">
        <f t="shared" si="9"/>
        <v>24.233999999999998</v>
      </c>
    </row>
    <row r="163" spans="2:9" x14ac:dyDescent="0.25">
      <c r="B163" s="19" t="s">
        <v>83</v>
      </c>
      <c r="D163" s="1" t="s">
        <v>95</v>
      </c>
      <c r="H163" s="11">
        <v>12.43</v>
      </c>
      <c r="I163" s="12">
        <f t="shared" si="9"/>
        <v>13.051500000000001</v>
      </c>
    </row>
    <row r="164" spans="2:9" x14ac:dyDescent="0.25">
      <c r="B164" s="19" t="s">
        <v>83</v>
      </c>
      <c r="D164" s="1" t="s">
        <v>96</v>
      </c>
      <c r="H164" s="11">
        <v>21.59</v>
      </c>
      <c r="I164" s="12">
        <f t="shared" si="9"/>
        <v>22.669499999999999</v>
      </c>
    </row>
    <row r="165" spans="2:9" x14ac:dyDescent="0.25">
      <c r="B165" s="19" t="s">
        <v>83</v>
      </c>
      <c r="D165" s="1" t="s">
        <v>97</v>
      </c>
      <c r="H165" s="11">
        <v>11.62</v>
      </c>
      <c r="I165" s="12">
        <f t="shared" si="9"/>
        <v>12.201000000000001</v>
      </c>
    </row>
    <row r="166" spans="2:9" x14ac:dyDescent="0.25">
      <c r="B166" s="19" t="s">
        <v>83</v>
      </c>
      <c r="D166" s="1" t="s">
        <v>98</v>
      </c>
      <c r="H166" s="11">
        <v>57.27</v>
      </c>
      <c r="I166" s="12">
        <f t="shared" si="9"/>
        <v>60.133500000000005</v>
      </c>
    </row>
    <row r="167" spans="2:9" x14ac:dyDescent="0.25">
      <c r="B167" s="19" t="s">
        <v>83</v>
      </c>
      <c r="D167" s="1" t="s">
        <v>99</v>
      </c>
      <c r="H167" s="11">
        <v>33.06</v>
      </c>
      <c r="I167" s="12">
        <f t="shared" si="9"/>
        <v>34.713000000000001</v>
      </c>
    </row>
    <row r="168" spans="2:9" x14ac:dyDescent="0.25">
      <c r="B168" s="19" t="s">
        <v>83</v>
      </c>
      <c r="D168" s="1" t="s">
        <v>100</v>
      </c>
      <c r="H168" s="11">
        <v>21.59</v>
      </c>
      <c r="I168" s="12">
        <f t="shared" si="9"/>
        <v>22.669499999999999</v>
      </c>
    </row>
    <row r="169" spans="2:9" x14ac:dyDescent="0.25">
      <c r="B169" s="19" t="s">
        <v>83</v>
      </c>
      <c r="D169" s="1" t="s">
        <v>101</v>
      </c>
      <c r="H169" s="11">
        <v>11.62</v>
      </c>
      <c r="I169" s="12">
        <f t="shared" si="9"/>
        <v>12.201000000000001</v>
      </c>
    </row>
    <row r="170" spans="2:9" x14ac:dyDescent="0.25">
      <c r="B170" s="19" t="s">
        <v>83</v>
      </c>
      <c r="D170" s="1" t="s">
        <v>102</v>
      </c>
      <c r="H170" s="11">
        <v>21.59</v>
      </c>
      <c r="I170" s="12">
        <f t="shared" si="9"/>
        <v>22.669499999999999</v>
      </c>
    </row>
    <row r="171" spans="2:9" x14ac:dyDescent="0.25">
      <c r="B171" s="19" t="s">
        <v>83</v>
      </c>
      <c r="D171" s="1" t="s">
        <v>103</v>
      </c>
      <c r="H171" s="11">
        <v>11.62</v>
      </c>
      <c r="I171" s="12">
        <f t="shared" si="9"/>
        <v>12.201000000000001</v>
      </c>
    </row>
    <row r="172" spans="2:9" x14ac:dyDescent="0.25">
      <c r="B172" s="19" t="s">
        <v>83</v>
      </c>
      <c r="D172" s="1" t="s">
        <v>104</v>
      </c>
      <c r="H172" s="11">
        <v>21.59</v>
      </c>
      <c r="I172" s="12">
        <f t="shared" si="9"/>
        <v>22.669499999999999</v>
      </c>
    </row>
    <row r="173" spans="2:9" x14ac:dyDescent="0.25">
      <c r="B173" s="19" t="s">
        <v>83</v>
      </c>
      <c r="D173" s="1" t="s">
        <v>105</v>
      </c>
      <c r="H173" s="11">
        <v>11.62</v>
      </c>
      <c r="I173" s="12">
        <f t="shared" si="9"/>
        <v>12.201000000000001</v>
      </c>
    </row>
    <row r="174" spans="2:9" x14ac:dyDescent="0.25">
      <c r="B174" s="19" t="s">
        <v>83</v>
      </c>
      <c r="D174" s="1" t="s">
        <v>106</v>
      </c>
      <c r="H174" s="11">
        <v>21.59</v>
      </c>
      <c r="I174" s="12">
        <f t="shared" si="9"/>
        <v>22.669499999999999</v>
      </c>
    </row>
    <row r="175" spans="2:9" x14ac:dyDescent="0.25">
      <c r="B175" s="19" t="s">
        <v>83</v>
      </c>
      <c r="D175" s="1" t="s">
        <v>107</v>
      </c>
      <c r="H175" s="11">
        <v>11.62</v>
      </c>
      <c r="I175" s="12">
        <f t="shared" si="9"/>
        <v>12.201000000000001</v>
      </c>
    </row>
    <row r="176" spans="2:9" x14ac:dyDescent="0.25">
      <c r="B176" s="19" t="s">
        <v>83</v>
      </c>
      <c r="D176" s="1" t="s">
        <v>108</v>
      </c>
      <c r="H176" s="11">
        <v>17.100000000000001</v>
      </c>
      <c r="I176" s="12">
        <f t="shared" si="9"/>
        <v>17.955000000000002</v>
      </c>
    </row>
    <row r="177" spans="2:9" x14ac:dyDescent="0.25">
      <c r="B177" s="19" t="s">
        <v>83</v>
      </c>
      <c r="D177" s="1" t="s">
        <v>109</v>
      </c>
      <c r="H177" s="11">
        <v>9.2100000000000009</v>
      </c>
      <c r="I177" s="12">
        <f t="shared" si="9"/>
        <v>9.6705000000000005</v>
      </c>
    </row>
    <row r="178" spans="2:9" x14ac:dyDescent="0.25">
      <c r="B178" s="19" t="s">
        <v>83</v>
      </c>
      <c r="D178" s="1" t="s">
        <v>110</v>
      </c>
      <c r="H178" s="11">
        <v>21.59</v>
      </c>
      <c r="I178" s="12">
        <f t="shared" si="9"/>
        <v>22.669499999999999</v>
      </c>
    </row>
    <row r="179" spans="2:9" x14ac:dyDescent="0.25">
      <c r="B179" s="19" t="s">
        <v>83</v>
      </c>
      <c r="D179" s="1" t="s">
        <v>111</v>
      </c>
      <c r="H179" s="11">
        <v>11.62</v>
      </c>
      <c r="I179" s="12">
        <f t="shared" si="9"/>
        <v>12.201000000000001</v>
      </c>
    </row>
    <row r="180" spans="2:9" x14ac:dyDescent="0.25">
      <c r="B180" s="19" t="s">
        <v>83</v>
      </c>
      <c r="D180" s="1" t="s">
        <v>112</v>
      </c>
      <c r="H180" s="11">
        <v>21.59</v>
      </c>
      <c r="I180" s="12">
        <f t="shared" si="9"/>
        <v>22.669499999999999</v>
      </c>
    </row>
    <row r="181" spans="2:9" x14ac:dyDescent="0.25">
      <c r="B181" s="19" t="s">
        <v>83</v>
      </c>
      <c r="D181" s="1" t="s">
        <v>113</v>
      </c>
      <c r="H181" s="11">
        <v>11.62</v>
      </c>
      <c r="I181" s="12">
        <f t="shared" si="9"/>
        <v>12.201000000000001</v>
      </c>
    </row>
    <row r="182" spans="2:9" x14ac:dyDescent="0.25">
      <c r="B182" s="19" t="s">
        <v>83</v>
      </c>
      <c r="D182" s="1" t="s">
        <v>114</v>
      </c>
      <c r="H182" s="11">
        <v>21.59</v>
      </c>
      <c r="I182" s="12">
        <f t="shared" si="9"/>
        <v>22.669499999999999</v>
      </c>
    </row>
    <row r="183" spans="2:9" x14ac:dyDescent="0.25">
      <c r="B183" s="19" t="s">
        <v>83</v>
      </c>
      <c r="D183" s="1" t="s">
        <v>115</v>
      </c>
      <c r="H183" s="11">
        <v>11.62</v>
      </c>
      <c r="I183" s="12">
        <f t="shared" si="9"/>
        <v>12.201000000000001</v>
      </c>
    </row>
    <row r="184" spans="2:9" x14ac:dyDescent="0.25">
      <c r="B184" s="20" t="s">
        <v>116</v>
      </c>
      <c r="D184" s="1" t="s">
        <v>84</v>
      </c>
      <c r="H184" s="11">
        <v>15.73</v>
      </c>
      <c r="I184" s="12">
        <f t="shared" si="9"/>
        <v>16.516500000000001</v>
      </c>
    </row>
    <row r="185" spans="2:9" x14ac:dyDescent="0.25">
      <c r="B185" s="20" t="s">
        <v>116</v>
      </c>
      <c r="D185" s="1" t="s">
        <v>89</v>
      </c>
      <c r="H185" s="11">
        <v>8.4700000000000006</v>
      </c>
      <c r="I185" s="12">
        <f t="shared" si="9"/>
        <v>8.8935000000000013</v>
      </c>
    </row>
    <row r="186" spans="2:9" x14ac:dyDescent="0.25">
      <c r="B186" s="20" t="s">
        <v>116</v>
      </c>
      <c r="D186" s="1" t="s">
        <v>85</v>
      </c>
      <c r="H186" s="11">
        <v>17.100000000000001</v>
      </c>
      <c r="I186" s="12">
        <f t="shared" si="9"/>
        <v>17.955000000000002</v>
      </c>
    </row>
    <row r="187" spans="2:9" x14ac:dyDescent="0.25">
      <c r="B187" s="20" t="s">
        <v>116</v>
      </c>
      <c r="D187" s="1" t="s">
        <v>90</v>
      </c>
      <c r="H187" s="11">
        <v>9.2100000000000009</v>
      </c>
      <c r="I187" s="12">
        <f t="shared" si="9"/>
        <v>9.6705000000000005</v>
      </c>
    </row>
    <row r="188" spans="2:9" x14ac:dyDescent="0.25">
      <c r="B188" s="20" t="s">
        <v>116</v>
      </c>
      <c r="D188" s="1" t="s">
        <v>86</v>
      </c>
      <c r="H188" s="11">
        <v>14.24</v>
      </c>
      <c r="I188" s="12">
        <f t="shared" si="9"/>
        <v>14.952000000000002</v>
      </c>
    </row>
    <row r="189" spans="2:9" x14ac:dyDescent="0.25">
      <c r="B189" s="20" t="s">
        <v>116</v>
      </c>
      <c r="D189" s="1" t="s">
        <v>91</v>
      </c>
      <c r="H189" s="11">
        <v>7.67</v>
      </c>
      <c r="I189" s="12">
        <f t="shared" si="9"/>
        <v>8.0534999999999997</v>
      </c>
    </row>
    <row r="190" spans="2:9" x14ac:dyDescent="0.25">
      <c r="B190" s="20" t="s">
        <v>116</v>
      </c>
      <c r="D190" s="1" t="s">
        <v>87</v>
      </c>
      <c r="H190" s="11">
        <v>15.73</v>
      </c>
      <c r="I190" s="12">
        <f t="shared" si="9"/>
        <v>16.516500000000001</v>
      </c>
    </row>
    <row r="191" spans="2:9" x14ac:dyDescent="0.25">
      <c r="B191" s="20" t="s">
        <v>116</v>
      </c>
      <c r="D191" s="1" t="s">
        <v>92</v>
      </c>
      <c r="H191" s="11">
        <v>8.4700000000000006</v>
      </c>
      <c r="I191" s="12">
        <f t="shared" si="9"/>
        <v>8.8935000000000013</v>
      </c>
    </row>
    <row r="192" spans="2:9" x14ac:dyDescent="0.25">
      <c r="B192" s="20" t="s">
        <v>116</v>
      </c>
      <c r="D192" s="1" t="s">
        <v>88</v>
      </c>
      <c r="H192" s="11">
        <v>14.24</v>
      </c>
      <c r="I192" s="12">
        <f t="shared" si="9"/>
        <v>14.952000000000002</v>
      </c>
    </row>
    <row r="193" spans="2:9" x14ac:dyDescent="0.25">
      <c r="B193" s="20" t="s">
        <v>116</v>
      </c>
      <c r="D193" s="1" t="s">
        <v>93</v>
      </c>
      <c r="H193" s="11">
        <v>7.67</v>
      </c>
      <c r="I193" s="12">
        <f t="shared" si="9"/>
        <v>8.0534999999999997</v>
      </c>
    </row>
    <row r="194" spans="2:9" x14ac:dyDescent="0.25">
      <c r="B194" s="20" t="s">
        <v>116</v>
      </c>
      <c r="D194" s="1" t="s">
        <v>94</v>
      </c>
      <c r="H194" s="11">
        <v>16.48</v>
      </c>
      <c r="I194" s="12">
        <f t="shared" si="9"/>
        <v>17.304000000000002</v>
      </c>
    </row>
    <row r="195" spans="2:9" x14ac:dyDescent="0.25">
      <c r="B195" s="20" t="s">
        <v>116</v>
      </c>
      <c r="D195" s="1" t="s">
        <v>95</v>
      </c>
      <c r="H195" s="11">
        <v>8.8800000000000008</v>
      </c>
      <c r="I195" s="12">
        <f t="shared" si="9"/>
        <v>9.3240000000000016</v>
      </c>
    </row>
    <row r="196" spans="2:9" x14ac:dyDescent="0.25">
      <c r="B196" s="20" t="s">
        <v>116</v>
      </c>
      <c r="D196" s="1" t="s">
        <v>96</v>
      </c>
      <c r="H196" s="11">
        <v>15.73</v>
      </c>
      <c r="I196" s="12">
        <f t="shared" si="9"/>
        <v>16.516500000000001</v>
      </c>
    </row>
    <row r="197" spans="2:9" x14ac:dyDescent="0.25">
      <c r="B197" s="20" t="s">
        <v>116</v>
      </c>
      <c r="D197" s="1" t="s">
        <v>97</v>
      </c>
      <c r="H197" s="11">
        <v>8.4700000000000006</v>
      </c>
      <c r="I197" s="12">
        <f t="shared" si="9"/>
        <v>8.8935000000000013</v>
      </c>
    </row>
    <row r="198" spans="2:9" x14ac:dyDescent="0.25">
      <c r="B198" s="20" t="s">
        <v>116</v>
      </c>
      <c r="D198" s="1" t="s">
        <v>98</v>
      </c>
      <c r="H198" s="11">
        <v>57.27</v>
      </c>
      <c r="I198" s="12">
        <f t="shared" si="9"/>
        <v>60.133500000000005</v>
      </c>
    </row>
    <row r="199" spans="2:9" x14ac:dyDescent="0.25">
      <c r="B199" s="20" t="s">
        <v>116</v>
      </c>
      <c r="D199" s="1" t="s">
        <v>99</v>
      </c>
      <c r="H199" s="11">
        <v>33.06</v>
      </c>
      <c r="I199" s="12">
        <f t="shared" si="9"/>
        <v>34.713000000000001</v>
      </c>
    </row>
    <row r="200" spans="2:9" x14ac:dyDescent="0.25">
      <c r="B200" s="20" t="s">
        <v>116</v>
      </c>
      <c r="D200" s="1" t="s">
        <v>100</v>
      </c>
      <c r="H200" s="11">
        <v>15.73</v>
      </c>
      <c r="I200" s="12">
        <f t="shared" si="9"/>
        <v>16.516500000000001</v>
      </c>
    </row>
    <row r="201" spans="2:9" x14ac:dyDescent="0.25">
      <c r="B201" s="20" t="s">
        <v>116</v>
      </c>
      <c r="D201" s="1" t="s">
        <v>101</v>
      </c>
      <c r="H201" s="11">
        <v>8.4700000000000006</v>
      </c>
      <c r="I201" s="12">
        <f t="shared" si="9"/>
        <v>8.8935000000000013</v>
      </c>
    </row>
    <row r="202" spans="2:9" x14ac:dyDescent="0.25">
      <c r="B202" s="20" t="s">
        <v>116</v>
      </c>
      <c r="D202" s="1" t="s">
        <v>102</v>
      </c>
      <c r="H202" s="11">
        <v>15.73</v>
      </c>
      <c r="I202" s="12">
        <f t="shared" si="9"/>
        <v>16.516500000000001</v>
      </c>
    </row>
    <row r="203" spans="2:9" x14ac:dyDescent="0.25">
      <c r="B203" s="20" t="s">
        <v>116</v>
      </c>
      <c r="D203" s="1" t="s">
        <v>103</v>
      </c>
      <c r="H203" s="11">
        <v>8.4700000000000006</v>
      </c>
      <c r="I203" s="12">
        <f t="shared" si="9"/>
        <v>8.8935000000000013</v>
      </c>
    </row>
    <row r="204" spans="2:9" x14ac:dyDescent="0.25">
      <c r="B204" s="20" t="s">
        <v>116</v>
      </c>
      <c r="D204" s="1" t="s">
        <v>104</v>
      </c>
      <c r="H204" s="11">
        <v>15.73</v>
      </c>
      <c r="I204" s="12">
        <f t="shared" si="9"/>
        <v>16.516500000000001</v>
      </c>
    </row>
    <row r="205" spans="2:9" x14ac:dyDescent="0.25">
      <c r="B205" s="20" t="s">
        <v>116</v>
      </c>
      <c r="D205" s="1" t="s">
        <v>105</v>
      </c>
      <c r="H205" s="11">
        <v>8.4700000000000006</v>
      </c>
      <c r="I205" s="12">
        <f t="shared" si="9"/>
        <v>8.8935000000000013</v>
      </c>
    </row>
    <row r="206" spans="2:9" x14ac:dyDescent="0.25">
      <c r="B206" s="20" t="s">
        <v>116</v>
      </c>
      <c r="D206" s="1" t="s">
        <v>106</v>
      </c>
      <c r="H206" s="11">
        <v>15.73</v>
      </c>
      <c r="I206" s="12">
        <f t="shared" si="9"/>
        <v>16.516500000000001</v>
      </c>
    </row>
    <row r="207" spans="2:9" x14ac:dyDescent="0.25">
      <c r="B207" s="20" t="s">
        <v>116</v>
      </c>
      <c r="D207" s="1" t="s">
        <v>107</v>
      </c>
      <c r="H207" s="11">
        <v>8.4700000000000006</v>
      </c>
      <c r="I207" s="12">
        <f t="shared" si="9"/>
        <v>8.8935000000000013</v>
      </c>
    </row>
    <row r="208" spans="2:9" x14ac:dyDescent="0.25">
      <c r="B208" s="20" t="s">
        <v>116</v>
      </c>
      <c r="D208" s="1" t="s">
        <v>108</v>
      </c>
      <c r="H208" s="11">
        <v>14.24</v>
      </c>
      <c r="I208" s="12">
        <f t="shared" si="9"/>
        <v>14.952000000000002</v>
      </c>
    </row>
    <row r="209" spans="2:9" x14ac:dyDescent="0.25">
      <c r="B209" s="20" t="s">
        <v>116</v>
      </c>
      <c r="D209" s="1" t="s">
        <v>109</v>
      </c>
      <c r="H209" s="11">
        <v>7.67</v>
      </c>
      <c r="I209" s="12">
        <f t="shared" si="9"/>
        <v>8.0534999999999997</v>
      </c>
    </row>
    <row r="210" spans="2:9" x14ac:dyDescent="0.25">
      <c r="B210" s="20" t="s">
        <v>116</v>
      </c>
      <c r="D210" s="1" t="s">
        <v>110</v>
      </c>
      <c r="H210" s="11">
        <v>15.73</v>
      </c>
      <c r="I210" s="12">
        <f t="shared" si="9"/>
        <v>16.516500000000001</v>
      </c>
    </row>
    <row r="211" spans="2:9" x14ac:dyDescent="0.25">
      <c r="B211" s="20" t="s">
        <v>116</v>
      </c>
      <c r="D211" s="1" t="s">
        <v>111</v>
      </c>
      <c r="H211" s="11">
        <v>8.4700000000000006</v>
      </c>
      <c r="I211" s="12">
        <f t="shared" si="9"/>
        <v>8.8935000000000013</v>
      </c>
    </row>
    <row r="212" spans="2:9" x14ac:dyDescent="0.25">
      <c r="B212" s="20" t="s">
        <v>116</v>
      </c>
      <c r="D212" s="1" t="s">
        <v>112</v>
      </c>
      <c r="H212" s="11">
        <v>15.73</v>
      </c>
      <c r="I212" s="12">
        <f t="shared" si="9"/>
        <v>16.516500000000001</v>
      </c>
    </row>
    <row r="213" spans="2:9" x14ac:dyDescent="0.25">
      <c r="B213" s="20" t="s">
        <v>116</v>
      </c>
      <c r="D213" s="1" t="s">
        <v>113</v>
      </c>
      <c r="H213" s="11">
        <v>8.4700000000000006</v>
      </c>
      <c r="I213" s="12">
        <f t="shared" si="9"/>
        <v>8.8935000000000013</v>
      </c>
    </row>
    <row r="214" spans="2:9" x14ac:dyDescent="0.25">
      <c r="B214" s="20" t="s">
        <v>116</v>
      </c>
      <c r="D214" s="1" t="s">
        <v>114</v>
      </c>
      <c r="H214" s="11">
        <v>15.73</v>
      </c>
      <c r="I214" s="12">
        <f t="shared" si="9"/>
        <v>16.516500000000001</v>
      </c>
    </row>
    <row r="215" spans="2:9" x14ac:dyDescent="0.25">
      <c r="B215" s="20" t="s">
        <v>116</v>
      </c>
      <c r="D215" s="1" t="s">
        <v>115</v>
      </c>
      <c r="H215" s="11">
        <v>8.4700000000000006</v>
      </c>
      <c r="I215" s="12">
        <f t="shared" si="9"/>
        <v>8.8935000000000013</v>
      </c>
    </row>
    <row r="216" spans="2:9" x14ac:dyDescent="0.25">
      <c r="B216" s="21" t="s">
        <v>117</v>
      </c>
      <c r="D216" s="1" t="s">
        <v>84</v>
      </c>
      <c r="H216" s="11">
        <v>6.87</v>
      </c>
      <c r="I216" s="12">
        <f t="shared" ref="I216:I247" si="10">H216*(1+$I$5)</f>
        <v>7.2135000000000007</v>
      </c>
    </row>
    <row r="217" spans="2:9" x14ac:dyDescent="0.25">
      <c r="B217" s="21" t="s">
        <v>117</v>
      </c>
      <c r="D217" s="1" t="s">
        <v>89</v>
      </c>
      <c r="H217" s="11">
        <v>3.7</v>
      </c>
      <c r="I217" s="12">
        <f t="shared" si="10"/>
        <v>3.8850000000000002</v>
      </c>
    </row>
    <row r="218" spans="2:9" x14ac:dyDescent="0.25">
      <c r="B218" s="21" t="s">
        <v>117</v>
      </c>
      <c r="D218" s="1" t="s">
        <v>85</v>
      </c>
      <c r="H218" s="11">
        <v>17.100000000000001</v>
      </c>
      <c r="I218" s="12">
        <f t="shared" si="10"/>
        <v>17.955000000000002</v>
      </c>
    </row>
    <row r="219" spans="2:9" x14ac:dyDescent="0.25">
      <c r="B219" s="21" t="s">
        <v>117</v>
      </c>
      <c r="D219" s="1" t="s">
        <v>90</v>
      </c>
      <c r="H219" s="11">
        <v>9.2100000000000009</v>
      </c>
      <c r="I219" s="12">
        <f t="shared" si="10"/>
        <v>9.6705000000000005</v>
      </c>
    </row>
    <row r="220" spans="2:9" x14ac:dyDescent="0.25">
      <c r="B220" s="21" t="s">
        <v>117</v>
      </c>
      <c r="D220" s="1" t="s">
        <v>86</v>
      </c>
      <c r="H220" s="11">
        <v>6.87</v>
      </c>
      <c r="I220" s="12">
        <f t="shared" si="10"/>
        <v>7.2135000000000007</v>
      </c>
    </row>
    <row r="221" spans="2:9" x14ac:dyDescent="0.25">
      <c r="B221" s="21" t="s">
        <v>117</v>
      </c>
      <c r="D221" s="1" t="s">
        <v>91</v>
      </c>
      <c r="H221" s="11">
        <v>3.7</v>
      </c>
      <c r="I221" s="12">
        <f t="shared" si="10"/>
        <v>3.8850000000000002</v>
      </c>
    </row>
    <row r="222" spans="2:9" x14ac:dyDescent="0.25">
      <c r="B222" s="21" t="s">
        <v>117</v>
      </c>
      <c r="D222" s="1" t="s">
        <v>87</v>
      </c>
      <c r="H222" s="11">
        <v>6.87</v>
      </c>
      <c r="I222" s="12">
        <f t="shared" si="10"/>
        <v>7.2135000000000007</v>
      </c>
    </row>
    <row r="223" spans="2:9" x14ac:dyDescent="0.25">
      <c r="B223" s="21" t="s">
        <v>117</v>
      </c>
      <c r="D223" s="1" t="s">
        <v>92</v>
      </c>
      <c r="H223" s="11">
        <v>3.7</v>
      </c>
      <c r="I223" s="12">
        <f t="shared" si="10"/>
        <v>3.8850000000000002</v>
      </c>
    </row>
    <row r="224" spans="2:9" x14ac:dyDescent="0.25">
      <c r="B224" s="21" t="s">
        <v>117</v>
      </c>
      <c r="D224" s="1" t="s">
        <v>88</v>
      </c>
      <c r="H224" s="11">
        <v>6.87</v>
      </c>
      <c r="I224" s="12">
        <f t="shared" si="10"/>
        <v>7.2135000000000007</v>
      </c>
    </row>
    <row r="225" spans="2:9" x14ac:dyDescent="0.25">
      <c r="B225" s="21" t="s">
        <v>117</v>
      </c>
      <c r="D225" s="1" t="s">
        <v>93</v>
      </c>
      <c r="H225" s="11">
        <v>3.7</v>
      </c>
      <c r="I225" s="12">
        <f t="shared" si="10"/>
        <v>3.8850000000000002</v>
      </c>
    </row>
    <row r="226" spans="2:9" x14ac:dyDescent="0.25">
      <c r="B226" s="21" t="s">
        <v>117</v>
      </c>
      <c r="D226" s="1" t="s">
        <v>94</v>
      </c>
      <c r="H226" s="11">
        <v>7.62</v>
      </c>
      <c r="I226" s="12">
        <f t="shared" si="10"/>
        <v>8.0010000000000012</v>
      </c>
    </row>
    <row r="227" spans="2:9" x14ac:dyDescent="0.25">
      <c r="B227" s="21" t="s">
        <v>117</v>
      </c>
      <c r="D227" s="1" t="s">
        <v>95</v>
      </c>
      <c r="H227" s="11">
        <v>4.0999999999999996</v>
      </c>
      <c r="I227" s="12">
        <f t="shared" si="10"/>
        <v>4.3049999999999997</v>
      </c>
    </row>
    <row r="228" spans="2:9" x14ac:dyDescent="0.25">
      <c r="B228" s="21" t="s">
        <v>117</v>
      </c>
      <c r="D228" s="1" t="s">
        <v>96</v>
      </c>
      <c r="H228" s="11">
        <v>6.87</v>
      </c>
      <c r="I228" s="12">
        <f t="shared" si="10"/>
        <v>7.2135000000000007</v>
      </c>
    </row>
    <row r="229" spans="2:9" x14ac:dyDescent="0.25">
      <c r="B229" s="21" t="s">
        <v>117</v>
      </c>
      <c r="D229" s="1" t="s">
        <v>97</v>
      </c>
      <c r="H229" s="11">
        <v>3.7</v>
      </c>
      <c r="I229" s="12">
        <f t="shared" si="10"/>
        <v>3.8850000000000002</v>
      </c>
    </row>
    <row r="230" spans="2:9" x14ac:dyDescent="0.25">
      <c r="B230" s="21" t="s">
        <v>117</v>
      </c>
      <c r="D230" s="1" t="s">
        <v>98</v>
      </c>
      <c r="H230" s="11">
        <v>36.06</v>
      </c>
      <c r="I230" s="12">
        <f t="shared" si="10"/>
        <v>37.863000000000007</v>
      </c>
    </row>
    <row r="231" spans="2:9" x14ac:dyDescent="0.25">
      <c r="B231" s="21" t="s">
        <v>117</v>
      </c>
      <c r="D231" s="1" t="s">
        <v>99</v>
      </c>
      <c r="H231" s="11">
        <v>25.59</v>
      </c>
      <c r="I231" s="12">
        <f t="shared" si="10"/>
        <v>26.869500000000002</v>
      </c>
    </row>
    <row r="232" spans="2:9" x14ac:dyDescent="0.25">
      <c r="B232" s="21" t="s">
        <v>117</v>
      </c>
      <c r="D232" s="1" t="s">
        <v>100</v>
      </c>
      <c r="H232" s="11">
        <v>6.87</v>
      </c>
      <c r="I232" s="12">
        <f t="shared" si="10"/>
        <v>7.2135000000000007</v>
      </c>
    </row>
    <row r="233" spans="2:9" x14ac:dyDescent="0.25">
      <c r="B233" s="21" t="s">
        <v>117</v>
      </c>
      <c r="D233" s="1" t="s">
        <v>101</v>
      </c>
      <c r="H233" s="11">
        <v>3.7</v>
      </c>
      <c r="I233" s="12">
        <f t="shared" si="10"/>
        <v>3.8850000000000002</v>
      </c>
    </row>
    <row r="234" spans="2:9" x14ac:dyDescent="0.25">
      <c r="B234" s="21" t="s">
        <v>117</v>
      </c>
      <c r="D234" s="1" t="s">
        <v>102</v>
      </c>
      <c r="H234" s="11">
        <v>6.87</v>
      </c>
      <c r="I234" s="12">
        <f t="shared" si="10"/>
        <v>7.2135000000000007</v>
      </c>
    </row>
    <row r="235" spans="2:9" x14ac:dyDescent="0.25">
      <c r="B235" s="21" t="s">
        <v>117</v>
      </c>
      <c r="D235" s="1" t="s">
        <v>103</v>
      </c>
      <c r="H235" s="11">
        <v>3.7</v>
      </c>
      <c r="I235" s="12">
        <f t="shared" si="10"/>
        <v>3.8850000000000002</v>
      </c>
    </row>
    <row r="236" spans="2:9" x14ac:dyDescent="0.25">
      <c r="B236" s="21" t="s">
        <v>117</v>
      </c>
      <c r="D236" s="1" t="s">
        <v>104</v>
      </c>
      <c r="H236" s="11">
        <v>6.87</v>
      </c>
      <c r="I236" s="12">
        <f t="shared" si="10"/>
        <v>7.2135000000000007</v>
      </c>
    </row>
    <row r="237" spans="2:9" x14ac:dyDescent="0.25">
      <c r="B237" s="21" t="s">
        <v>117</v>
      </c>
      <c r="D237" s="1" t="s">
        <v>105</v>
      </c>
      <c r="H237" s="11">
        <v>3.7</v>
      </c>
      <c r="I237" s="12">
        <f t="shared" si="10"/>
        <v>3.8850000000000002</v>
      </c>
    </row>
    <row r="238" spans="2:9" x14ac:dyDescent="0.25">
      <c r="B238" s="21" t="s">
        <v>117</v>
      </c>
      <c r="D238" s="1" t="s">
        <v>106</v>
      </c>
      <c r="H238" s="11">
        <v>6.87</v>
      </c>
      <c r="I238" s="12">
        <f t="shared" si="10"/>
        <v>7.2135000000000007</v>
      </c>
    </row>
    <row r="239" spans="2:9" x14ac:dyDescent="0.25">
      <c r="B239" s="21" t="s">
        <v>117</v>
      </c>
      <c r="D239" s="1" t="s">
        <v>107</v>
      </c>
      <c r="H239" s="11">
        <v>3.7</v>
      </c>
      <c r="I239" s="12">
        <f t="shared" si="10"/>
        <v>3.8850000000000002</v>
      </c>
    </row>
    <row r="240" spans="2:9" x14ac:dyDescent="0.25">
      <c r="B240" s="21" t="s">
        <v>117</v>
      </c>
      <c r="D240" s="1" t="s">
        <v>108</v>
      </c>
      <c r="H240" s="11">
        <v>6.87</v>
      </c>
      <c r="I240" s="12">
        <f t="shared" si="10"/>
        <v>7.2135000000000007</v>
      </c>
    </row>
    <row r="241" spans="2:9" x14ac:dyDescent="0.25">
      <c r="B241" s="21" t="s">
        <v>117</v>
      </c>
      <c r="D241" s="1" t="s">
        <v>109</v>
      </c>
      <c r="H241" s="11">
        <v>3.7</v>
      </c>
      <c r="I241" s="12">
        <f t="shared" si="10"/>
        <v>3.8850000000000002</v>
      </c>
    </row>
    <row r="242" spans="2:9" x14ac:dyDescent="0.25">
      <c r="B242" s="21" t="s">
        <v>117</v>
      </c>
      <c r="D242" s="1" t="s">
        <v>110</v>
      </c>
      <c r="H242" s="11">
        <v>6.87</v>
      </c>
      <c r="I242" s="12">
        <f t="shared" si="10"/>
        <v>7.2135000000000007</v>
      </c>
    </row>
    <row r="243" spans="2:9" x14ac:dyDescent="0.25">
      <c r="B243" s="21" t="s">
        <v>117</v>
      </c>
      <c r="D243" s="1" t="s">
        <v>111</v>
      </c>
      <c r="H243" s="11">
        <v>3.7</v>
      </c>
      <c r="I243" s="12">
        <f t="shared" si="10"/>
        <v>3.8850000000000002</v>
      </c>
    </row>
    <row r="244" spans="2:9" x14ac:dyDescent="0.25">
      <c r="B244" s="21" t="s">
        <v>117</v>
      </c>
      <c r="D244" s="1" t="s">
        <v>112</v>
      </c>
      <c r="H244" s="11">
        <v>6.87</v>
      </c>
      <c r="I244" s="12">
        <f t="shared" si="10"/>
        <v>7.2135000000000007</v>
      </c>
    </row>
    <row r="245" spans="2:9" x14ac:dyDescent="0.25">
      <c r="B245" s="21" t="s">
        <v>117</v>
      </c>
      <c r="D245" s="1" t="s">
        <v>113</v>
      </c>
      <c r="H245" s="11">
        <v>3.7</v>
      </c>
      <c r="I245" s="12">
        <f t="shared" si="10"/>
        <v>3.8850000000000002</v>
      </c>
    </row>
    <row r="246" spans="2:9" x14ac:dyDescent="0.25">
      <c r="B246" s="21" t="s">
        <v>117</v>
      </c>
      <c r="D246" s="1" t="s">
        <v>114</v>
      </c>
      <c r="H246" s="11">
        <v>6.87</v>
      </c>
      <c r="I246" s="12">
        <f t="shared" si="10"/>
        <v>7.2135000000000007</v>
      </c>
    </row>
    <row r="247" spans="2:9" x14ac:dyDescent="0.25">
      <c r="B247" s="21" t="s">
        <v>117</v>
      </c>
      <c r="D247" s="1" t="s">
        <v>115</v>
      </c>
      <c r="H247" s="11">
        <v>3.7</v>
      </c>
      <c r="I247" s="12">
        <f t="shared" si="10"/>
        <v>3.8850000000000002</v>
      </c>
    </row>
    <row r="248" spans="2:9" x14ac:dyDescent="0.25">
      <c r="I248" s="1"/>
    </row>
    <row r="249" spans="2:9" x14ac:dyDescent="0.25">
      <c r="I249" s="1"/>
    </row>
    <row r="250" spans="2:9" x14ac:dyDescent="0.25">
      <c r="I250" s="1"/>
    </row>
    <row r="251" spans="2:9" x14ac:dyDescent="0.25">
      <c r="I251" s="1"/>
    </row>
    <row r="252" spans="2:9" x14ac:dyDescent="0.25">
      <c r="I252" s="1"/>
    </row>
    <row r="253" spans="2:9" x14ac:dyDescent="0.25">
      <c r="I253" s="1"/>
    </row>
    <row r="254" spans="2:9" x14ac:dyDescent="0.25">
      <c r="I254" s="1"/>
    </row>
    <row r="255" spans="2:9" x14ac:dyDescent="0.25">
      <c r="I255" s="1"/>
    </row>
    <row r="256" spans="2:9" x14ac:dyDescent="0.25">
      <c r="I256" s="1"/>
    </row>
    <row r="257" spans="9:9" x14ac:dyDescent="0.25">
      <c r="I257" s="1"/>
    </row>
    <row r="258" spans="9:9" x14ac:dyDescent="0.25">
      <c r="I258" s="1"/>
    </row>
    <row r="259" spans="9:9" x14ac:dyDescent="0.25">
      <c r="I259" s="1"/>
    </row>
    <row r="260" spans="9:9" x14ac:dyDescent="0.25">
      <c r="I260" s="1"/>
    </row>
    <row r="261" spans="9:9" x14ac:dyDescent="0.25">
      <c r="I261" s="1"/>
    </row>
    <row r="262" spans="9:9" x14ac:dyDescent="0.25">
      <c r="I262" s="1"/>
    </row>
    <row r="263" spans="9:9" x14ac:dyDescent="0.25">
      <c r="I263" s="1"/>
    </row>
    <row r="264" spans="9:9" x14ac:dyDescent="0.25">
      <c r="I264" s="1"/>
    </row>
    <row r="265" spans="9:9" x14ac:dyDescent="0.25">
      <c r="I265" s="1"/>
    </row>
    <row r="266" spans="9:9" x14ac:dyDescent="0.25">
      <c r="I266" s="1"/>
    </row>
    <row r="267" spans="9:9" x14ac:dyDescent="0.25">
      <c r="I267" s="1"/>
    </row>
    <row r="268" spans="9:9" x14ac:dyDescent="0.25">
      <c r="I268" s="1"/>
    </row>
    <row r="269" spans="9:9" x14ac:dyDescent="0.25">
      <c r="I269" s="1"/>
    </row>
    <row r="270" spans="9:9" x14ac:dyDescent="0.25">
      <c r="I270" s="1"/>
    </row>
    <row r="271" spans="9:9" x14ac:dyDescent="0.25">
      <c r="I271" s="1"/>
    </row>
    <row r="272" spans="9:9" x14ac:dyDescent="0.25">
      <c r="I272" s="1"/>
    </row>
    <row r="273" spans="9:9" x14ac:dyDescent="0.25">
      <c r="I273" s="1"/>
    </row>
    <row r="274" spans="9:9" x14ac:dyDescent="0.25">
      <c r="I274" s="1"/>
    </row>
    <row r="275" spans="9:9" x14ac:dyDescent="0.25">
      <c r="I275" s="1"/>
    </row>
    <row r="276" spans="9:9" x14ac:dyDescent="0.25">
      <c r="I276" s="1"/>
    </row>
    <row r="277" spans="9:9" x14ac:dyDescent="0.25">
      <c r="I277" s="1"/>
    </row>
    <row r="278" spans="9:9" x14ac:dyDescent="0.25">
      <c r="I278" s="1"/>
    </row>
    <row r="279" spans="9:9" x14ac:dyDescent="0.25">
      <c r="I279" s="1"/>
    </row>
    <row r="280" spans="9:9" x14ac:dyDescent="0.25">
      <c r="I280" s="1"/>
    </row>
    <row r="281" spans="9:9" x14ac:dyDescent="0.25">
      <c r="I281" s="1"/>
    </row>
    <row r="282" spans="9:9" x14ac:dyDescent="0.25">
      <c r="I282" s="1"/>
    </row>
    <row r="283" spans="9:9" x14ac:dyDescent="0.25">
      <c r="I283" s="1"/>
    </row>
    <row r="284" spans="9:9" x14ac:dyDescent="0.25">
      <c r="I284" s="1"/>
    </row>
    <row r="285" spans="9:9" x14ac:dyDescent="0.25">
      <c r="I285" s="1"/>
    </row>
    <row r="286" spans="9:9" x14ac:dyDescent="0.25">
      <c r="I286" s="1"/>
    </row>
    <row r="287" spans="9:9" x14ac:dyDescent="0.25">
      <c r="I287" s="1"/>
    </row>
    <row r="288" spans="9:9" x14ac:dyDescent="0.25">
      <c r="I288" s="1"/>
    </row>
    <row r="289" spans="9:9" x14ac:dyDescent="0.25">
      <c r="I289" s="1"/>
    </row>
    <row r="290" spans="9:9" x14ac:dyDescent="0.25">
      <c r="I290" s="1"/>
    </row>
    <row r="291" spans="9:9" x14ac:dyDescent="0.25">
      <c r="I291" s="1"/>
    </row>
    <row r="292" spans="9:9" x14ac:dyDescent="0.25">
      <c r="I292" s="1"/>
    </row>
    <row r="293" spans="9:9" x14ac:dyDescent="0.25">
      <c r="I293" s="1"/>
    </row>
    <row r="294" spans="9:9" x14ac:dyDescent="0.25">
      <c r="I294" s="1"/>
    </row>
    <row r="295" spans="9:9" x14ac:dyDescent="0.25">
      <c r="I295" s="1"/>
    </row>
    <row r="296" spans="9:9" x14ac:dyDescent="0.25">
      <c r="I296" s="1"/>
    </row>
    <row r="297" spans="9:9" x14ac:dyDescent="0.25">
      <c r="I297" s="1"/>
    </row>
    <row r="298" spans="9:9" x14ac:dyDescent="0.25">
      <c r="I298" s="1"/>
    </row>
    <row r="299" spans="9:9" x14ac:dyDescent="0.25">
      <c r="I299" s="1"/>
    </row>
    <row r="300" spans="9:9" x14ac:dyDescent="0.25">
      <c r="I300" s="1"/>
    </row>
    <row r="301" spans="9:9" x14ac:dyDescent="0.25">
      <c r="I301" s="1"/>
    </row>
    <row r="302" spans="9:9" x14ac:dyDescent="0.25">
      <c r="I302" s="1"/>
    </row>
    <row r="303" spans="9:9" x14ac:dyDescent="0.25">
      <c r="I303" s="1"/>
    </row>
    <row r="304" spans="9:9" x14ac:dyDescent="0.25">
      <c r="I304" s="1"/>
    </row>
    <row r="305" spans="9:9" x14ac:dyDescent="0.25">
      <c r="I305" s="1"/>
    </row>
    <row r="306" spans="9:9" x14ac:dyDescent="0.25">
      <c r="I306" s="1"/>
    </row>
    <row r="307" spans="9:9" x14ac:dyDescent="0.25">
      <c r="I307" s="1"/>
    </row>
    <row r="308" spans="9:9" x14ac:dyDescent="0.25">
      <c r="I308" s="1"/>
    </row>
    <row r="309" spans="9:9" x14ac:dyDescent="0.25">
      <c r="I309" s="1"/>
    </row>
    <row r="310" spans="9:9" x14ac:dyDescent="0.25">
      <c r="I310" s="1"/>
    </row>
    <row r="311" spans="9:9" x14ac:dyDescent="0.25">
      <c r="I311" s="1"/>
    </row>
    <row r="312" spans="9:9" x14ac:dyDescent="0.25">
      <c r="I312" s="1"/>
    </row>
    <row r="313" spans="9:9" x14ac:dyDescent="0.25">
      <c r="I313" s="1"/>
    </row>
    <row r="314" spans="9:9" x14ac:dyDescent="0.25">
      <c r="I314" s="1"/>
    </row>
    <row r="315" spans="9:9" x14ac:dyDescent="0.25">
      <c r="I315" s="1"/>
    </row>
    <row r="316" spans="9:9" x14ac:dyDescent="0.25">
      <c r="I316" s="1"/>
    </row>
    <row r="317" spans="9:9" x14ac:dyDescent="0.25">
      <c r="I317" s="1"/>
    </row>
    <row r="318" spans="9:9" x14ac:dyDescent="0.25">
      <c r="I318" s="1"/>
    </row>
    <row r="319" spans="9:9" x14ac:dyDescent="0.25">
      <c r="I319" s="1"/>
    </row>
    <row r="320" spans="9:9" x14ac:dyDescent="0.25">
      <c r="I320" s="1"/>
    </row>
    <row r="321" spans="9:9" x14ac:dyDescent="0.25">
      <c r="I321" s="1"/>
    </row>
  </sheetData>
  <mergeCells count="4">
    <mergeCell ref="C1:I1"/>
    <mergeCell ref="C2:I2"/>
    <mergeCell ref="C3:I3"/>
    <mergeCell ref="C4:I4"/>
  </mergeCells>
  <pageMargins left="0.7" right="0.7" top="0.75" bottom="0.75" header="0.3" footer="0.3"/>
  <pageSetup scale="40" orientation="portrait" verticalDpi="0" r:id="rId1"/>
  <rowBreaks count="2" manualBreakCount="2">
    <brk id="84" max="10" man="1"/>
    <brk id="186" max="10" man="1"/>
  </rowBreaks>
  <colBreaks count="1" manualBreakCount="1">
    <brk id="11" max="246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60CDE7020FBE4F987D5680CBA97CD3" ma:contentTypeVersion="10" ma:contentTypeDescription="Create a new document." ma:contentTypeScope="" ma:versionID="4fbed0173a2ebcc74ba7d005722587c6">
  <xsd:schema xmlns:xsd="http://www.w3.org/2001/XMLSchema" xmlns:xs="http://www.w3.org/2001/XMLSchema" xmlns:p="http://schemas.microsoft.com/office/2006/metadata/properties" xmlns:ns2="042478ca-ca2d-4d01-83eb-90396d5625e9" xmlns:ns3="70b03f2f-74c7-4926-a36d-d4bdb9e02d45" targetNamespace="http://schemas.microsoft.com/office/2006/metadata/properties" ma:root="true" ma:fieldsID="1e47617018f8bf8a4d157a39e72236d1" ns2:_="" ns3:_="">
    <xsd:import namespace="042478ca-ca2d-4d01-83eb-90396d5625e9"/>
    <xsd:import namespace="70b03f2f-74c7-4926-a36d-d4bdb9e02d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EventHashCode" minOccurs="0"/>
                <xsd:element ref="ns2:MediaServiceOCR" minOccurs="0"/>
                <xsd:element ref="ns2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2478ca-ca2d-4d01-83eb-90396d5625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b03f2f-74c7-4926-a36d-d4bdb9e02d4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7cd25fd-8387-47a0-a3a2-f48b21d35c24}" ma:internalName="TaxCatchAll" ma:showField="CatchAllData" ma:web="70b03f2f-74c7-4926-a36d-d4bdb9e02d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42478ca-ca2d-4d01-83eb-90396d5625e9">
      <Terms xmlns="http://schemas.microsoft.com/office/infopath/2007/PartnerControls"/>
    </lcf76f155ced4ddcb4097134ff3c332f>
    <TaxCatchAll xmlns="70b03f2f-74c7-4926-a36d-d4bdb9e02d45" xsi:nil="true"/>
  </documentManagement>
</p:properties>
</file>

<file path=customXml/itemProps1.xml><?xml version="1.0" encoding="utf-8"?>
<ds:datastoreItem xmlns:ds="http://schemas.openxmlformats.org/officeDocument/2006/customXml" ds:itemID="{5344581B-2C22-45EE-B483-130A985E5FB4}"/>
</file>

<file path=customXml/itemProps2.xml><?xml version="1.0" encoding="utf-8"?>
<ds:datastoreItem xmlns:ds="http://schemas.openxmlformats.org/officeDocument/2006/customXml" ds:itemID="{871A37B9-87A3-41EF-BCC7-6345632E1DA4}"/>
</file>

<file path=customXml/itemProps3.xml><?xml version="1.0" encoding="utf-8"?>
<ds:datastoreItem xmlns:ds="http://schemas.openxmlformats.org/officeDocument/2006/customXml" ds:itemID="{E8486915-9CDA-4784-89C2-75DBF768687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Sue  Lu</dc:creator>
  <cp:lastModifiedBy>Sue  Lu</cp:lastModifiedBy>
  <cp:lastPrinted>2025-02-10T15:14:11Z</cp:lastPrinted>
  <dcterms:created xsi:type="dcterms:W3CDTF">2024-11-14T19:52:21Z</dcterms:created>
  <dcterms:modified xsi:type="dcterms:W3CDTF">2025-02-10T15:15:21Z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0x0101000560CDE7020FBE4F987D5680CBA97CD3</vt:lpwstr>
  </property>
</Properties>
</file>