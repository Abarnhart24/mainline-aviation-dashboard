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Non-Current Customer/VA ATL 20240628/PNL/"/>
    </mc:Choice>
  </mc:AlternateContent>
  <xr:revisionPtr revIDLastSave="1830" documentId="8_{445E3A12-CAE7-4A7A-8A98-7A841200573B}" xr6:coauthVersionLast="47" xr6:coauthVersionMax="47" xr10:uidLastSave="{FF2A9995-9B3F-4332-985D-3A51CE891052}"/>
  <bookViews>
    <workbookView minimized="1" xWindow="76890" yWindow="-3375" windowWidth="18510" windowHeight="15585" tabRatio="656" activeTab="16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Handling" sheetId="2" r:id="rId15"/>
    <sheet name="FlightConfig " sheetId="3" r:id="rId16"/>
    <sheet name="Food" sheetId="1" r:id="rId17"/>
    <sheet name="Avg Per Flight" sheetId="8" state="hidden" r:id="rId18"/>
    <sheet name="FG MASTER" sheetId="28" r:id="rId19"/>
  </sheets>
  <externalReferences>
    <externalReference r:id="rId20"/>
  </externalReferences>
  <definedNames>
    <definedName name="_Fill" hidden="1">#REF!</definedName>
    <definedName name="_Fill1" hidden="1">#REF!</definedName>
    <definedName name="_xlnm._FilterDatabase" localSheetId="16" hidden="1">Food!$A$3:$AK$342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1" i="1" l="1"/>
  <c r="S171" i="1"/>
  <c r="L193" i="1"/>
  <c r="Y193" i="1" s="1"/>
  <c r="AH193" i="1" s="1"/>
  <c r="K193" i="1"/>
  <c r="X193" i="1" s="1"/>
  <c r="AG193" i="1" s="1"/>
  <c r="J193" i="1"/>
  <c r="W193" i="1" s="1"/>
  <c r="AF193" i="1" s="1"/>
  <c r="G193" i="1"/>
  <c r="C193" i="1"/>
  <c r="M193" i="1" l="1"/>
  <c r="Z193" i="1" l="1"/>
  <c r="AI193" i="1" s="1"/>
  <c r="N193" i="1"/>
  <c r="AA193" i="1" l="1"/>
  <c r="AJ193" i="1" s="1"/>
  <c r="L164" i="1" l="1"/>
  <c r="M164" i="1" s="1"/>
  <c r="K164" i="1"/>
  <c r="L192" i="1"/>
  <c r="M192" i="1" s="1"/>
  <c r="K192" i="1"/>
  <c r="X192" i="1" s="1"/>
  <c r="AG192" i="1" s="1"/>
  <c r="J192" i="1"/>
  <c r="W192" i="1" s="1"/>
  <c r="AF192" i="1" s="1"/>
  <c r="G192" i="1"/>
  <c r="C192" i="1"/>
  <c r="L166" i="1"/>
  <c r="M166" i="1" s="1"/>
  <c r="K166" i="1"/>
  <c r="J166" i="1"/>
  <c r="W166" i="1" s="1"/>
  <c r="AF166" i="1" s="1"/>
  <c r="G166" i="1"/>
  <c r="C166" i="1"/>
  <c r="X166" i="1" l="1"/>
  <c r="AG166" i="1" s="1"/>
  <c r="Z192" i="1"/>
  <c r="AI192" i="1" s="1"/>
  <c r="N164" i="1"/>
  <c r="Y192" i="1"/>
  <c r="AH192" i="1" s="1"/>
  <c r="N192" i="1"/>
  <c r="Z166" i="1"/>
  <c r="AI166" i="1" s="1"/>
  <c r="Y166" i="1"/>
  <c r="AH166" i="1" s="1"/>
  <c r="N166" i="1"/>
  <c r="AA192" i="1" l="1"/>
  <c r="AJ192" i="1" s="1"/>
  <c r="AA166" i="1"/>
  <c r="AJ166" i="1" s="1"/>
  <c r="E27" i="21"/>
  <c r="L216" i="1"/>
  <c r="M216" i="1" s="1"/>
  <c r="K216" i="1"/>
  <c r="J216" i="1"/>
  <c r="W216" i="1" s="1"/>
  <c r="AF216" i="1" s="1"/>
  <c r="G216" i="1"/>
  <c r="C216" i="1"/>
  <c r="Z216" i="1" l="1"/>
  <c r="AI216" i="1" s="1"/>
  <c r="X216" i="1"/>
  <c r="AG216" i="1" s="1"/>
  <c r="Y216" i="1"/>
  <c r="AH216" i="1" s="1"/>
  <c r="N216" i="1"/>
  <c r="AA216" i="1" l="1"/>
  <c r="AJ216" i="1" s="1"/>
  <c r="Q23" i="21" l="1"/>
  <c r="D20" i="29"/>
  <c r="R30" i="21"/>
  <c r="R14" i="21" s="1"/>
  <c r="R37" i="21"/>
  <c r="R36" i="21"/>
  <c r="R35" i="21"/>
  <c r="R3" i="21"/>
  <c r="E9" i="21" s="1"/>
  <c r="B20" i="49"/>
  <c r="S39" i="2"/>
  <c r="L157" i="1"/>
  <c r="M157" i="1" s="1"/>
  <c r="J157" i="1"/>
  <c r="W157" i="1" s="1"/>
  <c r="AF157" i="1" s="1"/>
  <c r="G157" i="1"/>
  <c r="C157" i="1"/>
  <c r="Z157" i="1" l="1"/>
  <c r="AI157" i="1" s="1"/>
  <c r="Y157" i="1"/>
  <c r="AH157" i="1" s="1"/>
  <c r="L154" i="1"/>
  <c r="M154" i="1" s="1"/>
  <c r="K154" i="1"/>
  <c r="J154" i="1"/>
  <c r="W154" i="1" s="1"/>
  <c r="AF154" i="1" s="1"/>
  <c r="G154" i="1"/>
  <c r="C154" i="1"/>
  <c r="X154" i="1" l="1"/>
  <c r="AG154" i="1" s="1"/>
  <c r="Z154" i="1"/>
  <c r="AI154" i="1" s="1"/>
  <c r="Y154" i="1"/>
  <c r="AH154" i="1" s="1"/>
  <c r="N154" i="1"/>
  <c r="AA154" i="1" l="1"/>
  <c r="AJ154" i="1" s="1"/>
  <c r="L196" i="1" l="1"/>
  <c r="M196" i="1" s="1"/>
  <c r="J196" i="1"/>
  <c r="W196" i="1" s="1"/>
  <c r="AF196" i="1" s="1"/>
  <c r="G196" i="1"/>
  <c r="C196" i="1"/>
  <c r="L187" i="1"/>
  <c r="M187" i="1" s="1"/>
  <c r="J187" i="1"/>
  <c r="W187" i="1" s="1"/>
  <c r="AF187" i="1" s="1"/>
  <c r="G187" i="1"/>
  <c r="C187" i="1"/>
  <c r="L180" i="1"/>
  <c r="M180" i="1" s="1"/>
  <c r="J180" i="1"/>
  <c r="W180" i="1" s="1"/>
  <c r="AF180" i="1" s="1"/>
  <c r="G180" i="1"/>
  <c r="C180" i="1"/>
  <c r="L171" i="1"/>
  <c r="J171" i="1"/>
  <c r="W171" i="1" s="1"/>
  <c r="AF171" i="1" s="1"/>
  <c r="G171" i="1"/>
  <c r="C171" i="1"/>
  <c r="L215" i="1"/>
  <c r="M215" i="1" s="1"/>
  <c r="K215" i="1"/>
  <c r="J215" i="1"/>
  <c r="W215" i="1" s="1"/>
  <c r="AF215" i="1" s="1"/>
  <c r="G215" i="1"/>
  <c r="C215" i="1"/>
  <c r="L214" i="1"/>
  <c r="M214" i="1" s="1"/>
  <c r="K214" i="1"/>
  <c r="J214" i="1"/>
  <c r="W214" i="1" s="1"/>
  <c r="AF214" i="1" s="1"/>
  <c r="G214" i="1"/>
  <c r="C214" i="1"/>
  <c r="L213" i="1"/>
  <c r="K213" i="1"/>
  <c r="J213" i="1"/>
  <c r="W213" i="1" s="1"/>
  <c r="AF213" i="1" s="1"/>
  <c r="G213" i="1"/>
  <c r="C213" i="1"/>
  <c r="L212" i="1"/>
  <c r="M212" i="1" s="1"/>
  <c r="K212" i="1"/>
  <c r="J212" i="1"/>
  <c r="W212" i="1" s="1"/>
  <c r="AF212" i="1" s="1"/>
  <c r="G212" i="1"/>
  <c r="C212" i="1"/>
  <c r="L211" i="1"/>
  <c r="M211" i="1" s="1"/>
  <c r="K211" i="1"/>
  <c r="J211" i="1"/>
  <c r="G211" i="1"/>
  <c r="C211" i="1"/>
  <c r="L210" i="1"/>
  <c r="K210" i="1"/>
  <c r="J210" i="1"/>
  <c r="W210" i="1" s="1"/>
  <c r="AF210" i="1" s="1"/>
  <c r="G210" i="1"/>
  <c r="C210" i="1"/>
  <c r="L209" i="1"/>
  <c r="K209" i="1"/>
  <c r="J209" i="1"/>
  <c r="W209" i="1" s="1"/>
  <c r="AF209" i="1" s="1"/>
  <c r="G209" i="1"/>
  <c r="C209" i="1"/>
  <c r="L208" i="1"/>
  <c r="M208" i="1" s="1"/>
  <c r="K208" i="1"/>
  <c r="J208" i="1"/>
  <c r="G208" i="1"/>
  <c r="C208" i="1"/>
  <c r="L207" i="1"/>
  <c r="M207" i="1" s="1"/>
  <c r="K207" i="1"/>
  <c r="J207" i="1"/>
  <c r="W207" i="1" s="1"/>
  <c r="AF207" i="1" s="1"/>
  <c r="G207" i="1"/>
  <c r="C207" i="1"/>
  <c r="L206" i="1"/>
  <c r="K206" i="1"/>
  <c r="J206" i="1"/>
  <c r="W206" i="1" s="1"/>
  <c r="AF206" i="1" s="1"/>
  <c r="G206" i="1"/>
  <c r="C206" i="1"/>
  <c r="L205" i="1"/>
  <c r="M205" i="1" s="1"/>
  <c r="K205" i="1"/>
  <c r="J205" i="1"/>
  <c r="W205" i="1" s="1"/>
  <c r="AF205" i="1" s="1"/>
  <c r="G205" i="1"/>
  <c r="C205" i="1"/>
  <c r="L204" i="1"/>
  <c r="M204" i="1" s="1"/>
  <c r="K204" i="1"/>
  <c r="J204" i="1"/>
  <c r="G204" i="1"/>
  <c r="C204" i="1"/>
  <c r="L203" i="1"/>
  <c r="M203" i="1" s="1"/>
  <c r="K203" i="1"/>
  <c r="J203" i="1"/>
  <c r="W203" i="1" s="1"/>
  <c r="AF203" i="1" s="1"/>
  <c r="G203" i="1"/>
  <c r="C203" i="1"/>
  <c r="L202" i="1"/>
  <c r="K202" i="1"/>
  <c r="J202" i="1"/>
  <c r="W202" i="1" s="1"/>
  <c r="AF202" i="1" s="1"/>
  <c r="G202" i="1"/>
  <c r="C202" i="1"/>
  <c r="L201" i="1"/>
  <c r="M201" i="1" s="1"/>
  <c r="K201" i="1"/>
  <c r="J201" i="1"/>
  <c r="W201" i="1" s="1"/>
  <c r="AF201" i="1" s="1"/>
  <c r="G201" i="1"/>
  <c r="C201" i="1"/>
  <c r="L200" i="1"/>
  <c r="M200" i="1" s="1"/>
  <c r="J200" i="1"/>
  <c r="W200" i="1" s="1"/>
  <c r="AF200" i="1" s="1"/>
  <c r="G200" i="1"/>
  <c r="C200" i="1"/>
  <c r="L199" i="1"/>
  <c r="M199" i="1" s="1"/>
  <c r="J199" i="1"/>
  <c r="G199" i="1"/>
  <c r="C199" i="1"/>
  <c r="L198" i="1"/>
  <c r="M198" i="1" s="1"/>
  <c r="K198" i="1"/>
  <c r="J198" i="1"/>
  <c r="G198" i="1"/>
  <c r="C198" i="1"/>
  <c r="L197" i="1"/>
  <c r="M197" i="1" s="1"/>
  <c r="J197" i="1"/>
  <c r="W197" i="1" s="1"/>
  <c r="AF197" i="1" s="1"/>
  <c r="G197" i="1"/>
  <c r="C197" i="1"/>
  <c r="L195" i="1"/>
  <c r="K195" i="1"/>
  <c r="J195" i="1"/>
  <c r="W195" i="1" s="1"/>
  <c r="AF195" i="1" s="1"/>
  <c r="G195" i="1"/>
  <c r="C195" i="1"/>
  <c r="L194" i="1"/>
  <c r="J194" i="1"/>
  <c r="W194" i="1" s="1"/>
  <c r="AF194" i="1" s="1"/>
  <c r="G194" i="1"/>
  <c r="C194" i="1"/>
  <c r="L191" i="1"/>
  <c r="M191" i="1" s="1"/>
  <c r="J191" i="1"/>
  <c r="W191" i="1" s="1"/>
  <c r="AF191" i="1" s="1"/>
  <c r="G191" i="1"/>
  <c r="C191" i="1"/>
  <c r="L190" i="1"/>
  <c r="J190" i="1"/>
  <c r="W190" i="1" s="1"/>
  <c r="AF190" i="1" s="1"/>
  <c r="G190" i="1"/>
  <c r="C190" i="1"/>
  <c r="L189" i="1"/>
  <c r="K189" i="1"/>
  <c r="J189" i="1"/>
  <c r="G189" i="1"/>
  <c r="C189" i="1"/>
  <c r="L188" i="1"/>
  <c r="M188" i="1" s="1"/>
  <c r="J188" i="1"/>
  <c r="W188" i="1" s="1"/>
  <c r="AF188" i="1" s="1"/>
  <c r="G188" i="1"/>
  <c r="C188" i="1"/>
  <c r="L186" i="1"/>
  <c r="M186" i="1" s="1"/>
  <c r="J186" i="1"/>
  <c r="W186" i="1" s="1"/>
  <c r="AF186" i="1" s="1"/>
  <c r="G186" i="1"/>
  <c r="C186" i="1"/>
  <c r="L185" i="1"/>
  <c r="J185" i="1"/>
  <c r="W185" i="1" s="1"/>
  <c r="AF185" i="1" s="1"/>
  <c r="G185" i="1"/>
  <c r="C185" i="1"/>
  <c r="L184" i="1"/>
  <c r="J184" i="1"/>
  <c r="W184" i="1" s="1"/>
  <c r="AF184" i="1" s="1"/>
  <c r="G184" i="1"/>
  <c r="C184" i="1"/>
  <c r="L183" i="1"/>
  <c r="J183" i="1"/>
  <c r="G183" i="1"/>
  <c r="C183" i="1"/>
  <c r="L182" i="1"/>
  <c r="K182" i="1"/>
  <c r="J182" i="1"/>
  <c r="G182" i="1"/>
  <c r="C182" i="1"/>
  <c r="L181" i="1"/>
  <c r="J181" i="1"/>
  <c r="W181" i="1" s="1"/>
  <c r="AF181" i="1" s="1"/>
  <c r="G181" i="1"/>
  <c r="C181" i="1"/>
  <c r="L179" i="1"/>
  <c r="J179" i="1"/>
  <c r="W179" i="1" s="1"/>
  <c r="AF179" i="1" s="1"/>
  <c r="G179" i="1"/>
  <c r="C179" i="1"/>
  <c r="L178" i="1"/>
  <c r="M178" i="1" s="1"/>
  <c r="J178" i="1"/>
  <c r="G178" i="1"/>
  <c r="C178" i="1"/>
  <c r="L177" i="1"/>
  <c r="J177" i="1"/>
  <c r="W177" i="1" s="1"/>
  <c r="AF177" i="1" s="1"/>
  <c r="G177" i="1"/>
  <c r="C177" i="1"/>
  <c r="L176" i="1"/>
  <c r="M176" i="1" s="1"/>
  <c r="J176" i="1"/>
  <c r="W176" i="1" s="1"/>
  <c r="AF176" i="1" s="1"/>
  <c r="G176" i="1"/>
  <c r="C176" i="1"/>
  <c r="L175" i="1"/>
  <c r="J175" i="1"/>
  <c r="G175" i="1"/>
  <c r="C175" i="1"/>
  <c r="L174" i="1"/>
  <c r="M174" i="1" s="1"/>
  <c r="J174" i="1"/>
  <c r="G174" i="1"/>
  <c r="C174" i="1"/>
  <c r="L173" i="1"/>
  <c r="K173" i="1"/>
  <c r="J173" i="1"/>
  <c r="G173" i="1"/>
  <c r="C173" i="1"/>
  <c r="L172" i="1"/>
  <c r="M172" i="1" s="1"/>
  <c r="J172" i="1"/>
  <c r="W172" i="1" s="1"/>
  <c r="AF172" i="1" s="1"/>
  <c r="G172" i="1"/>
  <c r="C172" i="1"/>
  <c r="L159" i="1"/>
  <c r="J159" i="1"/>
  <c r="W159" i="1" s="1"/>
  <c r="AF159" i="1" s="1"/>
  <c r="G159" i="1"/>
  <c r="C159" i="1"/>
  <c r="L170" i="1"/>
  <c r="J170" i="1"/>
  <c r="G170" i="1"/>
  <c r="C170" i="1"/>
  <c r="L169" i="1"/>
  <c r="J169" i="1"/>
  <c r="W169" i="1" s="1"/>
  <c r="AF169" i="1" s="1"/>
  <c r="G169" i="1"/>
  <c r="C169" i="1"/>
  <c r="L168" i="1"/>
  <c r="J168" i="1"/>
  <c r="W168" i="1" s="1"/>
  <c r="AF168" i="1" s="1"/>
  <c r="G168" i="1"/>
  <c r="C168" i="1"/>
  <c r="L167" i="1"/>
  <c r="J167" i="1"/>
  <c r="G167" i="1"/>
  <c r="C167" i="1"/>
  <c r="L165" i="1"/>
  <c r="M165" i="1" s="1"/>
  <c r="W165" i="1"/>
  <c r="AF165" i="1" s="1"/>
  <c r="G165" i="1"/>
  <c r="C165" i="1"/>
  <c r="J164" i="1"/>
  <c r="W164" i="1" s="1"/>
  <c r="AF164" i="1" s="1"/>
  <c r="G164" i="1"/>
  <c r="C164" i="1"/>
  <c r="L163" i="1"/>
  <c r="M163" i="1" s="1"/>
  <c r="J163" i="1"/>
  <c r="G163" i="1"/>
  <c r="C163" i="1"/>
  <c r="L162" i="1"/>
  <c r="M162" i="1" s="1"/>
  <c r="J162" i="1"/>
  <c r="W162" i="1" s="1"/>
  <c r="AF162" i="1" s="1"/>
  <c r="G162" i="1"/>
  <c r="C162" i="1"/>
  <c r="L161" i="1"/>
  <c r="M161" i="1" s="1"/>
  <c r="J161" i="1"/>
  <c r="W161" i="1" s="1"/>
  <c r="AF161" i="1" s="1"/>
  <c r="G161" i="1"/>
  <c r="C161" i="1"/>
  <c r="L160" i="1"/>
  <c r="M160" i="1" s="1"/>
  <c r="J160" i="1"/>
  <c r="G160" i="1"/>
  <c r="C160" i="1"/>
  <c r="L158" i="1"/>
  <c r="M158" i="1" s="1"/>
  <c r="J158" i="1"/>
  <c r="G158" i="1"/>
  <c r="C158" i="1"/>
  <c r="L156" i="1"/>
  <c r="J156" i="1"/>
  <c r="W156" i="1" s="1"/>
  <c r="AF156" i="1" s="1"/>
  <c r="G156" i="1"/>
  <c r="C156" i="1"/>
  <c r="L155" i="1"/>
  <c r="M155" i="1" s="1"/>
  <c r="J155" i="1"/>
  <c r="W155" i="1" s="1"/>
  <c r="AF155" i="1" s="1"/>
  <c r="G155" i="1"/>
  <c r="C155" i="1"/>
  <c r="L153" i="1"/>
  <c r="M153" i="1" s="1"/>
  <c r="J153" i="1"/>
  <c r="W153" i="1" s="1"/>
  <c r="AF153" i="1" s="1"/>
  <c r="G153" i="1"/>
  <c r="C153" i="1"/>
  <c r="L152" i="1"/>
  <c r="J152" i="1"/>
  <c r="W152" i="1" s="1"/>
  <c r="AF152" i="1" s="1"/>
  <c r="G152" i="1"/>
  <c r="C152" i="1"/>
  <c r="L151" i="1"/>
  <c r="J151" i="1"/>
  <c r="W151" i="1" s="1"/>
  <c r="AF151" i="1" s="1"/>
  <c r="G151" i="1"/>
  <c r="C151" i="1"/>
  <c r="L150" i="1"/>
  <c r="M150" i="1" s="1"/>
  <c r="J150" i="1"/>
  <c r="W150" i="1" s="1"/>
  <c r="AF150" i="1" s="1"/>
  <c r="G150" i="1"/>
  <c r="C150" i="1"/>
  <c r="L149" i="1"/>
  <c r="M149" i="1" s="1"/>
  <c r="K149" i="1"/>
  <c r="J149" i="1"/>
  <c r="W149" i="1" s="1"/>
  <c r="AF149" i="1" s="1"/>
  <c r="G149" i="1"/>
  <c r="C149" i="1"/>
  <c r="L148" i="1"/>
  <c r="M148" i="1" s="1"/>
  <c r="K148" i="1"/>
  <c r="J148" i="1"/>
  <c r="W148" i="1" s="1"/>
  <c r="AF148" i="1" s="1"/>
  <c r="G148" i="1"/>
  <c r="C148" i="1"/>
  <c r="L147" i="1"/>
  <c r="K147" i="1"/>
  <c r="J147" i="1"/>
  <c r="W147" i="1" s="1"/>
  <c r="AF147" i="1" s="1"/>
  <c r="G147" i="1"/>
  <c r="C147" i="1"/>
  <c r="L146" i="1"/>
  <c r="M146" i="1" s="1"/>
  <c r="K146" i="1"/>
  <c r="J146" i="1"/>
  <c r="G146" i="1"/>
  <c r="C146" i="1"/>
  <c r="L346" i="1"/>
  <c r="M346" i="1" s="1"/>
  <c r="K346" i="1"/>
  <c r="J346" i="1"/>
  <c r="G346" i="1"/>
  <c r="C346" i="1"/>
  <c r="L345" i="1"/>
  <c r="M345" i="1" s="1"/>
  <c r="K345" i="1"/>
  <c r="J345" i="1"/>
  <c r="G345" i="1"/>
  <c r="C345" i="1"/>
  <c r="L344" i="1"/>
  <c r="M344" i="1" s="1"/>
  <c r="K344" i="1"/>
  <c r="J344" i="1"/>
  <c r="G344" i="1"/>
  <c r="C344" i="1"/>
  <c r="L343" i="1"/>
  <c r="M343" i="1" s="1"/>
  <c r="K343" i="1"/>
  <c r="J343" i="1"/>
  <c r="G343" i="1"/>
  <c r="C343" i="1"/>
  <c r="L342" i="1"/>
  <c r="M342" i="1" s="1"/>
  <c r="K342" i="1"/>
  <c r="J342" i="1"/>
  <c r="G342" i="1"/>
  <c r="C342" i="1"/>
  <c r="L341" i="1"/>
  <c r="M341" i="1" s="1"/>
  <c r="K341" i="1"/>
  <c r="J341" i="1"/>
  <c r="G341" i="1"/>
  <c r="C341" i="1"/>
  <c r="L340" i="1"/>
  <c r="M340" i="1" s="1"/>
  <c r="K340" i="1"/>
  <c r="J340" i="1"/>
  <c r="G340" i="1"/>
  <c r="C340" i="1"/>
  <c r="L339" i="1"/>
  <c r="M339" i="1" s="1"/>
  <c r="K339" i="1"/>
  <c r="J339" i="1"/>
  <c r="G339" i="1"/>
  <c r="C339" i="1"/>
  <c r="L338" i="1"/>
  <c r="M338" i="1" s="1"/>
  <c r="K338" i="1"/>
  <c r="J338" i="1"/>
  <c r="G338" i="1"/>
  <c r="C338" i="1"/>
  <c r="L337" i="1"/>
  <c r="M337" i="1" s="1"/>
  <c r="K337" i="1"/>
  <c r="J337" i="1"/>
  <c r="G337" i="1"/>
  <c r="C337" i="1"/>
  <c r="L336" i="1"/>
  <c r="M336" i="1" s="1"/>
  <c r="K336" i="1"/>
  <c r="J336" i="1"/>
  <c r="G336" i="1"/>
  <c r="C336" i="1"/>
  <c r="L335" i="1"/>
  <c r="M335" i="1" s="1"/>
  <c r="K335" i="1"/>
  <c r="J335" i="1"/>
  <c r="G335" i="1"/>
  <c r="C335" i="1"/>
  <c r="L334" i="1"/>
  <c r="M334" i="1" s="1"/>
  <c r="K334" i="1"/>
  <c r="J334" i="1"/>
  <c r="G334" i="1"/>
  <c r="C334" i="1"/>
  <c r="L333" i="1"/>
  <c r="M333" i="1" s="1"/>
  <c r="K333" i="1"/>
  <c r="J333" i="1"/>
  <c r="G333" i="1"/>
  <c r="C333" i="1"/>
  <c r="L332" i="1"/>
  <c r="M332" i="1" s="1"/>
  <c r="K332" i="1"/>
  <c r="J332" i="1"/>
  <c r="G332" i="1"/>
  <c r="C332" i="1"/>
  <c r="L331" i="1"/>
  <c r="M331" i="1" s="1"/>
  <c r="K331" i="1"/>
  <c r="J331" i="1"/>
  <c r="G331" i="1"/>
  <c r="C331" i="1"/>
  <c r="L330" i="1"/>
  <c r="M330" i="1" s="1"/>
  <c r="K330" i="1"/>
  <c r="J330" i="1"/>
  <c r="G330" i="1"/>
  <c r="C330" i="1"/>
  <c r="L329" i="1"/>
  <c r="M329" i="1" s="1"/>
  <c r="K329" i="1"/>
  <c r="J329" i="1"/>
  <c r="G329" i="1"/>
  <c r="C329" i="1"/>
  <c r="L328" i="1"/>
  <c r="M328" i="1" s="1"/>
  <c r="K328" i="1"/>
  <c r="J328" i="1"/>
  <c r="G328" i="1"/>
  <c r="C328" i="1"/>
  <c r="L327" i="1"/>
  <c r="M327" i="1" s="1"/>
  <c r="K327" i="1"/>
  <c r="J327" i="1"/>
  <c r="G327" i="1"/>
  <c r="C327" i="1"/>
  <c r="L326" i="1"/>
  <c r="M326" i="1" s="1"/>
  <c r="K326" i="1"/>
  <c r="J326" i="1"/>
  <c r="G326" i="1"/>
  <c r="C326" i="1"/>
  <c r="L325" i="1"/>
  <c r="M325" i="1" s="1"/>
  <c r="K325" i="1"/>
  <c r="J325" i="1"/>
  <c r="G325" i="1"/>
  <c r="C325" i="1"/>
  <c r="L324" i="1"/>
  <c r="M324" i="1" s="1"/>
  <c r="K324" i="1"/>
  <c r="J324" i="1"/>
  <c r="G324" i="1"/>
  <c r="C324" i="1"/>
  <c r="L323" i="1"/>
  <c r="M323" i="1" s="1"/>
  <c r="K323" i="1"/>
  <c r="J323" i="1"/>
  <c r="G323" i="1"/>
  <c r="C323" i="1"/>
  <c r="L322" i="1"/>
  <c r="M322" i="1" s="1"/>
  <c r="K322" i="1"/>
  <c r="J322" i="1"/>
  <c r="G322" i="1"/>
  <c r="C322" i="1"/>
  <c r="L321" i="1"/>
  <c r="M321" i="1" s="1"/>
  <c r="K321" i="1"/>
  <c r="J321" i="1"/>
  <c r="G321" i="1"/>
  <c r="C321" i="1"/>
  <c r="L320" i="1"/>
  <c r="M320" i="1" s="1"/>
  <c r="K320" i="1"/>
  <c r="J320" i="1"/>
  <c r="G320" i="1"/>
  <c r="C320" i="1"/>
  <c r="L319" i="1"/>
  <c r="M319" i="1" s="1"/>
  <c r="K319" i="1"/>
  <c r="J319" i="1"/>
  <c r="G319" i="1"/>
  <c r="C319" i="1"/>
  <c r="L318" i="1"/>
  <c r="M318" i="1" s="1"/>
  <c r="K318" i="1"/>
  <c r="J318" i="1"/>
  <c r="G318" i="1"/>
  <c r="C318" i="1"/>
  <c r="L317" i="1"/>
  <c r="M317" i="1" s="1"/>
  <c r="K317" i="1"/>
  <c r="J317" i="1"/>
  <c r="G317" i="1"/>
  <c r="C317" i="1"/>
  <c r="L316" i="1"/>
  <c r="M316" i="1" s="1"/>
  <c r="K316" i="1"/>
  <c r="J316" i="1"/>
  <c r="G316" i="1"/>
  <c r="C316" i="1"/>
  <c r="L315" i="1"/>
  <c r="M315" i="1" s="1"/>
  <c r="K315" i="1"/>
  <c r="J315" i="1"/>
  <c r="G315" i="1"/>
  <c r="C315" i="1"/>
  <c r="L314" i="1"/>
  <c r="M314" i="1" s="1"/>
  <c r="K314" i="1"/>
  <c r="J314" i="1"/>
  <c r="G314" i="1"/>
  <c r="C314" i="1"/>
  <c r="L313" i="1"/>
  <c r="M313" i="1" s="1"/>
  <c r="K313" i="1"/>
  <c r="J313" i="1"/>
  <c r="G313" i="1"/>
  <c r="C313" i="1"/>
  <c r="L312" i="1"/>
  <c r="M312" i="1" s="1"/>
  <c r="K312" i="1"/>
  <c r="J312" i="1"/>
  <c r="G312" i="1"/>
  <c r="C312" i="1"/>
  <c r="L311" i="1"/>
  <c r="M311" i="1" s="1"/>
  <c r="K311" i="1"/>
  <c r="J311" i="1"/>
  <c r="G311" i="1"/>
  <c r="C311" i="1"/>
  <c r="L310" i="1"/>
  <c r="M310" i="1" s="1"/>
  <c r="K310" i="1"/>
  <c r="J310" i="1"/>
  <c r="G310" i="1"/>
  <c r="C310" i="1"/>
  <c r="L309" i="1"/>
  <c r="M309" i="1" s="1"/>
  <c r="K309" i="1"/>
  <c r="J309" i="1"/>
  <c r="G309" i="1"/>
  <c r="C309" i="1"/>
  <c r="L308" i="1"/>
  <c r="M308" i="1" s="1"/>
  <c r="K308" i="1"/>
  <c r="J308" i="1"/>
  <c r="G308" i="1"/>
  <c r="C308" i="1"/>
  <c r="L307" i="1"/>
  <c r="M307" i="1" s="1"/>
  <c r="K307" i="1"/>
  <c r="J307" i="1"/>
  <c r="G307" i="1"/>
  <c r="C307" i="1"/>
  <c r="L306" i="1"/>
  <c r="M306" i="1" s="1"/>
  <c r="K306" i="1"/>
  <c r="J306" i="1"/>
  <c r="G306" i="1"/>
  <c r="C306" i="1"/>
  <c r="L305" i="1"/>
  <c r="M305" i="1" s="1"/>
  <c r="K305" i="1"/>
  <c r="J305" i="1"/>
  <c r="G305" i="1"/>
  <c r="C305" i="1"/>
  <c r="L304" i="1"/>
  <c r="M304" i="1" s="1"/>
  <c r="K304" i="1"/>
  <c r="J304" i="1"/>
  <c r="G304" i="1"/>
  <c r="C304" i="1"/>
  <c r="L303" i="1"/>
  <c r="M303" i="1" s="1"/>
  <c r="K303" i="1"/>
  <c r="J303" i="1"/>
  <c r="G303" i="1"/>
  <c r="C303" i="1"/>
  <c r="L302" i="1"/>
  <c r="M302" i="1" s="1"/>
  <c r="K302" i="1"/>
  <c r="J302" i="1"/>
  <c r="G302" i="1"/>
  <c r="C302" i="1"/>
  <c r="L301" i="1"/>
  <c r="M301" i="1" s="1"/>
  <c r="K301" i="1"/>
  <c r="J301" i="1"/>
  <c r="G301" i="1"/>
  <c r="C301" i="1"/>
  <c r="L300" i="1"/>
  <c r="M300" i="1" s="1"/>
  <c r="K300" i="1"/>
  <c r="J300" i="1"/>
  <c r="G300" i="1"/>
  <c r="C300" i="1"/>
  <c r="L299" i="1"/>
  <c r="M299" i="1" s="1"/>
  <c r="K299" i="1"/>
  <c r="J299" i="1"/>
  <c r="G299" i="1"/>
  <c r="C299" i="1"/>
  <c r="L298" i="1"/>
  <c r="M298" i="1" s="1"/>
  <c r="K298" i="1"/>
  <c r="J298" i="1"/>
  <c r="G298" i="1"/>
  <c r="C298" i="1"/>
  <c r="L297" i="1"/>
  <c r="M297" i="1" s="1"/>
  <c r="K297" i="1"/>
  <c r="J297" i="1"/>
  <c r="G297" i="1"/>
  <c r="C297" i="1"/>
  <c r="L296" i="1"/>
  <c r="M296" i="1" s="1"/>
  <c r="K296" i="1"/>
  <c r="J296" i="1"/>
  <c r="G296" i="1"/>
  <c r="C296" i="1"/>
  <c r="L295" i="1"/>
  <c r="M295" i="1" s="1"/>
  <c r="K295" i="1"/>
  <c r="J295" i="1"/>
  <c r="G295" i="1"/>
  <c r="C295" i="1"/>
  <c r="L294" i="1"/>
  <c r="M294" i="1" s="1"/>
  <c r="K294" i="1"/>
  <c r="J294" i="1"/>
  <c r="G294" i="1"/>
  <c r="C294" i="1"/>
  <c r="L293" i="1"/>
  <c r="M293" i="1" s="1"/>
  <c r="K293" i="1"/>
  <c r="J293" i="1"/>
  <c r="G293" i="1"/>
  <c r="C293" i="1"/>
  <c r="L292" i="1"/>
  <c r="M292" i="1" s="1"/>
  <c r="K292" i="1"/>
  <c r="J292" i="1"/>
  <c r="G292" i="1"/>
  <c r="C292" i="1"/>
  <c r="L291" i="1"/>
  <c r="M291" i="1" s="1"/>
  <c r="K291" i="1"/>
  <c r="J291" i="1"/>
  <c r="G291" i="1"/>
  <c r="C291" i="1"/>
  <c r="L290" i="1"/>
  <c r="M290" i="1" s="1"/>
  <c r="K290" i="1"/>
  <c r="J290" i="1"/>
  <c r="G290" i="1"/>
  <c r="C290" i="1"/>
  <c r="L289" i="1"/>
  <c r="M289" i="1" s="1"/>
  <c r="K289" i="1"/>
  <c r="J289" i="1"/>
  <c r="G289" i="1"/>
  <c r="C289" i="1"/>
  <c r="L288" i="1"/>
  <c r="M288" i="1" s="1"/>
  <c r="K288" i="1"/>
  <c r="J288" i="1"/>
  <c r="G288" i="1"/>
  <c r="C288" i="1"/>
  <c r="L287" i="1"/>
  <c r="M287" i="1" s="1"/>
  <c r="K287" i="1"/>
  <c r="J287" i="1"/>
  <c r="G287" i="1"/>
  <c r="C287" i="1"/>
  <c r="L286" i="1"/>
  <c r="M286" i="1" s="1"/>
  <c r="K286" i="1"/>
  <c r="J286" i="1"/>
  <c r="G286" i="1"/>
  <c r="C286" i="1"/>
  <c r="L285" i="1"/>
  <c r="M285" i="1" s="1"/>
  <c r="K285" i="1"/>
  <c r="J285" i="1"/>
  <c r="G285" i="1"/>
  <c r="C285" i="1"/>
  <c r="L284" i="1"/>
  <c r="M284" i="1" s="1"/>
  <c r="K284" i="1"/>
  <c r="J284" i="1"/>
  <c r="G284" i="1"/>
  <c r="C284" i="1"/>
  <c r="L283" i="1"/>
  <c r="M283" i="1" s="1"/>
  <c r="K283" i="1"/>
  <c r="J283" i="1"/>
  <c r="G283" i="1"/>
  <c r="C283" i="1"/>
  <c r="L282" i="1"/>
  <c r="M282" i="1" s="1"/>
  <c r="K282" i="1"/>
  <c r="J282" i="1"/>
  <c r="G282" i="1"/>
  <c r="C282" i="1"/>
  <c r="L281" i="1"/>
  <c r="M281" i="1" s="1"/>
  <c r="K281" i="1"/>
  <c r="J281" i="1"/>
  <c r="G281" i="1"/>
  <c r="C281" i="1"/>
  <c r="L280" i="1"/>
  <c r="M280" i="1" s="1"/>
  <c r="K280" i="1"/>
  <c r="J280" i="1"/>
  <c r="G280" i="1"/>
  <c r="C280" i="1"/>
  <c r="L279" i="1"/>
  <c r="M279" i="1" s="1"/>
  <c r="K279" i="1"/>
  <c r="J279" i="1"/>
  <c r="G279" i="1"/>
  <c r="C279" i="1"/>
  <c r="L278" i="1"/>
  <c r="M278" i="1" s="1"/>
  <c r="K278" i="1"/>
  <c r="J278" i="1"/>
  <c r="G278" i="1"/>
  <c r="C278" i="1"/>
  <c r="L277" i="1"/>
  <c r="M277" i="1" s="1"/>
  <c r="K277" i="1"/>
  <c r="J277" i="1"/>
  <c r="G277" i="1"/>
  <c r="C277" i="1"/>
  <c r="L276" i="1"/>
  <c r="M276" i="1" s="1"/>
  <c r="K276" i="1"/>
  <c r="J276" i="1"/>
  <c r="G276" i="1"/>
  <c r="C276" i="1"/>
  <c r="L275" i="1"/>
  <c r="M275" i="1" s="1"/>
  <c r="K275" i="1"/>
  <c r="J275" i="1"/>
  <c r="G275" i="1"/>
  <c r="C275" i="1"/>
  <c r="L274" i="1"/>
  <c r="M274" i="1" s="1"/>
  <c r="K274" i="1"/>
  <c r="J274" i="1"/>
  <c r="G274" i="1"/>
  <c r="C274" i="1"/>
  <c r="L273" i="1"/>
  <c r="M273" i="1" s="1"/>
  <c r="K273" i="1"/>
  <c r="J273" i="1"/>
  <c r="G273" i="1"/>
  <c r="C273" i="1"/>
  <c r="L272" i="1"/>
  <c r="M272" i="1" s="1"/>
  <c r="K272" i="1"/>
  <c r="J272" i="1"/>
  <c r="G272" i="1"/>
  <c r="C272" i="1"/>
  <c r="L271" i="1"/>
  <c r="M271" i="1" s="1"/>
  <c r="K271" i="1"/>
  <c r="J271" i="1"/>
  <c r="G271" i="1"/>
  <c r="C271" i="1"/>
  <c r="L270" i="1"/>
  <c r="M270" i="1" s="1"/>
  <c r="K270" i="1"/>
  <c r="J270" i="1"/>
  <c r="G270" i="1"/>
  <c r="C270" i="1"/>
  <c r="L269" i="1"/>
  <c r="M269" i="1" s="1"/>
  <c r="K269" i="1"/>
  <c r="J269" i="1"/>
  <c r="G269" i="1"/>
  <c r="C269" i="1"/>
  <c r="L268" i="1"/>
  <c r="M268" i="1" s="1"/>
  <c r="K268" i="1"/>
  <c r="J268" i="1"/>
  <c r="G268" i="1"/>
  <c r="C268" i="1"/>
  <c r="L267" i="1"/>
  <c r="M267" i="1" s="1"/>
  <c r="K267" i="1"/>
  <c r="J267" i="1"/>
  <c r="G267" i="1"/>
  <c r="C267" i="1"/>
  <c r="L266" i="1"/>
  <c r="M266" i="1" s="1"/>
  <c r="K266" i="1"/>
  <c r="J266" i="1"/>
  <c r="G266" i="1"/>
  <c r="C266" i="1"/>
  <c r="L265" i="1"/>
  <c r="M265" i="1" s="1"/>
  <c r="K265" i="1"/>
  <c r="J265" i="1"/>
  <c r="G265" i="1"/>
  <c r="C265" i="1"/>
  <c r="L264" i="1"/>
  <c r="M264" i="1" s="1"/>
  <c r="K264" i="1"/>
  <c r="J264" i="1"/>
  <c r="G264" i="1"/>
  <c r="C264" i="1"/>
  <c r="L263" i="1"/>
  <c r="M263" i="1" s="1"/>
  <c r="K263" i="1"/>
  <c r="J263" i="1"/>
  <c r="G263" i="1"/>
  <c r="C263" i="1"/>
  <c r="L262" i="1"/>
  <c r="M262" i="1" s="1"/>
  <c r="K262" i="1"/>
  <c r="J262" i="1"/>
  <c r="G262" i="1"/>
  <c r="C262" i="1"/>
  <c r="L261" i="1"/>
  <c r="M261" i="1" s="1"/>
  <c r="K261" i="1"/>
  <c r="J261" i="1"/>
  <c r="G261" i="1"/>
  <c r="C261" i="1"/>
  <c r="L260" i="1"/>
  <c r="M260" i="1" s="1"/>
  <c r="K260" i="1"/>
  <c r="J260" i="1"/>
  <c r="G260" i="1"/>
  <c r="C260" i="1"/>
  <c r="L259" i="1"/>
  <c r="M259" i="1" s="1"/>
  <c r="K259" i="1"/>
  <c r="J259" i="1"/>
  <c r="G259" i="1"/>
  <c r="C259" i="1"/>
  <c r="L258" i="1"/>
  <c r="M258" i="1" s="1"/>
  <c r="K258" i="1"/>
  <c r="J258" i="1"/>
  <c r="G258" i="1"/>
  <c r="C258" i="1"/>
  <c r="L257" i="1"/>
  <c r="M257" i="1" s="1"/>
  <c r="K257" i="1"/>
  <c r="J257" i="1"/>
  <c r="G257" i="1"/>
  <c r="C257" i="1"/>
  <c r="L256" i="1"/>
  <c r="M256" i="1" s="1"/>
  <c r="K256" i="1"/>
  <c r="J256" i="1"/>
  <c r="G256" i="1"/>
  <c r="C256" i="1"/>
  <c r="L255" i="1"/>
  <c r="M255" i="1" s="1"/>
  <c r="K255" i="1"/>
  <c r="J255" i="1"/>
  <c r="G255" i="1"/>
  <c r="C255" i="1"/>
  <c r="L254" i="1"/>
  <c r="M254" i="1" s="1"/>
  <c r="K254" i="1"/>
  <c r="J254" i="1"/>
  <c r="G254" i="1"/>
  <c r="C254" i="1"/>
  <c r="L253" i="1"/>
  <c r="M253" i="1" s="1"/>
  <c r="K253" i="1"/>
  <c r="J253" i="1"/>
  <c r="G253" i="1"/>
  <c r="C253" i="1"/>
  <c r="L252" i="1"/>
  <c r="M252" i="1" s="1"/>
  <c r="K252" i="1"/>
  <c r="J252" i="1"/>
  <c r="G252" i="1"/>
  <c r="C252" i="1"/>
  <c r="L251" i="1"/>
  <c r="M251" i="1" s="1"/>
  <c r="K251" i="1"/>
  <c r="J251" i="1"/>
  <c r="G251" i="1"/>
  <c r="C251" i="1"/>
  <c r="L250" i="1"/>
  <c r="M250" i="1" s="1"/>
  <c r="K250" i="1"/>
  <c r="J250" i="1"/>
  <c r="G250" i="1"/>
  <c r="C250" i="1"/>
  <c r="L249" i="1"/>
  <c r="M249" i="1" s="1"/>
  <c r="K249" i="1"/>
  <c r="J249" i="1"/>
  <c r="G249" i="1"/>
  <c r="C249" i="1"/>
  <c r="L248" i="1"/>
  <c r="M248" i="1" s="1"/>
  <c r="K248" i="1"/>
  <c r="J248" i="1"/>
  <c r="G248" i="1"/>
  <c r="C248" i="1"/>
  <c r="L247" i="1"/>
  <c r="M247" i="1" s="1"/>
  <c r="K247" i="1"/>
  <c r="J247" i="1"/>
  <c r="G247" i="1"/>
  <c r="C247" i="1"/>
  <c r="L246" i="1"/>
  <c r="M246" i="1" s="1"/>
  <c r="K246" i="1"/>
  <c r="J246" i="1"/>
  <c r="G246" i="1"/>
  <c r="C246" i="1"/>
  <c r="L245" i="1"/>
  <c r="M245" i="1" s="1"/>
  <c r="K245" i="1"/>
  <c r="J245" i="1"/>
  <c r="G245" i="1"/>
  <c r="C245" i="1"/>
  <c r="L244" i="1"/>
  <c r="M244" i="1" s="1"/>
  <c r="K244" i="1"/>
  <c r="J244" i="1"/>
  <c r="G244" i="1"/>
  <c r="C244" i="1"/>
  <c r="L243" i="1"/>
  <c r="M243" i="1" s="1"/>
  <c r="K243" i="1"/>
  <c r="J243" i="1"/>
  <c r="G243" i="1"/>
  <c r="C243" i="1"/>
  <c r="L242" i="1"/>
  <c r="M242" i="1" s="1"/>
  <c r="K242" i="1"/>
  <c r="J242" i="1"/>
  <c r="G242" i="1"/>
  <c r="C242" i="1"/>
  <c r="L241" i="1"/>
  <c r="M241" i="1" s="1"/>
  <c r="K241" i="1"/>
  <c r="J241" i="1"/>
  <c r="G241" i="1"/>
  <c r="C241" i="1"/>
  <c r="L240" i="1"/>
  <c r="M240" i="1" s="1"/>
  <c r="K240" i="1"/>
  <c r="J240" i="1"/>
  <c r="G240" i="1"/>
  <c r="C240" i="1"/>
  <c r="L239" i="1"/>
  <c r="M239" i="1" s="1"/>
  <c r="K239" i="1"/>
  <c r="J239" i="1"/>
  <c r="G239" i="1"/>
  <c r="C239" i="1"/>
  <c r="L238" i="1"/>
  <c r="M238" i="1" s="1"/>
  <c r="K238" i="1"/>
  <c r="J238" i="1"/>
  <c r="G238" i="1"/>
  <c r="C238" i="1"/>
  <c r="L237" i="1"/>
  <c r="M237" i="1" s="1"/>
  <c r="K237" i="1"/>
  <c r="J237" i="1"/>
  <c r="G237" i="1"/>
  <c r="C237" i="1"/>
  <c r="L236" i="1"/>
  <c r="M236" i="1" s="1"/>
  <c r="K236" i="1"/>
  <c r="J236" i="1"/>
  <c r="G236" i="1"/>
  <c r="C236" i="1"/>
  <c r="L235" i="1"/>
  <c r="M235" i="1" s="1"/>
  <c r="K235" i="1"/>
  <c r="J235" i="1"/>
  <c r="G235" i="1"/>
  <c r="C235" i="1"/>
  <c r="L234" i="1"/>
  <c r="M234" i="1" s="1"/>
  <c r="K234" i="1"/>
  <c r="J234" i="1"/>
  <c r="G234" i="1"/>
  <c r="C234" i="1"/>
  <c r="L233" i="1"/>
  <c r="M233" i="1" s="1"/>
  <c r="K233" i="1"/>
  <c r="J233" i="1"/>
  <c r="G233" i="1"/>
  <c r="C233" i="1"/>
  <c r="L232" i="1"/>
  <c r="M232" i="1" s="1"/>
  <c r="K232" i="1"/>
  <c r="J232" i="1"/>
  <c r="G232" i="1"/>
  <c r="C232" i="1"/>
  <c r="L231" i="1"/>
  <c r="M231" i="1" s="1"/>
  <c r="K231" i="1"/>
  <c r="J231" i="1"/>
  <c r="G231" i="1"/>
  <c r="C231" i="1"/>
  <c r="L230" i="1"/>
  <c r="M230" i="1" s="1"/>
  <c r="K230" i="1"/>
  <c r="J230" i="1"/>
  <c r="G230" i="1"/>
  <c r="C230" i="1"/>
  <c r="L229" i="1"/>
  <c r="M229" i="1" s="1"/>
  <c r="K229" i="1"/>
  <c r="J229" i="1"/>
  <c r="G229" i="1"/>
  <c r="C229" i="1"/>
  <c r="L228" i="1"/>
  <c r="M228" i="1" s="1"/>
  <c r="K228" i="1"/>
  <c r="J228" i="1"/>
  <c r="G228" i="1"/>
  <c r="C228" i="1"/>
  <c r="L227" i="1"/>
  <c r="M227" i="1" s="1"/>
  <c r="K227" i="1"/>
  <c r="J227" i="1"/>
  <c r="G227" i="1"/>
  <c r="C227" i="1"/>
  <c r="L226" i="1"/>
  <c r="M226" i="1" s="1"/>
  <c r="K226" i="1"/>
  <c r="J226" i="1"/>
  <c r="G226" i="1"/>
  <c r="C226" i="1"/>
  <c r="L225" i="1"/>
  <c r="M225" i="1" s="1"/>
  <c r="K225" i="1"/>
  <c r="J225" i="1"/>
  <c r="G225" i="1"/>
  <c r="C225" i="1"/>
  <c r="L224" i="1"/>
  <c r="M224" i="1" s="1"/>
  <c r="K224" i="1"/>
  <c r="J224" i="1"/>
  <c r="G224" i="1"/>
  <c r="C224" i="1"/>
  <c r="L223" i="1"/>
  <c r="M223" i="1" s="1"/>
  <c r="K223" i="1"/>
  <c r="J223" i="1"/>
  <c r="G223" i="1"/>
  <c r="C223" i="1"/>
  <c r="L222" i="1"/>
  <c r="M222" i="1" s="1"/>
  <c r="K222" i="1"/>
  <c r="J222" i="1"/>
  <c r="G222" i="1"/>
  <c r="C222" i="1"/>
  <c r="L221" i="1"/>
  <c r="M221" i="1" s="1"/>
  <c r="K221" i="1"/>
  <c r="J221" i="1"/>
  <c r="G221" i="1"/>
  <c r="C221" i="1"/>
  <c r="L220" i="1"/>
  <c r="M220" i="1" s="1"/>
  <c r="K220" i="1"/>
  <c r="J220" i="1"/>
  <c r="G220" i="1"/>
  <c r="C220" i="1"/>
  <c r="L219" i="1"/>
  <c r="M219" i="1" s="1"/>
  <c r="K219" i="1"/>
  <c r="J219" i="1"/>
  <c r="G219" i="1"/>
  <c r="C219" i="1"/>
  <c r="L218" i="1"/>
  <c r="M218" i="1" s="1"/>
  <c r="K218" i="1"/>
  <c r="J218" i="1"/>
  <c r="G218" i="1"/>
  <c r="C218" i="1"/>
  <c r="L217" i="1"/>
  <c r="M217" i="1" s="1"/>
  <c r="K217" i="1"/>
  <c r="J217" i="1"/>
  <c r="G217" i="1"/>
  <c r="C217" i="1"/>
  <c r="Y196" i="1" l="1"/>
  <c r="AH196" i="1" s="1"/>
  <c r="Z196" i="1"/>
  <c r="AI196" i="1" s="1"/>
  <c r="Y187" i="1"/>
  <c r="AH187" i="1" s="1"/>
  <c r="Z187" i="1"/>
  <c r="AI187" i="1" s="1"/>
  <c r="Y180" i="1"/>
  <c r="AH180" i="1" s="1"/>
  <c r="Z180" i="1"/>
  <c r="AI180" i="1" s="1"/>
  <c r="Y171" i="1"/>
  <c r="AH171" i="1" s="1"/>
  <c r="Z171" i="1"/>
  <c r="AI171" i="1" s="1"/>
  <c r="X148" i="1"/>
  <c r="AG148" i="1" s="1"/>
  <c r="Y179" i="1"/>
  <c r="AH179" i="1" s="1"/>
  <c r="X214" i="1"/>
  <c r="AG214" i="1" s="1"/>
  <c r="X198" i="1"/>
  <c r="AG198" i="1" s="1"/>
  <c r="Z198" i="1"/>
  <c r="AI198" i="1" s="1"/>
  <c r="Y159" i="1"/>
  <c r="AH159" i="1" s="1"/>
  <c r="Y209" i="1"/>
  <c r="AH209" i="1" s="1"/>
  <c r="Y184" i="1"/>
  <c r="AH184" i="1" s="1"/>
  <c r="X203" i="1"/>
  <c r="AG203" i="1" s="1"/>
  <c r="Z164" i="1"/>
  <c r="AI164" i="1" s="1"/>
  <c r="Y148" i="1"/>
  <c r="AH148" i="1" s="1"/>
  <c r="M179" i="1"/>
  <c r="Y199" i="1"/>
  <c r="AH199" i="1" s="1"/>
  <c r="X206" i="1"/>
  <c r="AG206" i="1" s="1"/>
  <c r="X189" i="1"/>
  <c r="AG189" i="1" s="1"/>
  <c r="Y162" i="1"/>
  <c r="AH162" i="1" s="1"/>
  <c r="Z176" i="1"/>
  <c r="AI176" i="1" s="1"/>
  <c r="Y176" i="1"/>
  <c r="AH176" i="1" s="1"/>
  <c r="M209" i="1"/>
  <c r="Z209" i="1" s="1"/>
  <c r="AI209" i="1" s="1"/>
  <c r="Y197" i="1"/>
  <c r="AH197" i="1" s="1"/>
  <c r="Y183" i="1"/>
  <c r="AH183" i="1" s="1"/>
  <c r="W158" i="1"/>
  <c r="AF158" i="1" s="1"/>
  <c r="X207" i="1"/>
  <c r="AG207" i="1" s="1"/>
  <c r="Y206" i="1"/>
  <c r="AH206" i="1" s="1"/>
  <c r="Y181" i="1"/>
  <c r="AH181" i="1" s="1"/>
  <c r="M181" i="1"/>
  <c r="X147" i="1"/>
  <c r="AG147" i="1" s="1"/>
  <c r="Y147" i="1"/>
  <c r="AH147" i="1" s="1"/>
  <c r="M147" i="1"/>
  <c r="Z147" i="1" s="1"/>
  <c r="AI147" i="1" s="1"/>
  <c r="Y160" i="1"/>
  <c r="AH160" i="1" s="1"/>
  <c r="W160" i="1"/>
  <c r="AF160" i="1" s="1"/>
  <c r="W178" i="1"/>
  <c r="AF178" i="1" s="1"/>
  <c r="X173" i="1"/>
  <c r="AG173" i="1" s="1"/>
  <c r="M183" i="1"/>
  <c r="Z183" i="1" s="1"/>
  <c r="AI183" i="1" s="1"/>
  <c r="Y173" i="1"/>
  <c r="AH173" i="1" s="1"/>
  <c r="Y185" i="1"/>
  <c r="AH185" i="1" s="1"/>
  <c r="X146" i="1"/>
  <c r="AG146" i="1" s="1"/>
  <c r="M173" i="1"/>
  <c r="Z173" i="1" s="1"/>
  <c r="AI173" i="1" s="1"/>
  <c r="X202" i="1"/>
  <c r="AG202" i="1" s="1"/>
  <c r="Y169" i="1"/>
  <c r="AH169" i="1" s="1"/>
  <c r="W199" i="1"/>
  <c r="AF199" i="1" s="1"/>
  <c r="M202" i="1"/>
  <c r="N202" i="1" s="1"/>
  <c r="Y202" i="1"/>
  <c r="AH202" i="1" s="1"/>
  <c r="Y156" i="1"/>
  <c r="AH156" i="1" s="1"/>
  <c r="M206" i="1"/>
  <c r="Y146" i="1"/>
  <c r="AH146" i="1" s="1"/>
  <c r="W146" i="1"/>
  <c r="AF146" i="1" s="1"/>
  <c r="Y178" i="1"/>
  <c r="AH178" i="1" s="1"/>
  <c r="X182" i="1"/>
  <c r="AG182" i="1" s="1"/>
  <c r="X149" i="1"/>
  <c r="AG149" i="1" s="1"/>
  <c r="W170" i="1"/>
  <c r="AF170" i="1" s="1"/>
  <c r="Y182" i="1"/>
  <c r="AH182" i="1" s="1"/>
  <c r="Y151" i="1"/>
  <c r="AH151" i="1" s="1"/>
  <c r="M182" i="1"/>
  <c r="N182" i="1" s="1"/>
  <c r="W167" i="1"/>
  <c r="AF167" i="1" s="1"/>
  <c r="W174" i="1"/>
  <c r="AF174" i="1" s="1"/>
  <c r="Y167" i="1"/>
  <c r="AH167" i="1" s="1"/>
  <c r="N198" i="1"/>
  <c r="AA198" i="1" s="1"/>
  <c r="AJ198" i="1" s="1"/>
  <c r="Y170" i="1"/>
  <c r="AH170" i="1" s="1"/>
  <c r="X210" i="1"/>
  <c r="AG210" i="1" s="1"/>
  <c r="Y152" i="1"/>
  <c r="AH152" i="1" s="1"/>
  <c r="Y158" i="1"/>
  <c r="AH158" i="1" s="1"/>
  <c r="M185" i="1"/>
  <c r="Z185" i="1" s="1"/>
  <c r="AI185" i="1" s="1"/>
  <c r="X212" i="1"/>
  <c r="AG212" i="1" s="1"/>
  <c r="Y213" i="1"/>
  <c r="AH213" i="1" s="1"/>
  <c r="X215" i="1"/>
  <c r="AG215" i="1" s="1"/>
  <c r="Y163" i="1"/>
  <c r="AH163" i="1" s="1"/>
  <c r="Y172" i="1"/>
  <c r="AH172" i="1" s="1"/>
  <c r="Y177" i="1"/>
  <c r="AH177" i="1" s="1"/>
  <c r="Y211" i="1"/>
  <c r="AH211" i="1" s="1"/>
  <c r="Y212" i="1"/>
  <c r="AH212" i="1" s="1"/>
  <c r="Y191" i="1"/>
  <c r="AH191" i="1" s="1"/>
  <c r="Y203" i="1"/>
  <c r="AH203" i="1" s="1"/>
  <c r="Y168" i="1"/>
  <c r="AH168" i="1" s="1"/>
  <c r="Y188" i="1"/>
  <c r="AH188" i="1" s="1"/>
  <c r="Y189" i="1"/>
  <c r="AH189" i="1" s="1"/>
  <c r="Y198" i="1"/>
  <c r="AH198" i="1" s="1"/>
  <c r="Y207" i="1"/>
  <c r="AH207" i="1" s="1"/>
  <c r="X209" i="1"/>
  <c r="AG209" i="1" s="1"/>
  <c r="M170" i="1"/>
  <c r="M169" i="1"/>
  <c r="Z169" i="1" s="1"/>
  <c r="AI169" i="1" s="1"/>
  <c r="Z165" i="1"/>
  <c r="AI165" i="1" s="1"/>
  <c r="M167" i="1"/>
  <c r="Z167" i="1" s="1"/>
  <c r="AI167" i="1" s="1"/>
  <c r="Z163" i="1"/>
  <c r="AI163" i="1" s="1"/>
  <c r="Z160" i="1"/>
  <c r="AI160" i="1" s="1"/>
  <c r="M156" i="1"/>
  <c r="Z158" i="1"/>
  <c r="AI158" i="1" s="1"/>
  <c r="Z153" i="1"/>
  <c r="AI153" i="1" s="1"/>
  <c r="Y153" i="1"/>
  <c r="AH153" i="1" s="1"/>
  <c r="M151" i="1"/>
  <c r="Z150" i="1"/>
  <c r="AI150" i="1" s="1"/>
  <c r="Z148" i="1"/>
  <c r="AI148" i="1" s="1"/>
  <c r="N148" i="1"/>
  <c r="Z201" i="1"/>
  <c r="AI201" i="1" s="1"/>
  <c r="W175" i="1"/>
  <c r="AF175" i="1" s="1"/>
  <c r="Y204" i="1"/>
  <c r="AH204" i="1" s="1"/>
  <c r="N207" i="1"/>
  <c r="Z207" i="1"/>
  <c r="AI207" i="1" s="1"/>
  <c r="X201" i="1"/>
  <c r="AG201" i="1" s="1"/>
  <c r="X213" i="1"/>
  <c r="AG213" i="1" s="1"/>
  <c r="M152" i="1"/>
  <c r="X195" i="1"/>
  <c r="AG195" i="1" s="1"/>
  <c r="Y149" i="1"/>
  <c r="AH149" i="1" s="1"/>
  <c r="Y161" i="1"/>
  <c r="AH161" i="1" s="1"/>
  <c r="Y195" i="1"/>
  <c r="AH195" i="1" s="1"/>
  <c r="M195" i="1"/>
  <c r="N195" i="1" s="1"/>
  <c r="N201" i="1"/>
  <c r="Z149" i="1"/>
  <c r="AI149" i="1" s="1"/>
  <c r="Z186" i="1"/>
  <c r="AI186" i="1" s="1"/>
  <c r="N215" i="1"/>
  <c r="Z215" i="1"/>
  <c r="AI215" i="1" s="1"/>
  <c r="N149" i="1"/>
  <c r="W208" i="1"/>
  <c r="AF208" i="1" s="1"/>
  <c r="X208" i="1"/>
  <c r="AG208" i="1" s="1"/>
  <c r="M168" i="1"/>
  <c r="M159" i="1"/>
  <c r="Z205" i="1"/>
  <c r="AI205" i="1" s="1"/>
  <c r="Y210" i="1"/>
  <c r="AH210" i="1" s="1"/>
  <c r="Z212" i="1"/>
  <c r="AI212" i="1" s="1"/>
  <c r="Y201" i="1"/>
  <c r="AH201" i="1" s="1"/>
  <c r="M210" i="1"/>
  <c r="N212" i="1"/>
  <c r="M189" i="1"/>
  <c r="M213" i="1"/>
  <c r="N213" i="1" s="1"/>
  <c r="Y186" i="1"/>
  <c r="AH186" i="1" s="1"/>
  <c r="Z146" i="1"/>
  <c r="AI146" i="1" s="1"/>
  <c r="Z172" i="1"/>
  <c r="AI172" i="1" s="1"/>
  <c r="W204" i="1"/>
  <c r="AF204" i="1" s="1"/>
  <c r="X204" i="1"/>
  <c r="AG204" i="1" s="1"/>
  <c r="M177" i="1"/>
  <c r="W163" i="1"/>
  <c r="AF163" i="1" s="1"/>
  <c r="X164" i="1"/>
  <c r="AG164" i="1" s="1"/>
  <c r="Y214" i="1"/>
  <c r="AH214" i="1" s="1"/>
  <c r="Z214" i="1"/>
  <c r="AI214" i="1" s="1"/>
  <c r="Z204" i="1"/>
  <c r="AI204" i="1" s="1"/>
  <c r="N204" i="1"/>
  <c r="Y164" i="1"/>
  <c r="AH164" i="1" s="1"/>
  <c r="Y165" i="1"/>
  <c r="AH165" i="1" s="1"/>
  <c r="Z178" i="1"/>
  <c r="AI178" i="1" s="1"/>
  <c r="Y190" i="1"/>
  <c r="AH190" i="1" s="1"/>
  <c r="Y155" i="1"/>
  <c r="AH155" i="1" s="1"/>
  <c r="M184" i="1"/>
  <c r="M190" i="1"/>
  <c r="Z208" i="1"/>
  <c r="AI208" i="1" s="1"/>
  <c r="Z161" i="1"/>
  <c r="AI161" i="1" s="1"/>
  <c r="N208" i="1"/>
  <c r="X205" i="1"/>
  <c r="AG205" i="1" s="1"/>
  <c r="Y208" i="1"/>
  <c r="AH208" i="1" s="1"/>
  <c r="Y150" i="1"/>
  <c r="AH150" i="1" s="1"/>
  <c r="Y205" i="1"/>
  <c r="AH205" i="1" s="1"/>
  <c r="Z155" i="1"/>
  <c r="AI155" i="1" s="1"/>
  <c r="N205" i="1"/>
  <c r="N146" i="1"/>
  <c r="W183" i="1"/>
  <c r="AF183" i="1" s="1"/>
  <c r="Z188" i="1"/>
  <c r="AI188" i="1" s="1"/>
  <c r="Z162" i="1"/>
  <c r="AI162" i="1" s="1"/>
  <c r="Y175" i="1"/>
  <c r="AH175" i="1" s="1"/>
  <c r="M175" i="1"/>
  <c r="N211" i="1"/>
  <c r="Z211" i="1"/>
  <c r="AI211" i="1" s="1"/>
  <c r="Y194" i="1"/>
  <c r="AH194" i="1" s="1"/>
  <c r="M194" i="1"/>
  <c r="Z197" i="1"/>
  <c r="AI197" i="1" s="1"/>
  <c r="Y174" i="1"/>
  <c r="AH174" i="1" s="1"/>
  <c r="Y200" i="1"/>
  <c r="AH200" i="1" s="1"/>
  <c r="N203" i="1"/>
  <c r="Z203" i="1"/>
  <c r="AI203" i="1" s="1"/>
  <c r="N214" i="1"/>
  <c r="Z174" i="1"/>
  <c r="AI174" i="1" s="1"/>
  <c r="Z191" i="1"/>
  <c r="AI191" i="1" s="1"/>
  <c r="Z200" i="1"/>
  <c r="AI200" i="1" s="1"/>
  <c r="W211" i="1"/>
  <c r="AF211" i="1" s="1"/>
  <c r="X211" i="1"/>
  <c r="AG211" i="1" s="1"/>
  <c r="Z199" i="1"/>
  <c r="AI199" i="1" s="1"/>
  <c r="Y215" i="1"/>
  <c r="AH215" i="1" s="1"/>
  <c r="N326" i="1"/>
  <c r="N340" i="1"/>
  <c r="N258" i="1"/>
  <c r="N237" i="1"/>
  <c r="N308" i="1"/>
  <c r="N271" i="1"/>
  <c r="N248" i="1"/>
  <c r="N314" i="1"/>
  <c r="N225" i="1"/>
  <c r="N242" i="1"/>
  <c r="N260" i="1"/>
  <c r="N331" i="1"/>
  <c r="N295" i="1"/>
  <c r="N275" i="1"/>
  <c r="N291" i="1"/>
  <c r="N257" i="1"/>
  <c r="N267" i="1"/>
  <c r="N272" i="1"/>
  <c r="N241" i="1"/>
  <c r="N273" i="1"/>
  <c r="N311" i="1"/>
  <c r="N320" i="1"/>
  <c r="N252" i="1"/>
  <c r="N217" i="1"/>
  <c r="N243" i="1"/>
  <c r="N292" i="1"/>
  <c r="N317" i="1"/>
  <c r="N330" i="1"/>
  <c r="N342" i="1"/>
  <c r="N307" i="1"/>
  <c r="N221" i="1"/>
  <c r="N239" i="1"/>
  <c r="N284" i="1"/>
  <c r="N306" i="1"/>
  <c r="N222" i="1"/>
  <c r="N256" i="1"/>
  <c r="N266" i="1"/>
  <c r="N299" i="1"/>
  <c r="N218" i="1"/>
  <c r="N228" i="1"/>
  <c r="N230" i="1"/>
  <c r="N262" i="1"/>
  <c r="N335" i="1"/>
  <c r="N319" i="1"/>
  <c r="N259" i="1"/>
  <c r="N224" i="1"/>
  <c r="N264" i="1"/>
  <c r="N279" i="1"/>
  <c r="N293" i="1"/>
  <c r="N245" i="1"/>
  <c r="N344" i="1"/>
  <c r="N227" i="1"/>
  <c r="N276" i="1"/>
  <c r="N236" i="1"/>
  <c r="N270" i="1"/>
  <c r="N288" i="1"/>
  <c r="N234" i="1"/>
  <c r="N244" i="1"/>
  <c r="N251" i="1"/>
  <c r="N290" i="1"/>
  <c r="N301" i="1"/>
  <c r="N313" i="1"/>
  <c r="N325" i="1"/>
  <c r="N238" i="1"/>
  <c r="N249" i="1"/>
  <c r="N283" i="1"/>
  <c r="N341" i="1"/>
  <c r="N229" i="1"/>
  <c r="N280" i="1"/>
  <c r="N294" i="1"/>
  <c r="N310" i="1"/>
  <c r="N219" i="1"/>
  <c r="N240" i="1"/>
  <c r="N255" i="1"/>
  <c r="N263" i="1"/>
  <c r="N287" i="1"/>
  <c r="N329" i="1"/>
  <c r="N343" i="1"/>
  <c r="N223" i="1"/>
  <c r="N235" i="1"/>
  <c r="N282" i="1"/>
  <c r="N332" i="1"/>
  <c r="N300" i="1"/>
  <c r="N304" i="1"/>
  <c r="N336" i="1"/>
  <c r="N220" i="1"/>
  <c r="N231" i="1"/>
  <c r="N303" i="1"/>
  <c r="N321" i="1"/>
  <c r="N338" i="1"/>
  <c r="N286" i="1"/>
  <c r="N265" i="1"/>
  <c r="N323" i="1"/>
  <c r="N333" i="1"/>
  <c r="N337" i="1"/>
  <c r="N274" i="1"/>
  <c r="N309" i="1"/>
  <c r="N322" i="1"/>
  <c r="N250" i="1"/>
  <c r="N305" i="1"/>
  <c r="N328" i="1"/>
  <c r="N226" i="1"/>
  <c r="N247" i="1"/>
  <c r="N269" i="1"/>
  <c r="N278" i="1"/>
  <c r="N289" i="1"/>
  <c r="N296" i="1"/>
  <c r="N312" i="1"/>
  <c r="N315" i="1"/>
  <c r="N334" i="1"/>
  <c r="N246" i="1"/>
  <c r="N254" i="1"/>
  <c r="N261" i="1"/>
  <c r="N277" i="1"/>
  <c r="N281" i="1"/>
  <c r="N318" i="1"/>
  <c r="N324" i="1"/>
  <c r="N346" i="1"/>
  <c r="N233" i="1"/>
  <c r="N253" i="1"/>
  <c r="N285" i="1"/>
  <c r="N298" i="1"/>
  <c r="N302" i="1"/>
  <c r="N327" i="1"/>
  <c r="N232" i="1"/>
  <c r="N268" i="1"/>
  <c r="N316" i="1"/>
  <c r="N339" i="1"/>
  <c r="N297" i="1"/>
  <c r="N345" i="1"/>
  <c r="M44" i="2"/>
  <c r="N173" i="1" l="1"/>
  <c r="AA173" i="1" s="1"/>
  <c r="AJ173" i="1" s="1"/>
  <c r="Z179" i="1"/>
  <c r="AI179" i="1" s="1"/>
  <c r="Z202" i="1"/>
  <c r="AI202" i="1" s="1"/>
  <c r="N209" i="1"/>
  <c r="AA209" i="1" s="1"/>
  <c r="AJ209" i="1" s="1"/>
  <c r="N147" i="1"/>
  <c r="AA147" i="1" s="1"/>
  <c r="AJ147" i="1" s="1"/>
  <c r="Z206" i="1"/>
  <c r="AI206" i="1" s="1"/>
  <c r="N206" i="1"/>
  <c r="AA206" i="1" s="1"/>
  <c r="AJ206" i="1" s="1"/>
  <c r="Z151" i="1"/>
  <c r="AI151" i="1" s="1"/>
  <c r="Z181" i="1"/>
  <c r="AI181" i="1" s="1"/>
  <c r="Z182" i="1"/>
  <c r="AI182" i="1" s="1"/>
  <c r="Z170" i="1"/>
  <c r="AI170" i="1" s="1"/>
  <c r="Z156" i="1"/>
  <c r="AI156" i="1" s="1"/>
  <c r="AA146" i="1"/>
  <c r="AJ146" i="1" s="1"/>
  <c r="Z189" i="1"/>
  <c r="AI189" i="1" s="1"/>
  <c r="N189" i="1"/>
  <c r="AA208" i="1"/>
  <c r="AJ208" i="1" s="1"/>
  <c r="AA204" i="1"/>
  <c r="AJ204" i="1" s="1"/>
  <c r="Z177" i="1"/>
  <c r="AI177" i="1" s="1"/>
  <c r="Z210" i="1"/>
  <c r="AI210" i="1" s="1"/>
  <c r="AA214" i="1"/>
  <c r="AJ214" i="1" s="1"/>
  <c r="N210" i="1"/>
  <c r="Z190" i="1"/>
  <c r="AI190" i="1" s="1"/>
  <c r="AA215" i="1"/>
  <c r="AJ215" i="1" s="1"/>
  <c r="AA213" i="1"/>
  <c r="AJ213" i="1" s="1"/>
  <c r="AA207" i="1"/>
  <c r="AJ207" i="1" s="1"/>
  <c r="AA182" i="1"/>
  <c r="AJ182" i="1" s="1"/>
  <c r="Z184" i="1"/>
  <c r="AI184" i="1" s="1"/>
  <c r="AA201" i="1"/>
  <c r="AJ201" i="1" s="1"/>
  <c r="AA148" i="1"/>
  <c r="AJ148" i="1" s="1"/>
  <c r="Z195" i="1"/>
  <c r="AI195" i="1" s="1"/>
  <c r="AA164" i="1"/>
  <c r="AJ164" i="1" s="1"/>
  <c r="AA205" i="1"/>
  <c r="AJ205" i="1" s="1"/>
  <c r="AA202" i="1"/>
  <c r="AJ202" i="1" s="1"/>
  <c r="AA195" i="1"/>
  <c r="AJ195" i="1" s="1"/>
  <c r="AA203" i="1"/>
  <c r="AJ203" i="1" s="1"/>
  <c r="Z159" i="1"/>
  <c r="AI159" i="1" s="1"/>
  <c r="Z168" i="1"/>
  <c r="AI168" i="1" s="1"/>
  <c r="AA212" i="1"/>
  <c r="AJ212" i="1" s="1"/>
  <c r="Z152" i="1"/>
  <c r="AI152" i="1" s="1"/>
  <c r="Z194" i="1"/>
  <c r="AI194" i="1" s="1"/>
  <c r="AA211" i="1"/>
  <c r="AJ211" i="1" s="1"/>
  <c r="Z175" i="1"/>
  <c r="AI175" i="1" s="1"/>
  <c r="Z213" i="1"/>
  <c r="AI213" i="1" s="1"/>
  <c r="AA149" i="1"/>
  <c r="AJ149" i="1" s="1"/>
  <c r="H2" i="29"/>
  <c r="AA189" i="1" l="1"/>
  <c r="AJ189" i="1" s="1"/>
  <c r="AA210" i="1"/>
  <c r="AJ210" i="1" s="1"/>
  <c r="C66" i="2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G48" i="2" s="1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50" i="2"/>
  <c r="G83" i="2" s="1"/>
  <c r="AD38" i="2" l="1"/>
  <c r="S44" i="2"/>
  <c r="S38" i="2"/>
  <c r="AD43" i="2" s="1"/>
  <c r="R27" i="21" s="1"/>
  <c r="B84" i="2"/>
  <c r="U83" i="2"/>
  <c r="U68" i="2"/>
  <c r="U53" i="2"/>
  <c r="D84" i="2" s="1"/>
  <c r="B20" i="50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J144" i="1"/>
  <c r="W144" i="1" s="1"/>
  <c r="J143" i="1"/>
  <c r="W143" i="1" s="1"/>
  <c r="J142" i="1"/>
  <c r="W142" i="1" s="1"/>
  <c r="J141" i="1"/>
  <c r="W141" i="1" s="1"/>
  <c r="J140" i="1"/>
  <c r="W140" i="1" s="1"/>
  <c r="J139" i="1"/>
  <c r="W139" i="1" s="1"/>
  <c r="J138" i="1"/>
  <c r="W138" i="1" s="1"/>
  <c r="J137" i="1"/>
  <c r="W137" i="1" s="1"/>
  <c r="J136" i="1"/>
  <c r="W136" i="1" s="1"/>
  <c r="J135" i="1"/>
  <c r="W135" i="1" s="1"/>
  <c r="J134" i="1"/>
  <c r="W134" i="1" s="1"/>
  <c r="J133" i="1"/>
  <c r="W133" i="1" s="1"/>
  <c r="J132" i="1"/>
  <c r="W132" i="1" s="1"/>
  <c r="J131" i="1"/>
  <c r="W131" i="1" s="1"/>
  <c r="J130" i="1"/>
  <c r="W130" i="1" s="1"/>
  <c r="J129" i="1"/>
  <c r="W129" i="1" s="1"/>
  <c r="J128" i="1"/>
  <c r="W128" i="1" s="1"/>
  <c r="J127" i="1"/>
  <c r="W127" i="1" s="1"/>
  <c r="J126" i="1"/>
  <c r="W126" i="1" s="1"/>
  <c r="J125" i="1"/>
  <c r="W125" i="1" s="1"/>
  <c r="J124" i="1"/>
  <c r="W124" i="1" s="1"/>
  <c r="J123" i="1"/>
  <c r="W123" i="1" s="1"/>
  <c r="J122" i="1"/>
  <c r="W122" i="1" s="1"/>
  <c r="J121" i="1"/>
  <c r="W121" i="1" s="1"/>
  <c r="J120" i="1"/>
  <c r="W120" i="1" s="1"/>
  <c r="J119" i="1"/>
  <c r="W119" i="1" s="1"/>
  <c r="J118" i="1"/>
  <c r="W118" i="1" s="1"/>
  <c r="J117" i="1"/>
  <c r="W117" i="1" s="1"/>
  <c r="J116" i="1"/>
  <c r="W116" i="1" s="1"/>
  <c r="J115" i="1"/>
  <c r="W115" i="1" s="1"/>
  <c r="J114" i="1"/>
  <c r="W114" i="1" s="1"/>
  <c r="J113" i="1"/>
  <c r="W113" i="1" s="1"/>
  <c r="J112" i="1"/>
  <c r="W112" i="1" s="1"/>
  <c r="J111" i="1"/>
  <c r="W111" i="1" s="1"/>
  <c r="J110" i="1"/>
  <c r="W110" i="1" s="1"/>
  <c r="J109" i="1"/>
  <c r="W109" i="1" s="1"/>
  <c r="J108" i="1"/>
  <c r="W108" i="1" s="1"/>
  <c r="J107" i="1"/>
  <c r="W107" i="1" s="1"/>
  <c r="J106" i="1"/>
  <c r="W106" i="1" s="1"/>
  <c r="J105" i="1"/>
  <c r="W105" i="1" s="1"/>
  <c r="J104" i="1"/>
  <c r="W104" i="1" s="1"/>
  <c r="J103" i="1"/>
  <c r="W103" i="1" s="1"/>
  <c r="J102" i="1"/>
  <c r="J101" i="1"/>
  <c r="J100" i="1"/>
  <c r="J99" i="1"/>
  <c r="J98" i="1"/>
  <c r="J97" i="1"/>
  <c r="W97" i="1" s="1"/>
  <c r="J96" i="1"/>
  <c r="J95" i="1"/>
  <c r="J94" i="1"/>
  <c r="J93" i="1"/>
  <c r="J92" i="1"/>
  <c r="J91" i="1"/>
  <c r="J90" i="1"/>
  <c r="J89" i="1"/>
  <c r="W89" i="1" s="1"/>
  <c r="J88" i="1"/>
  <c r="J87" i="1"/>
  <c r="J86" i="1"/>
  <c r="J85" i="1"/>
  <c r="J84" i="1"/>
  <c r="J83" i="1"/>
  <c r="W83" i="1" s="1"/>
  <c r="J82" i="1"/>
  <c r="J81" i="1"/>
  <c r="W81" i="1" s="1"/>
  <c r="J80" i="1"/>
  <c r="W80" i="1" s="1"/>
  <c r="J79" i="1"/>
  <c r="J78" i="1"/>
  <c r="J77" i="1"/>
  <c r="J76" i="1"/>
  <c r="J75" i="1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J6" i="1"/>
  <c r="L144" i="1"/>
  <c r="G144" i="1"/>
  <c r="C144" i="1"/>
  <c r="L143" i="1"/>
  <c r="G143" i="1"/>
  <c r="C143" i="1"/>
  <c r="L142" i="1"/>
  <c r="G142" i="1"/>
  <c r="C142" i="1"/>
  <c r="L141" i="1"/>
  <c r="G141" i="1"/>
  <c r="C141" i="1"/>
  <c r="L140" i="1"/>
  <c r="G140" i="1"/>
  <c r="C140" i="1"/>
  <c r="L139" i="1"/>
  <c r="G139" i="1"/>
  <c r="C139" i="1"/>
  <c r="L138" i="1"/>
  <c r="G138" i="1"/>
  <c r="C138" i="1"/>
  <c r="L137" i="1"/>
  <c r="G137" i="1"/>
  <c r="C137" i="1"/>
  <c r="L136" i="1"/>
  <c r="G136" i="1"/>
  <c r="C136" i="1"/>
  <c r="L135" i="1"/>
  <c r="G135" i="1"/>
  <c r="C135" i="1"/>
  <c r="L134" i="1"/>
  <c r="G134" i="1"/>
  <c r="C134" i="1"/>
  <c r="L133" i="1"/>
  <c r="G133" i="1"/>
  <c r="C133" i="1"/>
  <c r="L132" i="1"/>
  <c r="G132" i="1"/>
  <c r="C132" i="1"/>
  <c r="L131" i="1"/>
  <c r="G131" i="1"/>
  <c r="C131" i="1"/>
  <c r="L130" i="1"/>
  <c r="G130" i="1"/>
  <c r="C130" i="1"/>
  <c r="L129" i="1"/>
  <c r="G129" i="1"/>
  <c r="C129" i="1"/>
  <c r="L128" i="1"/>
  <c r="G128" i="1"/>
  <c r="C128" i="1"/>
  <c r="L127" i="1"/>
  <c r="G127" i="1"/>
  <c r="C127" i="1"/>
  <c r="L126" i="1"/>
  <c r="G126" i="1"/>
  <c r="C126" i="1"/>
  <c r="L125" i="1"/>
  <c r="G125" i="1"/>
  <c r="C125" i="1"/>
  <c r="L124" i="1"/>
  <c r="G124" i="1"/>
  <c r="C124" i="1"/>
  <c r="L123" i="1"/>
  <c r="G123" i="1"/>
  <c r="C123" i="1"/>
  <c r="L122" i="1"/>
  <c r="G122" i="1"/>
  <c r="C122" i="1"/>
  <c r="L121" i="1"/>
  <c r="G121" i="1"/>
  <c r="C121" i="1"/>
  <c r="L120" i="1"/>
  <c r="G120" i="1"/>
  <c r="C120" i="1"/>
  <c r="L119" i="1"/>
  <c r="G119" i="1"/>
  <c r="C119" i="1"/>
  <c r="L118" i="1"/>
  <c r="G118" i="1"/>
  <c r="C118" i="1"/>
  <c r="L117" i="1"/>
  <c r="G117" i="1"/>
  <c r="C117" i="1"/>
  <c r="L116" i="1"/>
  <c r="G116" i="1"/>
  <c r="C116" i="1"/>
  <c r="L115" i="1"/>
  <c r="G115" i="1"/>
  <c r="C115" i="1"/>
  <c r="L114" i="1"/>
  <c r="G114" i="1"/>
  <c r="C114" i="1"/>
  <c r="L113" i="1"/>
  <c r="G113" i="1"/>
  <c r="C113" i="1"/>
  <c r="L112" i="1"/>
  <c r="G112" i="1"/>
  <c r="C112" i="1"/>
  <c r="L111" i="1"/>
  <c r="G111" i="1"/>
  <c r="C111" i="1"/>
  <c r="L110" i="1"/>
  <c r="G110" i="1"/>
  <c r="C110" i="1"/>
  <c r="L109" i="1"/>
  <c r="G109" i="1"/>
  <c r="C109" i="1"/>
  <c r="L108" i="1"/>
  <c r="G108" i="1"/>
  <c r="C108" i="1"/>
  <c r="L107" i="1"/>
  <c r="G107" i="1"/>
  <c r="C107" i="1"/>
  <c r="L106" i="1"/>
  <c r="G106" i="1"/>
  <c r="C106" i="1"/>
  <c r="L105" i="1"/>
  <c r="G105" i="1"/>
  <c r="C105" i="1"/>
  <c r="L104" i="1"/>
  <c r="G104" i="1"/>
  <c r="C104" i="1"/>
  <c r="L103" i="1"/>
  <c r="G103" i="1"/>
  <c r="C103" i="1"/>
  <c r="L102" i="1"/>
  <c r="G102" i="1"/>
  <c r="C102" i="1"/>
  <c r="L101" i="1"/>
  <c r="G101" i="1"/>
  <c r="C101" i="1"/>
  <c r="L100" i="1"/>
  <c r="G100" i="1"/>
  <c r="C100" i="1"/>
  <c r="L99" i="1"/>
  <c r="G99" i="1"/>
  <c r="C99" i="1"/>
  <c r="L98" i="1"/>
  <c r="G98" i="1"/>
  <c r="C98" i="1"/>
  <c r="L97" i="1"/>
  <c r="G97" i="1"/>
  <c r="C97" i="1"/>
  <c r="L96" i="1"/>
  <c r="G96" i="1"/>
  <c r="C96" i="1"/>
  <c r="L95" i="1"/>
  <c r="G95" i="1"/>
  <c r="C95" i="1"/>
  <c r="L94" i="1"/>
  <c r="G94" i="1"/>
  <c r="C94" i="1"/>
  <c r="L93" i="1"/>
  <c r="G93" i="1"/>
  <c r="C93" i="1"/>
  <c r="L92" i="1"/>
  <c r="G92" i="1"/>
  <c r="C92" i="1"/>
  <c r="L91" i="1"/>
  <c r="G91" i="1"/>
  <c r="C91" i="1"/>
  <c r="M90" i="1"/>
  <c r="G90" i="1"/>
  <c r="C90" i="1"/>
  <c r="L89" i="1"/>
  <c r="G89" i="1"/>
  <c r="C89" i="1"/>
  <c r="L88" i="1"/>
  <c r="G88" i="1"/>
  <c r="C88" i="1"/>
  <c r="L87" i="1"/>
  <c r="G87" i="1"/>
  <c r="C87" i="1"/>
  <c r="L86" i="1"/>
  <c r="G86" i="1"/>
  <c r="C86" i="1"/>
  <c r="L85" i="1"/>
  <c r="G85" i="1"/>
  <c r="C85" i="1"/>
  <c r="L84" i="1"/>
  <c r="G84" i="1"/>
  <c r="C84" i="1"/>
  <c r="L83" i="1"/>
  <c r="G83" i="1"/>
  <c r="C83" i="1"/>
  <c r="L82" i="1"/>
  <c r="G82" i="1"/>
  <c r="C82" i="1"/>
  <c r="L81" i="1"/>
  <c r="G81" i="1"/>
  <c r="C81" i="1"/>
  <c r="L80" i="1"/>
  <c r="G80" i="1"/>
  <c r="C80" i="1"/>
  <c r="L79" i="1"/>
  <c r="G79" i="1"/>
  <c r="C79" i="1"/>
  <c r="L78" i="1"/>
  <c r="G78" i="1"/>
  <c r="C78" i="1"/>
  <c r="L77" i="1"/>
  <c r="G77" i="1"/>
  <c r="C77" i="1"/>
  <c r="L76" i="1"/>
  <c r="G76" i="1"/>
  <c r="C76" i="1"/>
  <c r="L75" i="1"/>
  <c r="G75" i="1"/>
  <c r="C75" i="1"/>
  <c r="J5" i="1"/>
  <c r="E3" i="3"/>
  <c r="B3" i="3"/>
  <c r="P85" i="28"/>
  <c r="P83" i="28"/>
  <c r="P14" i="28"/>
  <c r="K79" i="1" s="1"/>
  <c r="P11" i="28"/>
  <c r="K76" i="1" s="1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33" i="28"/>
  <c r="P232" i="28"/>
  <c r="P231" i="28"/>
  <c r="P230" i="28"/>
  <c r="P229" i="28"/>
  <c r="P228" i="28"/>
  <c r="P227" i="28"/>
  <c r="P226" i="28"/>
  <c r="P225" i="28"/>
  <c r="P224" i="28"/>
  <c r="P223" i="28"/>
  <c r="P222" i="28"/>
  <c r="P221" i="28"/>
  <c r="P220" i="28"/>
  <c r="P219" i="28"/>
  <c r="P218" i="28"/>
  <c r="P217" i="28"/>
  <c r="P216" i="28"/>
  <c r="P215" i="28"/>
  <c r="P214" i="28"/>
  <c r="P213" i="28"/>
  <c r="P212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P166" i="28"/>
  <c r="P165" i="28"/>
  <c r="P164" i="28"/>
  <c r="P163" i="28"/>
  <c r="P162" i="28"/>
  <c r="P161" i="28"/>
  <c r="P160" i="28"/>
  <c r="P159" i="28"/>
  <c r="P158" i="28"/>
  <c r="P157" i="28"/>
  <c r="P156" i="28"/>
  <c r="P155" i="28"/>
  <c r="P154" i="28"/>
  <c r="P153" i="28"/>
  <c r="P152" i="28"/>
  <c r="P151" i="28"/>
  <c r="P150" i="28"/>
  <c r="P149" i="28"/>
  <c r="P148" i="28"/>
  <c r="P147" i="28"/>
  <c r="P146" i="28"/>
  <c r="P145" i="28"/>
  <c r="K200" i="1" s="1"/>
  <c r="P144" i="28"/>
  <c r="K199" i="1" s="1"/>
  <c r="P143" i="28"/>
  <c r="P142" i="28"/>
  <c r="K197" i="1" s="1"/>
  <c r="P141" i="28"/>
  <c r="K196" i="1" s="1"/>
  <c r="P140" i="28"/>
  <c r="P139" i="28"/>
  <c r="K194" i="1" s="1"/>
  <c r="P138" i="28"/>
  <c r="K191" i="1" s="1"/>
  <c r="P137" i="28"/>
  <c r="K190" i="1" s="1"/>
  <c r="P136" i="28"/>
  <c r="P135" i="28"/>
  <c r="K188" i="1" s="1"/>
  <c r="P134" i="28"/>
  <c r="K187" i="1" s="1"/>
  <c r="P133" i="28"/>
  <c r="K186" i="1" s="1"/>
  <c r="P132" i="28"/>
  <c r="K185" i="1" s="1"/>
  <c r="P131" i="28"/>
  <c r="K184" i="1" s="1"/>
  <c r="P130" i="28"/>
  <c r="K183" i="1" s="1"/>
  <c r="P129" i="28"/>
  <c r="P128" i="28"/>
  <c r="K181" i="1" s="1"/>
  <c r="P127" i="28"/>
  <c r="K180" i="1" s="1"/>
  <c r="P126" i="28"/>
  <c r="K179" i="1" s="1"/>
  <c r="P125" i="28"/>
  <c r="K178" i="1" s="1"/>
  <c r="P124" i="28"/>
  <c r="K177" i="1" s="1"/>
  <c r="P123" i="28"/>
  <c r="K176" i="1" s="1"/>
  <c r="P122" i="28"/>
  <c r="K175" i="1" s="1"/>
  <c r="P121" i="28"/>
  <c r="K174" i="1" s="1"/>
  <c r="P120" i="28"/>
  <c r="P119" i="28"/>
  <c r="K172" i="1" s="1"/>
  <c r="P118" i="28"/>
  <c r="K171" i="1" s="1"/>
  <c r="P117" i="28"/>
  <c r="P116" i="28"/>
  <c r="K169" i="1" s="1"/>
  <c r="P115" i="28"/>
  <c r="K168" i="1" s="1"/>
  <c r="P114" i="28"/>
  <c r="K167" i="1" s="1"/>
  <c r="P113" i="28"/>
  <c r="P112" i="28"/>
  <c r="P111" i="28"/>
  <c r="P110" i="28"/>
  <c r="K165" i="1" s="1"/>
  <c r="P109" i="28"/>
  <c r="P108" i="28"/>
  <c r="P107" i="28"/>
  <c r="P106" i="28"/>
  <c r="P105" i="28"/>
  <c r="K160" i="1" s="1"/>
  <c r="P104" i="28"/>
  <c r="K157" i="1" s="1"/>
  <c r="P103" i="28"/>
  <c r="K158" i="1" s="1"/>
  <c r="P102" i="28"/>
  <c r="P101" i="28"/>
  <c r="K155" i="1" s="1"/>
  <c r="P100" i="28"/>
  <c r="K151" i="1" s="1"/>
  <c r="P99" i="28"/>
  <c r="K150" i="1" s="1"/>
  <c r="P98" i="28"/>
  <c r="K153" i="1" s="1"/>
  <c r="P97" i="28"/>
  <c r="K152" i="1" s="1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K144" i="1" s="1"/>
  <c r="P78" i="28"/>
  <c r="K143" i="1" s="1"/>
  <c r="P77" i="28"/>
  <c r="K142" i="1" s="1"/>
  <c r="P76" i="28"/>
  <c r="K141" i="1" s="1"/>
  <c r="P75" i="28"/>
  <c r="K140" i="1" s="1"/>
  <c r="P74" i="28"/>
  <c r="K139" i="1" s="1"/>
  <c r="P73" i="28"/>
  <c r="K138" i="1" s="1"/>
  <c r="P72" i="28"/>
  <c r="K137" i="1" s="1"/>
  <c r="P71" i="28"/>
  <c r="K136" i="1" s="1"/>
  <c r="P70" i="28"/>
  <c r="K135" i="1" s="1"/>
  <c r="P69" i="28"/>
  <c r="K134" i="1" s="1"/>
  <c r="P68" i="28"/>
  <c r="K133" i="1" s="1"/>
  <c r="P67" i="28"/>
  <c r="K132" i="1" s="1"/>
  <c r="P66" i="28"/>
  <c r="K131" i="1" s="1"/>
  <c r="P65" i="28"/>
  <c r="K130" i="1" s="1"/>
  <c r="P64" i="28"/>
  <c r="K129" i="1" s="1"/>
  <c r="P63" i="28"/>
  <c r="K58" i="1" s="1"/>
  <c r="P62" i="28"/>
  <c r="K127" i="1" s="1"/>
  <c r="P61" i="28"/>
  <c r="K126" i="1" s="1"/>
  <c r="P60" i="28"/>
  <c r="K125" i="1" s="1"/>
  <c r="P59" i="28"/>
  <c r="K124" i="1" s="1"/>
  <c r="P58" i="28"/>
  <c r="K123" i="1" s="1"/>
  <c r="P57" i="28"/>
  <c r="K122" i="1" s="1"/>
  <c r="P56" i="28"/>
  <c r="K121" i="1" s="1"/>
  <c r="P55" i="28"/>
  <c r="K120" i="1" s="1"/>
  <c r="P54" i="28"/>
  <c r="K119" i="1" s="1"/>
  <c r="P53" i="28"/>
  <c r="K118" i="1" s="1"/>
  <c r="P52" i="28"/>
  <c r="K117" i="1" s="1"/>
  <c r="P51" i="28"/>
  <c r="K116" i="1" s="1"/>
  <c r="P50" i="28"/>
  <c r="K115" i="1" s="1"/>
  <c r="P49" i="28"/>
  <c r="K114" i="1" s="1"/>
  <c r="P48" i="28"/>
  <c r="K113" i="1" s="1"/>
  <c r="P47" i="28"/>
  <c r="K112" i="1" s="1"/>
  <c r="P46" i="28"/>
  <c r="K111" i="1" s="1"/>
  <c r="P45" i="28"/>
  <c r="K110" i="1" s="1"/>
  <c r="P44" i="28"/>
  <c r="K109" i="1" s="1"/>
  <c r="P43" i="28"/>
  <c r="K108" i="1" s="1"/>
  <c r="P42" i="28"/>
  <c r="K107" i="1" s="1"/>
  <c r="P41" i="28"/>
  <c r="K106" i="1" s="1"/>
  <c r="P40" i="28"/>
  <c r="K105" i="1" s="1"/>
  <c r="P39" i="28"/>
  <c r="K104" i="1" s="1"/>
  <c r="P38" i="28"/>
  <c r="K103" i="1" s="1"/>
  <c r="P37" i="28"/>
  <c r="K102" i="1" s="1"/>
  <c r="P36" i="28"/>
  <c r="K101" i="1" s="1"/>
  <c r="P35" i="28"/>
  <c r="K100" i="1" s="1"/>
  <c r="P34" i="28"/>
  <c r="K99" i="1" s="1"/>
  <c r="P33" i="28"/>
  <c r="K98" i="1" s="1"/>
  <c r="P32" i="28"/>
  <c r="K97" i="1" s="1"/>
  <c r="P31" i="28"/>
  <c r="K96" i="1" s="1"/>
  <c r="P30" i="28"/>
  <c r="K95" i="1" s="1"/>
  <c r="P29" i="28"/>
  <c r="K94" i="1" s="1"/>
  <c r="P28" i="28"/>
  <c r="K93" i="1" s="1"/>
  <c r="P27" i="28"/>
  <c r="K92" i="1" s="1"/>
  <c r="P26" i="28"/>
  <c r="K91" i="1" s="1"/>
  <c r="P25" i="28"/>
  <c r="P24" i="28"/>
  <c r="K89" i="1" s="1"/>
  <c r="P23" i="28"/>
  <c r="K88" i="1" s="1"/>
  <c r="P22" i="28"/>
  <c r="K87" i="1" s="1"/>
  <c r="P21" i="28"/>
  <c r="K86" i="1" s="1"/>
  <c r="P20" i="28"/>
  <c r="K85" i="1" s="1"/>
  <c r="P19" i="28"/>
  <c r="K84" i="1" s="1"/>
  <c r="P18" i="28"/>
  <c r="K83" i="1" s="1"/>
  <c r="P17" i="28"/>
  <c r="K82" i="1" s="1"/>
  <c r="P16" i="28"/>
  <c r="K81" i="1" s="1"/>
  <c r="P15" i="28"/>
  <c r="K80" i="1" s="1"/>
  <c r="P13" i="28"/>
  <c r="K78" i="1" s="1"/>
  <c r="P12" i="28"/>
  <c r="K77" i="1" s="1"/>
  <c r="P10" i="28"/>
  <c r="K75" i="1" s="1"/>
  <c r="X171" i="1" l="1"/>
  <c r="AG171" i="1" s="1"/>
  <c r="N171" i="1"/>
  <c r="AA171" i="1" s="1"/>
  <c r="AJ171" i="1" s="1"/>
  <c r="X199" i="1"/>
  <c r="AG199" i="1" s="1"/>
  <c r="N199" i="1"/>
  <c r="AA199" i="1" s="1"/>
  <c r="AJ199" i="1" s="1"/>
  <c r="X181" i="1"/>
  <c r="AG181" i="1" s="1"/>
  <c r="N181" i="1"/>
  <c r="AA181" i="1" s="1"/>
  <c r="AJ181" i="1" s="1"/>
  <c r="Y84" i="1"/>
  <c r="AH84" i="1" s="1"/>
  <c r="N200" i="1"/>
  <c r="AA200" i="1" s="1"/>
  <c r="AJ200" i="1" s="1"/>
  <c r="X200" i="1"/>
  <c r="AG200" i="1" s="1"/>
  <c r="X187" i="1"/>
  <c r="AG187" i="1" s="1"/>
  <c r="N187" i="1"/>
  <c r="AA187" i="1" s="1"/>
  <c r="AJ187" i="1" s="1"/>
  <c r="X183" i="1"/>
  <c r="AG183" i="1" s="1"/>
  <c r="N183" i="1"/>
  <c r="AA183" i="1" s="1"/>
  <c r="AJ183" i="1" s="1"/>
  <c r="X191" i="1"/>
  <c r="AG191" i="1" s="1"/>
  <c r="N191" i="1"/>
  <c r="AA191" i="1" s="1"/>
  <c r="AJ191" i="1" s="1"/>
  <c r="X168" i="1"/>
  <c r="AG168" i="1" s="1"/>
  <c r="N168" i="1"/>
  <c r="AA168" i="1" s="1"/>
  <c r="AJ168" i="1" s="1"/>
  <c r="K163" i="1"/>
  <c r="X163" i="1" s="1"/>
  <c r="AG163" i="1" s="1"/>
  <c r="K162" i="1"/>
  <c r="X162" i="1" s="1"/>
  <c r="AG162" i="1" s="1"/>
  <c r="K159" i="1"/>
  <c r="X157" i="1"/>
  <c r="AG157" i="1" s="1"/>
  <c r="N157" i="1"/>
  <c r="AA157" i="1" s="1"/>
  <c r="AJ157" i="1" s="1"/>
  <c r="K156" i="1"/>
  <c r="X156" i="1" s="1"/>
  <c r="AG156" i="1" s="1"/>
  <c r="K161" i="1"/>
  <c r="N161" i="1" s="1"/>
  <c r="AA161" i="1" s="1"/>
  <c r="AJ161" i="1" s="1"/>
  <c r="X150" i="1"/>
  <c r="AG150" i="1" s="1"/>
  <c r="N150" i="1"/>
  <c r="AA150" i="1" s="1"/>
  <c r="AJ150" i="1" s="1"/>
  <c r="X197" i="1"/>
  <c r="AG197" i="1" s="1"/>
  <c r="N197" i="1"/>
  <c r="AA197" i="1" s="1"/>
  <c r="AJ197" i="1" s="1"/>
  <c r="X196" i="1"/>
  <c r="AG196" i="1" s="1"/>
  <c r="N196" i="1"/>
  <c r="AA196" i="1" s="1"/>
  <c r="AJ196" i="1" s="1"/>
  <c r="X194" i="1"/>
  <c r="AG194" i="1" s="1"/>
  <c r="N194" i="1"/>
  <c r="AA194" i="1" s="1"/>
  <c r="AJ194" i="1" s="1"/>
  <c r="X190" i="1"/>
  <c r="AG190" i="1" s="1"/>
  <c r="N190" i="1"/>
  <c r="AA190" i="1" s="1"/>
  <c r="AJ190" i="1" s="1"/>
  <c r="X188" i="1"/>
  <c r="AG188" i="1" s="1"/>
  <c r="N188" i="1"/>
  <c r="AA188" i="1" s="1"/>
  <c r="AJ188" i="1" s="1"/>
  <c r="X186" i="1"/>
  <c r="AG186" i="1" s="1"/>
  <c r="N186" i="1"/>
  <c r="AA186" i="1" s="1"/>
  <c r="AJ186" i="1" s="1"/>
  <c r="X185" i="1"/>
  <c r="AG185" i="1" s="1"/>
  <c r="N185" i="1"/>
  <c r="AA185" i="1" s="1"/>
  <c r="AJ185" i="1" s="1"/>
  <c r="X184" i="1"/>
  <c r="AG184" i="1" s="1"/>
  <c r="N184" i="1"/>
  <c r="AA184" i="1" s="1"/>
  <c r="AJ184" i="1" s="1"/>
  <c r="X180" i="1"/>
  <c r="AG180" i="1" s="1"/>
  <c r="N180" i="1"/>
  <c r="AA180" i="1" s="1"/>
  <c r="AJ180" i="1" s="1"/>
  <c r="X179" i="1"/>
  <c r="AG179" i="1" s="1"/>
  <c r="N179" i="1"/>
  <c r="AA179" i="1" s="1"/>
  <c r="AJ179" i="1" s="1"/>
  <c r="N178" i="1"/>
  <c r="AA178" i="1" s="1"/>
  <c r="AJ178" i="1" s="1"/>
  <c r="X178" i="1"/>
  <c r="AG178" i="1" s="1"/>
  <c r="X177" i="1"/>
  <c r="AG177" i="1" s="1"/>
  <c r="N177" i="1"/>
  <c r="AA177" i="1" s="1"/>
  <c r="AJ177" i="1" s="1"/>
  <c r="N176" i="1"/>
  <c r="AA176" i="1" s="1"/>
  <c r="AJ176" i="1" s="1"/>
  <c r="X176" i="1"/>
  <c r="AG176" i="1" s="1"/>
  <c r="X175" i="1"/>
  <c r="AG175" i="1" s="1"/>
  <c r="N175" i="1"/>
  <c r="AA175" i="1" s="1"/>
  <c r="AJ175" i="1" s="1"/>
  <c r="N174" i="1"/>
  <c r="AA174" i="1" s="1"/>
  <c r="AJ174" i="1" s="1"/>
  <c r="X174" i="1"/>
  <c r="AG174" i="1" s="1"/>
  <c r="X172" i="1"/>
  <c r="AG172" i="1" s="1"/>
  <c r="N172" i="1"/>
  <c r="AA172" i="1" s="1"/>
  <c r="AJ172" i="1" s="1"/>
  <c r="K170" i="1"/>
  <c r="X169" i="1"/>
  <c r="AG169" i="1" s="1"/>
  <c r="N169" i="1"/>
  <c r="AA169" i="1" s="1"/>
  <c r="AJ169" i="1" s="1"/>
  <c r="X167" i="1"/>
  <c r="AG167" i="1" s="1"/>
  <c r="N167" i="1"/>
  <c r="AA167" i="1" s="1"/>
  <c r="AJ167" i="1" s="1"/>
  <c r="N165" i="1"/>
  <c r="AA165" i="1" s="1"/>
  <c r="AJ165" i="1" s="1"/>
  <c r="X165" i="1"/>
  <c r="AG165" i="1" s="1"/>
  <c r="X160" i="1"/>
  <c r="AG160" i="1" s="1"/>
  <c r="N160" i="1"/>
  <c r="AA160" i="1" s="1"/>
  <c r="AJ160" i="1" s="1"/>
  <c r="N158" i="1"/>
  <c r="AA158" i="1" s="1"/>
  <c r="AJ158" i="1" s="1"/>
  <c r="X158" i="1"/>
  <c r="AG158" i="1" s="1"/>
  <c r="X151" i="1"/>
  <c r="AG151" i="1" s="1"/>
  <c r="N151" i="1"/>
  <c r="AA151" i="1" s="1"/>
  <c r="AJ151" i="1" s="1"/>
  <c r="X155" i="1"/>
  <c r="AG155" i="1" s="1"/>
  <c r="N155" i="1"/>
  <c r="AA155" i="1" s="1"/>
  <c r="AJ155" i="1" s="1"/>
  <c r="N153" i="1"/>
  <c r="AA153" i="1" s="1"/>
  <c r="AJ153" i="1" s="1"/>
  <c r="X153" i="1"/>
  <c r="AG153" i="1" s="1"/>
  <c r="X152" i="1"/>
  <c r="AG152" i="1" s="1"/>
  <c r="N152" i="1"/>
  <c r="AA152" i="1" s="1"/>
  <c r="AJ152" i="1" s="1"/>
  <c r="Y75" i="1"/>
  <c r="AH75" i="1" s="1"/>
  <c r="Y88" i="1"/>
  <c r="AH88" i="1" s="1"/>
  <c r="Y87" i="1"/>
  <c r="AH87" i="1" s="1"/>
  <c r="N90" i="1"/>
  <c r="AA90" i="1" s="1"/>
  <c r="AJ90" i="1" s="1"/>
  <c r="K128" i="1"/>
  <c r="Y110" i="1"/>
  <c r="AH110" i="1" s="1"/>
  <c r="Y122" i="1"/>
  <c r="AH122" i="1" s="1"/>
  <c r="Y81" i="1"/>
  <c r="AH81" i="1" s="1"/>
  <c r="Y108" i="1"/>
  <c r="AH108" i="1" s="1"/>
  <c r="Y76" i="1"/>
  <c r="AH76" i="1" s="1"/>
  <c r="Y85" i="1"/>
  <c r="AH85" i="1" s="1"/>
  <c r="Y133" i="1"/>
  <c r="AH133" i="1" s="1"/>
  <c r="Y82" i="1"/>
  <c r="AH82" i="1" s="1"/>
  <c r="Y114" i="1"/>
  <c r="AH114" i="1" s="1"/>
  <c r="Y106" i="1"/>
  <c r="AH106" i="1" s="1"/>
  <c r="Y80" i="1"/>
  <c r="AH80" i="1" s="1"/>
  <c r="Y83" i="1"/>
  <c r="AH83" i="1" s="1"/>
  <c r="Y104" i="1"/>
  <c r="AH104" i="1" s="1"/>
  <c r="Y86" i="1"/>
  <c r="AH86" i="1" s="1"/>
  <c r="Y116" i="1"/>
  <c r="AH116" i="1" s="1"/>
  <c r="Y127" i="1"/>
  <c r="AH127" i="1" s="1"/>
  <c r="Y134" i="1"/>
  <c r="AH134" i="1" s="1"/>
  <c r="Y140" i="1"/>
  <c r="AH140" i="1" s="1"/>
  <c r="Y132" i="1"/>
  <c r="AH132" i="1" s="1"/>
  <c r="Y144" i="1"/>
  <c r="AH144" i="1" s="1"/>
  <c r="Y89" i="1"/>
  <c r="AH89" i="1" s="1"/>
  <c r="Y78" i="1"/>
  <c r="AH78" i="1" s="1"/>
  <c r="Y138" i="1"/>
  <c r="AH138" i="1" s="1"/>
  <c r="Y90" i="1"/>
  <c r="AH90" i="1" s="1"/>
  <c r="X90" i="1"/>
  <c r="AG90" i="1" s="1"/>
  <c r="Y125" i="1"/>
  <c r="AH125" i="1" s="1"/>
  <c r="Y79" i="1"/>
  <c r="AH79" i="1" s="1"/>
  <c r="Y128" i="1"/>
  <c r="AH128" i="1" s="1"/>
  <c r="Y77" i="1"/>
  <c r="AH77" i="1" s="1"/>
  <c r="Z90" i="1"/>
  <c r="AI90" i="1" s="1"/>
  <c r="Y121" i="1"/>
  <c r="AH121" i="1" s="1"/>
  <c r="X84" i="1"/>
  <c r="AG84" i="1" s="1"/>
  <c r="X87" i="1"/>
  <c r="AG87" i="1" s="1"/>
  <c r="X112" i="1"/>
  <c r="AG112" i="1" s="1"/>
  <c r="M119" i="1"/>
  <c r="Y119" i="1"/>
  <c r="AH119" i="1" s="1"/>
  <c r="X79" i="1"/>
  <c r="AG79" i="1" s="1"/>
  <c r="X93" i="1"/>
  <c r="AG93" i="1" s="1"/>
  <c r="X96" i="1"/>
  <c r="AG96" i="1" s="1"/>
  <c r="X102" i="1"/>
  <c r="AG102" i="1" s="1"/>
  <c r="M112" i="1"/>
  <c r="Y112" i="1"/>
  <c r="AH112" i="1" s="1"/>
  <c r="X117" i="1"/>
  <c r="AG117" i="1" s="1"/>
  <c r="X130" i="1"/>
  <c r="AG130" i="1" s="1"/>
  <c r="X138" i="1"/>
  <c r="AG138" i="1" s="1"/>
  <c r="M93" i="1"/>
  <c r="Y93" i="1"/>
  <c r="AH93" i="1" s="1"/>
  <c r="M99" i="1"/>
  <c r="Y99" i="1"/>
  <c r="AH99" i="1" s="1"/>
  <c r="X107" i="1"/>
  <c r="AG107" i="1" s="1"/>
  <c r="X133" i="1"/>
  <c r="AG133" i="1" s="1"/>
  <c r="X143" i="1"/>
  <c r="AG143" i="1" s="1"/>
  <c r="M91" i="1"/>
  <c r="Y91" i="1"/>
  <c r="AH91" i="1" s="1"/>
  <c r="M94" i="1"/>
  <c r="Y94" i="1"/>
  <c r="AH94" i="1" s="1"/>
  <c r="M97" i="1"/>
  <c r="Y97" i="1"/>
  <c r="AH97" i="1" s="1"/>
  <c r="X103" i="1"/>
  <c r="AG103" i="1" s="1"/>
  <c r="M113" i="1"/>
  <c r="Y113" i="1"/>
  <c r="AH113" i="1" s="1"/>
  <c r="X118" i="1"/>
  <c r="AG118" i="1" s="1"/>
  <c r="M126" i="1"/>
  <c r="Y126" i="1"/>
  <c r="AH126" i="1" s="1"/>
  <c r="X134" i="1"/>
  <c r="AG134" i="1" s="1"/>
  <c r="X144" i="1"/>
  <c r="AG144" i="1" s="1"/>
  <c r="X83" i="1"/>
  <c r="AG83" i="1" s="1"/>
  <c r="M103" i="1"/>
  <c r="Y103" i="1"/>
  <c r="AH103" i="1" s="1"/>
  <c r="X108" i="1"/>
  <c r="AG108" i="1" s="1"/>
  <c r="M118" i="1"/>
  <c r="Y118" i="1"/>
  <c r="AH118" i="1" s="1"/>
  <c r="X121" i="1"/>
  <c r="AG121" i="1" s="1"/>
  <c r="M131" i="1"/>
  <c r="Y131" i="1"/>
  <c r="AH131" i="1" s="1"/>
  <c r="X86" i="1"/>
  <c r="AG86" i="1" s="1"/>
  <c r="X81" i="1"/>
  <c r="AG81" i="1" s="1"/>
  <c r="M92" i="1"/>
  <c r="Y92" i="1"/>
  <c r="AH92" i="1" s="1"/>
  <c r="M95" i="1"/>
  <c r="Y95" i="1"/>
  <c r="AH95" i="1" s="1"/>
  <c r="M98" i="1"/>
  <c r="Y98" i="1"/>
  <c r="AH98" i="1" s="1"/>
  <c r="M101" i="1"/>
  <c r="Y101" i="1"/>
  <c r="AH101" i="1" s="1"/>
  <c r="X114" i="1"/>
  <c r="AG114" i="1" s="1"/>
  <c r="X127" i="1"/>
  <c r="AG127" i="1" s="1"/>
  <c r="X132" i="1"/>
  <c r="AG132" i="1" s="1"/>
  <c r="X135" i="1"/>
  <c r="AG135" i="1" s="1"/>
  <c r="M142" i="1"/>
  <c r="Y142" i="1"/>
  <c r="AH142" i="1" s="1"/>
  <c r="X104" i="1"/>
  <c r="AG104" i="1" s="1"/>
  <c r="X109" i="1"/>
  <c r="AG109" i="1" s="1"/>
  <c r="X119" i="1"/>
  <c r="AG119" i="1" s="1"/>
  <c r="X122" i="1"/>
  <c r="AG122" i="1" s="1"/>
  <c r="M135" i="1"/>
  <c r="Y135" i="1"/>
  <c r="AH135" i="1" s="1"/>
  <c r="X140" i="1"/>
  <c r="AG140" i="1" s="1"/>
  <c r="X76" i="1"/>
  <c r="AG76" i="1" s="1"/>
  <c r="M96" i="1"/>
  <c r="Y96" i="1"/>
  <c r="AH96" i="1" s="1"/>
  <c r="M130" i="1"/>
  <c r="Y130" i="1"/>
  <c r="AH130" i="1" s="1"/>
  <c r="X82" i="1"/>
  <c r="AG82" i="1" s="1"/>
  <c r="M107" i="1"/>
  <c r="Y107" i="1"/>
  <c r="AH107" i="1" s="1"/>
  <c r="X115" i="1"/>
  <c r="AG115" i="1" s="1"/>
  <c r="X120" i="1"/>
  <c r="AG120" i="1" s="1"/>
  <c r="X123" i="1"/>
  <c r="AG123" i="1" s="1"/>
  <c r="X136" i="1"/>
  <c r="AG136" i="1" s="1"/>
  <c r="M143" i="1"/>
  <c r="Y143" i="1"/>
  <c r="AH143" i="1" s="1"/>
  <c r="X85" i="1"/>
  <c r="AG85" i="1" s="1"/>
  <c r="X88" i="1"/>
  <c r="AG88" i="1" s="1"/>
  <c r="X105" i="1"/>
  <c r="AG105" i="1" s="1"/>
  <c r="X110" i="1"/>
  <c r="AG110" i="1" s="1"/>
  <c r="M115" i="1"/>
  <c r="Y115" i="1"/>
  <c r="AH115" i="1" s="1"/>
  <c r="M120" i="1"/>
  <c r="Y120" i="1"/>
  <c r="AH120" i="1" s="1"/>
  <c r="M123" i="1"/>
  <c r="Y123" i="1"/>
  <c r="AH123" i="1" s="1"/>
  <c r="M136" i="1"/>
  <c r="Y136" i="1"/>
  <c r="AH136" i="1" s="1"/>
  <c r="X141" i="1"/>
  <c r="AG141" i="1" s="1"/>
  <c r="X77" i="1"/>
  <c r="AG77" i="1" s="1"/>
  <c r="X91" i="1"/>
  <c r="AG91" i="1" s="1"/>
  <c r="X94" i="1"/>
  <c r="AG94" i="1" s="1"/>
  <c r="X97" i="1"/>
  <c r="AG97" i="1" s="1"/>
  <c r="X100" i="1"/>
  <c r="AG100" i="1" s="1"/>
  <c r="M105" i="1"/>
  <c r="Y105" i="1"/>
  <c r="AH105" i="1" s="1"/>
  <c r="X113" i="1"/>
  <c r="AG113" i="1" s="1"/>
  <c r="X126" i="1"/>
  <c r="AG126" i="1" s="1"/>
  <c r="M141" i="1"/>
  <c r="Y141" i="1"/>
  <c r="AH141" i="1" s="1"/>
  <c r="M109" i="1"/>
  <c r="Y109" i="1"/>
  <c r="AH109" i="1" s="1"/>
  <c r="X125" i="1"/>
  <c r="AG125" i="1" s="1"/>
  <c r="X99" i="1"/>
  <c r="AG99" i="1" s="1"/>
  <c r="M102" i="1"/>
  <c r="Y102" i="1"/>
  <c r="AH102" i="1" s="1"/>
  <c r="M117" i="1"/>
  <c r="Y117" i="1"/>
  <c r="AH117" i="1" s="1"/>
  <c r="X80" i="1"/>
  <c r="AG80" i="1" s="1"/>
  <c r="M100" i="1"/>
  <c r="Y100" i="1"/>
  <c r="AH100" i="1" s="1"/>
  <c r="X131" i="1"/>
  <c r="AG131" i="1" s="1"/>
  <c r="X139" i="1"/>
  <c r="AG139" i="1" s="1"/>
  <c r="X124" i="1"/>
  <c r="AG124" i="1" s="1"/>
  <c r="M139" i="1"/>
  <c r="Y139" i="1"/>
  <c r="AH139" i="1" s="1"/>
  <c r="X89" i="1"/>
  <c r="AG89" i="1" s="1"/>
  <c r="X111" i="1"/>
  <c r="AG111" i="1" s="1"/>
  <c r="X116" i="1"/>
  <c r="AG116" i="1" s="1"/>
  <c r="M124" i="1"/>
  <c r="Y124" i="1"/>
  <c r="AH124" i="1" s="1"/>
  <c r="X129" i="1"/>
  <c r="AG129" i="1" s="1"/>
  <c r="X137" i="1"/>
  <c r="AG137" i="1" s="1"/>
  <c r="X75" i="1"/>
  <c r="AG75" i="1" s="1"/>
  <c r="X78" i="1"/>
  <c r="AG78" i="1" s="1"/>
  <c r="X92" i="1"/>
  <c r="AG92" i="1" s="1"/>
  <c r="X95" i="1"/>
  <c r="AG95" i="1" s="1"/>
  <c r="X98" i="1"/>
  <c r="AG98" i="1" s="1"/>
  <c r="X101" i="1"/>
  <c r="AG101" i="1" s="1"/>
  <c r="X106" i="1"/>
  <c r="AG106" i="1" s="1"/>
  <c r="M111" i="1"/>
  <c r="Y111" i="1"/>
  <c r="AH111" i="1" s="1"/>
  <c r="M129" i="1"/>
  <c r="Y129" i="1"/>
  <c r="AH129" i="1" s="1"/>
  <c r="M137" i="1"/>
  <c r="Y137" i="1"/>
  <c r="AH137" i="1" s="1"/>
  <c r="X142" i="1"/>
  <c r="AG142" i="1" s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AD39" i="2"/>
  <c r="R25" i="21" s="1"/>
  <c r="S40" i="2"/>
  <c r="AD40" i="2"/>
  <c r="V83" i="2"/>
  <c r="S41" i="2"/>
  <c r="AD41" i="2"/>
  <c r="R26" i="21" s="1"/>
  <c r="W83" i="2"/>
  <c r="S42" i="2"/>
  <c r="AD42" i="2"/>
  <c r="Y68" i="2"/>
  <c r="X83" i="2"/>
  <c r="S43" i="2"/>
  <c r="Z83" i="2"/>
  <c r="V68" i="2"/>
  <c r="C84" i="2"/>
  <c r="W68" i="2"/>
  <c r="W53" i="2"/>
  <c r="X53" i="2"/>
  <c r="R21" i="21" s="1"/>
  <c r="Y53" i="2"/>
  <c r="Z53" i="2"/>
  <c r="R22" i="21" s="1"/>
  <c r="M125" i="1"/>
  <c r="M106" i="1"/>
  <c r="G19" i="3"/>
  <c r="G25" i="3"/>
  <c r="W88" i="1"/>
  <c r="W76" i="1"/>
  <c r="W86" i="1"/>
  <c r="W95" i="1"/>
  <c r="C19" i="3"/>
  <c r="C3" i="3"/>
  <c r="W75" i="1"/>
  <c r="W77" i="1"/>
  <c r="W87" i="1"/>
  <c r="W82" i="1"/>
  <c r="W100" i="1"/>
  <c r="D25" i="3"/>
  <c r="W91" i="1"/>
  <c r="W93" i="1"/>
  <c r="W102" i="1"/>
  <c r="D19" i="3"/>
  <c r="F25" i="3"/>
  <c r="H17" i="3"/>
  <c r="H3" i="3" s="1"/>
  <c r="G3" i="3"/>
  <c r="W79" i="1"/>
  <c r="W85" i="1"/>
  <c r="W98" i="1"/>
  <c r="B25" i="3"/>
  <c r="W96" i="1"/>
  <c r="F19" i="3"/>
  <c r="W78" i="1"/>
  <c r="W84" i="1"/>
  <c r="W94" i="1"/>
  <c r="W92" i="1"/>
  <c r="W90" i="1"/>
  <c r="W99" i="1"/>
  <c r="W101" i="1"/>
  <c r="M108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114" i="1"/>
  <c r="M121" i="1"/>
  <c r="M127" i="1"/>
  <c r="M133" i="1"/>
  <c r="M104" i="1"/>
  <c r="M110" i="1"/>
  <c r="M116" i="1"/>
  <c r="M122" i="1"/>
  <c r="M128" i="1"/>
  <c r="M134" i="1"/>
  <c r="M140" i="1"/>
  <c r="M132" i="1"/>
  <c r="M138" i="1"/>
  <c r="M144" i="1"/>
  <c r="N162" i="1" l="1"/>
  <c r="AA162" i="1" s="1"/>
  <c r="AJ162" i="1" s="1"/>
  <c r="N156" i="1"/>
  <c r="AA156" i="1" s="1"/>
  <c r="AJ156" i="1" s="1"/>
  <c r="N163" i="1"/>
  <c r="AA163" i="1" s="1"/>
  <c r="AJ163" i="1" s="1"/>
  <c r="X159" i="1"/>
  <c r="AG159" i="1" s="1"/>
  <c r="N159" i="1"/>
  <c r="AA159" i="1" s="1"/>
  <c r="AJ159" i="1" s="1"/>
  <c r="X161" i="1"/>
  <c r="AG161" i="1" s="1"/>
  <c r="X170" i="1"/>
  <c r="AG170" i="1" s="1"/>
  <c r="N170" i="1"/>
  <c r="AA170" i="1" s="1"/>
  <c r="AJ170" i="1" s="1"/>
  <c r="X128" i="1"/>
  <c r="AG128" i="1" s="1"/>
  <c r="N129" i="1"/>
  <c r="AA129" i="1" s="1"/>
  <c r="AJ129" i="1" s="1"/>
  <c r="N111" i="1"/>
  <c r="AA111" i="1" s="1"/>
  <c r="AJ111" i="1" s="1"/>
  <c r="N101" i="1"/>
  <c r="AA101" i="1" s="1"/>
  <c r="AJ101" i="1" s="1"/>
  <c r="N113" i="1"/>
  <c r="AA113" i="1" s="1"/>
  <c r="AJ113" i="1" s="1"/>
  <c r="N139" i="1"/>
  <c r="AA139" i="1" s="1"/>
  <c r="AJ139" i="1" s="1"/>
  <c r="N95" i="1"/>
  <c r="AA95" i="1" s="1"/>
  <c r="AJ95" i="1" s="1"/>
  <c r="N103" i="1"/>
  <c r="AA103" i="1" s="1"/>
  <c r="AJ103" i="1" s="1"/>
  <c r="N94" i="1"/>
  <c r="AA94" i="1" s="1"/>
  <c r="AJ94" i="1" s="1"/>
  <c r="N102" i="1"/>
  <c r="AA102" i="1" s="1"/>
  <c r="AJ102" i="1" s="1"/>
  <c r="N97" i="1"/>
  <c r="AA97" i="1" s="1"/>
  <c r="AJ97" i="1" s="1"/>
  <c r="N109" i="1"/>
  <c r="AA109" i="1" s="1"/>
  <c r="AJ109" i="1" s="1"/>
  <c r="N130" i="1"/>
  <c r="AA130" i="1" s="1"/>
  <c r="AJ130" i="1" s="1"/>
  <c r="N142" i="1"/>
  <c r="AA142" i="1" s="1"/>
  <c r="AJ142" i="1" s="1"/>
  <c r="N92" i="1"/>
  <c r="AA92" i="1" s="1"/>
  <c r="AJ92" i="1" s="1"/>
  <c r="N123" i="1"/>
  <c r="AA123" i="1" s="1"/>
  <c r="AJ123" i="1" s="1"/>
  <c r="N98" i="1"/>
  <c r="AA98" i="1" s="1"/>
  <c r="AJ98" i="1" s="1"/>
  <c r="N124" i="1"/>
  <c r="AA124" i="1" s="1"/>
  <c r="AJ124" i="1" s="1"/>
  <c r="N105" i="1"/>
  <c r="AA105" i="1" s="1"/>
  <c r="AJ105" i="1" s="1"/>
  <c r="N93" i="1"/>
  <c r="AA93" i="1" s="1"/>
  <c r="AJ93" i="1" s="1"/>
  <c r="N112" i="1"/>
  <c r="AA112" i="1" s="1"/>
  <c r="AJ112" i="1" s="1"/>
  <c r="N137" i="1"/>
  <c r="AA137" i="1" s="1"/>
  <c r="AJ137" i="1" s="1"/>
  <c r="N136" i="1"/>
  <c r="AA136" i="1" s="1"/>
  <c r="AJ136" i="1" s="1"/>
  <c r="N96" i="1"/>
  <c r="AA96" i="1" s="1"/>
  <c r="AJ96" i="1" s="1"/>
  <c r="N100" i="1"/>
  <c r="AA100" i="1" s="1"/>
  <c r="AJ100" i="1" s="1"/>
  <c r="R15" i="21"/>
  <c r="R16" i="21"/>
  <c r="Z89" i="1"/>
  <c r="AI89" i="1" s="1"/>
  <c r="Z77" i="1"/>
  <c r="AI77" i="1" s="1"/>
  <c r="Z140" i="1"/>
  <c r="AI140" i="1" s="1"/>
  <c r="Z88" i="1"/>
  <c r="AI88" i="1" s="1"/>
  <c r="Z141" i="1"/>
  <c r="AI141" i="1" s="1"/>
  <c r="Z120" i="1"/>
  <c r="AI120" i="1" s="1"/>
  <c r="Z143" i="1"/>
  <c r="AI143" i="1" s="1"/>
  <c r="Z107" i="1"/>
  <c r="AI107" i="1" s="1"/>
  <c r="Z135" i="1"/>
  <c r="AI135" i="1" s="1"/>
  <c r="Z95" i="1"/>
  <c r="AI95" i="1" s="1"/>
  <c r="Z118" i="1"/>
  <c r="AI118" i="1" s="1"/>
  <c r="Z126" i="1"/>
  <c r="AI126" i="1" s="1"/>
  <c r="Z91" i="1"/>
  <c r="AI91" i="1" s="1"/>
  <c r="Z134" i="1"/>
  <c r="AI134" i="1" s="1"/>
  <c r="Z87" i="1"/>
  <c r="AI87" i="1" s="1"/>
  <c r="Z75" i="1"/>
  <c r="AI75" i="1" s="1"/>
  <c r="N128" i="1"/>
  <c r="AA128" i="1" s="1"/>
  <c r="AJ128" i="1" s="1"/>
  <c r="Z128" i="1"/>
  <c r="AI128" i="1" s="1"/>
  <c r="N143" i="1"/>
  <c r="AA143" i="1" s="1"/>
  <c r="AJ143" i="1" s="1"/>
  <c r="Z139" i="1"/>
  <c r="AI139" i="1" s="1"/>
  <c r="Z117" i="1"/>
  <c r="AI117" i="1" s="1"/>
  <c r="Z115" i="1"/>
  <c r="AI115" i="1" s="1"/>
  <c r="Z92" i="1"/>
  <c r="AI92" i="1" s="1"/>
  <c r="N122" i="1"/>
  <c r="AA122" i="1" s="1"/>
  <c r="AJ122" i="1" s="1"/>
  <c r="Z122" i="1"/>
  <c r="AI122" i="1" s="1"/>
  <c r="Z114" i="1"/>
  <c r="AI114" i="1" s="1"/>
  <c r="N116" i="1"/>
  <c r="AA116" i="1" s="1"/>
  <c r="AJ116" i="1" s="1"/>
  <c r="Z116" i="1"/>
  <c r="AI116" i="1" s="1"/>
  <c r="N126" i="1"/>
  <c r="AA126" i="1" s="1"/>
  <c r="AJ126" i="1" s="1"/>
  <c r="N108" i="1"/>
  <c r="AA108" i="1" s="1"/>
  <c r="AJ108" i="1" s="1"/>
  <c r="Z108" i="1"/>
  <c r="AI108" i="1" s="1"/>
  <c r="Z102" i="1"/>
  <c r="AI102" i="1" s="1"/>
  <c r="Z130" i="1"/>
  <c r="AI130" i="1" s="1"/>
  <c r="Z103" i="1"/>
  <c r="AI103" i="1" s="1"/>
  <c r="Z113" i="1"/>
  <c r="AI113" i="1" s="1"/>
  <c r="Z83" i="1"/>
  <c r="AI83" i="1" s="1"/>
  <c r="Z86" i="1"/>
  <c r="AI86" i="1" s="1"/>
  <c r="Z85" i="1"/>
  <c r="AI85" i="1" s="1"/>
  <c r="Z84" i="1"/>
  <c r="AI84" i="1" s="1"/>
  <c r="Z119" i="1"/>
  <c r="AI119" i="1" s="1"/>
  <c r="N110" i="1"/>
  <c r="AA110" i="1" s="1"/>
  <c r="AJ110" i="1" s="1"/>
  <c r="Z110" i="1"/>
  <c r="AI110" i="1" s="1"/>
  <c r="N135" i="1"/>
  <c r="AA135" i="1" s="1"/>
  <c r="AJ135" i="1" s="1"/>
  <c r="N91" i="1"/>
  <c r="AA91" i="1" s="1"/>
  <c r="AJ91" i="1" s="1"/>
  <c r="N104" i="1"/>
  <c r="AA104" i="1" s="1"/>
  <c r="AJ104" i="1" s="1"/>
  <c r="Z104" i="1"/>
  <c r="AI104" i="1" s="1"/>
  <c r="N119" i="1"/>
  <c r="AA119" i="1" s="1"/>
  <c r="AJ119" i="1" s="1"/>
  <c r="Z82" i="1"/>
  <c r="AI82" i="1" s="1"/>
  <c r="Z137" i="1"/>
  <c r="AI137" i="1" s="1"/>
  <c r="Z124" i="1"/>
  <c r="AI124" i="1" s="1"/>
  <c r="Z105" i="1"/>
  <c r="AI105" i="1" s="1"/>
  <c r="Z96" i="1"/>
  <c r="AI96" i="1" s="1"/>
  <c r="Z112" i="1"/>
  <c r="AI112" i="1" s="1"/>
  <c r="Z76" i="1"/>
  <c r="AI76" i="1" s="1"/>
  <c r="Z144" i="1"/>
  <c r="AI144" i="1" s="1"/>
  <c r="Z81" i="1"/>
  <c r="AI81" i="1" s="1"/>
  <c r="N125" i="1"/>
  <c r="AA125" i="1" s="1"/>
  <c r="AJ125" i="1" s="1"/>
  <c r="Z125" i="1"/>
  <c r="AI125" i="1" s="1"/>
  <c r="Z138" i="1"/>
  <c r="AI138" i="1" s="1"/>
  <c r="Z133" i="1"/>
  <c r="AI133" i="1" s="1"/>
  <c r="N120" i="1"/>
  <c r="AA120" i="1" s="1"/>
  <c r="AJ120" i="1" s="1"/>
  <c r="Z80" i="1"/>
  <c r="AI80" i="1" s="1"/>
  <c r="N141" i="1"/>
  <c r="AA141" i="1" s="1"/>
  <c r="AJ141" i="1" s="1"/>
  <c r="Z129" i="1"/>
  <c r="AI129" i="1" s="1"/>
  <c r="Z136" i="1"/>
  <c r="AI136" i="1" s="1"/>
  <c r="Z101" i="1"/>
  <c r="AI101" i="1" s="1"/>
  <c r="Z131" i="1"/>
  <c r="AI131" i="1" s="1"/>
  <c r="Z97" i="1"/>
  <c r="AI97" i="1" s="1"/>
  <c r="Z99" i="1"/>
  <c r="AI99" i="1" s="1"/>
  <c r="N132" i="1"/>
  <c r="AA132" i="1" s="1"/>
  <c r="AJ132" i="1" s="1"/>
  <c r="Z132" i="1"/>
  <c r="AI132" i="1" s="1"/>
  <c r="Z127" i="1"/>
  <c r="AI127" i="1" s="1"/>
  <c r="N118" i="1"/>
  <c r="AA118" i="1" s="1"/>
  <c r="AJ118" i="1" s="1"/>
  <c r="Z79" i="1"/>
  <c r="AI79" i="1" s="1"/>
  <c r="N99" i="1"/>
  <c r="AA99" i="1" s="1"/>
  <c r="AJ99" i="1" s="1"/>
  <c r="N131" i="1"/>
  <c r="AA131" i="1" s="1"/>
  <c r="AJ131" i="1" s="1"/>
  <c r="N121" i="1"/>
  <c r="AA121" i="1" s="1"/>
  <c r="AJ121" i="1" s="1"/>
  <c r="Z121" i="1"/>
  <c r="AI121" i="1" s="1"/>
  <c r="N107" i="1"/>
  <c r="AA107" i="1" s="1"/>
  <c r="AJ107" i="1" s="1"/>
  <c r="Z78" i="1"/>
  <c r="AI78" i="1" s="1"/>
  <c r="N117" i="1"/>
  <c r="AA117" i="1" s="1"/>
  <c r="AJ117" i="1" s="1"/>
  <c r="Z106" i="1"/>
  <c r="AI106" i="1" s="1"/>
  <c r="N115" i="1"/>
  <c r="AA115" i="1" s="1"/>
  <c r="AJ115" i="1" s="1"/>
  <c r="Z111" i="1"/>
  <c r="AI111" i="1" s="1"/>
  <c r="Z100" i="1"/>
  <c r="AI100" i="1" s="1"/>
  <c r="Z109" i="1"/>
  <c r="AI109" i="1" s="1"/>
  <c r="Z123" i="1"/>
  <c r="AI123" i="1" s="1"/>
  <c r="Z142" i="1"/>
  <c r="AI142" i="1" s="1"/>
  <c r="Z98" i="1"/>
  <c r="AI98" i="1" s="1"/>
  <c r="Z94" i="1"/>
  <c r="AI94" i="1" s="1"/>
  <c r="Z93" i="1"/>
  <c r="AI93" i="1" s="1"/>
  <c r="N106" i="1"/>
  <c r="AA106" i="1" s="1"/>
  <c r="AJ106" i="1" s="1"/>
  <c r="H25" i="3"/>
  <c r="H19" i="3"/>
  <c r="N83" i="1"/>
  <c r="AA83" i="1" s="1"/>
  <c r="AJ83" i="1" s="1"/>
  <c r="N82" i="1"/>
  <c r="AA82" i="1" s="1"/>
  <c r="AJ82" i="1" s="1"/>
  <c r="N81" i="1"/>
  <c r="AA81" i="1" s="1"/>
  <c r="AJ81" i="1" s="1"/>
  <c r="N86" i="1"/>
  <c r="AA86" i="1" s="1"/>
  <c r="AJ86" i="1" s="1"/>
  <c r="N80" i="1"/>
  <c r="AA80" i="1" s="1"/>
  <c r="AJ80" i="1" s="1"/>
  <c r="N77" i="1"/>
  <c r="AA77" i="1" s="1"/>
  <c r="AJ77" i="1" s="1"/>
  <c r="N75" i="1"/>
  <c r="AA75" i="1" s="1"/>
  <c r="AJ75" i="1" s="1"/>
  <c r="N127" i="1"/>
  <c r="AA127" i="1" s="1"/>
  <c r="AJ127" i="1" s="1"/>
  <c r="N88" i="1"/>
  <c r="AA88" i="1" s="1"/>
  <c r="AJ88" i="1" s="1"/>
  <c r="N133" i="1"/>
  <c r="AA133" i="1" s="1"/>
  <c r="AJ133" i="1" s="1"/>
  <c r="N85" i="1"/>
  <c r="AA85" i="1" s="1"/>
  <c r="AJ85" i="1" s="1"/>
  <c r="N79" i="1"/>
  <c r="AA79" i="1" s="1"/>
  <c r="AJ79" i="1" s="1"/>
  <c r="N140" i="1"/>
  <c r="AA140" i="1" s="1"/>
  <c r="AJ140" i="1" s="1"/>
  <c r="N76" i="1"/>
  <c r="AA76" i="1" s="1"/>
  <c r="AJ76" i="1" s="1"/>
  <c r="N114" i="1"/>
  <c r="AA114" i="1" s="1"/>
  <c r="AJ114" i="1" s="1"/>
  <c r="N144" i="1"/>
  <c r="AA144" i="1" s="1"/>
  <c r="AJ144" i="1" s="1"/>
  <c r="N89" i="1"/>
  <c r="AA89" i="1" s="1"/>
  <c r="AJ89" i="1" s="1"/>
  <c r="N134" i="1"/>
  <c r="AA134" i="1" s="1"/>
  <c r="AJ134" i="1" s="1"/>
  <c r="N87" i="1"/>
  <c r="AA87" i="1" s="1"/>
  <c r="AJ87" i="1" s="1"/>
  <c r="N138" i="1"/>
  <c r="AA138" i="1" s="1"/>
  <c r="AJ138" i="1" s="1"/>
  <c r="N84" i="1"/>
  <c r="AA84" i="1" s="1"/>
  <c r="AJ84" i="1" s="1"/>
  <c r="N78" i="1"/>
  <c r="AA78" i="1" s="1"/>
  <c r="AJ78" i="1" s="1"/>
  <c r="C74" i="21"/>
  <c r="C28" i="21" l="1"/>
  <c r="N19" i="2"/>
  <c r="P19" i="2" s="1"/>
  <c r="E19" i="2"/>
  <c r="G19" i="2" s="1"/>
  <c r="D19" i="2"/>
  <c r="E26" i="21"/>
  <c r="J41" i="1" l="1"/>
  <c r="W41" i="1" s="1"/>
  <c r="G52" i="1"/>
  <c r="L49" i="1"/>
  <c r="G49" i="1"/>
  <c r="L69" i="1"/>
  <c r="J69" i="1"/>
  <c r="W69" i="1" s="1"/>
  <c r="G69" i="1"/>
  <c r="C69" i="1"/>
  <c r="L68" i="1"/>
  <c r="J68" i="1"/>
  <c r="W68" i="1" s="1"/>
  <c r="G68" i="1"/>
  <c r="C68" i="1"/>
  <c r="L67" i="1"/>
  <c r="J67" i="1"/>
  <c r="W67" i="1" s="1"/>
  <c r="G67" i="1"/>
  <c r="C67" i="1"/>
  <c r="L66" i="1"/>
  <c r="J66" i="1"/>
  <c r="W66" i="1" s="1"/>
  <c r="G66" i="1"/>
  <c r="C66" i="1"/>
  <c r="L65" i="1"/>
  <c r="J65" i="1"/>
  <c r="W65" i="1" s="1"/>
  <c r="G65" i="1"/>
  <c r="C65" i="1"/>
  <c r="L64" i="1"/>
  <c r="J64" i="1"/>
  <c r="W64" i="1" s="1"/>
  <c r="G64" i="1"/>
  <c r="C64" i="1"/>
  <c r="L63" i="1"/>
  <c r="J63" i="1"/>
  <c r="W63" i="1" s="1"/>
  <c r="G63" i="1"/>
  <c r="C63" i="1"/>
  <c r="L62" i="1"/>
  <c r="J62" i="1"/>
  <c r="W62" i="1" s="1"/>
  <c r="G62" i="1"/>
  <c r="C62" i="1"/>
  <c r="J61" i="1"/>
  <c r="G61" i="1"/>
  <c r="C61" i="1"/>
  <c r="L60" i="1"/>
  <c r="J60" i="1"/>
  <c r="W60" i="1" s="1"/>
  <c r="G60" i="1"/>
  <c r="C60" i="1"/>
  <c r="L59" i="1"/>
  <c r="J59" i="1"/>
  <c r="W59" i="1" s="1"/>
  <c r="G59" i="1"/>
  <c r="C59" i="1"/>
  <c r="L58" i="1"/>
  <c r="J58" i="1"/>
  <c r="W58" i="1" s="1"/>
  <c r="G58" i="1"/>
  <c r="C58" i="1"/>
  <c r="L57" i="1"/>
  <c r="J57" i="1"/>
  <c r="W57" i="1" s="1"/>
  <c r="G57" i="1"/>
  <c r="C57" i="1"/>
  <c r="L56" i="1"/>
  <c r="J56" i="1"/>
  <c r="W56" i="1" s="1"/>
  <c r="G56" i="1"/>
  <c r="C56" i="1"/>
  <c r="L55" i="1"/>
  <c r="J55" i="1"/>
  <c r="W55" i="1" s="1"/>
  <c r="G55" i="1"/>
  <c r="C55" i="1"/>
  <c r="L54" i="1"/>
  <c r="J54" i="1"/>
  <c r="W54" i="1" s="1"/>
  <c r="G54" i="1"/>
  <c r="C54" i="1"/>
  <c r="L53" i="1"/>
  <c r="J53" i="1"/>
  <c r="W53" i="1" s="1"/>
  <c r="G53" i="1"/>
  <c r="C53" i="1"/>
  <c r="L52" i="1"/>
  <c r="J52" i="1"/>
  <c r="W52" i="1" s="1"/>
  <c r="C52" i="1"/>
  <c r="L51" i="1"/>
  <c r="J51" i="1"/>
  <c r="W51" i="1" s="1"/>
  <c r="G51" i="1"/>
  <c r="C51" i="1"/>
  <c r="L50" i="1"/>
  <c r="J50" i="1"/>
  <c r="W50" i="1" s="1"/>
  <c r="G50" i="1"/>
  <c r="C50" i="1"/>
  <c r="J49" i="1"/>
  <c r="W49" i="1" s="1"/>
  <c r="C49" i="1"/>
  <c r="L48" i="1"/>
  <c r="J48" i="1"/>
  <c r="W48" i="1" s="1"/>
  <c r="G48" i="1"/>
  <c r="C48" i="1"/>
  <c r="L47" i="1"/>
  <c r="J47" i="1"/>
  <c r="W47" i="1" s="1"/>
  <c r="G47" i="1"/>
  <c r="C47" i="1"/>
  <c r="L46" i="1"/>
  <c r="J46" i="1"/>
  <c r="W46" i="1" s="1"/>
  <c r="G46" i="1"/>
  <c r="C46" i="1"/>
  <c r="L45" i="1"/>
  <c r="J45" i="1"/>
  <c r="W45" i="1" s="1"/>
  <c r="G45" i="1"/>
  <c r="C45" i="1"/>
  <c r="L44" i="1"/>
  <c r="J44" i="1"/>
  <c r="W44" i="1" s="1"/>
  <c r="G44" i="1"/>
  <c r="C44" i="1"/>
  <c r="L43" i="1"/>
  <c r="J43" i="1"/>
  <c r="W43" i="1" s="1"/>
  <c r="G43" i="1"/>
  <c r="C43" i="1"/>
  <c r="L42" i="1"/>
  <c r="J42" i="1"/>
  <c r="W42" i="1" s="1"/>
  <c r="G42" i="1"/>
  <c r="C42" i="1"/>
  <c r="L41" i="1"/>
  <c r="G41" i="1"/>
  <c r="C41" i="1"/>
  <c r="L40" i="1"/>
  <c r="J40" i="1"/>
  <c r="W40" i="1" s="1"/>
  <c r="G40" i="1"/>
  <c r="C40" i="1"/>
  <c r="L39" i="1"/>
  <c r="J39" i="1"/>
  <c r="W39" i="1" s="1"/>
  <c r="G39" i="1"/>
  <c r="C39" i="1"/>
  <c r="L38" i="1"/>
  <c r="J38" i="1"/>
  <c r="W38" i="1" s="1"/>
  <c r="G38" i="1"/>
  <c r="C38" i="1"/>
  <c r="L37" i="1"/>
  <c r="J37" i="1"/>
  <c r="W37" i="1" s="1"/>
  <c r="G37" i="1"/>
  <c r="C37" i="1"/>
  <c r="L36" i="1"/>
  <c r="J36" i="1"/>
  <c r="W36" i="1" s="1"/>
  <c r="G36" i="1"/>
  <c r="C36" i="1"/>
  <c r="L35" i="1"/>
  <c r="J35" i="1"/>
  <c r="W35" i="1" s="1"/>
  <c r="G35" i="1"/>
  <c r="C35" i="1"/>
  <c r="L34" i="1"/>
  <c r="J34" i="1"/>
  <c r="W34" i="1" s="1"/>
  <c r="G34" i="1"/>
  <c r="C34" i="1"/>
  <c r="L33" i="1"/>
  <c r="J33" i="1"/>
  <c r="W33" i="1" s="1"/>
  <c r="G33" i="1"/>
  <c r="C33" i="1"/>
  <c r="J32" i="1"/>
  <c r="G32" i="1"/>
  <c r="C32" i="1"/>
  <c r="L31" i="1"/>
  <c r="J31" i="1"/>
  <c r="W31" i="1" s="1"/>
  <c r="G31" i="1"/>
  <c r="C31" i="1"/>
  <c r="L30" i="1"/>
  <c r="J30" i="1"/>
  <c r="W30" i="1" s="1"/>
  <c r="G30" i="1"/>
  <c r="C30" i="1"/>
  <c r="L29" i="1"/>
  <c r="J29" i="1"/>
  <c r="W29" i="1" s="1"/>
  <c r="G29" i="1"/>
  <c r="C29" i="1"/>
  <c r="L28" i="1"/>
  <c r="J28" i="1"/>
  <c r="W28" i="1" s="1"/>
  <c r="G28" i="1"/>
  <c r="C28" i="1"/>
  <c r="L27" i="1"/>
  <c r="J27" i="1"/>
  <c r="W27" i="1" s="1"/>
  <c r="G27" i="1"/>
  <c r="C27" i="1"/>
  <c r="L26" i="1"/>
  <c r="J26" i="1"/>
  <c r="W26" i="1" s="1"/>
  <c r="G26" i="1"/>
  <c r="C26" i="1"/>
  <c r="L25" i="1"/>
  <c r="J25" i="1"/>
  <c r="W25" i="1" s="1"/>
  <c r="G25" i="1"/>
  <c r="C25" i="1"/>
  <c r="L24" i="1"/>
  <c r="J24" i="1"/>
  <c r="W24" i="1" s="1"/>
  <c r="G24" i="1"/>
  <c r="C24" i="1"/>
  <c r="L23" i="1"/>
  <c r="J23" i="1"/>
  <c r="W23" i="1" s="1"/>
  <c r="G23" i="1"/>
  <c r="C23" i="1"/>
  <c r="L22" i="1"/>
  <c r="J22" i="1"/>
  <c r="W22" i="1" s="1"/>
  <c r="G22" i="1"/>
  <c r="C22" i="1"/>
  <c r="L21" i="1"/>
  <c r="J21" i="1"/>
  <c r="W21" i="1" s="1"/>
  <c r="G21" i="1"/>
  <c r="C21" i="1"/>
  <c r="M20" i="1"/>
  <c r="J20" i="1"/>
  <c r="G20" i="1"/>
  <c r="C20" i="1"/>
  <c r="L19" i="1"/>
  <c r="J19" i="1"/>
  <c r="W19" i="1" s="1"/>
  <c r="G19" i="1"/>
  <c r="C19" i="1"/>
  <c r="L18" i="1"/>
  <c r="J18" i="1"/>
  <c r="W18" i="1" s="1"/>
  <c r="G18" i="1"/>
  <c r="C18" i="1"/>
  <c r="L17" i="1"/>
  <c r="J17" i="1"/>
  <c r="W17" i="1" s="1"/>
  <c r="G17" i="1"/>
  <c r="C17" i="1"/>
  <c r="L16" i="1"/>
  <c r="J16" i="1"/>
  <c r="W16" i="1" s="1"/>
  <c r="G16" i="1"/>
  <c r="C16" i="1"/>
  <c r="L15" i="1"/>
  <c r="J15" i="1"/>
  <c r="W15" i="1" s="1"/>
  <c r="G15" i="1"/>
  <c r="C15" i="1"/>
  <c r="L14" i="1"/>
  <c r="J14" i="1"/>
  <c r="W14" i="1" s="1"/>
  <c r="G14" i="1"/>
  <c r="C14" i="1"/>
  <c r="L13" i="1"/>
  <c r="J13" i="1"/>
  <c r="W13" i="1" s="1"/>
  <c r="G13" i="1"/>
  <c r="C13" i="1"/>
  <c r="L12" i="1"/>
  <c r="J12" i="1"/>
  <c r="W12" i="1" s="1"/>
  <c r="G12" i="1"/>
  <c r="C12" i="1"/>
  <c r="L11" i="1"/>
  <c r="J11" i="1"/>
  <c r="W11" i="1" s="1"/>
  <c r="G11" i="1"/>
  <c r="C11" i="1"/>
  <c r="L10" i="1"/>
  <c r="J10" i="1"/>
  <c r="W10" i="1" s="1"/>
  <c r="G10" i="1"/>
  <c r="C10" i="1"/>
  <c r="L9" i="1"/>
  <c r="J9" i="1"/>
  <c r="W9" i="1" s="1"/>
  <c r="G9" i="1"/>
  <c r="C9" i="1"/>
  <c r="L8" i="1"/>
  <c r="J8" i="1"/>
  <c r="W8" i="1" s="1"/>
  <c r="G8" i="1"/>
  <c r="C8" i="1"/>
  <c r="L7" i="1"/>
  <c r="J7" i="1"/>
  <c r="W7" i="1" s="1"/>
  <c r="G7" i="1"/>
  <c r="C7" i="1"/>
  <c r="L6" i="1"/>
  <c r="Y6" i="1" s="1"/>
  <c r="AH6" i="1" s="1"/>
  <c r="W6" i="1"/>
  <c r="G6" i="1"/>
  <c r="C6" i="1"/>
  <c r="G5" i="1"/>
  <c r="C5" i="1"/>
  <c r="Y68" i="1" l="1"/>
  <c r="AH68" i="1" s="1"/>
  <c r="Y62" i="1"/>
  <c r="AH62" i="1" s="1"/>
  <c r="Y43" i="1"/>
  <c r="AH43" i="1" s="1"/>
  <c r="Y24" i="1"/>
  <c r="AH24" i="1" s="1"/>
  <c r="Y30" i="1"/>
  <c r="AH30" i="1" s="1"/>
  <c r="Y40" i="1"/>
  <c r="AH40" i="1" s="1"/>
  <c r="Y56" i="1"/>
  <c r="AH56" i="1" s="1"/>
  <c r="Y59" i="1"/>
  <c r="AH59" i="1" s="1"/>
  <c r="Y34" i="1"/>
  <c r="AH34" i="1" s="1"/>
  <c r="Y10" i="1"/>
  <c r="AH10" i="1" s="1"/>
  <c r="Y28" i="1"/>
  <c r="AH28" i="1" s="1"/>
  <c r="Y20" i="1"/>
  <c r="AH20" i="1" s="1"/>
  <c r="X20" i="1"/>
  <c r="AG20" i="1" s="1"/>
  <c r="Y38" i="1"/>
  <c r="AH38" i="1" s="1"/>
  <c r="Y54" i="1"/>
  <c r="AH54" i="1" s="1"/>
  <c r="Y8" i="1"/>
  <c r="AH8" i="1" s="1"/>
  <c r="Y11" i="1"/>
  <c r="AH11" i="1" s="1"/>
  <c r="Z20" i="1"/>
  <c r="AI20" i="1" s="1"/>
  <c r="Y23" i="1"/>
  <c r="AH23" i="1" s="1"/>
  <c r="Y26" i="1"/>
  <c r="AH26" i="1" s="1"/>
  <c r="Y51" i="1"/>
  <c r="AH51" i="1" s="1"/>
  <c r="Y22" i="1"/>
  <c r="AH22" i="1" s="1"/>
  <c r="Y44" i="1"/>
  <c r="AH44" i="1" s="1"/>
  <c r="Y19" i="1"/>
  <c r="AH19" i="1" s="1"/>
  <c r="Y45" i="1"/>
  <c r="AH45" i="1" s="1"/>
  <c r="Y64" i="1"/>
  <c r="AH64" i="1" s="1"/>
  <c r="Y25" i="1"/>
  <c r="AH25" i="1" s="1"/>
  <c r="Y66" i="1"/>
  <c r="AH66" i="1" s="1"/>
  <c r="Y36" i="1"/>
  <c r="AH36" i="1" s="1"/>
  <c r="Y47" i="1"/>
  <c r="AH47" i="1" s="1"/>
  <c r="Y15" i="1"/>
  <c r="AH15" i="1" s="1"/>
  <c r="M37" i="1"/>
  <c r="Y37" i="1"/>
  <c r="AH37" i="1" s="1"/>
  <c r="M7" i="1"/>
  <c r="Y7" i="1"/>
  <c r="AH7" i="1" s="1"/>
  <c r="M16" i="1"/>
  <c r="Y16" i="1"/>
  <c r="AH16" i="1" s="1"/>
  <c r="M31" i="1"/>
  <c r="Y31" i="1"/>
  <c r="AH31" i="1" s="1"/>
  <c r="M50" i="1"/>
  <c r="Y50" i="1"/>
  <c r="AH50" i="1" s="1"/>
  <c r="M41" i="1"/>
  <c r="Y41" i="1"/>
  <c r="AH41" i="1" s="1"/>
  <c r="M46" i="1"/>
  <c r="Y46" i="1"/>
  <c r="AH46" i="1" s="1"/>
  <c r="M65" i="1"/>
  <c r="Y65" i="1"/>
  <c r="AH65" i="1" s="1"/>
  <c r="M53" i="1"/>
  <c r="Y53" i="1"/>
  <c r="AH53" i="1" s="1"/>
  <c r="M13" i="1"/>
  <c r="Y13" i="1"/>
  <c r="AH13" i="1" s="1"/>
  <c r="M63" i="1"/>
  <c r="Y63" i="1"/>
  <c r="AH63" i="1" s="1"/>
  <c r="M69" i="1"/>
  <c r="Y69" i="1"/>
  <c r="AH69" i="1" s="1"/>
  <c r="M35" i="1"/>
  <c r="Y35" i="1"/>
  <c r="AH35" i="1" s="1"/>
  <c r="M57" i="1"/>
  <c r="Y57" i="1"/>
  <c r="AH57" i="1" s="1"/>
  <c r="M60" i="1"/>
  <c r="Y60" i="1"/>
  <c r="AH60" i="1" s="1"/>
  <c r="M14" i="1"/>
  <c r="Y14" i="1"/>
  <c r="AH14" i="1" s="1"/>
  <c r="M17" i="1"/>
  <c r="Y17" i="1"/>
  <c r="AH17" i="1" s="1"/>
  <c r="M29" i="1"/>
  <c r="Y29" i="1"/>
  <c r="AH29" i="1" s="1"/>
  <c r="M49" i="1"/>
  <c r="Y49" i="1"/>
  <c r="AH49" i="1" s="1"/>
  <c r="M42" i="1"/>
  <c r="Y42" i="1"/>
  <c r="AH42" i="1" s="1"/>
  <c r="M48" i="1"/>
  <c r="Y48" i="1"/>
  <c r="AH48" i="1" s="1"/>
  <c r="M67" i="1"/>
  <c r="Y67" i="1"/>
  <c r="AH67" i="1" s="1"/>
  <c r="M33" i="1"/>
  <c r="Y33" i="1"/>
  <c r="AH33" i="1" s="1"/>
  <c r="M39" i="1"/>
  <c r="Y39" i="1"/>
  <c r="AH39" i="1" s="1"/>
  <c r="M52" i="1"/>
  <c r="Y52" i="1"/>
  <c r="AH52" i="1" s="1"/>
  <c r="M55" i="1"/>
  <c r="Y55" i="1"/>
  <c r="AH55" i="1" s="1"/>
  <c r="M58" i="1"/>
  <c r="Y58" i="1"/>
  <c r="AH58" i="1" s="1"/>
  <c r="M9" i="1"/>
  <c r="Y9" i="1"/>
  <c r="AH9" i="1" s="1"/>
  <c r="M12" i="1"/>
  <c r="Y12" i="1"/>
  <c r="AH12" i="1" s="1"/>
  <c r="M18" i="1"/>
  <c r="Y18" i="1"/>
  <c r="AH18" i="1" s="1"/>
  <c r="M21" i="1"/>
  <c r="Y21" i="1"/>
  <c r="AH21" i="1" s="1"/>
  <c r="M27" i="1"/>
  <c r="Y27" i="1"/>
  <c r="AH27" i="1" s="1"/>
  <c r="W61" i="1"/>
  <c r="W32" i="1"/>
  <c r="W5" i="1"/>
  <c r="W20" i="1"/>
  <c r="L32" i="1"/>
  <c r="Y32" i="1" s="1"/>
  <c r="AH32" i="1" s="1"/>
  <c r="N20" i="1"/>
  <c r="AA20" i="1" s="1"/>
  <c r="AJ20" i="1" s="1"/>
  <c r="M25" i="1"/>
  <c r="M6" i="1"/>
  <c r="M8" i="1"/>
  <c r="M15" i="1"/>
  <c r="M23" i="1"/>
  <c r="M10" i="1"/>
  <c r="M19" i="1"/>
  <c r="M40" i="1"/>
  <c r="M47" i="1"/>
  <c r="M30" i="1"/>
  <c r="M38" i="1"/>
  <c r="M44" i="1"/>
  <c r="M11" i="1"/>
  <c r="M28" i="1"/>
  <c r="M36" i="1"/>
  <c r="M22" i="1"/>
  <c r="M24" i="1"/>
  <c r="M26" i="1"/>
  <c r="M34" i="1"/>
  <c r="M45" i="1"/>
  <c r="M64" i="1"/>
  <c r="M43" i="1"/>
  <c r="M51" i="1"/>
  <c r="M54" i="1"/>
  <c r="M62" i="1"/>
  <c r="M59" i="1"/>
  <c r="M56" i="1"/>
  <c r="M66" i="1"/>
  <c r="M68" i="1"/>
  <c r="Z62" i="1" l="1"/>
  <c r="AI62" i="1" s="1"/>
  <c r="Z42" i="1"/>
  <c r="AI42" i="1" s="1"/>
  <c r="Z30" i="1"/>
  <c r="AI30" i="1" s="1"/>
  <c r="Z47" i="1"/>
  <c r="AI47" i="1" s="1"/>
  <c r="Z18" i="1"/>
  <c r="AI18" i="1" s="1"/>
  <c r="Z69" i="1"/>
  <c r="AI69" i="1" s="1"/>
  <c r="Z45" i="1"/>
  <c r="AI45" i="1" s="1"/>
  <c r="Z40" i="1"/>
  <c r="AI40" i="1" s="1"/>
  <c r="Z19" i="1"/>
  <c r="AI19" i="1" s="1"/>
  <c r="Z26" i="1"/>
  <c r="AI26" i="1" s="1"/>
  <c r="Z59" i="1"/>
  <c r="AI59" i="1" s="1"/>
  <c r="Z28" i="1"/>
  <c r="AI28" i="1" s="1"/>
  <c r="Z25" i="1"/>
  <c r="AI25" i="1" s="1"/>
  <c r="Z27" i="1"/>
  <c r="AI27" i="1" s="1"/>
  <c r="Z65" i="1"/>
  <c r="AI65" i="1" s="1"/>
  <c r="Z43" i="1"/>
  <c r="AI43" i="1" s="1"/>
  <c r="Z64" i="1"/>
  <c r="AI64" i="1" s="1"/>
  <c r="Z39" i="1"/>
  <c r="AI39" i="1" s="1"/>
  <c r="Z29" i="1"/>
  <c r="AI29" i="1" s="1"/>
  <c r="Z41" i="1"/>
  <c r="AI41" i="1" s="1"/>
  <c r="Z34" i="1"/>
  <c r="AI34" i="1" s="1"/>
  <c r="Z12" i="1"/>
  <c r="AI12" i="1" s="1"/>
  <c r="Z33" i="1"/>
  <c r="AI33" i="1" s="1"/>
  <c r="Z17" i="1"/>
  <c r="AI17" i="1" s="1"/>
  <c r="Z63" i="1"/>
  <c r="AI63" i="1" s="1"/>
  <c r="Z50" i="1"/>
  <c r="AI50" i="1" s="1"/>
  <c r="Z10" i="1"/>
  <c r="AI10" i="1" s="1"/>
  <c r="Z68" i="1"/>
  <c r="AI68" i="1" s="1"/>
  <c r="Z24" i="1"/>
  <c r="AI24" i="1" s="1"/>
  <c r="Z23" i="1"/>
  <c r="AI23" i="1" s="1"/>
  <c r="Z9" i="1"/>
  <c r="AI9" i="1" s="1"/>
  <c r="Z67" i="1"/>
  <c r="AI67" i="1" s="1"/>
  <c r="Z14" i="1"/>
  <c r="AI14" i="1" s="1"/>
  <c r="Z13" i="1"/>
  <c r="AI13" i="1" s="1"/>
  <c r="Z31" i="1"/>
  <c r="AI31" i="1" s="1"/>
  <c r="Z66" i="1"/>
  <c r="AI66" i="1" s="1"/>
  <c r="Z22" i="1"/>
  <c r="AI22" i="1" s="1"/>
  <c r="Z15" i="1"/>
  <c r="AI15" i="1" s="1"/>
  <c r="Z56" i="1"/>
  <c r="AI56" i="1" s="1"/>
  <c r="Z36" i="1"/>
  <c r="AI36" i="1" s="1"/>
  <c r="Z8" i="1"/>
  <c r="AI8" i="1" s="1"/>
  <c r="Z58" i="1"/>
  <c r="AI58" i="1" s="1"/>
  <c r="Z48" i="1"/>
  <c r="AI48" i="1" s="1"/>
  <c r="Z60" i="1"/>
  <c r="AI60" i="1" s="1"/>
  <c r="Z53" i="1"/>
  <c r="AI53" i="1" s="1"/>
  <c r="Z16" i="1"/>
  <c r="AI16" i="1" s="1"/>
  <c r="Z6" i="1"/>
  <c r="AI6" i="1" s="1"/>
  <c r="Z11" i="1"/>
  <c r="AI11" i="1" s="1"/>
  <c r="Z55" i="1"/>
  <c r="AI55" i="1" s="1"/>
  <c r="Z57" i="1"/>
  <c r="AI57" i="1" s="1"/>
  <c r="Z7" i="1"/>
  <c r="AI7" i="1" s="1"/>
  <c r="Z54" i="1"/>
  <c r="AI54" i="1" s="1"/>
  <c r="Z44" i="1"/>
  <c r="AI44" i="1" s="1"/>
  <c r="Z51" i="1"/>
  <c r="AI51" i="1" s="1"/>
  <c r="Z38" i="1"/>
  <c r="AI38" i="1" s="1"/>
  <c r="Z21" i="1"/>
  <c r="AI21" i="1" s="1"/>
  <c r="Z52" i="1"/>
  <c r="AI52" i="1" s="1"/>
  <c r="Z49" i="1"/>
  <c r="AI49" i="1" s="1"/>
  <c r="Z35" i="1"/>
  <c r="AI35" i="1" s="1"/>
  <c r="Z46" i="1"/>
  <c r="AI46" i="1" s="1"/>
  <c r="Z37" i="1"/>
  <c r="AI37" i="1" s="1"/>
  <c r="M32" i="1"/>
  <c r="L5" i="1"/>
  <c r="Y5" i="1" s="1"/>
  <c r="AH5" i="1" s="1"/>
  <c r="L61" i="1"/>
  <c r="Y61" i="1" s="1"/>
  <c r="AH61" i="1" s="1"/>
  <c r="Z32" i="1" l="1"/>
  <c r="AI32" i="1" s="1"/>
  <c r="M61" i="1"/>
  <c r="M5" i="1"/>
  <c r="W2" i="28"/>
  <c r="W250" i="28" s="1"/>
  <c r="V2" i="28"/>
  <c r="V252" i="28" s="1"/>
  <c r="S10" i="28"/>
  <c r="T10" i="28" s="1"/>
  <c r="U10" i="28" s="1"/>
  <c r="S11" i="28"/>
  <c r="T11" i="28" s="1"/>
  <c r="S12" i="28"/>
  <c r="T12" i="28" s="1"/>
  <c r="S13" i="28"/>
  <c r="T13" i="28" s="1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T28" i="28" s="1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U40" i="28" s="1"/>
  <c r="S41" i="28"/>
  <c r="S42" i="28"/>
  <c r="T42" i="28" s="1"/>
  <c r="U42" i="28" s="1"/>
  <c r="S43" i="28"/>
  <c r="T43" i="28" s="1"/>
  <c r="S44" i="28"/>
  <c r="T44" i="28" s="1"/>
  <c r="S45" i="28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S57" i="28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T74" i="28" s="1"/>
  <c r="U74" i="28" s="1"/>
  <c r="S75" i="28"/>
  <c r="T75" i="28" s="1"/>
  <c r="S76" i="28"/>
  <c r="T76" i="28" s="1"/>
  <c r="S77" i="28"/>
  <c r="S78" i="28"/>
  <c r="S79" i="28"/>
  <c r="T79" i="28" s="1"/>
  <c r="S80" i="28"/>
  <c r="T80" i="28" s="1"/>
  <c r="S81" i="28"/>
  <c r="S82" i="28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T99" i="28" s="1"/>
  <c r="S100" i="28"/>
  <c r="T100" i="28" s="1"/>
  <c r="S101" i="28"/>
  <c r="S102" i="28"/>
  <c r="T102" i="28" s="1"/>
  <c r="S103" i="28"/>
  <c r="T103" i="28" s="1"/>
  <c r="S104" i="28"/>
  <c r="T104" i="28" s="1"/>
  <c r="S105" i="28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S190" i="28"/>
  <c r="T190" i="28" s="1"/>
  <c r="U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2" i="28"/>
  <c r="T212" i="28" s="1"/>
  <c r="S213" i="28"/>
  <c r="T213" i="28" s="1"/>
  <c r="S214" i="28"/>
  <c r="T214" i="28" s="1"/>
  <c r="S215" i="28"/>
  <c r="T215" i="28" s="1"/>
  <c r="S216" i="28"/>
  <c r="T216" i="28" s="1"/>
  <c r="S217" i="28"/>
  <c r="T217" i="28" s="1"/>
  <c r="S218" i="28"/>
  <c r="T218" i="28" s="1"/>
  <c r="S219" i="28"/>
  <c r="T219" i="28" s="1"/>
  <c r="S220" i="28"/>
  <c r="T220" i="28" s="1"/>
  <c r="S221" i="28"/>
  <c r="S222" i="28"/>
  <c r="T222" i="28" s="1"/>
  <c r="S223" i="28"/>
  <c r="T223" i="28" s="1"/>
  <c r="S224" i="28"/>
  <c r="T224" i="28" s="1"/>
  <c r="S225" i="28"/>
  <c r="T225" i="28" s="1"/>
  <c r="S226" i="28"/>
  <c r="T226" i="28" s="1"/>
  <c r="S227" i="28"/>
  <c r="T227" i="28" s="1"/>
  <c r="S228" i="28"/>
  <c r="T228" i="28" s="1"/>
  <c r="S229" i="28"/>
  <c r="T229" i="28" s="1"/>
  <c r="S230" i="28"/>
  <c r="T230" i="28" s="1"/>
  <c r="S231" i="28"/>
  <c r="T231" i="28" s="1"/>
  <c r="S232" i="28"/>
  <c r="T232" i="28" s="1"/>
  <c r="S233" i="28"/>
  <c r="T233" i="28" s="1"/>
  <c r="S234" i="28"/>
  <c r="T234" i="28" s="1"/>
  <c r="S235" i="28"/>
  <c r="T235" i="28" s="1"/>
  <c r="S236" i="28"/>
  <c r="T236" i="28" s="1"/>
  <c r="S237" i="28"/>
  <c r="T237" i="28" s="1"/>
  <c r="S238" i="28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S254" i="28"/>
  <c r="S255" i="28"/>
  <c r="S256" i="28"/>
  <c r="F16" i="57"/>
  <c r="F15" i="57"/>
  <c r="D16" i="57"/>
  <c r="D15" i="57"/>
  <c r="C16" i="57"/>
  <c r="C15" i="57"/>
  <c r="B16" i="57"/>
  <c r="B15" i="57"/>
  <c r="T245" i="28"/>
  <c r="T241" i="28"/>
  <c r="T238" i="28"/>
  <c r="T221" i="28"/>
  <c r="T209" i="28"/>
  <c r="T201" i="28"/>
  <c r="T197" i="28"/>
  <c r="U197" i="28"/>
  <c r="T189" i="28"/>
  <c r="T185" i="28"/>
  <c r="T173" i="28"/>
  <c r="U173" i="28" s="1"/>
  <c r="T161" i="28"/>
  <c r="T153" i="28"/>
  <c r="T149" i="28"/>
  <c r="T145" i="28"/>
  <c r="T141" i="28"/>
  <c r="T137" i="28"/>
  <c r="T125" i="28"/>
  <c r="T117" i="28"/>
  <c r="T113" i="28"/>
  <c r="T105" i="28"/>
  <c r="U105" i="28" s="1"/>
  <c r="T101" i="28"/>
  <c r="U101" i="28" s="1"/>
  <c r="T89" i="28"/>
  <c r="T82" i="28"/>
  <c r="U82" i="28" s="1"/>
  <c r="T81" i="28"/>
  <c r="U81" i="28" s="1"/>
  <c r="T78" i="28"/>
  <c r="U78" i="28" s="1"/>
  <c r="T77" i="28"/>
  <c r="U77" i="28" s="1"/>
  <c r="T65" i="28"/>
  <c r="T57" i="28"/>
  <c r="T56" i="28"/>
  <c r="T53" i="28"/>
  <c r="U53" i="28" s="1"/>
  <c r="T45" i="28"/>
  <c r="T41" i="28"/>
  <c r="T31" i="28"/>
  <c r="U31" i="28" s="1"/>
  <c r="T29" i="28"/>
  <c r="T22" i="28"/>
  <c r="U22" i="28" s="1"/>
  <c r="T21" i="28"/>
  <c r="U21" i="28" s="1"/>
  <c r="T17" i="28"/>
  <c r="H8" i="8"/>
  <c r="C8" i="8"/>
  <c r="E8" i="8" s="1"/>
  <c r="H7" i="8"/>
  <c r="C7" i="8"/>
  <c r="L74" i="1"/>
  <c r="J74" i="1"/>
  <c r="W74" i="1" s="1"/>
  <c r="G74" i="1"/>
  <c r="C74" i="1"/>
  <c r="L73" i="1"/>
  <c r="J73" i="1"/>
  <c r="W73" i="1" s="1"/>
  <c r="G73" i="1"/>
  <c r="C73" i="1"/>
  <c r="L72" i="1"/>
  <c r="K72" i="1"/>
  <c r="R72" i="1" s="1"/>
  <c r="J72" i="1"/>
  <c r="W72" i="1" s="1"/>
  <c r="G72" i="1"/>
  <c r="C72" i="1"/>
  <c r="L71" i="1"/>
  <c r="K71" i="1"/>
  <c r="J71" i="1"/>
  <c r="W71" i="1" s="1"/>
  <c r="G71" i="1"/>
  <c r="C71" i="1"/>
  <c r="L70" i="1"/>
  <c r="K70" i="1"/>
  <c r="J70" i="1"/>
  <c r="W70" i="1" s="1"/>
  <c r="G70" i="1"/>
  <c r="C70" i="1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O193" i="1" l="1"/>
  <c r="R193" i="1"/>
  <c r="R164" i="1"/>
  <c r="O164" i="1"/>
  <c r="R185" i="1"/>
  <c r="S193" i="1"/>
  <c r="P193" i="1"/>
  <c r="AC193" i="1" s="1"/>
  <c r="S164" i="1"/>
  <c r="T164" i="1" s="1"/>
  <c r="P164" i="1"/>
  <c r="R192" i="1"/>
  <c r="O192" i="1"/>
  <c r="S192" i="1"/>
  <c r="P192" i="1"/>
  <c r="AC192" i="1" s="1"/>
  <c r="S166" i="1"/>
  <c r="P166" i="1"/>
  <c r="AC166" i="1" s="1"/>
  <c r="S216" i="1"/>
  <c r="P216" i="1"/>
  <c r="AC216" i="1" s="1"/>
  <c r="O166" i="1"/>
  <c r="R166" i="1"/>
  <c r="T166" i="1" s="1"/>
  <c r="R216" i="1"/>
  <c r="O216" i="1"/>
  <c r="O157" i="1"/>
  <c r="R157" i="1"/>
  <c r="S157" i="1"/>
  <c r="P157" i="1"/>
  <c r="AC157" i="1" s="1"/>
  <c r="O154" i="1"/>
  <c r="R154" i="1"/>
  <c r="S154" i="1"/>
  <c r="P154" i="1"/>
  <c r="AC154" i="1" s="1"/>
  <c r="O196" i="1"/>
  <c r="R196" i="1"/>
  <c r="S196" i="1"/>
  <c r="P196" i="1"/>
  <c r="AC196" i="1" s="1"/>
  <c r="R70" i="1"/>
  <c r="R187" i="1"/>
  <c r="O187" i="1"/>
  <c r="S187" i="1"/>
  <c r="P187" i="1"/>
  <c r="AC187" i="1" s="1"/>
  <c r="O180" i="1"/>
  <c r="R180" i="1"/>
  <c r="S180" i="1"/>
  <c r="P180" i="1"/>
  <c r="AC180" i="1" s="1"/>
  <c r="O171" i="1"/>
  <c r="R171" i="1"/>
  <c r="P171" i="1"/>
  <c r="AC171" i="1" s="1"/>
  <c r="R71" i="1"/>
  <c r="O215" i="1"/>
  <c r="R177" i="1"/>
  <c r="R208" i="1"/>
  <c r="O208" i="1"/>
  <c r="R90" i="1"/>
  <c r="R20" i="1"/>
  <c r="R200" i="1"/>
  <c r="O198" i="1"/>
  <c r="O200" i="1"/>
  <c r="R179" i="1"/>
  <c r="R207" i="1"/>
  <c r="R198" i="1"/>
  <c r="V198" i="1" s="1"/>
  <c r="R197" i="1"/>
  <c r="R211" i="1"/>
  <c r="O211" i="1"/>
  <c r="R203" i="1"/>
  <c r="R159" i="1"/>
  <c r="O204" i="1"/>
  <c r="O197" i="1"/>
  <c r="R204" i="1"/>
  <c r="O203" i="1"/>
  <c r="R183" i="1"/>
  <c r="O159" i="1"/>
  <c r="O207" i="1"/>
  <c r="O174" i="1"/>
  <c r="O183" i="1"/>
  <c r="R189" i="1"/>
  <c r="O179" i="1"/>
  <c r="O189" i="1"/>
  <c r="R191" i="1"/>
  <c r="O191" i="1"/>
  <c r="O188" i="1"/>
  <c r="O330" i="1"/>
  <c r="O146" i="1"/>
  <c r="R152" i="1"/>
  <c r="R151" i="1"/>
  <c r="O212" i="1"/>
  <c r="O277" i="1"/>
  <c r="R156" i="1"/>
  <c r="R213" i="1"/>
  <c r="O182" i="1"/>
  <c r="R217" i="1"/>
  <c r="O245" i="1"/>
  <c r="R331" i="1"/>
  <c r="R311" i="1"/>
  <c r="O248" i="1"/>
  <c r="O288" i="1"/>
  <c r="O284" i="1"/>
  <c r="O256" i="1"/>
  <c r="R306" i="1"/>
  <c r="O236" i="1"/>
  <c r="O290" i="1"/>
  <c r="R223" i="1"/>
  <c r="R291" i="1"/>
  <c r="R322" i="1"/>
  <c r="O269" i="1"/>
  <c r="R334" i="1"/>
  <c r="R219" i="1"/>
  <c r="R258" i="1"/>
  <c r="R294" i="1"/>
  <c r="R318" i="1"/>
  <c r="O194" i="1"/>
  <c r="O151" i="1"/>
  <c r="R257" i="1"/>
  <c r="R320" i="1"/>
  <c r="R215" i="1"/>
  <c r="O152" i="1"/>
  <c r="R229" i="1"/>
  <c r="O331" i="1"/>
  <c r="O311" i="1"/>
  <c r="R284" i="1"/>
  <c r="O266" i="1"/>
  <c r="R224" i="1"/>
  <c r="R277" i="1"/>
  <c r="R346" i="1"/>
  <c r="O297" i="1"/>
  <c r="R330" i="1"/>
  <c r="R270" i="1"/>
  <c r="R173" i="1"/>
  <c r="R342" i="1"/>
  <c r="O167" i="1"/>
  <c r="O254" i="1"/>
  <c r="O172" i="1"/>
  <c r="R242" i="1"/>
  <c r="R148" i="1"/>
  <c r="R289" i="1"/>
  <c r="O213" i="1"/>
  <c r="O165" i="1"/>
  <c r="R206" i="1"/>
  <c r="O225" i="1"/>
  <c r="O303" i="1"/>
  <c r="O185" i="1"/>
  <c r="R170" i="1"/>
  <c r="R175" i="1"/>
  <c r="R225" i="1"/>
  <c r="R271" i="1"/>
  <c r="O220" i="1"/>
  <c r="R161" i="1"/>
  <c r="R209" i="1"/>
  <c r="O267" i="1"/>
  <c r="O199" i="1"/>
  <c r="O219" i="1"/>
  <c r="R182" i="1"/>
  <c r="O160" i="1"/>
  <c r="O206" i="1"/>
  <c r="R272" i="1"/>
  <c r="R248" i="1"/>
  <c r="O308" i="1"/>
  <c r="O340" i="1"/>
  <c r="O262" i="1"/>
  <c r="O224" i="1"/>
  <c r="R344" i="1"/>
  <c r="O270" i="1"/>
  <c r="R290" i="1"/>
  <c r="R255" i="1"/>
  <c r="O235" i="1"/>
  <c r="O310" i="1"/>
  <c r="O333" i="1"/>
  <c r="O346" i="1"/>
  <c r="R233" i="1"/>
  <c r="R287" i="1"/>
  <c r="R244" i="1"/>
  <c r="R235" i="1"/>
  <c r="O285" i="1"/>
  <c r="O302" i="1"/>
  <c r="R288" i="1"/>
  <c r="O273" i="1"/>
  <c r="O278" i="1"/>
  <c r="R295" i="1"/>
  <c r="O318" i="1"/>
  <c r="O264" i="1"/>
  <c r="O281" i="1"/>
  <c r="O150" i="1"/>
  <c r="O301" i="1"/>
  <c r="O158" i="1"/>
  <c r="R181" i="1"/>
  <c r="R172" i="1"/>
  <c r="O173" i="1"/>
  <c r="R268" i="1"/>
  <c r="R278" i="1"/>
  <c r="O240" i="1"/>
  <c r="O257" i="1"/>
  <c r="R337" i="1"/>
  <c r="R283" i="1"/>
  <c r="O342" i="1"/>
  <c r="R266" i="1"/>
  <c r="O344" i="1"/>
  <c r="O341" i="1"/>
  <c r="O255" i="1"/>
  <c r="R326" i="1"/>
  <c r="R303" i="1"/>
  <c r="O305" i="1"/>
  <c r="R285" i="1"/>
  <c r="O250" i="1"/>
  <c r="R302" i="1"/>
  <c r="O298" i="1"/>
  <c r="R286" i="1"/>
  <c r="R250" i="1"/>
  <c r="R305" i="1"/>
  <c r="R304" i="1"/>
  <c r="R199" i="1"/>
  <c r="O237" i="1"/>
  <c r="R279" i="1"/>
  <c r="O168" i="1"/>
  <c r="O162" i="1"/>
  <c r="R160" i="1"/>
  <c r="O181" i="1"/>
  <c r="R214" i="1"/>
  <c r="R319" i="1"/>
  <c r="R240" i="1"/>
  <c r="O242" i="1"/>
  <c r="R273" i="1"/>
  <c r="O337" i="1"/>
  <c r="O326" i="1"/>
  <c r="O321" i="1"/>
  <c r="R226" i="1"/>
  <c r="O232" i="1"/>
  <c r="O261" i="1"/>
  <c r="O314" i="1"/>
  <c r="O319" i="1"/>
  <c r="R184" i="1"/>
  <c r="R190" i="1"/>
  <c r="R205" i="1"/>
  <c r="O214" i="1"/>
  <c r="R202" i="1"/>
  <c r="R221" i="1"/>
  <c r="R218" i="1"/>
  <c r="R307" i="1"/>
  <c r="O320" i="1"/>
  <c r="R227" i="1"/>
  <c r="R299" i="1"/>
  <c r="R327" i="1"/>
  <c r="O148" i="1"/>
  <c r="R153" i="1"/>
  <c r="O177" i="1"/>
  <c r="R301" i="1"/>
  <c r="R313" i="1"/>
  <c r="R276" i="1"/>
  <c r="R341" i="1"/>
  <c r="O274" i="1"/>
  <c r="O226" i="1"/>
  <c r="R234" i="1"/>
  <c r="R188" i="1"/>
  <c r="O304" i="1"/>
  <c r="O155" i="1"/>
  <c r="O201" i="1"/>
  <c r="O149" i="1"/>
  <c r="R267" i="1"/>
  <c r="O307" i="1"/>
  <c r="O263" i="1"/>
  <c r="O313" i="1"/>
  <c r="O296" i="1"/>
  <c r="R236" i="1"/>
  <c r="O280" i="1"/>
  <c r="O338" i="1"/>
  <c r="O309" i="1"/>
  <c r="O258" i="1"/>
  <c r="R256" i="1"/>
  <c r="R333" i="1"/>
  <c r="R249" i="1"/>
  <c r="R317" i="1"/>
  <c r="O231" i="1"/>
  <c r="R232" i="1"/>
  <c r="O233" i="1"/>
  <c r="O217" i="1"/>
  <c r="R310" i="1"/>
  <c r="O324" i="1"/>
  <c r="R329" i="1"/>
  <c r="O300" i="1"/>
  <c r="O186" i="1"/>
  <c r="R241" i="1"/>
  <c r="O282" i="1"/>
  <c r="R237" i="1"/>
  <c r="R323" i="1"/>
  <c r="O316" i="1"/>
  <c r="R339" i="1"/>
  <c r="R158" i="1"/>
  <c r="O169" i="1"/>
  <c r="O190" i="1"/>
  <c r="O153" i="1"/>
  <c r="R263" i="1"/>
  <c r="O222" i="1"/>
  <c r="O279" i="1"/>
  <c r="O339" i="1"/>
  <c r="R335" i="1"/>
  <c r="R336" i="1"/>
  <c r="R293" i="1"/>
  <c r="O272" i="1"/>
  <c r="O195" i="1"/>
  <c r="O323" i="1"/>
  <c r="O249" i="1"/>
  <c r="O345" i="1"/>
  <c r="O306" i="1"/>
  <c r="R253" i="1"/>
  <c r="O275" i="1"/>
  <c r="O265" i="1"/>
  <c r="O234" i="1"/>
  <c r="R297" i="1"/>
  <c r="R163" i="1"/>
  <c r="O209" i="1"/>
  <c r="R165" i="1"/>
  <c r="R210" i="1"/>
  <c r="R254" i="1"/>
  <c r="R314" i="1"/>
  <c r="O228" i="1"/>
  <c r="O293" i="1"/>
  <c r="O294" i="1"/>
  <c r="R251" i="1"/>
  <c r="R231" i="1"/>
  <c r="O246" i="1"/>
  <c r="R275" i="1"/>
  <c r="R246" i="1"/>
  <c r="R260" i="1"/>
  <c r="O210" i="1"/>
  <c r="R228" i="1"/>
  <c r="O223" i="1"/>
  <c r="R308" i="1"/>
  <c r="O289" i="1"/>
  <c r="O147" i="1"/>
  <c r="R167" i="1"/>
  <c r="R309" i="1"/>
  <c r="O221" i="1"/>
  <c r="O163" i="1"/>
  <c r="O205" i="1"/>
  <c r="R265" i="1"/>
  <c r="O325" i="1"/>
  <c r="O335" i="1"/>
  <c r="O286" i="1"/>
  <c r="R300" i="1"/>
  <c r="R243" i="1"/>
  <c r="R147" i="1"/>
  <c r="R169" i="1"/>
  <c r="O170" i="1"/>
  <c r="O175" i="1"/>
  <c r="R321" i="1"/>
  <c r="R150" i="1"/>
  <c r="O271" i="1"/>
  <c r="R340" i="1"/>
  <c r="R282" i="1"/>
  <c r="O247" i="1"/>
  <c r="O252" i="1"/>
  <c r="R245" i="1"/>
  <c r="O229" i="1"/>
  <c r="R247" i="1"/>
  <c r="O238" i="1"/>
  <c r="R220" i="1"/>
  <c r="O315" i="1"/>
  <c r="R222" i="1"/>
  <c r="O218" i="1"/>
  <c r="O283" i="1"/>
  <c r="R174" i="1"/>
  <c r="O243" i="1"/>
  <c r="R296" i="1"/>
  <c r="R264" i="1"/>
  <c r="R345" i="1"/>
  <c r="O241" i="1"/>
  <c r="R239" i="1"/>
  <c r="R259" i="1"/>
  <c r="O227" i="1"/>
  <c r="R238" i="1"/>
  <c r="O328" i="1"/>
  <c r="O327" i="1"/>
  <c r="R328" i="1"/>
  <c r="R146" i="1"/>
  <c r="O312" i="1"/>
  <c r="O317" i="1"/>
  <c r="R155" i="1"/>
  <c r="O343" i="1"/>
  <c r="O276" i="1"/>
  <c r="R281" i="1"/>
  <c r="R195" i="1"/>
  <c r="O202" i="1"/>
  <c r="R343" i="1"/>
  <c r="O334" i="1"/>
  <c r="R292" i="1"/>
  <c r="R332" i="1"/>
  <c r="R186" i="1"/>
  <c r="O292" i="1"/>
  <c r="R316" i="1"/>
  <c r="O287" i="1"/>
  <c r="O161" i="1"/>
  <c r="R324" i="1"/>
  <c r="O184" i="1"/>
  <c r="R162" i="1"/>
  <c r="O259" i="1"/>
  <c r="R252" i="1"/>
  <c r="O268" i="1"/>
  <c r="O336" i="1"/>
  <c r="R298" i="1"/>
  <c r="R212" i="1"/>
  <c r="O295" i="1"/>
  <c r="O260" i="1"/>
  <c r="O322" i="1"/>
  <c r="O178" i="1"/>
  <c r="R280" i="1"/>
  <c r="R201" i="1"/>
  <c r="R168" i="1"/>
  <c r="O291" i="1"/>
  <c r="R262" i="1"/>
  <c r="R178" i="1"/>
  <c r="R149" i="1"/>
  <c r="O299" i="1"/>
  <c r="R315" i="1"/>
  <c r="R261" i="1"/>
  <c r="R338" i="1"/>
  <c r="R325" i="1"/>
  <c r="O156" i="1"/>
  <c r="O244" i="1"/>
  <c r="R269" i="1"/>
  <c r="R194" i="1"/>
  <c r="O251" i="1"/>
  <c r="R274" i="1"/>
  <c r="R176" i="1"/>
  <c r="R312" i="1"/>
  <c r="O253" i="1"/>
  <c r="O329" i="1"/>
  <c r="O176" i="1"/>
  <c r="O230" i="1"/>
  <c r="O332" i="1"/>
  <c r="R230" i="1"/>
  <c r="O239" i="1"/>
  <c r="R83" i="1"/>
  <c r="R88" i="1"/>
  <c r="R127" i="1"/>
  <c r="R110" i="1"/>
  <c r="R105" i="1"/>
  <c r="R75" i="1"/>
  <c r="R84" i="1"/>
  <c r="R113" i="1"/>
  <c r="R141" i="1"/>
  <c r="R104" i="1"/>
  <c r="R108" i="1"/>
  <c r="R77" i="1"/>
  <c r="R131" i="1"/>
  <c r="R58" i="1"/>
  <c r="R80" i="1"/>
  <c r="R133" i="1"/>
  <c r="R92" i="1"/>
  <c r="R120" i="1"/>
  <c r="R106" i="1"/>
  <c r="R98" i="1"/>
  <c r="R109" i="1"/>
  <c r="R118" i="1"/>
  <c r="R134" i="1"/>
  <c r="R122" i="1"/>
  <c r="R130" i="1"/>
  <c r="R87" i="1"/>
  <c r="R111" i="1"/>
  <c r="R142" i="1"/>
  <c r="R99" i="1"/>
  <c r="R112" i="1"/>
  <c r="R95" i="1"/>
  <c r="R136" i="1"/>
  <c r="R139" i="1"/>
  <c r="R135" i="1"/>
  <c r="R117" i="1"/>
  <c r="R137" i="1"/>
  <c r="R101" i="1"/>
  <c r="R125" i="1"/>
  <c r="R116" i="1"/>
  <c r="R107" i="1"/>
  <c r="R132" i="1"/>
  <c r="R115" i="1"/>
  <c r="R143" i="1"/>
  <c r="R89" i="1"/>
  <c r="R119" i="1"/>
  <c r="R124" i="1"/>
  <c r="R129" i="1"/>
  <c r="R126" i="1"/>
  <c r="R96" i="1"/>
  <c r="R121" i="1"/>
  <c r="R79" i="1"/>
  <c r="R78" i="1"/>
  <c r="R140" i="1"/>
  <c r="R81" i="1"/>
  <c r="R97" i="1"/>
  <c r="R144" i="1"/>
  <c r="R102" i="1"/>
  <c r="R86" i="1"/>
  <c r="R138" i="1"/>
  <c r="R82" i="1"/>
  <c r="R85" i="1"/>
  <c r="R114" i="1"/>
  <c r="R123" i="1"/>
  <c r="R94" i="1"/>
  <c r="R100" i="1"/>
  <c r="R76" i="1"/>
  <c r="R91" i="1"/>
  <c r="R103" i="1"/>
  <c r="R93" i="1"/>
  <c r="R128" i="1"/>
  <c r="S5" i="1"/>
  <c r="P174" i="1"/>
  <c r="AC174" i="1" s="1"/>
  <c r="P335" i="1"/>
  <c r="P225" i="1"/>
  <c r="P229" i="1"/>
  <c r="P304" i="1"/>
  <c r="P326" i="1"/>
  <c r="S186" i="1"/>
  <c r="P252" i="1"/>
  <c r="P163" i="1"/>
  <c r="AC163" i="1" s="1"/>
  <c r="P317" i="1"/>
  <c r="P250" i="1"/>
  <c r="P346" i="1"/>
  <c r="P315" i="1"/>
  <c r="S160" i="1"/>
  <c r="P150" i="1"/>
  <c r="AC150" i="1" s="1"/>
  <c r="P209" i="1"/>
  <c r="AC209" i="1" s="1"/>
  <c r="P176" i="1"/>
  <c r="AC176" i="1" s="1"/>
  <c r="P208" i="1"/>
  <c r="AC208" i="1" s="1"/>
  <c r="S255" i="1"/>
  <c r="P219" i="1"/>
  <c r="P245" i="1"/>
  <c r="P251" i="1"/>
  <c r="S230" i="1"/>
  <c r="S320" i="1"/>
  <c r="S267" i="1"/>
  <c r="S324" i="1"/>
  <c r="S240" i="1"/>
  <c r="S271" i="1"/>
  <c r="S337" i="1"/>
  <c r="P277" i="1"/>
  <c r="P316" i="1"/>
  <c r="P235" i="1"/>
  <c r="P329" i="1"/>
  <c r="P262" i="1"/>
  <c r="S148" i="1"/>
  <c r="P215" i="1"/>
  <c r="AC215" i="1" s="1"/>
  <c r="S202" i="1"/>
  <c r="S172" i="1"/>
  <c r="S222" i="1"/>
  <c r="S219" i="1"/>
  <c r="S246" i="1"/>
  <c r="S303" i="1"/>
  <c r="S290" i="1"/>
  <c r="S335" i="1"/>
  <c r="S217" i="1"/>
  <c r="S289" i="1"/>
  <c r="S331" i="1"/>
  <c r="S259" i="1"/>
  <c r="S339" i="1"/>
  <c r="S256" i="1"/>
  <c r="S188" i="1"/>
  <c r="P199" i="1"/>
  <c r="AC199" i="1" s="1"/>
  <c r="P186" i="1"/>
  <c r="AC186" i="1" s="1"/>
  <c r="S214" i="1"/>
  <c r="S251" i="1"/>
  <c r="S315" i="1"/>
  <c r="P261" i="1"/>
  <c r="P301" i="1"/>
  <c r="P217" i="1"/>
  <c r="P285" i="1"/>
  <c r="P259" i="1"/>
  <c r="P276" i="1"/>
  <c r="P341" i="1"/>
  <c r="P339" i="1"/>
  <c r="P296" i="1"/>
  <c r="P165" i="1"/>
  <c r="AC165" i="1" s="1"/>
  <c r="S149" i="1"/>
  <c r="P202" i="1"/>
  <c r="AC202" i="1" s="1"/>
  <c r="P214" i="1"/>
  <c r="AC214" i="1" s="1"/>
  <c r="S296" i="1"/>
  <c r="P242" i="1"/>
  <c r="P271" i="1"/>
  <c r="S242" i="1"/>
  <c r="S245" i="1"/>
  <c r="S241" i="1"/>
  <c r="S298" i="1"/>
  <c r="S343" i="1"/>
  <c r="S270" i="1"/>
  <c r="S280" i="1"/>
  <c r="S292" i="1"/>
  <c r="S306" i="1"/>
  <c r="P337" i="1"/>
  <c r="S263" i="1"/>
  <c r="S234" i="1"/>
  <c r="S282" i="1"/>
  <c r="S293" i="1"/>
  <c r="P200" i="1"/>
  <c r="AC200" i="1" s="1"/>
  <c r="P297" i="1"/>
  <c r="P280" i="1"/>
  <c r="P300" i="1"/>
  <c r="S165" i="1"/>
  <c r="S155" i="1"/>
  <c r="S207" i="1"/>
  <c r="S191" i="1"/>
  <c r="S179" i="1"/>
  <c r="S174" i="1"/>
  <c r="P232" i="1"/>
  <c r="P263" i="1"/>
  <c r="P241" i="1"/>
  <c r="S199" i="1"/>
  <c r="P333" i="1"/>
  <c r="S198" i="1"/>
  <c r="P274" i="1"/>
  <c r="S226" i="1"/>
  <c r="P148" i="1"/>
  <c r="AC148" i="1" s="1"/>
  <c r="P204" i="1"/>
  <c r="AC204" i="1" s="1"/>
  <c r="P248" i="1"/>
  <c r="S327" i="1"/>
  <c r="P331" i="1"/>
  <c r="P272" i="1"/>
  <c r="P284" i="1"/>
  <c r="P275" i="1"/>
  <c r="S330" i="1"/>
  <c r="S247" i="1"/>
  <c r="S305" i="1"/>
  <c r="S272" i="1"/>
  <c r="S265" i="1"/>
  <c r="S328" i="1"/>
  <c r="S146" i="1"/>
  <c r="P179" i="1"/>
  <c r="AC179" i="1" s="1"/>
  <c r="S203" i="1"/>
  <c r="P256" i="1"/>
  <c r="P309" i="1"/>
  <c r="P302" i="1"/>
  <c r="P311" i="1"/>
  <c r="P249" i="1"/>
  <c r="P198" i="1"/>
  <c r="AC198" i="1" s="1"/>
  <c r="P246" i="1"/>
  <c r="P283" i="1"/>
  <c r="P288" i="1"/>
  <c r="P231" i="1"/>
  <c r="P308" i="1"/>
  <c r="S215" i="1"/>
  <c r="P205" i="1"/>
  <c r="AC205" i="1" s="1"/>
  <c r="S204" i="1"/>
  <c r="S208" i="1"/>
  <c r="S231" i="1"/>
  <c r="S248" i="1"/>
  <c r="P327" i="1"/>
  <c r="P257" i="1"/>
  <c r="S284" i="1"/>
  <c r="P228" i="1"/>
  <c r="S275" i="1"/>
  <c r="P264" i="1"/>
  <c r="S278" i="1"/>
  <c r="S218" i="1"/>
  <c r="S344" i="1"/>
  <c r="S233" i="1"/>
  <c r="S229" i="1"/>
  <c r="S223" i="1"/>
  <c r="S277" i="1"/>
  <c r="P146" i="1"/>
  <c r="AC146" i="1" s="1"/>
  <c r="P203" i="1"/>
  <c r="AC203" i="1" s="1"/>
  <c r="P258" i="1"/>
  <c r="P286" i="1"/>
  <c r="S243" i="1"/>
  <c r="P320" i="1"/>
  <c r="S153" i="1"/>
  <c r="S308" i="1"/>
  <c r="S257" i="1"/>
  <c r="P306" i="1"/>
  <c r="S228" i="1"/>
  <c r="S264" i="1"/>
  <c r="P299" i="1"/>
  <c r="P220" i="1"/>
  <c r="P227" i="1"/>
  <c r="P230" i="1"/>
  <c r="P153" i="1"/>
  <c r="AC153" i="1" s="1"/>
  <c r="P161" i="1"/>
  <c r="AC161" i="1" s="1"/>
  <c r="P201" i="1"/>
  <c r="AC201" i="1" s="1"/>
  <c r="P178" i="1"/>
  <c r="AC178" i="1" s="1"/>
  <c r="P188" i="1"/>
  <c r="AC188" i="1" s="1"/>
  <c r="P323" i="1"/>
  <c r="P273" i="1"/>
  <c r="S249" i="1"/>
  <c r="S260" i="1"/>
  <c r="S286" i="1"/>
  <c r="S302" i="1"/>
  <c r="S301" i="1"/>
  <c r="S334" i="1"/>
  <c r="P318" i="1"/>
  <c r="P197" i="1"/>
  <c r="AC197" i="1" s="1"/>
  <c r="P244" i="1"/>
  <c r="P287" i="1"/>
  <c r="P254" i="1"/>
  <c r="P334" i="1"/>
  <c r="S161" i="1"/>
  <c r="S163" i="1"/>
  <c r="S323" i="1"/>
  <c r="P343" i="1"/>
  <c r="S312" i="1"/>
  <c r="S321" i="1"/>
  <c r="S311" i="1"/>
  <c r="S310" i="1"/>
  <c r="S340" i="1"/>
  <c r="P233" i="1"/>
  <c r="S309" i="1"/>
  <c r="S220" i="1"/>
  <c r="P236" i="1"/>
  <c r="P307" i="1"/>
  <c r="P298" i="1"/>
  <c r="S295" i="1"/>
  <c r="P289" i="1"/>
  <c r="P281" i="1"/>
  <c r="S150" i="1"/>
  <c r="P239" i="1"/>
  <c r="P268" i="1"/>
  <c r="P266" i="1"/>
  <c r="P160" i="1"/>
  <c r="AC160" i="1" s="1"/>
  <c r="P243" i="1"/>
  <c r="P332" i="1"/>
  <c r="S281" i="1"/>
  <c r="S317" i="1"/>
  <c r="S274" i="1"/>
  <c r="S239" i="1"/>
  <c r="S326" i="1"/>
  <c r="S346" i="1"/>
  <c r="S345" i="1"/>
  <c r="S173" i="1"/>
  <c r="S236" i="1"/>
  <c r="P226" i="1"/>
  <c r="S294" i="1"/>
  <c r="S318" i="1"/>
  <c r="P269" i="1"/>
  <c r="S244" i="1"/>
  <c r="S232" i="1"/>
  <c r="P191" i="1"/>
  <c r="AC191" i="1" s="1"/>
  <c r="P330" i="1"/>
  <c r="P222" i="1"/>
  <c r="S200" i="1"/>
  <c r="P278" i="1"/>
  <c r="AC164" i="1"/>
  <c r="S147" i="1"/>
  <c r="S178" i="1"/>
  <c r="S332" i="1"/>
  <c r="S224" i="1"/>
  <c r="P313" i="1"/>
  <c r="S221" i="1"/>
  <c r="S285" i="1"/>
  <c r="S307" i="1"/>
  <c r="S250" i="1"/>
  <c r="S235" i="1"/>
  <c r="S283" i="1"/>
  <c r="S197" i="1"/>
  <c r="P342" i="1"/>
  <c r="P328" i="1"/>
  <c r="P234" i="1"/>
  <c r="P292" i="1"/>
  <c r="P290" i="1"/>
  <c r="S205" i="1"/>
  <c r="P172" i="1"/>
  <c r="AC172" i="1" s="1"/>
  <c r="P279" i="1"/>
  <c r="P224" i="1"/>
  <c r="P325" i="1"/>
  <c r="P336" i="1"/>
  <c r="S227" i="1"/>
  <c r="S287" i="1"/>
  <c r="S299" i="1"/>
  <c r="S333" i="1"/>
  <c r="S300" i="1"/>
  <c r="S253" i="1"/>
  <c r="S319" i="1"/>
  <c r="P253" i="1"/>
  <c r="P340" i="1"/>
  <c r="P338" i="1"/>
  <c r="P282" i="1"/>
  <c r="P223" i="1"/>
  <c r="P314" i="1"/>
  <c r="P267" i="1"/>
  <c r="P212" i="1"/>
  <c r="AC212" i="1" s="1"/>
  <c r="P155" i="1"/>
  <c r="AC155" i="1" s="1"/>
  <c r="S212" i="1"/>
  <c r="S279" i="1"/>
  <c r="S258" i="1"/>
  <c r="S316" i="1"/>
  <c r="S262" i="1"/>
  <c r="P265" i="1"/>
  <c r="S162" i="1"/>
  <c r="P247" i="1"/>
  <c r="P295" i="1"/>
  <c r="P240" i="1"/>
  <c r="S158" i="1"/>
  <c r="P255" i="1"/>
  <c r="P221" i="1"/>
  <c r="P319" i="1"/>
  <c r="S269" i="1"/>
  <c r="P238" i="1"/>
  <c r="P291" i="1"/>
  <c r="P158" i="1"/>
  <c r="AC158" i="1" s="1"/>
  <c r="S176" i="1"/>
  <c r="S225" i="1"/>
  <c r="S342" i="1"/>
  <c r="S322" i="1"/>
  <c r="S325" i="1"/>
  <c r="P149" i="1"/>
  <c r="AC149" i="1" s="1"/>
  <c r="P312" i="1"/>
  <c r="S151" i="1"/>
  <c r="P237" i="1"/>
  <c r="S237" i="1"/>
  <c r="S252" i="1"/>
  <c r="S288" i="1"/>
  <c r="P321" i="1"/>
  <c r="P270" i="1"/>
  <c r="P293" i="1"/>
  <c r="P303" i="1"/>
  <c r="P310" i="1"/>
  <c r="S254" i="1"/>
  <c r="P322" i="1"/>
  <c r="S291" i="1"/>
  <c r="S297" i="1"/>
  <c r="S209" i="1"/>
  <c r="S266" i="1"/>
  <c r="S276" i="1"/>
  <c r="P162" i="1"/>
  <c r="AC162" i="1" s="1"/>
  <c r="S273" i="1"/>
  <c r="S261" i="1"/>
  <c r="P260" i="1"/>
  <c r="P294" i="1"/>
  <c r="P169" i="1"/>
  <c r="AC169" i="1" s="1"/>
  <c r="P207" i="1"/>
  <c r="AC207" i="1" s="1"/>
  <c r="S304" i="1"/>
  <c r="P185" i="1"/>
  <c r="AC185" i="1" s="1"/>
  <c r="S336" i="1"/>
  <c r="S313" i="1"/>
  <c r="P305" i="1"/>
  <c r="S201" i="1"/>
  <c r="S211" i="1"/>
  <c r="S329" i="1"/>
  <c r="P345" i="1"/>
  <c r="P211" i="1"/>
  <c r="AC211" i="1" s="1"/>
  <c r="P344" i="1"/>
  <c r="P173" i="1"/>
  <c r="AC173" i="1" s="1"/>
  <c r="P218" i="1"/>
  <c r="S338" i="1"/>
  <c r="P324" i="1"/>
  <c r="S268" i="1"/>
  <c r="S314" i="1"/>
  <c r="S341" i="1"/>
  <c r="S238" i="1"/>
  <c r="P170" i="1"/>
  <c r="AC170" i="1" s="1"/>
  <c r="S167" i="1"/>
  <c r="P177" i="1"/>
  <c r="AC177" i="1" s="1"/>
  <c r="P194" i="1"/>
  <c r="AC194" i="1" s="1"/>
  <c r="S182" i="1"/>
  <c r="S156" i="1"/>
  <c r="S210" i="1"/>
  <c r="P184" i="1"/>
  <c r="AC184" i="1" s="1"/>
  <c r="P213" i="1"/>
  <c r="AC213" i="1" s="1"/>
  <c r="P156" i="1"/>
  <c r="AC156" i="1" s="1"/>
  <c r="P210" i="1"/>
  <c r="AC210" i="1" s="1"/>
  <c r="S194" i="1"/>
  <c r="P175" i="1"/>
  <c r="AC175" i="1" s="1"/>
  <c r="P182" i="1"/>
  <c r="AC182" i="1" s="1"/>
  <c r="S168" i="1"/>
  <c r="P147" i="1"/>
  <c r="AC147" i="1" s="1"/>
  <c r="S169" i="1"/>
  <c r="S189" i="1"/>
  <c r="S152" i="1"/>
  <c r="S195" i="1"/>
  <c r="P168" i="1"/>
  <c r="AC168" i="1" s="1"/>
  <c r="P152" i="1"/>
  <c r="AC152" i="1" s="1"/>
  <c r="S190" i="1"/>
  <c r="P195" i="1"/>
  <c r="AC195" i="1" s="1"/>
  <c r="S159" i="1"/>
  <c r="P183" i="1"/>
  <c r="AC183" i="1" s="1"/>
  <c r="S177" i="1"/>
  <c r="S184" i="1"/>
  <c r="S213" i="1"/>
  <c r="P189" i="1"/>
  <c r="AC189" i="1" s="1"/>
  <c r="S206" i="1"/>
  <c r="S175" i="1"/>
  <c r="P206" i="1"/>
  <c r="AC206" i="1" s="1"/>
  <c r="S183" i="1"/>
  <c r="P151" i="1"/>
  <c r="AC151" i="1" s="1"/>
  <c r="S181" i="1"/>
  <c r="S170" i="1"/>
  <c r="P159" i="1"/>
  <c r="AC159" i="1" s="1"/>
  <c r="P167" i="1"/>
  <c r="AC167" i="1" s="1"/>
  <c r="P190" i="1"/>
  <c r="AC190" i="1" s="1"/>
  <c r="P181" i="1"/>
  <c r="AC181" i="1" s="1"/>
  <c r="S185" i="1"/>
  <c r="S90" i="1"/>
  <c r="S117" i="1"/>
  <c r="S87" i="1"/>
  <c r="S77" i="1"/>
  <c r="S126" i="1"/>
  <c r="S119" i="1"/>
  <c r="S84" i="1"/>
  <c r="S108" i="1"/>
  <c r="S124" i="1"/>
  <c r="S116" i="1"/>
  <c r="S118" i="1"/>
  <c r="S107" i="1"/>
  <c r="S120" i="1"/>
  <c r="S80" i="1"/>
  <c r="S129" i="1"/>
  <c r="S103" i="1"/>
  <c r="S142" i="1"/>
  <c r="S93" i="1"/>
  <c r="S85" i="1"/>
  <c r="S144" i="1"/>
  <c r="S128" i="1"/>
  <c r="S115" i="1"/>
  <c r="S133" i="1"/>
  <c r="S91" i="1"/>
  <c r="S127" i="1"/>
  <c r="S100" i="1"/>
  <c r="S140" i="1"/>
  <c r="S82" i="1"/>
  <c r="S88" i="1"/>
  <c r="S121" i="1"/>
  <c r="S111" i="1"/>
  <c r="S94" i="1"/>
  <c r="S92" i="1"/>
  <c r="S112" i="1"/>
  <c r="S75" i="1"/>
  <c r="S81" i="1"/>
  <c r="S76" i="1"/>
  <c r="S79" i="1"/>
  <c r="S86" i="1"/>
  <c r="S143" i="1"/>
  <c r="S134" i="1"/>
  <c r="S138" i="1"/>
  <c r="S101" i="1"/>
  <c r="S102" i="1"/>
  <c r="S123" i="1"/>
  <c r="S137" i="1"/>
  <c r="S122" i="1"/>
  <c r="S131" i="1"/>
  <c r="S106" i="1"/>
  <c r="S114" i="1"/>
  <c r="S89" i="1"/>
  <c r="S78" i="1"/>
  <c r="S113" i="1"/>
  <c r="S97" i="1"/>
  <c r="S98" i="1"/>
  <c r="S136" i="1"/>
  <c r="S110" i="1"/>
  <c r="S135" i="1"/>
  <c r="S83" i="1"/>
  <c r="S125" i="1"/>
  <c r="S99" i="1"/>
  <c r="S139" i="1"/>
  <c r="S109" i="1"/>
  <c r="S96" i="1"/>
  <c r="S141" i="1"/>
  <c r="S132" i="1"/>
  <c r="S104" i="1"/>
  <c r="S95" i="1"/>
  <c r="S130" i="1"/>
  <c r="S105" i="1"/>
  <c r="S20" i="1"/>
  <c r="S10" i="1"/>
  <c r="S59" i="1"/>
  <c r="S33" i="1"/>
  <c r="S6" i="1"/>
  <c r="S7" i="1"/>
  <c r="S16" i="1"/>
  <c r="S57" i="1"/>
  <c r="S27" i="1"/>
  <c r="S15" i="1"/>
  <c r="S56" i="1"/>
  <c r="S38" i="1"/>
  <c r="S42" i="1"/>
  <c r="S68" i="1"/>
  <c r="S28" i="1"/>
  <c r="S17" i="1"/>
  <c r="S62" i="1"/>
  <c r="S8" i="1"/>
  <c r="S64" i="1"/>
  <c r="S39" i="1"/>
  <c r="S47" i="1"/>
  <c r="S69" i="1"/>
  <c r="S9" i="1"/>
  <c r="S41" i="1"/>
  <c r="S14" i="1"/>
  <c r="S54" i="1"/>
  <c r="S58" i="1"/>
  <c r="S40" i="1"/>
  <c r="S52" i="1"/>
  <c r="S53" i="1"/>
  <c r="S23" i="1"/>
  <c r="S11" i="1"/>
  <c r="S63" i="1"/>
  <c r="S29" i="1"/>
  <c r="S35" i="1"/>
  <c r="S26" i="1"/>
  <c r="S31" i="1"/>
  <c r="S44" i="1"/>
  <c r="S48" i="1"/>
  <c r="S24" i="1"/>
  <c r="S37" i="1"/>
  <c r="S55" i="1"/>
  <c r="S25" i="1"/>
  <c r="S50" i="1"/>
  <c r="S18" i="1"/>
  <c r="S43" i="1"/>
  <c r="S67" i="1"/>
  <c r="S65" i="1"/>
  <c r="S30" i="1"/>
  <c r="S13" i="1"/>
  <c r="S66" i="1"/>
  <c r="S34" i="1"/>
  <c r="S22" i="1"/>
  <c r="S19" i="1"/>
  <c r="S36" i="1"/>
  <c r="S45" i="1"/>
  <c r="S21" i="1"/>
  <c r="S51" i="1"/>
  <c r="S49" i="1"/>
  <c r="S60" i="1"/>
  <c r="S46" i="1"/>
  <c r="S12" i="1"/>
  <c r="S61" i="1"/>
  <c r="S32" i="1"/>
  <c r="Y74" i="1"/>
  <c r="AH74" i="1" s="1"/>
  <c r="Y73" i="1"/>
  <c r="AH73" i="1" s="1"/>
  <c r="Y70" i="1"/>
  <c r="AH70" i="1" s="1"/>
  <c r="P90" i="1"/>
  <c r="AC90" i="1" s="1"/>
  <c r="P20" i="1"/>
  <c r="AC20" i="1" s="1"/>
  <c r="P114" i="1"/>
  <c r="AC114" i="1" s="1"/>
  <c r="P103" i="1"/>
  <c r="AC103" i="1" s="1"/>
  <c r="P82" i="1"/>
  <c r="AC82" i="1" s="1"/>
  <c r="P89" i="1"/>
  <c r="AC89" i="1" s="1"/>
  <c r="P143" i="1"/>
  <c r="AC143" i="1" s="1"/>
  <c r="P91" i="1"/>
  <c r="AC91" i="1" s="1"/>
  <c r="P139" i="1"/>
  <c r="AC139" i="1" s="1"/>
  <c r="P119" i="1"/>
  <c r="AC119" i="1" s="1"/>
  <c r="P97" i="1"/>
  <c r="AC97" i="1" s="1"/>
  <c r="P111" i="1"/>
  <c r="AC111" i="1" s="1"/>
  <c r="P94" i="1"/>
  <c r="AC94" i="1" s="1"/>
  <c r="P77" i="1"/>
  <c r="AC77" i="1" s="1"/>
  <c r="P113" i="1"/>
  <c r="AC113" i="1" s="1"/>
  <c r="P137" i="1"/>
  <c r="AC137" i="1" s="1"/>
  <c r="P144" i="1"/>
  <c r="AC144" i="1" s="1"/>
  <c r="P80" i="1"/>
  <c r="AC80" i="1" s="1"/>
  <c r="P107" i="1"/>
  <c r="AC107" i="1" s="1"/>
  <c r="P134" i="1"/>
  <c r="AC134" i="1" s="1"/>
  <c r="P117" i="1"/>
  <c r="AC117" i="1" s="1"/>
  <c r="P116" i="1"/>
  <c r="AC116" i="1" s="1"/>
  <c r="P99" i="1"/>
  <c r="AC99" i="1" s="1"/>
  <c r="P100" i="1"/>
  <c r="AC100" i="1" s="1"/>
  <c r="P93" i="1"/>
  <c r="AC93" i="1" s="1"/>
  <c r="P110" i="1"/>
  <c r="AC110" i="1" s="1"/>
  <c r="P124" i="1"/>
  <c r="AC124" i="1" s="1"/>
  <c r="P81" i="1"/>
  <c r="AC81" i="1" s="1"/>
  <c r="P121" i="1"/>
  <c r="AC121" i="1" s="1"/>
  <c r="P88" i="1"/>
  <c r="AC88" i="1" s="1"/>
  <c r="P105" i="1"/>
  <c r="AC105" i="1" s="1"/>
  <c r="P132" i="1"/>
  <c r="AC132" i="1" s="1"/>
  <c r="P78" i="1"/>
  <c r="AC78" i="1" s="1"/>
  <c r="P95" i="1"/>
  <c r="AC95" i="1" s="1"/>
  <c r="P75" i="1"/>
  <c r="AC75" i="1" s="1"/>
  <c r="P92" i="1"/>
  <c r="AC92" i="1" s="1"/>
  <c r="P108" i="1"/>
  <c r="AC108" i="1" s="1"/>
  <c r="P86" i="1"/>
  <c r="AC86" i="1" s="1"/>
  <c r="P96" i="1"/>
  <c r="AC96" i="1" s="1"/>
  <c r="P125" i="1"/>
  <c r="AC125" i="1" s="1"/>
  <c r="P136" i="1"/>
  <c r="AC136" i="1" s="1"/>
  <c r="P123" i="1"/>
  <c r="AC123" i="1" s="1"/>
  <c r="P102" i="1"/>
  <c r="AC102" i="1" s="1"/>
  <c r="P85" i="1"/>
  <c r="AC85" i="1" s="1"/>
  <c r="P101" i="1"/>
  <c r="AC101" i="1" s="1"/>
  <c r="P127" i="1"/>
  <c r="AC127" i="1" s="1"/>
  <c r="P118" i="1"/>
  <c r="AC118" i="1" s="1"/>
  <c r="P104" i="1"/>
  <c r="AC104" i="1" s="1"/>
  <c r="P138" i="1"/>
  <c r="AC138" i="1" s="1"/>
  <c r="P142" i="1"/>
  <c r="AC142" i="1" s="1"/>
  <c r="P122" i="1"/>
  <c r="AC122" i="1" s="1"/>
  <c r="P84" i="1"/>
  <c r="AC84" i="1" s="1"/>
  <c r="P112" i="1"/>
  <c r="AC112" i="1" s="1"/>
  <c r="P126" i="1"/>
  <c r="AC126" i="1" s="1"/>
  <c r="P76" i="1"/>
  <c r="AC76" i="1" s="1"/>
  <c r="P131" i="1"/>
  <c r="AC131" i="1" s="1"/>
  <c r="P140" i="1"/>
  <c r="AC140" i="1" s="1"/>
  <c r="P135" i="1"/>
  <c r="AC135" i="1" s="1"/>
  <c r="P87" i="1"/>
  <c r="AC87" i="1" s="1"/>
  <c r="P115" i="1"/>
  <c r="AC115" i="1" s="1"/>
  <c r="P83" i="1"/>
  <c r="AC83" i="1" s="1"/>
  <c r="P129" i="1"/>
  <c r="AC129" i="1" s="1"/>
  <c r="P109" i="1"/>
  <c r="AC109" i="1" s="1"/>
  <c r="P141" i="1"/>
  <c r="AC141" i="1" s="1"/>
  <c r="P128" i="1"/>
  <c r="AC128" i="1" s="1"/>
  <c r="P106" i="1"/>
  <c r="AC106" i="1" s="1"/>
  <c r="P120" i="1"/>
  <c r="AC120" i="1" s="1"/>
  <c r="P130" i="1"/>
  <c r="AC130" i="1" s="1"/>
  <c r="P133" i="1"/>
  <c r="AC133" i="1" s="1"/>
  <c r="P79" i="1"/>
  <c r="AC79" i="1" s="1"/>
  <c r="P98" i="1"/>
  <c r="AC98" i="1" s="1"/>
  <c r="P30" i="1"/>
  <c r="AC30" i="1" s="1"/>
  <c r="P56" i="1"/>
  <c r="AC56" i="1" s="1"/>
  <c r="P7" i="1"/>
  <c r="AC7" i="1" s="1"/>
  <c r="P52" i="1"/>
  <c r="AC52" i="1" s="1"/>
  <c r="P26" i="1"/>
  <c r="AC26" i="1" s="1"/>
  <c r="P12" i="1"/>
  <c r="AC12" i="1" s="1"/>
  <c r="P13" i="1"/>
  <c r="AC13" i="1" s="1"/>
  <c r="P36" i="1"/>
  <c r="AC36" i="1" s="1"/>
  <c r="P16" i="1"/>
  <c r="AC16" i="1" s="1"/>
  <c r="P54" i="1"/>
  <c r="AC54" i="1" s="1"/>
  <c r="P49" i="1"/>
  <c r="AC49" i="1" s="1"/>
  <c r="P47" i="1"/>
  <c r="AC47" i="1" s="1"/>
  <c r="P43" i="1"/>
  <c r="AC43" i="1" s="1"/>
  <c r="P18" i="1"/>
  <c r="AC18" i="1" s="1"/>
  <c r="P24" i="1"/>
  <c r="AC24" i="1" s="1"/>
  <c r="P8" i="1"/>
  <c r="AC8" i="1" s="1"/>
  <c r="P33" i="1"/>
  <c r="AC33" i="1" s="1"/>
  <c r="P31" i="1"/>
  <c r="AC31" i="1" s="1"/>
  <c r="P44" i="1"/>
  <c r="AC44" i="1" s="1"/>
  <c r="P35" i="1"/>
  <c r="AC35" i="1" s="1"/>
  <c r="P39" i="1"/>
  <c r="AC39" i="1" s="1"/>
  <c r="P23" i="1"/>
  <c r="AC23" i="1" s="1"/>
  <c r="P66" i="1"/>
  <c r="AC66" i="1" s="1"/>
  <c r="P11" i="1"/>
  <c r="AC11" i="1" s="1"/>
  <c r="P51" i="1"/>
  <c r="AC51" i="1" s="1"/>
  <c r="P69" i="1"/>
  <c r="AC69" i="1" s="1"/>
  <c r="P17" i="1"/>
  <c r="AC17" i="1" s="1"/>
  <c r="P25" i="1"/>
  <c r="AC25" i="1" s="1"/>
  <c r="P9" i="1"/>
  <c r="AC9" i="1" s="1"/>
  <c r="P62" i="1"/>
  <c r="AC62" i="1" s="1"/>
  <c r="P45" i="1"/>
  <c r="AC45" i="1" s="1"/>
  <c r="P29" i="1"/>
  <c r="AC29" i="1" s="1"/>
  <c r="P63" i="1"/>
  <c r="AC63" i="1" s="1"/>
  <c r="P55" i="1"/>
  <c r="AC55" i="1" s="1"/>
  <c r="P37" i="1"/>
  <c r="AC37" i="1" s="1"/>
  <c r="P27" i="1"/>
  <c r="AC27" i="1" s="1"/>
  <c r="P21" i="1"/>
  <c r="AC21" i="1" s="1"/>
  <c r="P50" i="1"/>
  <c r="AC50" i="1" s="1"/>
  <c r="P15" i="1"/>
  <c r="AC15" i="1" s="1"/>
  <c r="P19" i="1"/>
  <c r="AC19" i="1" s="1"/>
  <c r="P65" i="1"/>
  <c r="AC65" i="1" s="1"/>
  <c r="P34" i="1"/>
  <c r="AC34" i="1" s="1"/>
  <c r="P10" i="1"/>
  <c r="AC10" i="1" s="1"/>
  <c r="P14" i="1"/>
  <c r="AC14" i="1" s="1"/>
  <c r="P53" i="1"/>
  <c r="AC53" i="1" s="1"/>
  <c r="P68" i="1"/>
  <c r="AC68" i="1" s="1"/>
  <c r="P59" i="1"/>
  <c r="AC59" i="1" s="1"/>
  <c r="P6" i="1"/>
  <c r="AC6" i="1" s="1"/>
  <c r="P64" i="1"/>
  <c r="AC64" i="1" s="1"/>
  <c r="P28" i="1"/>
  <c r="AC28" i="1" s="1"/>
  <c r="P58" i="1"/>
  <c r="AC58" i="1" s="1"/>
  <c r="P46" i="1"/>
  <c r="AC46" i="1" s="1"/>
  <c r="P48" i="1"/>
  <c r="AC48" i="1" s="1"/>
  <c r="P22" i="1"/>
  <c r="AC22" i="1" s="1"/>
  <c r="P38" i="1"/>
  <c r="AC38" i="1" s="1"/>
  <c r="P42" i="1"/>
  <c r="AC42" i="1" s="1"/>
  <c r="P60" i="1"/>
  <c r="AC60" i="1" s="1"/>
  <c r="P40" i="1"/>
  <c r="AC40" i="1" s="1"/>
  <c r="P41" i="1"/>
  <c r="AC41" i="1" s="1"/>
  <c r="P67" i="1"/>
  <c r="AC67" i="1" s="1"/>
  <c r="P57" i="1"/>
  <c r="AC57" i="1" s="1"/>
  <c r="P32" i="1"/>
  <c r="AC32" i="1" s="1"/>
  <c r="P61" i="1"/>
  <c r="AC61" i="1" s="1"/>
  <c r="Z61" i="1"/>
  <c r="AI61" i="1" s="1"/>
  <c r="X72" i="1"/>
  <c r="AG72" i="1" s="1"/>
  <c r="O72" i="1"/>
  <c r="AB72" i="1" s="1"/>
  <c r="AK72" i="1" s="1"/>
  <c r="M72" i="1"/>
  <c r="Y72" i="1"/>
  <c r="AH72" i="1" s="1"/>
  <c r="X70" i="1"/>
  <c r="AG70" i="1" s="1"/>
  <c r="O70" i="1"/>
  <c r="AB70" i="1" s="1"/>
  <c r="AK70" i="1" s="1"/>
  <c r="M71" i="1"/>
  <c r="S71" i="1" s="1"/>
  <c r="Y71" i="1"/>
  <c r="AH71" i="1" s="1"/>
  <c r="O90" i="1"/>
  <c r="AB90" i="1" s="1"/>
  <c r="AK90" i="1" s="1"/>
  <c r="O20" i="1"/>
  <c r="AB20" i="1" s="1"/>
  <c r="AK20" i="1" s="1"/>
  <c r="O121" i="1"/>
  <c r="AB121" i="1" s="1"/>
  <c r="AK121" i="1" s="1"/>
  <c r="O140" i="1"/>
  <c r="AB140" i="1" s="1"/>
  <c r="AK140" i="1" s="1"/>
  <c r="O115" i="1"/>
  <c r="AB115" i="1" s="1"/>
  <c r="AK115" i="1" s="1"/>
  <c r="O85" i="1"/>
  <c r="AB85" i="1" s="1"/>
  <c r="AK85" i="1" s="1"/>
  <c r="O97" i="1"/>
  <c r="AB97" i="1" s="1"/>
  <c r="AK97" i="1" s="1"/>
  <c r="O111" i="1"/>
  <c r="AB111" i="1" s="1"/>
  <c r="AK111" i="1" s="1"/>
  <c r="O84" i="1"/>
  <c r="AB84" i="1" s="1"/>
  <c r="AK84" i="1" s="1"/>
  <c r="O96" i="1"/>
  <c r="AB96" i="1" s="1"/>
  <c r="AK96" i="1" s="1"/>
  <c r="O134" i="1"/>
  <c r="AB134" i="1" s="1"/>
  <c r="AK134" i="1" s="1"/>
  <c r="O78" i="1"/>
  <c r="AB78" i="1" s="1"/>
  <c r="AK78" i="1" s="1"/>
  <c r="O102" i="1"/>
  <c r="AB102" i="1" s="1"/>
  <c r="AK102" i="1" s="1"/>
  <c r="O104" i="1"/>
  <c r="AB104" i="1" s="1"/>
  <c r="AK104" i="1" s="1"/>
  <c r="O120" i="1"/>
  <c r="AB120" i="1" s="1"/>
  <c r="AK120" i="1" s="1"/>
  <c r="O92" i="1"/>
  <c r="AB92" i="1" s="1"/>
  <c r="AK92" i="1" s="1"/>
  <c r="O87" i="1"/>
  <c r="AB87" i="1" s="1"/>
  <c r="AK87" i="1" s="1"/>
  <c r="O144" i="1"/>
  <c r="AB144" i="1" s="1"/>
  <c r="AK144" i="1" s="1"/>
  <c r="O76" i="1"/>
  <c r="AB76" i="1" s="1"/>
  <c r="AK76" i="1" s="1"/>
  <c r="O88" i="1"/>
  <c r="AB88" i="1" s="1"/>
  <c r="AK88" i="1" s="1"/>
  <c r="O100" i="1"/>
  <c r="AB100" i="1" s="1"/>
  <c r="AK100" i="1" s="1"/>
  <c r="O125" i="1"/>
  <c r="AB125" i="1" s="1"/>
  <c r="AK125" i="1" s="1"/>
  <c r="O131" i="1"/>
  <c r="AB131" i="1" s="1"/>
  <c r="AK131" i="1" s="1"/>
  <c r="O116" i="1"/>
  <c r="AB116" i="1" s="1"/>
  <c r="AK116" i="1" s="1"/>
  <c r="O138" i="1"/>
  <c r="AB138" i="1" s="1"/>
  <c r="AK138" i="1" s="1"/>
  <c r="O94" i="1"/>
  <c r="AB94" i="1" s="1"/>
  <c r="AK94" i="1" s="1"/>
  <c r="O107" i="1"/>
  <c r="AB107" i="1" s="1"/>
  <c r="AK107" i="1" s="1"/>
  <c r="O109" i="1"/>
  <c r="AB109" i="1" s="1"/>
  <c r="AK109" i="1" s="1"/>
  <c r="O139" i="1"/>
  <c r="AB139" i="1" s="1"/>
  <c r="AK139" i="1" s="1"/>
  <c r="O95" i="1"/>
  <c r="AB95" i="1" s="1"/>
  <c r="AK95" i="1" s="1"/>
  <c r="O112" i="1"/>
  <c r="AB112" i="1" s="1"/>
  <c r="AK112" i="1" s="1"/>
  <c r="O103" i="1"/>
  <c r="AB103" i="1" s="1"/>
  <c r="AK103" i="1" s="1"/>
  <c r="O83" i="1"/>
  <c r="AB83" i="1" s="1"/>
  <c r="AK83" i="1" s="1"/>
  <c r="O86" i="1"/>
  <c r="AB86" i="1" s="1"/>
  <c r="AK86" i="1" s="1"/>
  <c r="O114" i="1"/>
  <c r="AB114" i="1" s="1"/>
  <c r="AK114" i="1" s="1"/>
  <c r="O105" i="1"/>
  <c r="AB105" i="1" s="1"/>
  <c r="AK105" i="1" s="1"/>
  <c r="O141" i="1"/>
  <c r="AB141" i="1" s="1"/>
  <c r="AK141" i="1" s="1"/>
  <c r="O99" i="1"/>
  <c r="AB99" i="1" s="1"/>
  <c r="AK99" i="1" s="1"/>
  <c r="O142" i="1"/>
  <c r="AB142" i="1" s="1"/>
  <c r="AK142" i="1" s="1"/>
  <c r="O117" i="1"/>
  <c r="AB117" i="1" s="1"/>
  <c r="AK117" i="1" s="1"/>
  <c r="O128" i="1"/>
  <c r="AB128" i="1" s="1"/>
  <c r="O118" i="1"/>
  <c r="AB118" i="1" s="1"/>
  <c r="AK118" i="1" s="1"/>
  <c r="O91" i="1"/>
  <c r="AB91" i="1" s="1"/>
  <c r="AK91" i="1" s="1"/>
  <c r="O130" i="1"/>
  <c r="AB130" i="1" s="1"/>
  <c r="AK130" i="1" s="1"/>
  <c r="O122" i="1"/>
  <c r="AB122" i="1" s="1"/>
  <c r="AK122" i="1" s="1"/>
  <c r="O137" i="1"/>
  <c r="AB137" i="1" s="1"/>
  <c r="AK137" i="1" s="1"/>
  <c r="O89" i="1"/>
  <c r="AB89" i="1" s="1"/>
  <c r="AK89" i="1" s="1"/>
  <c r="O123" i="1"/>
  <c r="AB123" i="1" s="1"/>
  <c r="AK123" i="1" s="1"/>
  <c r="O133" i="1"/>
  <c r="AB133" i="1" s="1"/>
  <c r="AK133" i="1" s="1"/>
  <c r="O124" i="1"/>
  <c r="AB124" i="1" s="1"/>
  <c r="AK124" i="1" s="1"/>
  <c r="O81" i="1"/>
  <c r="AB81" i="1" s="1"/>
  <c r="AK81" i="1" s="1"/>
  <c r="O127" i="1"/>
  <c r="AB127" i="1" s="1"/>
  <c r="AK127" i="1" s="1"/>
  <c r="O119" i="1"/>
  <c r="AB119" i="1" s="1"/>
  <c r="AK119" i="1" s="1"/>
  <c r="O110" i="1"/>
  <c r="AB110" i="1" s="1"/>
  <c r="AK110" i="1" s="1"/>
  <c r="O77" i="1"/>
  <c r="AB77" i="1" s="1"/>
  <c r="AK77" i="1" s="1"/>
  <c r="O113" i="1"/>
  <c r="AB113" i="1" s="1"/>
  <c r="AK113" i="1" s="1"/>
  <c r="O129" i="1"/>
  <c r="AB129" i="1" s="1"/>
  <c r="AK129" i="1" s="1"/>
  <c r="O98" i="1"/>
  <c r="AB98" i="1" s="1"/>
  <c r="AK98" i="1" s="1"/>
  <c r="O79" i="1"/>
  <c r="AB79" i="1" s="1"/>
  <c r="AK79" i="1" s="1"/>
  <c r="O132" i="1"/>
  <c r="AB132" i="1" s="1"/>
  <c r="AK132" i="1" s="1"/>
  <c r="O82" i="1"/>
  <c r="AB82" i="1" s="1"/>
  <c r="AK82" i="1" s="1"/>
  <c r="O143" i="1"/>
  <c r="AB143" i="1" s="1"/>
  <c r="AK143" i="1" s="1"/>
  <c r="O108" i="1"/>
  <c r="AB108" i="1" s="1"/>
  <c r="AK108" i="1" s="1"/>
  <c r="O136" i="1"/>
  <c r="AB136" i="1" s="1"/>
  <c r="AK136" i="1" s="1"/>
  <c r="O126" i="1"/>
  <c r="AB126" i="1" s="1"/>
  <c r="AK126" i="1" s="1"/>
  <c r="O101" i="1"/>
  <c r="AB101" i="1" s="1"/>
  <c r="AK101" i="1" s="1"/>
  <c r="O106" i="1"/>
  <c r="AB106" i="1" s="1"/>
  <c r="AK106" i="1" s="1"/>
  <c r="O93" i="1"/>
  <c r="AB93" i="1" s="1"/>
  <c r="AK93" i="1" s="1"/>
  <c r="O135" i="1"/>
  <c r="AB135" i="1" s="1"/>
  <c r="AK135" i="1" s="1"/>
  <c r="O80" i="1"/>
  <c r="AB80" i="1" s="1"/>
  <c r="AK80" i="1" s="1"/>
  <c r="O75" i="1"/>
  <c r="AB75" i="1" s="1"/>
  <c r="AK75" i="1" s="1"/>
  <c r="Z5" i="1"/>
  <c r="AI5" i="1" s="1"/>
  <c r="P5" i="1"/>
  <c r="AC5" i="1" s="1"/>
  <c r="X71" i="1"/>
  <c r="AG71" i="1" s="1"/>
  <c r="O71" i="1"/>
  <c r="AB71" i="1" s="1"/>
  <c r="AK71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34" i="28"/>
  <c r="U231" i="28"/>
  <c r="U230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X252" i="28"/>
  <c r="V59" i="28"/>
  <c r="X59" i="28" s="1"/>
  <c r="V61" i="28"/>
  <c r="X61" i="28" s="1"/>
  <c r="V37" i="28"/>
  <c r="X37" i="28" s="1"/>
  <c r="V203" i="28"/>
  <c r="X203" i="28" s="1"/>
  <c r="V226" i="28"/>
  <c r="X226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228" i="28"/>
  <c r="X228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29" i="28"/>
  <c r="X229" i="28" s="1"/>
  <c r="V246" i="28"/>
  <c r="X246" i="28" s="1"/>
  <c r="W207" i="28"/>
  <c r="Y207" i="28" s="1"/>
  <c r="F30" i="55"/>
  <c r="W79" i="28"/>
  <c r="Y79" i="28" s="1"/>
  <c r="W107" i="28"/>
  <c r="Y107" i="28" s="1"/>
  <c r="W235" i="28"/>
  <c r="Y235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6" i="28"/>
  <c r="X216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12" i="28"/>
  <c r="X212" i="28" s="1"/>
  <c r="V223" i="28"/>
  <c r="X223" i="28" s="1"/>
  <c r="V225" i="28"/>
  <c r="X225" i="28" s="1"/>
  <c r="V227" i="28"/>
  <c r="X227" i="28" s="1"/>
  <c r="V235" i="28"/>
  <c r="X23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4" i="28"/>
  <c r="X234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27" i="28"/>
  <c r="Y227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31" i="28"/>
  <c r="Y231" i="28" s="1"/>
  <c r="W247" i="28"/>
  <c r="Y247" i="28" s="1"/>
  <c r="K74" i="1"/>
  <c r="R74" i="1" s="1"/>
  <c r="K49" i="1"/>
  <c r="R49" i="1" s="1"/>
  <c r="K68" i="1"/>
  <c r="R68" i="1" s="1"/>
  <c r="K64" i="1"/>
  <c r="R64" i="1" s="1"/>
  <c r="K60" i="1"/>
  <c r="R60" i="1" s="1"/>
  <c r="K57" i="1"/>
  <c r="R57" i="1" s="1"/>
  <c r="K53" i="1"/>
  <c r="R53" i="1" s="1"/>
  <c r="K46" i="1"/>
  <c r="R46" i="1" s="1"/>
  <c r="K42" i="1"/>
  <c r="R42" i="1" s="1"/>
  <c r="K37" i="1"/>
  <c r="R37" i="1" s="1"/>
  <c r="K33" i="1"/>
  <c r="R33" i="1" s="1"/>
  <c r="K29" i="1"/>
  <c r="R29" i="1" s="1"/>
  <c r="K25" i="1"/>
  <c r="R25" i="1" s="1"/>
  <c r="K21" i="1"/>
  <c r="R21" i="1" s="1"/>
  <c r="K16" i="1"/>
  <c r="R16" i="1" s="1"/>
  <c r="K12" i="1"/>
  <c r="R12" i="1" s="1"/>
  <c r="K8" i="1"/>
  <c r="R8" i="1" s="1"/>
  <c r="K67" i="1"/>
  <c r="R67" i="1" s="1"/>
  <c r="T67" i="1" s="1"/>
  <c r="K63" i="1"/>
  <c r="R63" i="1" s="1"/>
  <c r="K59" i="1"/>
  <c r="R59" i="1" s="1"/>
  <c r="K56" i="1"/>
  <c r="R56" i="1" s="1"/>
  <c r="K45" i="1"/>
  <c r="R45" i="1" s="1"/>
  <c r="K41" i="1"/>
  <c r="R41" i="1" s="1"/>
  <c r="K40" i="1"/>
  <c r="R40" i="1" s="1"/>
  <c r="K36" i="1"/>
  <c r="R36" i="1" s="1"/>
  <c r="K32" i="1"/>
  <c r="R32" i="1" s="1"/>
  <c r="K28" i="1"/>
  <c r="R28" i="1" s="1"/>
  <c r="K24" i="1"/>
  <c r="R24" i="1" s="1"/>
  <c r="K19" i="1"/>
  <c r="R19" i="1" s="1"/>
  <c r="K15" i="1"/>
  <c r="R15" i="1" s="1"/>
  <c r="K11" i="1"/>
  <c r="R11" i="1" s="1"/>
  <c r="K7" i="1"/>
  <c r="R7" i="1" s="1"/>
  <c r="K66" i="1"/>
  <c r="R66" i="1" s="1"/>
  <c r="K62" i="1"/>
  <c r="R62" i="1" s="1"/>
  <c r="K55" i="1"/>
  <c r="R55" i="1" s="1"/>
  <c r="K52" i="1"/>
  <c r="R52" i="1" s="1"/>
  <c r="K51" i="1"/>
  <c r="R51" i="1" s="1"/>
  <c r="K48" i="1"/>
  <c r="R48" i="1" s="1"/>
  <c r="K44" i="1"/>
  <c r="R44" i="1" s="1"/>
  <c r="K39" i="1"/>
  <c r="R39" i="1" s="1"/>
  <c r="K35" i="1"/>
  <c r="R35" i="1" s="1"/>
  <c r="K31" i="1"/>
  <c r="R31" i="1" s="1"/>
  <c r="K27" i="1"/>
  <c r="R27" i="1" s="1"/>
  <c r="K23" i="1"/>
  <c r="R23" i="1" s="1"/>
  <c r="K18" i="1"/>
  <c r="R18" i="1" s="1"/>
  <c r="K14" i="1"/>
  <c r="R14" i="1" s="1"/>
  <c r="K10" i="1"/>
  <c r="R10" i="1" s="1"/>
  <c r="K6" i="1"/>
  <c r="R6" i="1" s="1"/>
  <c r="K69" i="1"/>
  <c r="R69" i="1" s="1"/>
  <c r="K65" i="1"/>
  <c r="R65" i="1" s="1"/>
  <c r="K61" i="1"/>
  <c r="R61" i="1" s="1"/>
  <c r="K54" i="1"/>
  <c r="R54" i="1" s="1"/>
  <c r="K50" i="1"/>
  <c r="R50" i="1" s="1"/>
  <c r="K47" i="1"/>
  <c r="R47" i="1" s="1"/>
  <c r="K43" i="1"/>
  <c r="R43" i="1" s="1"/>
  <c r="K38" i="1"/>
  <c r="R38" i="1" s="1"/>
  <c r="K34" i="1"/>
  <c r="R34" i="1" s="1"/>
  <c r="K30" i="1"/>
  <c r="R30" i="1" s="1"/>
  <c r="K26" i="1"/>
  <c r="R26" i="1" s="1"/>
  <c r="K22" i="1"/>
  <c r="R22" i="1" s="1"/>
  <c r="K17" i="1"/>
  <c r="R17" i="1" s="1"/>
  <c r="K13" i="1"/>
  <c r="R13" i="1" s="1"/>
  <c r="K9" i="1"/>
  <c r="R9" i="1" s="1"/>
  <c r="K5" i="1"/>
  <c r="R5" i="1" s="1"/>
  <c r="H4" i="29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26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32" i="28"/>
  <c r="U228" i="28"/>
  <c r="U212" i="28"/>
  <c r="K73" i="1"/>
  <c r="R73" i="1" s="1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16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35" i="28"/>
  <c r="U227" i="28"/>
  <c r="U223" i="28"/>
  <c r="U219" i="28"/>
  <c r="U211" i="28"/>
  <c r="U203" i="28"/>
  <c r="U199" i="28"/>
  <c r="U195" i="28"/>
  <c r="U229" i="28"/>
  <c r="U241" i="28"/>
  <c r="U245" i="28"/>
  <c r="U253" i="28"/>
  <c r="U249" i="28"/>
  <c r="U233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12" i="28"/>
  <c r="Y212" i="28" s="1"/>
  <c r="W216" i="28"/>
  <c r="Y216" i="28" s="1"/>
  <c r="W220" i="28"/>
  <c r="Y220" i="28" s="1"/>
  <c r="W224" i="28"/>
  <c r="Y224" i="28" s="1"/>
  <c r="W228" i="28"/>
  <c r="Y228" i="28" s="1"/>
  <c r="W232" i="28"/>
  <c r="Y232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29" i="28"/>
  <c r="Y229" i="28" s="1"/>
  <c r="W233" i="28"/>
  <c r="Y233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26" i="28"/>
  <c r="Y226" i="28" s="1"/>
  <c r="W230" i="28"/>
  <c r="Y230" i="28" s="1"/>
  <c r="W234" i="28"/>
  <c r="Y234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30" i="28"/>
  <c r="X230" i="28" s="1"/>
  <c r="V231" i="28"/>
  <c r="X231" i="28" s="1"/>
  <c r="V232" i="28"/>
  <c r="X232" i="28" s="1"/>
  <c r="V233" i="28"/>
  <c r="X233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Y250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M73" i="1"/>
  <c r="S73" i="1" s="1"/>
  <c r="M70" i="1"/>
  <c r="S70" i="1" s="1"/>
  <c r="M74" i="1"/>
  <c r="S74" i="1" s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V173" i="1" l="1"/>
  <c r="W189" i="1"/>
  <c r="V189" i="1"/>
  <c r="Q164" i="1"/>
  <c r="T193" i="1"/>
  <c r="AB193" i="1"/>
  <c r="AK193" i="1" s="1"/>
  <c r="Q193" i="1"/>
  <c r="AD193" i="1" s="1"/>
  <c r="V182" i="1"/>
  <c r="W182" i="1"/>
  <c r="AF182" i="1" s="1"/>
  <c r="W198" i="1"/>
  <c r="AF198" i="1" s="1"/>
  <c r="AF189" i="1"/>
  <c r="W173" i="1"/>
  <c r="AF173" i="1" s="1"/>
  <c r="T46" i="1"/>
  <c r="AB192" i="1"/>
  <c r="AK192" i="1" s="1"/>
  <c r="Q192" i="1"/>
  <c r="AD192" i="1" s="1"/>
  <c r="T192" i="1"/>
  <c r="AB166" i="1"/>
  <c r="AK166" i="1" s="1"/>
  <c r="Q166" i="1"/>
  <c r="AD166" i="1" s="1"/>
  <c r="AB216" i="1"/>
  <c r="AK216" i="1" s="1"/>
  <c r="Q216" i="1"/>
  <c r="AD216" i="1" s="1"/>
  <c r="T216" i="1"/>
  <c r="T70" i="1"/>
  <c r="T157" i="1"/>
  <c r="AB157" i="1"/>
  <c r="AK157" i="1" s="1"/>
  <c r="Q157" i="1"/>
  <c r="AD157" i="1" s="1"/>
  <c r="T154" i="1"/>
  <c r="AB154" i="1"/>
  <c r="AK154" i="1" s="1"/>
  <c r="Q154" i="1"/>
  <c r="AD154" i="1" s="1"/>
  <c r="T47" i="1"/>
  <c r="T30" i="1"/>
  <c r="T14" i="1"/>
  <c r="T196" i="1"/>
  <c r="AB196" i="1"/>
  <c r="AK196" i="1" s="1"/>
  <c r="Q196" i="1"/>
  <c r="AD196" i="1" s="1"/>
  <c r="T15" i="1"/>
  <c r="T295" i="1"/>
  <c r="T278" i="1"/>
  <c r="Q253" i="1"/>
  <c r="T117" i="1"/>
  <c r="T118" i="1"/>
  <c r="T282" i="1"/>
  <c r="AB187" i="1"/>
  <c r="AK187" i="1" s="1"/>
  <c r="Q187" i="1"/>
  <c r="AD187" i="1" s="1"/>
  <c r="T187" i="1"/>
  <c r="T108" i="1"/>
  <c r="T197" i="1"/>
  <c r="Q260" i="1"/>
  <c r="T329" i="1"/>
  <c r="Q258" i="1"/>
  <c r="Q242" i="1"/>
  <c r="Q344" i="1"/>
  <c r="Q297" i="1"/>
  <c r="T180" i="1"/>
  <c r="AB180" i="1"/>
  <c r="AK180" i="1" s="1"/>
  <c r="Q180" i="1"/>
  <c r="AD180" i="1" s="1"/>
  <c r="T80" i="1"/>
  <c r="T79" i="1"/>
  <c r="T340" i="1"/>
  <c r="Q325" i="1"/>
  <c r="T71" i="1"/>
  <c r="T168" i="1"/>
  <c r="T242" i="1"/>
  <c r="T66" i="1"/>
  <c r="T42" i="1"/>
  <c r="T135" i="1"/>
  <c r="T137" i="1"/>
  <c r="T171" i="1"/>
  <c r="T104" i="1"/>
  <c r="T170" i="1"/>
  <c r="AB171" i="1"/>
  <c r="AK171" i="1" s="1"/>
  <c r="Q171" i="1"/>
  <c r="AD171" i="1" s="1"/>
  <c r="T35" i="1"/>
  <c r="T113" i="1"/>
  <c r="T36" i="1"/>
  <c r="T25" i="1"/>
  <c r="T143" i="1"/>
  <c r="T204" i="1"/>
  <c r="T298" i="1"/>
  <c r="T212" i="1"/>
  <c r="Q292" i="1"/>
  <c r="Q272" i="1"/>
  <c r="T286" i="1"/>
  <c r="T287" i="1"/>
  <c r="T161" i="1"/>
  <c r="T114" i="1"/>
  <c r="T100" i="1"/>
  <c r="T146" i="1"/>
  <c r="T302" i="1"/>
  <c r="T294" i="1"/>
  <c r="T288" i="1"/>
  <c r="T97" i="1"/>
  <c r="T93" i="1"/>
  <c r="T58" i="1"/>
  <c r="T159" i="1"/>
  <c r="T119" i="1"/>
  <c r="Q267" i="1"/>
  <c r="T125" i="1"/>
  <c r="T59" i="1"/>
  <c r="T31" i="1"/>
  <c r="T9" i="1"/>
  <c r="T49" i="1"/>
  <c r="T225" i="1"/>
  <c r="T21" i="1"/>
  <c r="T86" i="1"/>
  <c r="T140" i="1"/>
  <c r="T129" i="1"/>
  <c r="T87" i="1"/>
  <c r="T209" i="1"/>
  <c r="T257" i="1"/>
  <c r="T261" i="1"/>
  <c r="Q322" i="1"/>
  <c r="Q276" i="1"/>
  <c r="T239" i="1"/>
  <c r="T220" i="1"/>
  <c r="T256" i="1"/>
  <c r="T205" i="1"/>
  <c r="T273" i="1"/>
  <c r="T304" i="1"/>
  <c r="Q341" i="1"/>
  <c r="Q285" i="1"/>
  <c r="T344" i="1"/>
  <c r="T206" i="1"/>
  <c r="T330" i="1"/>
  <c r="T191" i="1"/>
  <c r="T183" i="1"/>
  <c r="T103" i="1"/>
  <c r="T109" i="1"/>
  <c r="Q329" i="1"/>
  <c r="Q249" i="1"/>
  <c r="T181" i="1"/>
  <c r="T223" i="1"/>
  <c r="T62" i="1"/>
  <c r="T45" i="1"/>
  <c r="T37" i="1"/>
  <c r="T139" i="1"/>
  <c r="T338" i="1"/>
  <c r="T297" i="1"/>
  <c r="T208" i="1"/>
  <c r="T315" i="1"/>
  <c r="Q343" i="1"/>
  <c r="Q241" i="1"/>
  <c r="Q221" i="1"/>
  <c r="Q323" i="1"/>
  <c r="T190" i="1"/>
  <c r="T305" i="1"/>
  <c r="Q290" i="1"/>
  <c r="T34" i="1"/>
  <c r="T18" i="1"/>
  <c r="T56" i="1"/>
  <c r="T106" i="1"/>
  <c r="T127" i="1"/>
  <c r="T151" i="1"/>
  <c r="T279" i="1"/>
  <c r="T312" i="1"/>
  <c r="Q299" i="1"/>
  <c r="Q295" i="1"/>
  <c r="T275" i="1"/>
  <c r="T165" i="1"/>
  <c r="Q324" i="1"/>
  <c r="T240" i="1"/>
  <c r="T266" i="1"/>
  <c r="Q301" i="1"/>
  <c r="T244" i="1"/>
  <c r="Q262" i="1"/>
  <c r="Q236" i="1"/>
  <c r="T179" i="1"/>
  <c r="T173" i="1"/>
  <c r="T55" i="1"/>
  <c r="T89" i="1"/>
  <c r="T177" i="1"/>
  <c r="T38" i="1"/>
  <c r="T23" i="1"/>
  <c r="T7" i="1"/>
  <c r="T131" i="1"/>
  <c r="T91" i="1"/>
  <c r="T271" i="1"/>
  <c r="T176" i="1"/>
  <c r="Q317" i="1"/>
  <c r="T264" i="1"/>
  <c r="Q246" i="1"/>
  <c r="Q342" i="1"/>
  <c r="T277" i="1"/>
  <c r="T306" i="1"/>
  <c r="T43" i="1"/>
  <c r="T27" i="1"/>
  <c r="T11" i="1"/>
  <c r="T63" i="1"/>
  <c r="T53" i="1"/>
  <c r="T83" i="1"/>
  <c r="T122" i="1"/>
  <c r="T194" i="1"/>
  <c r="T253" i="1"/>
  <c r="T245" i="1"/>
  <c r="T147" i="1"/>
  <c r="Q217" i="1"/>
  <c r="T234" i="1"/>
  <c r="Q314" i="1"/>
  <c r="Q298" i="1"/>
  <c r="T283" i="1"/>
  <c r="Q308" i="1"/>
  <c r="Q220" i="1"/>
  <c r="T148" i="1"/>
  <c r="T224" i="1"/>
  <c r="T318" i="1"/>
  <c r="Q336" i="1"/>
  <c r="T236" i="1"/>
  <c r="T227" i="1"/>
  <c r="T50" i="1"/>
  <c r="T19" i="1"/>
  <c r="T8" i="1"/>
  <c r="T60" i="1"/>
  <c r="T333" i="1"/>
  <c r="Q268" i="1"/>
  <c r="T292" i="1"/>
  <c r="Q252" i="1"/>
  <c r="T335" i="1"/>
  <c r="Q274" i="1"/>
  <c r="T248" i="1"/>
  <c r="T141" i="1"/>
  <c r="T325" i="1"/>
  <c r="T262" i="1"/>
  <c r="Q226" i="1"/>
  <c r="Q261" i="1"/>
  <c r="Q266" i="1"/>
  <c r="T39" i="1"/>
  <c r="T64" i="1"/>
  <c r="T95" i="1"/>
  <c r="T136" i="1"/>
  <c r="T102" i="1"/>
  <c r="T144" i="1"/>
  <c r="T342" i="1"/>
  <c r="T230" i="1"/>
  <c r="Q291" i="1"/>
  <c r="T252" i="1"/>
  <c r="Q334" i="1"/>
  <c r="Q327" i="1"/>
  <c r="T174" i="1"/>
  <c r="Q247" i="1"/>
  <c r="Q286" i="1"/>
  <c r="Q223" i="1"/>
  <c r="Q265" i="1"/>
  <c r="Q231" i="1"/>
  <c r="Q313" i="1"/>
  <c r="T341" i="1"/>
  <c r="Q240" i="1"/>
  <c r="Q310" i="1"/>
  <c r="T272" i="1"/>
  <c r="Q254" i="1"/>
  <c r="T57" i="1"/>
  <c r="T324" i="1"/>
  <c r="Q251" i="1"/>
  <c r="Q233" i="1"/>
  <c r="T16" i="1"/>
  <c r="T98" i="1"/>
  <c r="T84" i="1"/>
  <c r="T195" i="1"/>
  <c r="T260" i="1"/>
  <c r="T128" i="1"/>
  <c r="Q259" i="1"/>
  <c r="T228" i="1"/>
  <c r="T276" i="1"/>
  <c r="T226" i="1"/>
  <c r="Q305" i="1"/>
  <c r="Q278" i="1"/>
  <c r="Q235" i="1"/>
  <c r="AB163" i="1"/>
  <c r="AK163" i="1" s="1"/>
  <c r="AD163" i="1"/>
  <c r="Q300" i="1"/>
  <c r="AB201" i="1"/>
  <c r="AK201" i="1" s="1"/>
  <c r="Q201" i="1"/>
  <c r="AD201" i="1" s="1"/>
  <c r="AB199" i="1"/>
  <c r="AK199" i="1" s="1"/>
  <c r="Q199" i="1"/>
  <c r="AD199" i="1" s="1"/>
  <c r="T198" i="1"/>
  <c r="AB153" i="1"/>
  <c r="AK153" i="1" s="1"/>
  <c r="AD153" i="1"/>
  <c r="AB155" i="1"/>
  <c r="AK155" i="1" s="1"/>
  <c r="AD155" i="1"/>
  <c r="AB158" i="1"/>
  <c r="AK158" i="1" s="1"/>
  <c r="Q158" i="1"/>
  <c r="AD158" i="1" s="1"/>
  <c r="T120" i="1"/>
  <c r="T247" i="1"/>
  <c r="AB195" i="1"/>
  <c r="AK195" i="1" s="1"/>
  <c r="Q195" i="1"/>
  <c r="AD195" i="1" s="1"/>
  <c r="AB190" i="1"/>
  <c r="AK190" i="1" s="1"/>
  <c r="Q190" i="1"/>
  <c r="AD190" i="1" s="1"/>
  <c r="Q309" i="1"/>
  <c r="AB148" i="1"/>
  <c r="AK148" i="1" s="1"/>
  <c r="Q148" i="1"/>
  <c r="AD148" i="1" s="1"/>
  <c r="T346" i="1"/>
  <c r="AB151" i="1"/>
  <c r="AK151" i="1" s="1"/>
  <c r="Q151" i="1"/>
  <c r="AD151" i="1" s="1"/>
  <c r="AB179" i="1"/>
  <c r="AK179" i="1" s="1"/>
  <c r="Q179" i="1"/>
  <c r="AD179" i="1" s="1"/>
  <c r="T75" i="1"/>
  <c r="T105" i="1"/>
  <c r="T112" i="1"/>
  <c r="T115" i="1"/>
  <c r="T116" i="1"/>
  <c r="T167" i="1"/>
  <c r="T158" i="1"/>
  <c r="T332" i="1"/>
  <c r="T243" i="1"/>
  <c r="Q289" i="1"/>
  <c r="T251" i="1"/>
  <c r="T336" i="1"/>
  <c r="AB181" i="1"/>
  <c r="AK181" i="1" s="1"/>
  <c r="Q181" i="1"/>
  <c r="AD181" i="1" s="1"/>
  <c r="T337" i="1"/>
  <c r="Q264" i="1"/>
  <c r="Q346" i="1"/>
  <c r="Q284" i="1"/>
  <c r="AB183" i="1"/>
  <c r="AK183" i="1" s="1"/>
  <c r="Q183" i="1"/>
  <c r="AD183" i="1" s="1"/>
  <c r="AB204" i="1"/>
  <c r="AK204" i="1" s="1"/>
  <c r="Q204" i="1"/>
  <c r="AD204" i="1" s="1"/>
  <c r="T200" i="1"/>
  <c r="T5" i="1"/>
  <c r="T54" i="1"/>
  <c r="T24" i="1"/>
  <c r="T12" i="1"/>
  <c r="T130" i="1"/>
  <c r="T110" i="1"/>
  <c r="T123" i="1"/>
  <c r="T92" i="1"/>
  <c r="T124" i="1"/>
  <c r="T175" i="1"/>
  <c r="T323" i="1"/>
  <c r="T327" i="1"/>
  <c r="T339" i="1"/>
  <c r="Q239" i="1"/>
  <c r="T328" i="1"/>
  <c r="Q243" i="1"/>
  <c r="T300" i="1"/>
  <c r="T308" i="1"/>
  <c r="Q294" i="1"/>
  <c r="Q234" i="1"/>
  <c r="Q316" i="1"/>
  <c r="T232" i="1"/>
  <c r="Q296" i="1"/>
  <c r="Q320" i="1"/>
  <c r="Q232" i="1"/>
  <c r="T160" i="1"/>
  <c r="Q250" i="1"/>
  <c r="Q257" i="1"/>
  <c r="Q318" i="1"/>
  <c r="Q333" i="1"/>
  <c r="AB172" i="1"/>
  <c r="AK172" i="1" s="1"/>
  <c r="Q172" i="1"/>
  <c r="AD172" i="1" s="1"/>
  <c r="T284" i="1"/>
  <c r="T258" i="1"/>
  <c r="Q288" i="1"/>
  <c r="T20" i="1"/>
  <c r="AB175" i="1"/>
  <c r="AK175" i="1" s="1"/>
  <c r="Q175" i="1"/>
  <c r="AD175" i="1" s="1"/>
  <c r="Q224" i="1"/>
  <c r="AB165" i="1"/>
  <c r="AK165" i="1" s="1"/>
  <c r="Q165" i="1"/>
  <c r="AD165" i="1" s="1"/>
  <c r="AB203" i="1"/>
  <c r="AK203" i="1" s="1"/>
  <c r="Q203" i="1"/>
  <c r="AD203" i="1" s="1"/>
  <c r="T99" i="1"/>
  <c r="AB194" i="1"/>
  <c r="AK194" i="1" s="1"/>
  <c r="Q194" i="1"/>
  <c r="AD194" i="1" s="1"/>
  <c r="T133" i="1"/>
  <c r="T274" i="1"/>
  <c r="T214" i="1"/>
  <c r="AB198" i="1"/>
  <c r="AK198" i="1" s="1"/>
  <c r="Q198" i="1"/>
  <c r="T28" i="1"/>
  <c r="AB164" i="1"/>
  <c r="AK164" i="1" s="1"/>
  <c r="AD164" i="1"/>
  <c r="AB207" i="1"/>
  <c r="AK207" i="1" s="1"/>
  <c r="Q207" i="1"/>
  <c r="AD207" i="1" s="1"/>
  <c r="T17" i="1"/>
  <c r="T69" i="1"/>
  <c r="T51" i="1"/>
  <c r="T132" i="1"/>
  <c r="T138" i="1"/>
  <c r="T121" i="1"/>
  <c r="T309" i="1"/>
  <c r="T207" i="1"/>
  <c r="T289" i="1"/>
  <c r="Q332" i="1"/>
  <c r="AB156" i="1"/>
  <c r="AK156" i="1" s="1"/>
  <c r="Q156" i="1"/>
  <c r="AD156" i="1" s="1"/>
  <c r="T201" i="1"/>
  <c r="T162" i="1"/>
  <c r="AB202" i="1"/>
  <c r="AK202" i="1" s="1"/>
  <c r="Q202" i="1"/>
  <c r="AD202" i="1" s="1"/>
  <c r="T238" i="1"/>
  <c r="Q218" i="1"/>
  <c r="T314" i="1"/>
  <c r="Q222" i="1"/>
  <c r="Q282" i="1"/>
  <c r="T317" i="1"/>
  <c r="Q307" i="1"/>
  <c r="T313" i="1"/>
  <c r="T221" i="1"/>
  <c r="Q321" i="1"/>
  <c r="T303" i="1"/>
  <c r="T268" i="1"/>
  <c r="Q273" i="1"/>
  <c r="T255" i="1"/>
  <c r="AB160" i="1"/>
  <c r="AK160" i="1" s="1"/>
  <c r="Q160" i="1"/>
  <c r="AD160" i="1" s="1"/>
  <c r="AB185" i="1"/>
  <c r="AK185" i="1" s="1"/>
  <c r="AD185" i="1"/>
  <c r="T229" i="1"/>
  <c r="Q269" i="1"/>
  <c r="T331" i="1"/>
  <c r="AB188" i="1"/>
  <c r="AK188" i="1" s="1"/>
  <c r="Q188" i="1"/>
  <c r="AD188" i="1" s="1"/>
  <c r="AB211" i="1"/>
  <c r="AK211" i="1" s="1"/>
  <c r="Q211" i="1"/>
  <c r="AD211" i="1" s="1"/>
  <c r="Q287" i="1"/>
  <c r="Q238" i="1"/>
  <c r="T235" i="1"/>
  <c r="T76" i="1"/>
  <c r="T345" i="1"/>
  <c r="AB170" i="1"/>
  <c r="AK170" i="1" s="1"/>
  <c r="Q170" i="1"/>
  <c r="AD170" i="1" s="1"/>
  <c r="Q304" i="1"/>
  <c r="T250" i="1"/>
  <c r="AB213" i="1"/>
  <c r="AK213" i="1" s="1"/>
  <c r="Q213" i="1"/>
  <c r="AD213" i="1" s="1"/>
  <c r="T81" i="1"/>
  <c r="AB169" i="1"/>
  <c r="AK169" i="1" s="1"/>
  <c r="Q169" i="1"/>
  <c r="AD169" i="1" s="1"/>
  <c r="AB150" i="1"/>
  <c r="AK150" i="1" s="1"/>
  <c r="Q150" i="1"/>
  <c r="AD150" i="1" s="1"/>
  <c r="Q277" i="1"/>
  <c r="AB200" i="1"/>
  <c r="AK200" i="1" s="1"/>
  <c r="Q200" i="1"/>
  <c r="AD200" i="1" s="1"/>
  <c r="AB147" i="1"/>
  <c r="AK147" i="1" s="1"/>
  <c r="Q147" i="1"/>
  <c r="AD147" i="1" s="1"/>
  <c r="T44" i="1"/>
  <c r="AB174" i="1"/>
  <c r="AK174" i="1" s="1"/>
  <c r="Q174" i="1"/>
  <c r="AD174" i="1" s="1"/>
  <c r="T32" i="1"/>
  <c r="T101" i="1"/>
  <c r="T178" i="1"/>
  <c r="Q228" i="1"/>
  <c r="AB208" i="1"/>
  <c r="AK208" i="1" s="1"/>
  <c r="Q208" i="1"/>
  <c r="AD208" i="1" s="1"/>
  <c r="T22" i="1"/>
  <c r="T6" i="1"/>
  <c r="T52" i="1"/>
  <c r="T40" i="1"/>
  <c r="T29" i="1"/>
  <c r="T134" i="1"/>
  <c r="T88" i="1"/>
  <c r="T142" i="1"/>
  <c r="T126" i="1"/>
  <c r="T213" i="1"/>
  <c r="T189" i="1"/>
  <c r="T210" i="1"/>
  <c r="Q230" i="1"/>
  <c r="AB184" i="1"/>
  <c r="AK184" i="1" s="1"/>
  <c r="Q184" i="1"/>
  <c r="AD184" i="1" s="1"/>
  <c r="Q227" i="1"/>
  <c r="T222" i="1"/>
  <c r="Q271" i="1"/>
  <c r="T265" i="1"/>
  <c r="AB210" i="1"/>
  <c r="AK210" i="1" s="1"/>
  <c r="Q210" i="1"/>
  <c r="AD210" i="1" s="1"/>
  <c r="T254" i="1"/>
  <c r="Q306" i="1"/>
  <c r="T263" i="1"/>
  <c r="T241" i="1"/>
  <c r="T249" i="1"/>
  <c r="T267" i="1"/>
  <c r="T301" i="1"/>
  <c r="T202" i="1"/>
  <c r="Q326" i="1"/>
  <c r="Q237" i="1"/>
  <c r="T326" i="1"/>
  <c r="AB173" i="1"/>
  <c r="AK173" i="1" s="1"/>
  <c r="Q173" i="1"/>
  <c r="T290" i="1"/>
  <c r="T182" i="1"/>
  <c r="Q303" i="1"/>
  <c r="AB152" i="1"/>
  <c r="AK152" i="1" s="1"/>
  <c r="AD152" i="1"/>
  <c r="T322" i="1"/>
  <c r="Q245" i="1"/>
  <c r="T211" i="1"/>
  <c r="AB161" i="1"/>
  <c r="AK161" i="1" s="1"/>
  <c r="Q161" i="1"/>
  <c r="AD161" i="1" s="1"/>
  <c r="AB182" i="1"/>
  <c r="AK182" i="1" s="1"/>
  <c r="Q182" i="1"/>
  <c r="T321" i="1"/>
  <c r="T246" i="1"/>
  <c r="T316" i="1"/>
  <c r="AB189" i="1"/>
  <c r="AK189" i="1" s="1"/>
  <c r="Q189" i="1"/>
  <c r="T107" i="1"/>
  <c r="T149" i="1"/>
  <c r="AB209" i="1"/>
  <c r="AK209" i="1" s="1"/>
  <c r="Q209" i="1"/>
  <c r="AD209" i="1" s="1"/>
  <c r="T310" i="1"/>
  <c r="Q338" i="1"/>
  <c r="Q319" i="1"/>
  <c r="T319" i="1"/>
  <c r="Q340" i="1"/>
  <c r="T188" i="1"/>
  <c r="T186" i="1"/>
  <c r="Q312" i="1"/>
  <c r="Q229" i="1"/>
  <c r="T231" i="1"/>
  <c r="T293" i="1"/>
  <c r="Q280" i="1"/>
  <c r="Q281" i="1"/>
  <c r="T233" i="1"/>
  <c r="Q256" i="1"/>
  <c r="AB212" i="1"/>
  <c r="AK212" i="1" s="1"/>
  <c r="Q212" i="1"/>
  <c r="AD212" i="1" s="1"/>
  <c r="AB197" i="1"/>
  <c r="AK197" i="1" s="1"/>
  <c r="Q197" i="1"/>
  <c r="AD197" i="1" s="1"/>
  <c r="T61" i="1"/>
  <c r="T68" i="1"/>
  <c r="T94" i="1"/>
  <c r="T299" i="1"/>
  <c r="T320" i="1"/>
  <c r="T269" i="1"/>
  <c r="Q293" i="1"/>
  <c r="Q339" i="1"/>
  <c r="T307" i="1"/>
  <c r="AB162" i="1"/>
  <c r="AK162" i="1" s="1"/>
  <c r="Q162" i="1"/>
  <c r="AD162" i="1" s="1"/>
  <c r="T285" i="1"/>
  <c r="Q311" i="1"/>
  <c r="T219" i="1"/>
  <c r="Q248" i="1"/>
  <c r="AB146" i="1"/>
  <c r="AK146" i="1" s="1"/>
  <c r="Q146" i="1"/>
  <c r="AD146" i="1" s="1"/>
  <c r="T90" i="1"/>
  <c r="T13" i="1"/>
  <c r="T65" i="1"/>
  <c r="T48" i="1"/>
  <c r="T111" i="1"/>
  <c r="T85" i="1"/>
  <c r="T296" i="1"/>
  <c r="Q244" i="1"/>
  <c r="T343" i="1"/>
  <c r="Q328" i="1"/>
  <c r="Q283" i="1"/>
  <c r="Q335" i="1"/>
  <c r="Q275" i="1"/>
  <c r="Q279" i="1"/>
  <c r="T237" i="1"/>
  <c r="Q263" i="1"/>
  <c r="T218" i="1"/>
  <c r="AB168" i="1"/>
  <c r="AK168" i="1" s="1"/>
  <c r="Q168" i="1"/>
  <c r="AD168" i="1" s="1"/>
  <c r="AB206" i="1"/>
  <c r="AK206" i="1" s="1"/>
  <c r="Q206" i="1"/>
  <c r="AD206" i="1" s="1"/>
  <c r="AB167" i="1"/>
  <c r="AK167" i="1" s="1"/>
  <c r="Q167" i="1"/>
  <c r="AD167" i="1" s="1"/>
  <c r="Q331" i="1"/>
  <c r="T334" i="1"/>
  <c r="T311" i="1"/>
  <c r="Q330" i="1"/>
  <c r="T203" i="1"/>
  <c r="T26" i="1"/>
  <c r="T10" i="1"/>
  <c r="T41" i="1"/>
  <c r="T33" i="1"/>
  <c r="T96" i="1"/>
  <c r="T78" i="1"/>
  <c r="T82" i="1"/>
  <c r="T77" i="1"/>
  <c r="T184" i="1"/>
  <c r="T169" i="1"/>
  <c r="T156" i="1"/>
  <c r="T280" i="1"/>
  <c r="AB176" i="1"/>
  <c r="AK176" i="1" s="1"/>
  <c r="Q176" i="1"/>
  <c r="AD176" i="1" s="1"/>
  <c r="AB178" i="1"/>
  <c r="AK178" i="1" s="1"/>
  <c r="Q178" i="1"/>
  <c r="AD178" i="1" s="1"/>
  <c r="T281" i="1"/>
  <c r="T259" i="1"/>
  <c r="Q315" i="1"/>
  <c r="T150" i="1"/>
  <c r="AB205" i="1"/>
  <c r="AK205" i="1" s="1"/>
  <c r="Q205" i="1"/>
  <c r="AD205" i="1" s="1"/>
  <c r="Q345" i="1"/>
  <c r="AB186" i="1"/>
  <c r="AK186" i="1" s="1"/>
  <c r="Q186" i="1"/>
  <c r="AD186" i="1" s="1"/>
  <c r="AB149" i="1"/>
  <c r="AK149" i="1" s="1"/>
  <c r="Q149" i="1"/>
  <c r="AD149" i="1" s="1"/>
  <c r="AB177" i="1"/>
  <c r="AK177" i="1" s="1"/>
  <c r="Q177" i="1"/>
  <c r="AD177" i="1" s="1"/>
  <c r="AB214" i="1"/>
  <c r="AK214" i="1" s="1"/>
  <c r="Q214" i="1"/>
  <c r="AD214" i="1" s="1"/>
  <c r="Q337" i="1"/>
  <c r="T199" i="1"/>
  <c r="Q255" i="1"/>
  <c r="T172" i="1"/>
  <c r="Q302" i="1"/>
  <c r="Q270" i="1"/>
  <c r="Q219" i="1"/>
  <c r="Q225" i="1"/>
  <c r="T270" i="1"/>
  <c r="T215" i="1"/>
  <c r="T291" i="1"/>
  <c r="T217" i="1"/>
  <c r="AB191" i="1"/>
  <c r="AK191" i="1" s="1"/>
  <c r="Q191" i="1"/>
  <c r="AD191" i="1" s="1"/>
  <c r="AB159" i="1"/>
  <c r="AK159" i="1" s="1"/>
  <c r="Q159" i="1"/>
  <c r="AD159" i="1" s="1"/>
  <c r="AB215" i="1"/>
  <c r="AK215" i="1" s="1"/>
  <c r="Q215" i="1"/>
  <c r="AD215" i="1" s="1"/>
  <c r="T74" i="1"/>
  <c r="T73" i="1"/>
  <c r="N72" i="1"/>
  <c r="AA72" i="1" s="1"/>
  <c r="AJ72" i="1" s="1"/>
  <c r="S72" i="1"/>
  <c r="T72" i="1" s="1"/>
  <c r="H3" i="29"/>
  <c r="G16" i="49"/>
  <c r="G15" i="49"/>
  <c r="G11" i="50"/>
  <c r="G34" i="50"/>
  <c r="G41" i="50" s="1"/>
  <c r="G14" i="50" s="1"/>
  <c r="AK128" i="1"/>
  <c r="G33" i="50"/>
  <c r="G40" i="50" s="1"/>
  <c r="G13" i="50" s="1"/>
  <c r="Z73" i="1"/>
  <c r="AI73" i="1" s="1"/>
  <c r="P73" i="1"/>
  <c r="AC73" i="1" s="1"/>
  <c r="O18" i="1"/>
  <c r="AB18" i="1" s="1"/>
  <c r="AK18" i="1" s="1"/>
  <c r="X18" i="1"/>
  <c r="AG18" i="1" s="1"/>
  <c r="X42" i="1"/>
  <c r="AG42" i="1" s="1"/>
  <c r="O42" i="1"/>
  <c r="AB42" i="1" s="1"/>
  <c r="AK42" i="1" s="1"/>
  <c r="X7" i="1"/>
  <c r="AG7" i="1" s="1"/>
  <c r="O7" i="1"/>
  <c r="AB7" i="1" s="1"/>
  <c r="AK7" i="1" s="1"/>
  <c r="X5" i="1"/>
  <c r="AG5" i="1" s="1"/>
  <c r="O5" i="1"/>
  <c r="AB5" i="1" s="1"/>
  <c r="AK5" i="1" s="1"/>
  <c r="X19" i="1"/>
  <c r="AG19" i="1" s="1"/>
  <c r="O19" i="1"/>
  <c r="AB19" i="1" s="1"/>
  <c r="AK19" i="1" s="1"/>
  <c r="X60" i="1"/>
  <c r="AG60" i="1" s="1"/>
  <c r="O60" i="1"/>
  <c r="AB60" i="1" s="1"/>
  <c r="AK60" i="1" s="1"/>
  <c r="X9" i="1"/>
  <c r="AG9" i="1" s="1"/>
  <c r="O9" i="1"/>
  <c r="AB9" i="1" s="1"/>
  <c r="AK9" i="1" s="1"/>
  <c r="X24" i="1"/>
  <c r="AG24" i="1" s="1"/>
  <c r="O24" i="1"/>
  <c r="AB24" i="1" s="1"/>
  <c r="AK24" i="1" s="1"/>
  <c r="X12" i="1"/>
  <c r="AG12" i="1" s="1"/>
  <c r="O12" i="1"/>
  <c r="AB12" i="1" s="1"/>
  <c r="AK12" i="1" s="1"/>
  <c r="O13" i="1"/>
  <c r="AB13" i="1" s="1"/>
  <c r="AK13" i="1" s="1"/>
  <c r="X13" i="1"/>
  <c r="AG13" i="1" s="1"/>
  <c r="O38" i="1"/>
  <c r="AB38" i="1" s="1"/>
  <c r="AK38" i="1" s="1"/>
  <c r="X38" i="1"/>
  <c r="AG38" i="1" s="1"/>
  <c r="X66" i="1"/>
  <c r="AG66" i="1" s="1"/>
  <c r="O66" i="1"/>
  <c r="AB66" i="1" s="1"/>
  <c r="AK66" i="1" s="1"/>
  <c r="X23" i="1"/>
  <c r="AG23" i="1" s="1"/>
  <c r="O23" i="1"/>
  <c r="AB23" i="1" s="1"/>
  <c r="AK23" i="1" s="1"/>
  <c r="X54" i="1"/>
  <c r="AG54" i="1" s="1"/>
  <c r="O54" i="1"/>
  <c r="AB54" i="1" s="1"/>
  <c r="AK54" i="1" s="1"/>
  <c r="O8" i="1"/>
  <c r="AB8" i="1" s="1"/>
  <c r="AK8" i="1" s="1"/>
  <c r="X8" i="1"/>
  <c r="AG8" i="1" s="1"/>
  <c r="O39" i="1"/>
  <c r="AB39" i="1" s="1"/>
  <c r="AK39" i="1" s="1"/>
  <c r="X39" i="1"/>
  <c r="AG39" i="1" s="1"/>
  <c r="O64" i="1"/>
  <c r="AB64" i="1" s="1"/>
  <c r="AK64" i="1" s="1"/>
  <c r="X64" i="1"/>
  <c r="AG64" i="1" s="1"/>
  <c r="X17" i="1"/>
  <c r="AG17" i="1" s="1"/>
  <c r="O17" i="1"/>
  <c r="AB17" i="1" s="1"/>
  <c r="AK17" i="1" s="1"/>
  <c r="X65" i="1"/>
  <c r="AG65" i="1" s="1"/>
  <c r="O65" i="1"/>
  <c r="AB65" i="1" s="1"/>
  <c r="AK65" i="1" s="1"/>
  <c r="X32" i="1"/>
  <c r="AG32" i="1" s="1"/>
  <c r="O32" i="1"/>
  <c r="AB32" i="1" s="1"/>
  <c r="AK32" i="1" s="1"/>
  <c r="X21" i="1"/>
  <c r="AG21" i="1" s="1"/>
  <c r="O21" i="1"/>
  <c r="AB21" i="1" s="1"/>
  <c r="AK21" i="1" s="1"/>
  <c r="O49" i="1"/>
  <c r="AB49" i="1" s="1"/>
  <c r="AK49" i="1" s="1"/>
  <c r="X49" i="1"/>
  <c r="AG49" i="1" s="1"/>
  <c r="Z71" i="1"/>
  <c r="AI71" i="1" s="1"/>
  <c r="P71" i="1"/>
  <c r="AC71" i="1" s="1"/>
  <c r="O22" i="1"/>
  <c r="AB22" i="1" s="1"/>
  <c r="AK22" i="1" s="1"/>
  <c r="X22" i="1"/>
  <c r="AG22" i="1" s="1"/>
  <c r="X69" i="1"/>
  <c r="AG69" i="1" s="1"/>
  <c r="O69" i="1"/>
  <c r="AB69" i="1" s="1"/>
  <c r="AK69" i="1" s="1"/>
  <c r="X51" i="1"/>
  <c r="AG51" i="1" s="1"/>
  <c r="O51" i="1"/>
  <c r="AB51" i="1" s="1"/>
  <c r="AK51" i="1" s="1"/>
  <c r="X36" i="1"/>
  <c r="AG36" i="1" s="1"/>
  <c r="O36" i="1"/>
  <c r="AB36" i="1" s="1"/>
  <c r="AK36" i="1" s="1"/>
  <c r="X74" i="1"/>
  <c r="AG74" i="1" s="1"/>
  <c r="O74" i="1"/>
  <c r="AB74" i="1" s="1"/>
  <c r="AK74" i="1" s="1"/>
  <c r="X26" i="1"/>
  <c r="AG26" i="1" s="1"/>
  <c r="O26" i="1"/>
  <c r="AB26" i="1" s="1"/>
  <c r="AK26" i="1" s="1"/>
  <c r="O6" i="1"/>
  <c r="AB6" i="1" s="1"/>
  <c r="AK6" i="1" s="1"/>
  <c r="X6" i="1"/>
  <c r="AG6" i="1" s="1"/>
  <c r="X52" i="1"/>
  <c r="AG52" i="1" s="1"/>
  <c r="O52" i="1"/>
  <c r="AB52" i="1" s="1"/>
  <c r="AK52" i="1" s="1"/>
  <c r="X40" i="1"/>
  <c r="AG40" i="1" s="1"/>
  <c r="O40" i="1"/>
  <c r="AB40" i="1" s="1"/>
  <c r="AK40" i="1" s="1"/>
  <c r="X29" i="1"/>
  <c r="AG29" i="1" s="1"/>
  <c r="O29" i="1"/>
  <c r="AB29" i="1" s="1"/>
  <c r="AK29" i="1" s="1"/>
  <c r="P74" i="1"/>
  <c r="AC74" i="1" s="1"/>
  <c r="Z74" i="1"/>
  <c r="AI74" i="1" s="1"/>
  <c r="X30" i="1"/>
  <c r="AG30" i="1" s="1"/>
  <c r="O30" i="1"/>
  <c r="AB30" i="1" s="1"/>
  <c r="AK30" i="1" s="1"/>
  <c r="O10" i="1"/>
  <c r="AB10" i="1" s="1"/>
  <c r="AK10" i="1" s="1"/>
  <c r="X10" i="1"/>
  <c r="AG10" i="1" s="1"/>
  <c r="X55" i="1"/>
  <c r="AG55" i="1" s="1"/>
  <c r="O55" i="1"/>
  <c r="AB55" i="1" s="1"/>
  <c r="AK55" i="1" s="1"/>
  <c r="X41" i="1"/>
  <c r="AG41" i="1" s="1"/>
  <c r="O41" i="1"/>
  <c r="AB41" i="1" s="1"/>
  <c r="AK41" i="1" s="1"/>
  <c r="O33" i="1"/>
  <c r="AB33" i="1" s="1"/>
  <c r="AK33" i="1" s="1"/>
  <c r="X33" i="1"/>
  <c r="AG33" i="1" s="1"/>
  <c r="X59" i="1"/>
  <c r="AG59" i="1" s="1"/>
  <c r="O59" i="1"/>
  <c r="AB59" i="1" s="1"/>
  <c r="AK59" i="1" s="1"/>
  <c r="X35" i="1"/>
  <c r="AG35" i="1" s="1"/>
  <c r="O35" i="1"/>
  <c r="AB35" i="1" s="1"/>
  <c r="AK35" i="1" s="1"/>
  <c r="X58" i="1"/>
  <c r="O58" i="1"/>
  <c r="O61" i="1"/>
  <c r="AB61" i="1" s="1"/>
  <c r="AK61" i="1" s="1"/>
  <c r="X61" i="1"/>
  <c r="AG61" i="1" s="1"/>
  <c r="X44" i="1"/>
  <c r="AG44" i="1" s="1"/>
  <c r="O44" i="1"/>
  <c r="AB44" i="1" s="1"/>
  <c r="AK44" i="1" s="1"/>
  <c r="X28" i="1"/>
  <c r="AG28" i="1" s="1"/>
  <c r="O28" i="1"/>
  <c r="AB28" i="1" s="1"/>
  <c r="AK28" i="1" s="1"/>
  <c r="X16" i="1"/>
  <c r="AG16" i="1" s="1"/>
  <c r="O16" i="1"/>
  <c r="AB16" i="1" s="1"/>
  <c r="AK16" i="1" s="1"/>
  <c r="X68" i="1"/>
  <c r="AG68" i="1" s="1"/>
  <c r="O68" i="1"/>
  <c r="AB68" i="1" s="1"/>
  <c r="AK68" i="1" s="1"/>
  <c r="X48" i="1"/>
  <c r="AG48" i="1" s="1"/>
  <c r="O48" i="1"/>
  <c r="AB48" i="1" s="1"/>
  <c r="AK48" i="1" s="1"/>
  <c r="O25" i="1"/>
  <c r="AB25" i="1" s="1"/>
  <c r="AK25" i="1" s="1"/>
  <c r="X25" i="1"/>
  <c r="AG25" i="1" s="1"/>
  <c r="P70" i="1"/>
  <c r="AC70" i="1" s="1"/>
  <c r="Z70" i="1"/>
  <c r="AI70" i="1" s="1"/>
  <c r="X34" i="1"/>
  <c r="AG34" i="1" s="1"/>
  <c r="O34" i="1"/>
  <c r="AB34" i="1" s="1"/>
  <c r="AK34" i="1" s="1"/>
  <c r="X14" i="1"/>
  <c r="AG14" i="1" s="1"/>
  <c r="O14" i="1"/>
  <c r="AB14" i="1" s="1"/>
  <c r="AK14" i="1" s="1"/>
  <c r="X62" i="1"/>
  <c r="AG62" i="1" s="1"/>
  <c r="O62" i="1"/>
  <c r="AB62" i="1" s="1"/>
  <c r="AK62" i="1" s="1"/>
  <c r="X45" i="1"/>
  <c r="AG45" i="1" s="1"/>
  <c r="O45" i="1"/>
  <c r="AB45" i="1" s="1"/>
  <c r="AK45" i="1" s="1"/>
  <c r="O37" i="1"/>
  <c r="AB37" i="1" s="1"/>
  <c r="AK37" i="1" s="1"/>
  <c r="X37" i="1"/>
  <c r="AG37" i="1" s="1"/>
  <c r="P72" i="1"/>
  <c r="AC72" i="1" s="1"/>
  <c r="Z72" i="1"/>
  <c r="AI72" i="1" s="1"/>
  <c r="X56" i="1"/>
  <c r="AG56" i="1" s="1"/>
  <c r="O56" i="1"/>
  <c r="AB56" i="1" s="1"/>
  <c r="AK56" i="1" s="1"/>
  <c r="X43" i="1"/>
  <c r="AG43" i="1" s="1"/>
  <c r="O43" i="1"/>
  <c r="AB43" i="1" s="1"/>
  <c r="AK43" i="1" s="1"/>
  <c r="O46" i="1"/>
  <c r="AB46" i="1" s="1"/>
  <c r="AK46" i="1" s="1"/>
  <c r="X46" i="1"/>
  <c r="AG46" i="1" s="1"/>
  <c r="N71" i="1"/>
  <c r="AA71" i="1" s="1"/>
  <c r="AJ71" i="1" s="1"/>
  <c r="X73" i="1"/>
  <c r="AG73" i="1" s="1"/>
  <c r="O73" i="1"/>
  <c r="AB73" i="1" s="1"/>
  <c r="AK73" i="1" s="1"/>
  <c r="X47" i="1"/>
  <c r="AG47" i="1" s="1"/>
  <c r="O47" i="1"/>
  <c r="AB47" i="1" s="1"/>
  <c r="AK47" i="1" s="1"/>
  <c r="X27" i="1"/>
  <c r="AG27" i="1" s="1"/>
  <c r="O27" i="1"/>
  <c r="AB27" i="1" s="1"/>
  <c r="AK27" i="1" s="1"/>
  <c r="X11" i="1"/>
  <c r="AG11" i="1" s="1"/>
  <c r="O11" i="1"/>
  <c r="AB11" i="1" s="1"/>
  <c r="AK11" i="1" s="1"/>
  <c r="O63" i="1"/>
  <c r="AB63" i="1" s="1"/>
  <c r="AK63" i="1" s="1"/>
  <c r="X63" i="1"/>
  <c r="AG63" i="1" s="1"/>
  <c r="O53" i="1"/>
  <c r="AB53" i="1" s="1"/>
  <c r="AK53" i="1" s="1"/>
  <c r="X53" i="1"/>
  <c r="AG53" i="1" s="1"/>
  <c r="O50" i="1"/>
  <c r="AB50" i="1" s="1"/>
  <c r="AK50" i="1" s="1"/>
  <c r="X50" i="1"/>
  <c r="AG50" i="1" s="1"/>
  <c r="X31" i="1"/>
  <c r="AG31" i="1" s="1"/>
  <c r="O31" i="1"/>
  <c r="AB31" i="1" s="1"/>
  <c r="AK31" i="1" s="1"/>
  <c r="X15" i="1"/>
  <c r="AG15" i="1" s="1"/>
  <c r="O15" i="1"/>
  <c r="AB15" i="1" s="1"/>
  <c r="AK15" i="1" s="1"/>
  <c r="O67" i="1"/>
  <c r="AB67" i="1" s="1"/>
  <c r="AK67" i="1" s="1"/>
  <c r="X67" i="1"/>
  <c r="AG67" i="1" s="1"/>
  <c r="O57" i="1"/>
  <c r="AB57" i="1" s="1"/>
  <c r="AK57" i="1" s="1"/>
  <c r="X57" i="1"/>
  <c r="AG57" i="1" s="1"/>
  <c r="G30" i="56"/>
  <c r="D34" i="50"/>
  <c r="D41" i="50" s="1"/>
  <c r="D14" i="50" s="1"/>
  <c r="F12" i="45"/>
  <c r="Q106" i="1"/>
  <c r="AD106" i="1" s="1"/>
  <c r="Q116" i="1"/>
  <c r="AD116" i="1" s="1"/>
  <c r="Q111" i="1"/>
  <c r="AD111" i="1" s="1"/>
  <c r="Q75" i="1"/>
  <c r="AD75" i="1" s="1"/>
  <c r="Q94" i="1"/>
  <c r="AD94" i="1" s="1"/>
  <c r="Q78" i="1"/>
  <c r="AD78" i="1" s="1"/>
  <c r="F26" i="49"/>
  <c r="Q88" i="1"/>
  <c r="AD88" i="1" s="1"/>
  <c r="Q81" i="1"/>
  <c r="AD81" i="1" s="1"/>
  <c r="Q86" i="1"/>
  <c r="AD86" i="1" s="1"/>
  <c r="Q141" i="1"/>
  <c r="AD141" i="1" s="1"/>
  <c r="Q123" i="1"/>
  <c r="AD123" i="1" s="1"/>
  <c r="Q103" i="1"/>
  <c r="AD103" i="1" s="1"/>
  <c r="Q142" i="1"/>
  <c r="AD142" i="1" s="1"/>
  <c r="Q83" i="1"/>
  <c r="AD83" i="1" s="1"/>
  <c r="Q80" i="1"/>
  <c r="AD80" i="1" s="1"/>
  <c r="F40" i="49"/>
  <c r="F13" i="49" s="1"/>
  <c r="F33" i="29"/>
  <c r="F40" i="29" s="1"/>
  <c r="Q114" i="1"/>
  <c r="AD114" i="1" s="1"/>
  <c r="Q108" i="1"/>
  <c r="AD108" i="1" s="1"/>
  <c r="Q144" i="1"/>
  <c r="AD144" i="1" s="1"/>
  <c r="Q104" i="1"/>
  <c r="AD104" i="1" s="1"/>
  <c r="Q79" i="1"/>
  <c r="AD79" i="1" s="1"/>
  <c r="Q82" i="1"/>
  <c r="AD82" i="1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Q127" i="1"/>
  <c r="AD127" i="1" s="1"/>
  <c r="Q93" i="1"/>
  <c r="AD93" i="1" s="1"/>
  <c r="Q113" i="1"/>
  <c r="AD113" i="1" s="1"/>
  <c r="Q138" i="1"/>
  <c r="AD138" i="1" s="1"/>
  <c r="Q77" i="1"/>
  <c r="AD77" i="1" s="1"/>
  <c r="Q84" i="1"/>
  <c r="AD84" i="1" s="1"/>
  <c r="Q117" i="1"/>
  <c r="AD117" i="1" s="1"/>
  <c r="Q110" i="1"/>
  <c r="AD110" i="1" s="1"/>
  <c r="Q102" i="1"/>
  <c r="AD102" i="1" s="1"/>
  <c r="Q76" i="1"/>
  <c r="AD76" i="1" s="1"/>
  <c r="Q91" i="1"/>
  <c r="AD91" i="1" s="1"/>
  <c r="F10" i="45"/>
  <c r="F26" i="45" s="1"/>
  <c r="Q118" i="1"/>
  <c r="AD118" i="1" s="1"/>
  <c r="Q137" i="1"/>
  <c r="AD137" i="1" s="1"/>
  <c r="Q125" i="1"/>
  <c r="AD125" i="1" s="1"/>
  <c r="Q100" i="1"/>
  <c r="AD100" i="1" s="1"/>
  <c r="Q120" i="1"/>
  <c r="AD120" i="1" s="1"/>
  <c r="Q99" i="1"/>
  <c r="AD99" i="1" s="1"/>
  <c r="Q105" i="1"/>
  <c r="AD105" i="1" s="1"/>
  <c r="Q140" i="1"/>
  <c r="AD140" i="1" s="1"/>
  <c r="Q136" i="1"/>
  <c r="AD136" i="1" s="1"/>
  <c r="Q112" i="1"/>
  <c r="AD112" i="1" s="1"/>
  <c r="Q124" i="1"/>
  <c r="AD124" i="1" s="1"/>
  <c r="Q87" i="1"/>
  <c r="AD87" i="1" s="1"/>
  <c r="Q143" i="1"/>
  <c r="AD143" i="1" s="1"/>
  <c r="Q107" i="1"/>
  <c r="AD107" i="1" s="1"/>
  <c r="Q134" i="1"/>
  <c r="AD134" i="1" s="1"/>
  <c r="Q126" i="1"/>
  <c r="AD126" i="1" s="1"/>
  <c r="Q122" i="1"/>
  <c r="AD122" i="1" s="1"/>
  <c r="Q92" i="1"/>
  <c r="AD92" i="1" s="1"/>
  <c r="Q97" i="1"/>
  <c r="AD97" i="1" s="1"/>
  <c r="Q98" i="1"/>
  <c r="AD98" i="1" s="1"/>
  <c r="Q128" i="1"/>
  <c r="AD128" i="1" s="1"/>
  <c r="Q130" i="1"/>
  <c r="AD130" i="1" s="1"/>
  <c r="Q109" i="1"/>
  <c r="AD109" i="1" s="1"/>
  <c r="Q85" i="1"/>
  <c r="AD85" i="1" s="1"/>
  <c r="F11" i="45"/>
  <c r="Q133" i="1"/>
  <c r="AD133" i="1" s="1"/>
  <c r="Q121" i="1"/>
  <c r="AD121" i="1" s="1"/>
  <c r="Q132" i="1"/>
  <c r="AD132" i="1" s="1"/>
  <c r="Q135" i="1"/>
  <c r="AD135" i="1" s="1"/>
  <c r="Q129" i="1"/>
  <c r="AD129" i="1" s="1"/>
  <c r="Q96" i="1"/>
  <c r="AD96" i="1" s="1"/>
  <c r="Q89" i="1"/>
  <c r="AD89" i="1" s="1"/>
  <c r="Q115" i="1"/>
  <c r="AD115" i="1" s="1"/>
  <c r="F38" i="49"/>
  <c r="F11" i="49" s="1"/>
  <c r="F31" i="29"/>
  <c r="F38" i="29" s="1"/>
  <c r="F13" i="45"/>
  <c r="F14" i="45"/>
  <c r="Q131" i="1"/>
  <c r="AD131" i="1" s="1"/>
  <c r="Q139" i="1"/>
  <c r="AD139" i="1" s="1"/>
  <c r="Q95" i="1"/>
  <c r="AD95" i="1" s="1"/>
  <c r="Q101" i="1"/>
  <c r="AD101" i="1" s="1"/>
  <c r="Q119" i="1"/>
  <c r="AD119" i="1" s="1"/>
  <c r="Q90" i="1"/>
  <c r="AD90" i="1" s="1"/>
  <c r="C30" i="29"/>
  <c r="I18" i="44"/>
  <c r="D40" i="55"/>
  <c r="D13" i="55" s="1"/>
  <c r="E40" i="45"/>
  <c r="E13" i="45" s="1"/>
  <c r="D40" i="46"/>
  <c r="D34" i="49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26" i="28"/>
  <c r="AA226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216" i="28"/>
  <c r="AA216" i="28" s="1"/>
  <c r="Z71" i="28"/>
  <c r="AA71" i="28" s="1"/>
  <c r="Z207" i="28"/>
  <c r="AA207" i="28" s="1"/>
  <c r="Z179" i="28"/>
  <c r="AA179" i="28" s="1"/>
  <c r="Z200" i="28"/>
  <c r="AA200" i="28" s="1"/>
  <c r="Z129" i="28"/>
  <c r="AA129" i="28" s="1"/>
  <c r="Z212" i="28"/>
  <c r="AA212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35" i="28"/>
  <c r="AA235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234" i="28"/>
  <c r="AA234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31" i="28"/>
  <c r="AA231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227" i="28"/>
  <c r="AA227" i="28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233" i="28"/>
  <c r="AA233" i="28" s="1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32" i="28"/>
  <c r="AA232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228" i="28"/>
  <c r="AA228" i="28" s="1"/>
  <c r="Z148" i="28"/>
  <c r="AA148" i="28" s="1"/>
  <c r="Z100" i="28"/>
  <c r="AA100" i="28" s="1"/>
  <c r="N13" i="1"/>
  <c r="AA13" i="1" s="1"/>
  <c r="AJ13" i="1" s="1"/>
  <c r="N30" i="1"/>
  <c r="AA30" i="1" s="1"/>
  <c r="AJ30" i="1" s="1"/>
  <c r="N47" i="1"/>
  <c r="AA47" i="1" s="1"/>
  <c r="AJ47" i="1" s="1"/>
  <c r="N61" i="1"/>
  <c r="N10" i="1"/>
  <c r="AA10" i="1" s="1"/>
  <c r="AJ10" i="1" s="1"/>
  <c r="N27" i="1"/>
  <c r="AA27" i="1" s="1"/>
  <c r="AJ27" i="1" s="1"/>
  <c r="N44" i="1"/>
  <c r="AA44" i="1" s="1"/>
  <c r="AJ44" i="1" s="1"/>
  <c r="N55" i="1"/>
  <c r="AA55" i="1" s="1"/>
  <c r="AJ55" i="1" s="1"/>
  <c r="N11" i="1"/>
  <c r="AA11" i="1" s="1"/>
  <c r="AJ11" i="1" s="1"/>
  <c r="N28" i="1"/>
  <c r="AA28" i="1" s="1"/>
  <c r="AJ28" i="1" s="1"/>
  <c r="N41" i="1"/>
  <c r="AA41" i="1" s="1"/>
  <c r="AJ41" i="1" s="1"/>
  <c r="N63" i="1"/>
  <c r="AA63" i="1" s="1"/>
  <c r="AJ63" i="1" s="1"/>
  <c r="N16" i="1"/>
  <c r="AA16" i="1" s="1"/>
  <c r="AJ16" i="1" s="1"/>
  <c r="N33" i="1"/>
  <c r="AA33" i="1" s="1"/>
  <c r="AJ33" i="1" s="1"/>
  <c r="N53" i="1"/>
  <c r="AA53" i="1" s="1"/>
  <c r="AJ53" i="1" s="1"/>
  <c r="N68" i="1"/>
  <c r="AA68" i="1" s="1"/>
  <c r="AJ68" i="1" s="1"/>
  <c r="N17" i="1"/>
  <c r="AA17" i="1" s="1"/>
  <c r="AJ17" i="1" s="1"/>
  <c r="N34" i="1"/>
  <c r="AA34" i="1" s="1"/>
  <c r="AJ34" i="1" s="1"/>
  <c r="N50" i="1"/>
  <c r="AA50" i="1" s="1"/>
  <c r="AJ50" i="1" s="1"/>
  <c r="N65" i="1"/>
  <c r="AA65" i="1" s="1"/>
  <c r="AJ65" i="1" s="1"/>
  <c r="N14" i="1"/>
  <c r="AA14" i="1" s="1"/>
  <c r="AJ14" i="1" s="1"/>
  <c r="N31" i="1"/>
  <c r="AA31" i="1" s="1"/>
  <c r="AJ31" i="1" s="1"/>
  <c r="N48" i="1"/>
  <c r="AA48" i="1" s="1"/>
  <c r="AJ48" i="1" s="1"/>
  <c r="N62" i="1"/>
  <c r="AA62" i="1" s="1"/>
  <c r="AJ62" i="1" s="1"/>
  <c r="N15" i="1"/>
  <c r="AA15" i="1" s="1"/>
  <c r="AJ15" i="1" s="1"/>
  <c r="N32" i="1"/>
  <c r="N45" i="1"/>
  <c r="AA45" i="1" s="1"/>
  <c r="AJ45" i="1" s="1"/>
  <c r="N67" i="1"/>
  <c r="AA67" i="1" s="1"/>
  <c r="AJ67" i="1" s="1"/>
  <c r="N21" i="1"/>
  <c r="AA21" i="1" s="1"/>
  <c r="AJ21" i="1" s="1"/>
  <c r="N37" i="1"/>
  <c r="AA37" i="1" s="1"/>
  <c r="AJ37" i="1" s="1"/>
  <c r="N57" i="1"/>
  <c r="AA57" i="1" s="1"/>
  <c r="AJ57" i="1" s="1"/>
  <c r="N49" i="1"/>
  <c r="AA49" i="1" s="1"/>
  <c r="AJ49" i="1" s="1"/>
  <c r="N5" i="1"/>
  <c r="N22" i="1"/>
  <c r="AA22" i="1" s="1"/>
  <c r="AJ22" i="1" s="1"/>
  <c r="N38" i="1"/>
  <c r="AA38" i="1" s="1"/>
  <c r="AJ38" i="1" s="1"/>
  <c r="N54" i="1"/>
  <c r="AA54" i="1" s="1"/>
  <c r="AJ54" i="1" s="1"/>
  <c r="N69" i="1"/>
  <c r="AA69" i="1" s="1"/>
  <c r="AJ69" i="1" s="1"/>
  <c r="N18" i="1"/>
  <c r="AA18" i="1" s="1"/>
  <c r="AJ18" i="1" s="1"/>
  <c r="N35" i="1"/>
  <c r="AA35" i="1" s="1"/>
  <c r="AJ35" i="1" s="1"/>
  <c r="N51" i="1"/>
  <c r="AA51" i="1" s="1"/>
  <c r="AJ51" i="1" s="1"/>
  <c r="N66" i="1"/>
  <c r="AA66" i="1" s="1"/>
  <c r="AJ66" i="1" s="1"/>
  <c r="N19" i="1"/>
  <c r="AA19" i="1" s="1"/>
  <c r="AJ19" i="1" s="1"/>
  <c r="N36" i="1"/>
  <c r="AA36" i="1" s="1"/>
  <c r="AJ36" i="1" s="1"/>
  <c r="N56" i="1"/>
  <c r="AA56" i="1" s="1"/>
  <c r="AJ56" i="1" s="1"/>
  <c r="N8" i="1"/>
  <c r="AA8" i="1" s="1"/>
  <c r="AJ8" i="1" s="1"/>
  <c r="N25" i="1"/>
  <c r="AA25" i="1" s="1"/>
  <c r="AJ25" i="1" s="1"/>
  <c r="N42" i="1"/>
  <c r="AA42" i="1" s="1"/>
  <c r="AJ42" i="1" s="1"/>
  <c r="N60" i="1"/>
  <c r="AA60" i="1" s="1"/>
  <c r="AJ60" i="1" s="1"/>
  <c r="N9" i="1"/>
  <c r="AA9" i="1" s="1"/>
  <c r="AJ9" i="1" s="1"/>
  <c r="N26" i="1"/>
  <c r="AA26" i="1" s="1"/>
  <c r="AJ26" i="1" s="1"/>
  <c r="N43" i="1"/>
  <c r="AA43" i="1" s="1"/>
  <c r="AJ43" i="1" s="1"/>
  <c r="N58" i="1"/>
  <c r="AA58" i="1" s="1"/>
  <c r="AJ58" i="1" s="1"/>
  <c r="N6" i="1"/>
  <c r="AA6" i="1" s="1"/>
  <c r="AJ6" i="1" s="1"/>
  <c r="N23" i="1"/>
  <c r="AA23" i="1" s="1"/>
  <c r="AJ23" i="1" s="1"/>
  <c r="N39" i="1"/>
  <c r="AA39" i="1" s="1"/>
  <c r="AJ39" i="1" s="1"/>
  <c r="N52" i="1"/>
  <c r="AA52" i="1" s="1"/>
  <c r="AJ52" i="1" s="1"/>
  <c r="N7" i="1"/>
  <c r="AA7" i="1" s="1"/>
  <c r="AJ7" i="1" s="1"/>
  <c r="N24" i="1"/>
  <c r="AA24" i="1" s="1"/>
  <c r="AJ24" i="1" s="1"/>
  <c r="N40" i="1"/>
  <c r="AA40" i="1" s="1"/>
  <c r="AJ40" i="1" s="1"/>
  <c r="N59" i="1"/>
  <c r="AA59" i="1" s="1"/>
  <c r="AJ59" i="1" s="1"/>
  <c r="N12" i="1"/>
  <c r="AA12" i="1" s="1"/>
  <c r="AJ12" i="1" s="1"/>
  <c r="N29" i="1"/>
  <c r="AA29" i="1" s="1"/>
  <c r="AJ29" i="1" s="1"/>
  <c r="N46" i="1"/>
  <c r="AA46" i="1" s="1"/>
  <c r="AJ46" i="1" s="1"/>
  <c r="N64" i="1"/>
  <c r="AA64" i="1" s="1"/>
  <c r="AJ64" i="1" s="1"/>
  <c r="C34" i="49"/>
  <c r="Q20" i="1"/>
  <c r="AD20" i="1" s="1"/>
  <c r="N73" i="1"/>
  <c r="AA73" i="1" s="1"/>
  <c r="AJ73" i="1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229" i="28"/>
  <c r="AA229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Z230" i="28"/>
  <c r="AA230" i="28" s="1"/>
  <c r="B20" i="55"/>
  <c r="B20" i="54"/>
  <c r="C23" i="2"/>
  <c r="N74" i="1"/>
  <c r="AA74" i="1" s="1"/>
  <c r="AJ74" i="1" s="1"/>
  <c r="N70" i="1"/>
  <c r="AA70" i="1" s="1"/>
  <c r="AJ70" i="1" s="1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U189" i="1" l="1"/>
  <c r="U198" i="1"/>
  <c r="U173" i="1"/>
  <c r="AD198" i="1"/>
  <c r="AD182" i="1"/>
  <c r="U182" i="1"/>
  <c r="AD189" i="1"/>
  <c r="AD173" i="1"/>
  <c r="G15" i="29"/>
  <c r="G15" i="57"/>
  <c r="G16" i="29"/>
  <c r="G16" i="57"/>
  <c r="G34" i="49"/>
  <c r="G41" i="49" s="1"/>
  <c r="G14" i="49" s="1"/>
  <c r="G25" i="50"/>
  <c r="G24" i="50"/>
  <c r="AG58" i="1"/>
  <c r="G31" i="49"/>
  <c r="AB58" i="1"/>
  <c r="Q72" i="1"/>
  <c r="AD72" i="1" s="1"/>
  <c r="Q32" i="1"/>
  <c r="AD32" i="1" s="1"/>
  <c r="AA32" i="1"/>
  <c r="AJ32" i="1" s="1"/>
  <c r="Q5" i="1"/>
  <c r="AD5" i="1" s="1"/>
  <c r="AA5" i="1"/>
  <c r="AJ5" i="1" s="1"/>
  <c r="Q71" i="1"/>
  <c r="AD71" i="1" s="1"/>
  <c r="Q61" i="1"/>
  <c r="AD61" i="1" s="1"/>
  <c r="AA61" i="1"/>
  <c r="AJ61" i="1" s="1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Q70" i="1"/>
  <c r="AD70" i="1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Q62" i="1"/>
  <c r="AD62" i="1" s="1"/>
  <c r="Q63" i="1"/>
  <c r="AD63" i="1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AF105" i="1"/>
  <c r="AF103" i="1"/>
  <c r="AF138" i="1"/>
  <c r="AF129" i="1"/>
  <c r="AF127" i="1"/>
  <c r="AF123" i="1"/>
  <c r="AF121" i="1"/>
  <c r="AF114" i="1"/>
  <c r="AF132" i="1"/>
  <c r="AF104" i="1"/>
  <c r="AF118" i="1"/>
  <c r="AF117" i="1"/>
  <c r="AF115" i="1"/>
  <c r="AF107" i="1"/>
  <c r="AF122" i="1"/>
  <c r="AF106" i="1"/>
  <c r="AF119" i="1"/>
  <c r="AF131" i="1"/>
  <c r="AF80" i="1"/>
  <c r="AF134" i="1"/>
  <c r="AF116" i="1"/>
  <c r="AF124" i="1"/>
  <c r="AF120" i="1"/>
  <c r="AF125" i="1"/>
  <c r="AF133" i="1"/>
  <c r="AF128" i="1"/>
  <c r="AF126" i="1"/>
  <c r="AF135" i="1"/>
  <c r="AF137" i="1"/>
  <c r="AF76" i="1"/>
  <c r="AF130" i="1"/>
  <c r="AF143" i="1"/>
  <c r="AF139" i="1"/>
  <c r="AF88" i="1"/>
  <c r="AF83" i="1"/>
  <c r="AF140" i="1"/>
  <c r="AF144" i="1"/>
  <c r="AF108" i="1"/>
  <c r="AF89" i="1"/>
  <c r="AF136" i="1"/>
  <c r="AF86" i="1"/>
  <c r="AF141" i="1"/>
  <c r="AF111" i="1"/>
  <c r="AF97" i="1"/>
  <c r="AF142" i="1"/>
  <c r="AF109" i="1"/>
  <c r="AF81" i="1"/>
  <c r="AF113" i="1"/>
  <c r="AF112" i="1"/>
  <c r="AF110" i="1"/>
  <c r="AF78" i="1"/>
  <c r="AF96" i="1"/>
  <c r="AF93" i="1"/>
  <c r="AF102" i="1"/>
  <c r="AF91" i="1"/>
  <c r="AF85" i="1"/>
  <c r="AF79" i="1"/>
  <c r="AF99" i="1"/>
  <c r="AF82" i="1"/>
  <c r="AF94" i="1"/>
  <c r="AF92" i="1"/>
  <c r="AF101" i="1"/>
  <c r="AF98" i="1"/>
  <c r="AF77" i="1"/>
  <c r="AF100" i="1"/>
  <c r="AF95" i="1"/>
  <c r="AF90" i="1"/>
  <c r="AF87" i="1"/>
  <c r="AF75" i="1"/>
  <c r="AF84" i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AF62" i="1"/>
  <c r="AF11" i="1"/>
  <c r="AF31" i="1"/>
  <c r="AF58" i="1"/>
  <c r="AF30" i="1"/>
  <c r="AF49" i="1"/>
  <c r="AF41" i="1"/>
  <c r="AF50" i="1"/>
  <c r="AF67" i="1"/>
  <c r="AF68" i="1"/>
  <c r="AF13" i="1"/>
  <c r="AF56" i="1"/>
  <c r="AF14" i="1"/>
  <c r="AF47" i="1"/>
  <c r="AF43" i="1"/>
  <c r="AF25" i="1"/>
  <c r="AF35" i="1"/>
  <c r="AF60" i="1"/>
  <c r="AF17" i="1"/>
  <c r="AF69" i="1"/>
  <c r="AF65" i="1"/>
  <c r="AF59" i="1"/>
  <c r="AF38" i="1"/>
  <c r="AF26" i="1"/>
  <c r="AF15" i="1"/>
  <c r="AF27" i="1"/>
  <c r="AF46" i="1"/>
  <c r="AF23" i="1"/>
  <c r="AF57" i="1"/>
  <c r="AF53" i="1"/>
  <c r="AF16" i="1"/>
  <c r="AF36" i="1"/>
  <c r="AF9" i="1"/>
  <c r="AF39" i="1"/>
  <c r="AF55" i="1"/>
  <c r="AF40" i="1"/>
  <c r="AF29" i="1"/>
  <c r="AF42" i="1"/>
  <c r="AF10" i="1"/>
  <c r="AF28" i="1"/>
  <c r="AF64" i="1"/>
  <c r="AF6" i="1"/>
  <c r="AF7" i="1"/>
  <c r="AF51" i="1"/>
  <c r="AF45" i="1"/>
  <c r="AF22" i="1"/>
  <c r="AF66" i="1"/>
  <c r="AF19" i="1"/>
  <c r="AF34" i="1"/>
  <c r="AF48" i="1"/>
  <c r="AF44" i="1"/>
  <c r="AF33" i="1"/>
  <c r="AF63" i="1"/>
  <c r="AF12" i="1"/>
  <c r="AF24" i="1"/>
  <c r="AF54" i="1"/>
  <c r="AF37" i="1"/>
  <c r="AF52" i="1"/>
  <c r="AF18" i="1"/>
  <c r="AF21" i="1"/>
  <c r="AF8" i="1"/>
  <c r="AF32" i="1"/>
  <c r="AF5" i="1"/>
  <c r="AF61" i="1"/>
  <c r="AF20" i="1"/>
  <c r="AF72" i="1"/>
  <c r="AF71" i="1"/>
  <c r="AF73" i="1"/>
  <c r="AF70" i="1"/>
  <c r="AF74" i="1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Q33" i="1"/>
  <c r="AD33" i="1" s="1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37" i="1"/>
  <c r="AD37" i="1" s="1"/>
  <c r="Q46" i="1"/>
  <c r="AD46" i="1" s="1"/>
  <c r="Q40" i="1"/>
  <c r="AD40" i="1" s="1"/>
  <c r="Q35" i="1"/>
  <c r="AD35" i="1" s="1"/>
  <c r="Q31" i="1"/>
  <c r="AD31" i="1" s="1"/>
  <c r="Q24" i="1"/>
  <c r="AD24" i="1" s="1"/>
  <c r="Q19" i="1"/>
  <c r="AD19" i="1" s="1"/>
  <c r="Q17" i="1"/>
  <c r="AD17" i="1" s="1"/>
  <c r="Q14" i="1"/>
  <c r="AD14" i="1" s="1"/>
  <c r="Q16" i="1"/>
  <c r="AD16" i="1" s="1"/>
  <c r="Q44" i="1"/>
  <c r="AD44" i="1" s="1"/>
  <c r="H11" i="55"/>
  <c r="J11" i="55" s="1"/>
  <c r="H11" i="47"/>
  <c r="J11" i="47" s="1"/>
  <c r="Q30" i="1"/>
  <c r="AD30" i="1" s="1"/>
  <c r="Q10" i="1"/>
  <c r="AD10" i="1" s="1"/>
  <c r="Q27" i="1"/>
  <c r="AD27" i="1" s="1"/>
  <c r="F14" i="56"/>
  <c r="Q53" i="1"/>
  <c r="AD53" i="1" s="1"/>
  <c r="Q23" i="1"/>
  <c r="AD23" i="1" s="1"/>
  <c r="Q26" i="1"/>
  <c r="AD26" i="1" s="1"/>
  <c r="G24" i="55"/>
  <c r="H14" i="54"/>
  <c r="J14" i="54" s="1"/>
  <c r="B25" i="44"/>
  <c r="Q55" i="1"/>
  <c r="AD55" i="1" s="1"/>
  <c r="Q52" i="1"/>
  <c r="AD52" i="1" s="1"/>
  <c r="Q54" i="1"/>
  <c r="AD54" i="1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34" i="1"/>
  <c r="AD34" i="1" s="1"/>
  <c r="Q58" i="1"/>
  <c r="AD58" i="1" s="1"/>
  <c r="Q25" i="1"/>
  <c r="AD25" i="1" s="1"/>
  <c r="Q68" i="1"/>
  <c r="AD68" i="1" s="1"/>
  <c r="Q29" i="1"/>
  <c r="AD29" i="1" s="1"/>
  <c r="Q60" i="1"/>
  <c r="AD60" i="1" s="1"/>
  <c r="Q9" i="1"/>
  <c r="AD9" i="1" s="1"/>
  <c r="Q22" i="1"/>
  <c r="AD22" i="1" s="1"/>
  <c r="Q65" i="1"/>
  <c r="AD65" i="1" s="1"/>
  <c r="Q28" i="1"/>
  <c r="AD28" i="1" s="1"/>
  <c r="Q67" i="1"/>
  <c r="AD67" i="1" s="1"/>
  <c r="E24" i="55"/>
  <c r="H13" i="45"/>
  <c r="J13" i="45" s="1"/>
  <c r="B24" i="47"/>
  <c r="Q39" i="1"/>
  <c r="AD39" i="1" s="1"/>
  <c r="Q51" i="1"/>
  <c r="AD51" i="1" s="1"/>
  <c r="Q12" i="1"/>
  <c r="AD12" i="1" s="1"/>
  <c r="Q18" i="1"/>
  <c r="AD18" i="1" s="1"/>
  <c r="Q56" i="1"/>
  <c r="AD56" i="1" s="1"/>
  <c r="Q6" i="1"/>
  <c r="AD6" i="1" s="1"/>
  <c r="Q43" i="1"/>
  <c r="AD43" i="1" s="1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Q66" i="1"/>
  <c r="AD66" i="1" s="1"/>
  <c r="Q57" i="1"/>
  <c r="AD57" i="1" s="1"/>
  <c r="Q38" i="1"/>
  <c r="AD38" i="1" s="1"/>
  <c r="G17" i="50"/>
  <c r="G18" i="50" s="1"/>
  <c r="C32" i="49"/>
  <c r="C39" i="49" s="1"/>
  <c r="C12" i="49" s="1"/>
  <c r="E25" i="55"/>
  <c r="D24" i="45"/>
  <c r="D17" i="54"/>
  <c r="D18" i="54" s="1"/>
  <c r="C30" i="57"/>
  <c r="F10" i="57"/>
  <c r="F26" i="57" s="1"/>
  <c r="F12" i="56"/>
  <c r="Q15" i="1"/>
  <c r="AD15" i="1" s="1"/>
  <c r="Q11" i="1"/>
  <c r="AD11" i="1" s="1"/>
  <c r="Q47" i="1"/>
  <c r="AD47" i="1" s="1"/>
  <c r="Q13" i="1"/>
  <c r="AD13" i="1" s="1"/>
  <c r="Q8" i="1"/>
  <c r="AD8" i="1" s="1"/>
  <c r="Q50" i="1"/>
  <c r="AD50" i="1" s="1"/>
  <c r="Q69" i="1"/>
  <c r="AD69" i="1" s="1"/>
  <c r="Q41" i="1"/>
  <c r="AD41" i="1" s="1"/>
  <c r="Q36" i="1"/>
  <c r="AD36" i="1" s="1"/>
  <c r="D10" i="57"/>
  <c r="D26" i="57" s="1"/>
  <c r="D24" i="54"/>
  <c r="F24" i="44"/>
  <c r="Q21" i="1"/>
  <c r="AD21" i="1" s="1"/>
  <c r="Q45" i="1"/>
  <c r="AD45" i="1" s="1"/>
  <c r="Q42" i="1"/>
  <c r="AD42" i="1" s="1"/>
  <c r="Q59" i="1"/>
  <c r="AD59" i="1" s="1"/>
  <c r="Q48" i="1"/>
  <c r="AD48" i="1" s="1"/>
  <c r="Q7" i="1"/>
  <c r="AD7" i="1" s="1"/>
  <c r="Q49" i="1"/>
  <c r="AD49" i="1" s="1"/>
  <c r="Q64" i="1"/>
  <c r="AD64" i="1" s="1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Q74" i="1"/>
  <c r="AD74" i="1" s="1"/>
  <c r="H14" i="45"/>
  <c r="J14" i="45" s="1"/>
  <c r="Q73" i="1"/>
  <c r="AD73" i="1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J11" i="50" l="1"/>
  <c r="AK58" i="1"/>
  <c r="H5" i="8" s="1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C16" i="21"/>
  <c r="E21" i="21" l="1"/>
  <c r="E22" i="21" s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E30" i="21" l="1"/>
  <c r="F21" i="21"/>
  <c r="I21" i="21"/>
  <c r="C22" i="21"/>
  <c r="D22" i="21" s="1"/>
  <c r="C27" i="21"/>
  <c r="F22" i="21" l="1"/>
  <c r="I30" i="21"/>
  <c r="D27" i="21"/>
  <c r="C29" i="21"/>
  <c r="F30" i="21" l="1"/>
  <c r="E31" i="2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<sst xmlns="http://schemas.openxmlformats.org/spreadsheetml/2006/main" count="1682" uniqueCount="542">
  <si>
    <t>Note - On the P&amp;L we can update the Flights per week, AC type, Load Factor, Cycle &amp; Mark up's</t>
  </si>
  <si>
    <t>Flights Per Week</t>
  </si>
  <si>
    <t>Flights Per Year</t>
  </si>
  <si>
    <t xml:space="preserve">Load </t>
  </si>
  <si>
    <t>Description</t>
  </si>
  <si>
    <t xml:space="preserve">Grand Total 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</si>
  <si>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</si>
  <si>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</si>
  <si>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</si>
  <si>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</si>
  <si>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</si>
  <si>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</si>
  <si>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</si>
  <si>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</si>
  <si>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</si>
  <si>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 xml:space="preserve">Mark up on Food Labor </t>
  </si>
  <si>
    <t>Revenue Other</t>
  </si>
  <si>
    <t xml:space="preserve">Mark up on Handling </t>
  </si>
  <si>
    <t>Net Revenue</t>
  </si>
  <si>
    <t>Food Cost</t>
  </si>
  <si>
    <t>Other product cost</t>
  </si>
  <si>
    <t xml:space="preserve"> Total Direct Materials</t>
  </si>
  <si>
    <t>Direct Labor - Wages</t>
  </si>
  <si>
    <t>Direct Labor - OT Premium</t>
  </si>
  <si>
    <t>Direct Labor - Benefit Cost</t>
  </si>
  <si>
    <t>Direct Labor - Other</t>
  </si>
  <si>
    <t>Direct Management Labor Cost</t>
  </si>
  <si>
    <t>Total Direct Labor</t>
  </si>
  <si>
    <t>Gross Profit Margin (CM1)</t>
  </si>
  <si>
    <t>Indirect Management Labor Cost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</si>
  <si>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</si>
  <si>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</si>
  <si>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</si>
  <si>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</si>
  <si>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</si>
  <si>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</si>
  <si>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</si>
  <si>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</si>
  <si>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</si>
  <si>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Operating Expense-Fixed</t>
  </si>
  <si>
    <t>Overhead</t>
  </si>
  <si>
    <t>Other OPEX Cost</t>
  </si>
  <si>
    <t xml:space="preserve">PY </t>
  </si>
  <si>
    <t>YC</t>
  </si>
  <si>
    <t>CC</t>
  </si>
  <si>
    <t>EBITDA</t>
  </si>
  <si>
    <t>CONTRACTORS</t>
  </si>
  <si>
    <t>EXTERIOR SIGNAGE</t>
  </si>
  <si>
    <t>MULTITEMP FREEZERS</t>
  </si>
  <si>
    <t>PERMITTING</t>
  </si>
  <si>
    <t>RENT/LEASE (YEARLY)</t>
  </si>
  <si>
    <t>TRUCK (2 TRUCKS)</t>
  </si>
  <si>
    <t>DISHWASHER RETAL (YEARLY)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</si>
  <si>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</si>
  <si>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</si>
  <si>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</si>
  <si>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</si>
  <si>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</si>
  <si>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</si>
  <si>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</si>
  <si>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</si>
  <si>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</si>
  <si>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</si>
  <si>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</si>
  <si>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</si>
  <si>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</si>
  <si>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</si>
  <si>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</si>
  <si>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</si>
  <si>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</si>
  <si>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</si>
  <si>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</si>
  <si>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</si>
  <si>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</si>
  <si>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</si>
  <si>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</si>
  <si>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</si>
  <si>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</si>
  <si>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</si>
  <si>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</si>
  <si>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</si>
  <si>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</si>
  <si>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</si>
  <si>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</si>
  <si>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</si>
  <si>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</si>
  <si>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</si>
  <si>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</si>
  <si>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</si>
  <si>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</si>
  <si>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</si>
  <si>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</si>
  <si>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</si>
  <si>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</si>
  <si>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</si>
  <si>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</si>
  <si>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</si>
  <si>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</si>
  <si>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</si>
  <si>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</si>
  <si>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</si>
  <si>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</si>
  <si>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</si>
  <si>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</si>
  <si>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</si>
  <si>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</si>
  <si>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</si>
  <si>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</si>
  <si>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</si>
  <si>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</si>
  <si>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</si>
  <si>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</si>
  <si>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</si>
  <si>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</si>
  <si>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</si>
  <si>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</si>
  <si>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</si>
  <si>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</si>
  <si>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</si>
  <si>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</si>
  <si>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</si>
  <si>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</si>
  <si>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</si>
  <si>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</si>
  <si>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</si>
  <si>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</si>
  <si>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</si>
  <si>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</si>
  <si>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</si>
  <si>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</si>
  <si>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</si>
  <si>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</si>
  <si>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</si>
  <si>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</si>
  <si>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</si>
  <si>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</si>
  <si>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</si>
  <si>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</si>
  <si>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</si>
  <si>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</si>
  <si>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</si>
  <si>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</si>
  <si>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</si>
  <si>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</si>
  <si>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</si>
  <si>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</si>
  <si>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</si>
  <si>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</si>
  <si>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</si>
  <si>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</si>
  <si>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</si>
  <si>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</si>
  <si>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</si>
  <si>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</si>
  <si>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</si>
  <si>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</si>
  <si>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</si>
  <si>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</si>
  <si>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</si>
  <si>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</si>
  <si>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</si>
  <si>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</si>
  <si>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</si>
  <si>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</si>
  <si>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</si>
  <si>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</si>
  <si>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NM cost added</t>
  </si>
  <si>
    <t>HANDLING CALCULATOR</t>
  </si>
  <si>
    <t>ALL AC TYPE</t>
  </si>
  <si>
    <t>STATION</t>
  </si>
  <si>
    <t>Aircraft type</t>
  </si>
  <si>
    <t>AC TYPE</t>
  </si>
  <si>
    <t xml:space="preserve">Long Hual with Food 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</si>
  <si>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</si>
  <si>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</si>
  <si>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</si>
  <si>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</si>
  <si>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</si>
  <si>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</si>
  <si>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</si>
  <si>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</si>
  <si>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</si>
  <si>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</si>
  <si>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</si>
  <si>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</si>
  <si>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</si>
  <si>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</si>
  <si>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</si>
  <si>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</si>
  <si>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</si>
  <si>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</si>
  <si>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</si>
  <si>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</si>
  <si>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</si>
  <si>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</si>
  <si>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</si>
  <si>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</si>
  <si>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</si>
  <si>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</si>
  <si>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</si>
  <si>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</si>
  <si>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</si>
  <si>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</si>
  <si>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</si>
  <si>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</si>
  <si>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</si>
  <si>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</si>
  <si>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</si>
  <si>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</si>
  <si>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</si>
  <si>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</si>
  <si>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</si>
  <si>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</si>
  <si>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</si>
  <si>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</si>
  <si>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</si>
  <si>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</si>
  <si>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</si>
  <si>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</si>
  <si>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</si>
  <si>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</si>
  <si>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</si>
  <si>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</si>
  <si>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</si>
  <si>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</si>
  <si>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</si>
  <si>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</si>
  <si>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</si>
  <si>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</si>
  <si>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</si>
  <si>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</si>
  <si>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</si>
  <si>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</si>
  <si>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</si>
  <si>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CABIN CREW CLASS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</si>
  <si>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</si>
  <si>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</si>
  <si>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</si>
  <si>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</si>
  <si>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</si>
  <si>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</si>
  <si>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</si>
  <si>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</si>
  <si>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</si>
  <si>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</si>
  <si>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</si>
  <si>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</si>
  <si>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</si>
  <si>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</si>
  <si>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</si>
  <si>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</si>
  <si>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</si>
  <si>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</si>
  <si>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</si>
  <si>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</si>
  <si>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</si>
  <si>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</si>
  <si>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</si>
  <si>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</si>
  <si>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</si>
  <si>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</si>
  <si>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</si>
  <si>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</si>
  <si>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</si>
  <si>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</si>
  <si>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</si>
  <si>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</si>
  <si>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</si>
  <si>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</si>
  <si>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</si>
  <si>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</si>
  <si>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</si>
  <si>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</si>
  <si>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</si>
  <si>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</si>
  <si>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</si>
  <si>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</si>
  <si>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</si>
  <si>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</si>
  <si>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</si>
  <si>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</si>
  <si>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</si>
  <si>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</si>
  <si>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</si>
  <si>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</si>
  <si>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</si>
  <si>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</si>
  <si>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</si>
  <si>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</si>
  <si>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</si>
  <si>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</si>
  <si>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</si>
  <si>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</si>
  <si>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</si>
  <si>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</si>
  <si>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</si>
  <si>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</si>
  <si>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</si>
  <si>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</si>
  <si>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>Virgin Atlantic</t>
  </si>
  <si>
    <t>VA ATL Avg. Revenue Per Flight</t>
  </si>
  <si>
    <t xml:space="preserve"> Avg. Price Per Pax </t>
  </si>
  <si>
    <t>VA ATL INTERNATIONAL GARBAGE</t>
  </si>
  <si>
    <t>VA ATL WASH UP</t>
  </si>
  <si>
    <t xml:space="preserve">VA ATL PACKING 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</si>
  <si>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</si>
  <si>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</si>
  <si>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</si>
  <si>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</si>
  <si>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</si>
  <si>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</si>
  <si>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</si>
  <si>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</si>
  <si>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</si>
  <si>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</si>
  <si>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DESSERT COLD ROTATION 1 BANANA PUDDING CHEESECAKE, STREUSEL CRUMBLES, BLUEBERRIES 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</si>
  <si>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</si>
  <si>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</si>
  <si>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DESSERT COLD ROTATION 2 FLOURLESS CHOCOLOOATE MOUSSE CAKE STRAWBERRY COULIS, WHITE CHOCOLATE PEARLS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</si>
  <si>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</si>
  <si>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</si>
  <si>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</si>
  <si>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</si>
  <si>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</si>
  <si>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</si>
  <si>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</si>
  <si>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</si>
  <si>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</si>
  <si>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</si>
  <si>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</si>
  <si>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</si>
  <si>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</si>
  <si>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</si>
  <si>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</si>
  <si>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</si>
  <si>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</si>
  <si>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</si>
  <si>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</si>
  <si>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</si>
  <si>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</si>
  <si>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</si>
  <si>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</si>
  <si>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</si>
  <si>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</si>
  <si>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</si>
  <si>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</si>
  <si>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</si>
  <si>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2 RED QUINOA, CORN CAVIAR, SUNFLOWER SEED</t>
  </si>
  <si>
    <t>YC C1 DINNER STARTER 1 MESCLUN MIX, CUCUMBER, CARROT, CHERRY TOMATO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</si>
  <si>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</si>
  <si>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</si>
  <si>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</si>
  <si>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</si>
  <si>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</si>
  <si>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</si>
  <si>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</si>
  <si>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</si>
  <si>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</si>
  <si>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</si>
  <si>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</si>
  <si>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</si>
  <si>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</si>
  <si>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</si>
  <si>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</si>
  <si>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</si>
  <si>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</si>
  <si>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</si>
  <si>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</si>
  <si>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</si>
  <si>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</si>
  <si>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</si>
  <si>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</si>
  <si>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</si>
  <si>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</si>
  <si>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</si>
  <si>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</si>
  <si>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</si>
  <si>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</si>
  <si>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3 MOZZARELLA RAVIOLI WITH POMEDORI SAUCE, PESTO MARINATED BURATTA AND GARLIC SPINACH</t>
  </si>
  <si>
    <t>CREW C3 DINNER ENTRÉE 2 GRILLED HERB CHICKEN WITH QUINOA AND STEAMED VEGETABLES</t>
  </si>
  <si>
    <t xml:space="preserve">CREW C3 DINNER ENTRÉE 4 WILD MUSHROOM RAVIOLI WITH SAUTEED SPINACH AND ALFREDO SAUCE </t>
  </si>
  <si>
    <t>CREW C3 MIDNIGHT SNACK BUFFALO CHICKEN TENDERS WITH TATER TOTS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</si>
  <si>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</si>
  <si>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</si>
  <si>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</si>
  <si>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</si>
  <si>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</si>
  <si>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</si>
  <si>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</si>
  <si>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</si>
  <si>
    <t xml:space="preserve">BC C1 DINNER ENTRÉE 3 TRUFFLE PARMESAN RISOTTO, BABY ZUCCHINI, WILD MUSHROOM CONSERVA, ASPARAGUS, RAITA SAUCE </t>
  </si>
  <si>
    <t>AC350</t>
  </si>
  <si>
    <t>AC330</t>
  </si>
  <si>
    <t>A330 TURNAROUND</t>
  </si>
  <si>
    <t>A350 TURNAROUND</t>
  </si>
  <si>
    <t>787 TURNAROUND</t>
  </si>
  <si>
    <t>Category</t>
  </si>
  <si>
    <t>Aircraft</t>
  </si>
  <si>
    <t>A330-300</t>
  </si>
  <si>
    <t>A330-900</t>
  </si>
  <si>
    <t>A350-1000</t>
  </si>
  <si>
    <t>A350-1000B</t>
  </si>
  <si>
    <t>B787-900</t>
  </si>
  <si>
    <t>Total factors - All flights</t>
  </si>
  <si>
    <t>J-Class Equipment</t>
  </si>
  <si>
    <t>Quantities</t>
  </si>
  <si>
    <t>Crockery</t>
  </si>
  <si>
    <t>Glassware</t>
  </si>
  <si>
    <t>Cutlery*</t>
  </si>
  <si>
    <t>Tray 1/1</t>
  </si>
  <si>
    <t>Sundries Items</t>
  </si>
  <si>
    <t>Total Volume of Washing per Aircraft</t>
  </si>
  <si>
    <t>Total Man Minutes per Aircraft</t>
  </si>
  <si>
    <t>Price per Man Minute</t>
  </si>
  <si>
    <t>Cost per Flight</t>
  </si>
  <si>
    <t>W-Class Equipment</t>
  </si>
  <si>
    <t>Tray (1/1 &amp; 1/2)</t>
  </si>
  <si>
    <t>Y-Class Equipment</t>
  </si>
  <si>
    <t>Tray 1/2</t>
  </si>
  <si>
    <t>Plastics</t>
  </si>
  <si>
    <t>Carts, Ovens &amp; Boxes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</si>
  <si>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</si>
  <si>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</si>
  <si>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</si>
  <si>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</si>
  <si>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</si>
  <si>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</si>
  <si>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</si>
  <si>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</si>
  <si>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</si>
  <si>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ATL</t>
  </si>
  <si>
    <t>WASHUP</t>
  </si>
  <si>
    <t>Packing Category</t>
  </si>
  <si>
    <t>China / Glassware (inc cutlery)</t>
  </si>
  <si>
    <t>WY Bar alcohol packing</t>
  </si>
  <si>
    <t>WY Bar packing</t>
  </si>
  <si>
    <t xml:space="preserve">ATL Price </t>
  </si>
  <si>
    <t>Price per MM</t>
  </si>
  <si>
    <t xml:space="preserve">EQUIPMENT PACKING </t>
  </si>
  <si>
    <t>Activity</t>
  </si>
  <si>
    <t>Turnaround (Strip and Load)</t>
  </si>
  <si>
    <t>Driver Man Minutes</t>
  </si>
  <si>
    <t>Price per Man Minutes</t>
  </si>
  <si>
    <t>Driver Cost</t>
  </si>
  <si>
    <t>Flt Co-ord Man Minutes</t>
  </si>
  <si>
    <t>Flt Co-ord Cost</t>
  </si>
  <si>
    <t>Dispatch Man Minutes</t>
  </si>
  <si>
    <t>Dispatch Cost</t>
  </si>
  <si>
    <t>[Add resource as appropriate]</t>
  </si>
  <si>
    <t>[Add resource labour rate as appropriate]</t>
  </si>
  <si>
    <t>Cost</t>
  </si>
  <si>
    <t>Total Cost Per Flight</t>
  </si>
  <si>
    <t>Strip Only</t>
  </si>
  <si>
    <t xml:space="preserve">Load Only 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</si>
  <si>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</si>
  <si>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</si>
  <si>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</si>
  <si>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</si>
  <si>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</si>
  <si>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</si>
  <si>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 xml:space="preserve">TRANSPORT &amp; HANDLING </t>
  </si>
  <si>
    <t>Total Cost ($)</t>
  </si>
  <si>
    <t xml:space="preserve">INTERNATIONAL TRASH </t>
  </si>
  <si>
    <t>MM</t>
  </si>
  <si>
    <t>A330</t>
  </si>
  <si>
    <t>A350</t>
  </si>
  <si>
    <t>VA ATL TRANSPORT</t>
  </si>
  <si>
    <t xml:space="preserve">VA ATL TOTAL HANDLING </t>
  </si>
  <si>
    <t>Utility</t>
  </si>
  <si>
    <t>??? Freezer and Cooler</t>
  </si>
  <si>
    <t xml:space="preserve">culinary operation duty manager </t>
  </si>
  <si>
    <t xml:space="preserve">hourly invoice assisant </t>
  </si>
  <si>
    <t xml:space="preserve">ramp duty manager </t>
  </si>
  <si>
    <t>customer service account manager</t>
  </si>
  <si>
    <t>Overhead =(2/3)*(property tax+utility)</t>
  </si>
  <si>
    <t>Food+MU</t>
  </si>
  <si>
    <t>Labor +MU</t>
  </si>
  <si>
    <t>BC C1 DINNER ENTRÉE 2 SEARED SEABASS, TOMATO CITRUS NAGE, FENNEL CAPER OLIVE RELISH, SAFFRON COUSCOUS, BLISTERED TOMATO</t>
  </si>
  <si>
    <t>BC C1 DINNER ENTRÉE 3 TRUFFLE PARM RISSOTTO, GRILLED BABY ZUCCHINI, MUSHROOM VONSERVA, ASPARAGUS, BABY ARTICHOKE</t>
  </si>
  <si>
    <t>BC C1 DINNER ENTRÉE 4 CHALLAH GRILLED TOAST, TRUFFLE CHEESE FILLING, PROVOLONE CHEESE SLICE, SMOKED TOMATO BISQUE</t>
  </si>
  <si>
    <t xml:space="preserve">BC C1 DINNER DESSERT 1 CHOCOLATE CAKE, COCOA BUTTER CREAM STRAWBERRY COULIS, CHOCOLATE PEARLS, CHANTILLY CREAM </t>
  </si>
  <si>
    <t xml:space="preserve">BC C1 DINNER DESSERT 2 STICKY TOFFEE PUDDINGM TOFFEE SAUCE, CHANTILLY CREAM </t>
  </si>
  <si>
    <t>BC C1 DINNER DESSERT 1 BANANA PUDDING CHEESECAKE, BISCOFF CRUMBLES, BLUEBERRIES, CARAMEL SAUCE, CHANTILLY CREAM</t>
  </si>
  <si>
    <t>BC C1 DINNER DESSERT 2 BLACKBERRY PEACH COBBLER TART, BRULEE SLICED PEACHES, CRÈME FRAICHE</t>
  </si>
  <si>
    <t>BC C1 DINNER CHEESE PLATE HUMBOLT GOF, LAMB CHOPPER, CHEDDAR, SOULSHINE CUCUMBERS, MUSCADINE JELLY, GRAPE, CRACKER</t>
  </si>
  <si>
    <t xml:space="preserve">BC C1 BREAKFAST ENTRÉE 1 CURED SALMON, EVERTHING CREAM CHEESE, HALF EGG, PICKLED ONION </t>
  </si>
  <si>
    <t xml:space="preserve">BC C1 BREAKFAST ENTRÉE 2 SCRAMBLED EGG, BAKED BEAN, BACON, PORK SAUSAGE, HALF ROASTED TOMATO, </t>
  </si>
  <si>
    <t>BC C1 BREAKFAST ENTRÉE 3 BANANA BREAD FRENCH TOAST, HALF TOAST POINTS, BLUBERRY COULIS, BRULEE PEACHES</t>
  </si>
  <si>
    <t>BC C1 BREAKFAST ENTRÉE 4 ENGLEMANS ROLL, SPOTTED TROTTER - BACON, HP SAUCE</t>
  </si>
  <si>
    <t>BC C1 BREAKFAST SIDE 1 FRUIT PLATE KIWI, PINEAPPLE, ORANGE, BLUEBERRIES, STRAWBERRIES 140G</t>
  </si>
  <si>
    <t xml:space="preserve">BC C1 BREAKFAST SIDE 3 COCONUT YOGURT </t>
  </si>
  <si>
    <t>BC C1 BREAKFAST SIDE 4 SUPER SEED GRANOLA</t>
  </si>
  <si>
    <t>PY C1 DINNER TSU</t>
  </si>
  <si>
    <t>PY C1 DINNER BREAD HOUSEMADE SWEETWATER BEER AND CHEESE ROLL</t>
  </si>
  <si>
    <t>PY C1 DINNER BUTTER</t>
  </si>
  <si>
    <t xml:space="preserve">PY C1 DINNER STARTER MESCLUN MIX, CUCUMBER, GRAPE TOMATO, RADISH, BALSAMIC DRESSING </t>
  </si>
  <si>
    <t xml:space="preserve">PY C1 DINNER ENTRÉE 1 CRAB CAKE, POTATO RED ONION HASH, ASPARAGUS, RED PEPPER CREAM SAUCE </t>
  </si>
  <si>
    <t>PY C1 DINNER ENTRÉE 2 CHICKEN KEBAB, HONEY HARISSA GLAZE, RED PEPPER, LEMON HERB RICE, FETA CHEESE</t>
  </si>
  <si>
    <t xml:space="preserve">PY C1 DINNER ENTRÉE 3 SMOKED MOZZARELLA RAVIOLI, MARINARA SAUCE, PESTO MARINATED BOCCONCINI MOZZARELLA, SHREDDED PARMESAN, SPINACH </t>
  </si>
  <si>
    <t xml:space="preserve">PY C1 DINENR DESSERT PEACH COBBLEER TART, CRÈME FRAICHE </t>
  </si>
  <si>
    <t>PY C1 BREAKFAST TSU</t>
  </si>
  <si>
    <t xml:space="preserve">PY C1 BREAKFAST ENTRÉE 1 SCRAMBLED EGGS, BAKED BEANS, PORK SAUSAGE, USHROOMS AND GRAPE TOMATO </t>
  </si>
  <si>
    <t>PY C1 BREAKFAST ENTRÉE 2 FETA EGG BITES, POTATOES AND RED ONION HASH, SHAKSHUKA SAUCE, FETA CHEESE CRUMBLES</t>
  </si>
  <si>
    <t xml:space="preserve">PY C1 BREAKFAST ENTRÉE 3 CHALLAH FRENCH TOAST CASSEROLE WITH ORANGE WHIPPED RICOTTA, AND MORELLO CHERRY COMPOTE </t>
  </si>
  <si>
    <t xml:space="preserve">PY C1 BREAKFAST SIDE 1 PEACH SLICE, STRAWBERRIES, BLUEBERRIES, AND MINT </t>
  </si>
  <si>
    <t>YC C1 DINNER TSU</t>
  </si>
  <si>
    <t xml:space="preserve">YC C1 DINNER BREAD SOURDOUGH ROLL </t>
  </si>
  <si>
    <t>YC C1 DINNER BUTTER</t>
  </si>
  <si>
    <t xml:space="preserve">YC C1 DINNER STARTER MIX GREENS, CUCUMBER AND GRAPE TOMATO </t>
  </si>
  <si>
    <t xml:space="preserve">YC C1 DINNER ENTRÉE 1 THAI CHICKEN MEATBALL, GREEN CURRY, </t>
  </si>
  <si>
    <t>YC C1 DINNER ENTRÉE 2 ORRECHIETTE, MARINARA SAUCE, HERB WHIPPED RICOTTA, VEGETABLE BOLOGNESE SAUCE</t>
  </si>
  <si>
    <t>YC C1 DINNER DESSERT BANANA PUDDING, NILLA WAFTER, NILLA WAFER CRUMBLE</t>
  </si>
  <si>
    <t>PY C1 DINENR CHEESE PLATE - CHEDDAR, MUENSTER CHEESE, DRIED APROCIT, JAM, CRACKER</t>
  </si>
  <si>
    <t>YC C1 BREAKFAST TSU</t>
  </si>
  <si>
    <t>BC C1 DINNER ENTRÉE 1 LEMON CHICKEN BREAST, WILD MUSHROOM CONSERVA, LEMON CHICKEN JUS, ROASTED FINGERLING POTATOES, HARICOT VERT</t>
  </si>
  <si>
    <t xml:space="preserve">BC C1 DINNER ENTRÉE GARNISH BASIL OIL </t>
  </si>
  <si>
    <t>STD</t>
  </si>
  <si>
    <t>YC C1 BREAKFAST SANDWICH BANANA MUFFIN</t>
  </si>
  <si>
    <t>YC C1 BREAKFAST BOX SIDES CHOBANI YOGURT, MIX GRUIT CUP</t>
  </si>
  <si>
    <t>$705 PER FLIGHT OVERHEAD CHARGE</t>
  </si>
  <si>
    <t xml:space="preserve">CREW C1 DINNER WHOLE FRUIT APPLE AND ORANGE </t>
  </si>
  <si>
    <t>CREW C1 DINNER ENTRÉE 1 VEGAN TOFU THAI GREEN CURRY WITH WHITE RICE, STIR FRIED VEGETABLES</t>
  </si>
  <si>
    <t>CREW C1 DINNER ENTRÉE 3 LEMON CONFIT CHICKEN BREAST, GRAPE DEMI GLACE, WITH MASHED POTATO AND GREEN BEANS</t>
  </si>
  <si>
    <t xml:space="preserve">CREW C1 DINNER ENTRÉE 2 CRUSTED SALMON, MISO GLAZE, SHITAKE STICKY RICE, ROOT VEG WIT PERILLA </t>
  </si>
  <si>
    <t xml:space="preserve">CREW C1 DINNER ENTRÉE 4 CAVATAPI WITH RED WINE TOMATO RAGU SAUCE, AND IMPOSSIBLE MEATBALL </t>
  </si>
  <si>
    <t xml:space="preserve">CREW C1 DINNER ENTRÉE 5 POTATO GNOCCHI WITH SAGE BROW BUTTER SAUCE AND MARINATED KALE </t>
  </si>
  <si>
    <t>CREW C1 SANDWICH 1 HUMMUS, SPROUT TORTILLA WRAP</t>
  </si>
  <si>
    <t xml:space="preserve">CREW C1 SANDWICH 2 HAM AND PROVOLINE ON WHITE </t>
  </si>
  <si>
    <t>CREW C1 SANDWICH 3 ROAST BEEF AND CHEDDAR ON HOAGIE</t>
  </si>
  <si>
    <t>CREW C1 SANDWICH 4 CAPRESES SANDWICH ON CIABATA</t>
  </si>
  <si>
    <t>CREW C1 SANDWICH 5 TUNA SALAD ON WHEAT</t>
  </si>
  <si>
    <t>CREW C1 BREAKFAST HOT SANDWICH 2 CHICKEN SAUSAGE BISCUIT</t>
  </si>
  <si>
    <t>CREW C1 BREAKFAST HOT SANDWICH 1 CROISSANT AND AGED CHEDDAR</t>
  </si>
  <si>
    <t xml:space="preserve">CREW C1 BREAKFAST HOT SANDWICH 3 BACON ROLL </t>
  </si>
  <si>
    <t>BC C1 DINNER COLD STARTER 1 PROSCUITTO WRAPPED GRILLED PEACHES, FRISSEE, LIME MINT WATERMELON CHUNK, FETA CUBES, MINT LIME VINAIGRETTE GEL</t>
  </si>
  <si>
    <t xml:space="preserve">BC C1 DINNER HOT STARTER 2 PIMENTO CHEESE, GREEN TOMATO FRITTER, DOU SOUTH RED PEPPER JELLY </t>
  </si>
  <si>
    <t>BC C1 DINNER HOT STARTER 1 GRILLED PRAWN, MANGO CURRY AIOLI, SWEET PEPPER CILANTRO SLAW</t>
  </si>
  <si>
    <t>BC C1 DINNER COLD STARTER 2 BURRATA CCHEESE, MARINATED HEIRLOOM TOMATOES, ARUGULA, BALSAMIC PEARLS</t>
  </si>
  <si>
    <t>BC C1 DINNER HOT STARTER GARNISH ARUGULA</t>
  </si>
  <si>
    <t>PY C1 BREAKFAST SIDE 2 GREEK YOGURT 112G</t>
  </si>
  <si>
    <t>YC C1 DINNER TILLAMOOK CHEESE</t>
  </si>
  <si>
    <t xml:space="preserve">YC C1 DINNER SALAD DRESSING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</si>
</sst>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75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2" fontId="0" fillId="13" borderId="0" xfId="0" applyNumberFormat="1" applyFill="1" applyAlignment="1">
      <alignment horizontal="right"/>
    </xf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1" borderId="7" xfId="5" applyNumberFormat="1" applyFont="1" applyFill="1" applyBorder="1" applyAlignment="1">
      <alignment horizontal="center" vertical="center"/>
    </xf>
    <xf numFmtId="0" fontId="17" fillId="21" borderId="7" xfId="10" applyNumberFormat="1" applyFont="1" applyFill="1" applyBorder="1" applyAlignment="1">
      <alignment horizontal="center" vertical="center"/>
    </xf>
    <xf numFmtId="9" fontId="17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8" borderId="47" xfId="0" applyFont="1" applyFill="1" applyBorder="1" applyAlignment="1">
      <alignment horizontal="left"/>
    </xf>
    <xf numFmtId="0" fontId="4" fillId="8" borderId="52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3" fillId="13" borderId="0" xfId="0" applyFont="1" applyFill="1" applyAlignment="1">
      <alignment horizontal="left"/>
    </xf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167" fontId="0" fillId="13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7" borderId="7" xfId="1" applyFont="1" applyFill="1" applyBorder="1" applyAlignment="1">
      <alignment horizontal="center" vertical="center"/>
    </xf>
    <xf numFmtId="9" fontId="10" fillId="0" borderId="0" xfId="9" applyFont="1"/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6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167" fontId="0" fillId="0" borderId="57" xfId="1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6" fillId="22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9" borderId="0" xfId="0" applyFont="1" applyFill="1"/>
    <xf numFmtId="0" fontId="28" fillId="0" borderId="1" xfId="0" applyFont="1" applyBorder="1" applyAlignment="1">
      <alignment horizontal="center" vertical="center"/>
    </xf>
    <xf numFmtId="3" fontId="31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2" borderId="0" xfId="0" applyFont="1" applyFill="1"/>
    <xf numFmtId="0" fontId="28" fillId="32" borderId="2" xfId="0" applyFont="1" applyFill="1" applyBorder="1" applyAlignment="1">
      <alignment horizontal="center"/>
    </xf>
    <xf numFmtId="0" fontId="28" fillId="32" borderId="1" xfId="0" applyFont="1" applyFill="1" applyBorder="1" applyAlignment="1">
      <alignment horizontal="center"/>
    </xf>
    <xf numFmtId="0" fontId="28" fillId="32" borderId="1" xfId="0" applyFont="1" applyFill="1" applyBorder="1"/>
    <xf numFmtId="0" fontId="27" fillId="28" borderId="1" xfId="0" applyFont="1" applyFill="1" applyBorder="1" applyAlignment="1">
      <alignment horizontal="center" vertical="center"/>
    </xf>
    <xf numFmtId="8" fontId="34" fillId="28" borderId="1" xfId="0" applyNumberFormat="1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 wrapText="1"/>
    </xf>
    <xf numFmtId="0" fontId="35" fillId="30" borderId="25" xfId="0" applyFont="1" applyFill="1" applyBorder="1" applyAlignment="1">
      <alignment vertical="center"/>
    </xf>
    <xf numFmtId="0" fontId="35" fillId="30" borderId="37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horizontal="center" vertical="center"/>
    </xf>
    <xf numFmtId="0" fontId="28" fillId="30" borderId="37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left" vertical="center"/>
    </xf>
    <xf numFmtId="0" fontId="38" fillId="29" borderId="37" xfId="0" applyFont="1" applyFill="1" applyBorder="1" applyAlignment="1">
      <alignment horizontal="left" vertical="center"/>
    </xf>
    <xf numFmtId="0" fontId="38" fillId="29" borderId="26" xfId="0" applyFont="1" applyFill="1" applyBorder="1" applyAlignment="1">
      <alignment horizontal="left" vertical="center"/>
    </xf>
    <xf numFmtId="0" fontId="28" fillId="29" borderId="1" xfId="0" applyFont="1" applyFill="1" applyBorder="1"/>
    <xf numFmtId="0" fontId="28" fillId="31" borderId="1" xfId="0" applyFont="1" applyFill="1" applyBorder="1" applyAlignment="1">
      <alignment horizontal="center"/>
    </xf>
    <xf numFmtId="0" fontId="39" fillId="30" borderId="1" xfId="0" applyFont="1" applyFill="1" applyBorder="1"/>
    <xf numFmtId="0" fontId="39" fillId="30" borderId="1" xfId="0" applyFont="1" applyFill="1" applyBorder="1" applyAlignment="1">
      <alignment horizontal="center"/>
    </xf>
    <xf numFmtId="0" fontId="40" fillId="29" borderId="1" xfId="0" applyFont="1" applyFill="1" applyBorder="1"/>
    <xf numFmtId="0" fontId="36" fillId="28" borderId="1" xfId="0" applyFont="1" applyFill="1" applyBorder="1"/>
    <xf numFmtId="0" fontId="34" fillId="28" borderId="1" xfId="0" applyFont="1" applyFill="1" applyBorder="1" applyAlignment="1">
      <alignment horizontal="center"/>
    </xf>
    <xf numFmtId="0" fontId="28" fillId="29" borderId="25" xfId="0" applyFont="1" applyFill="1" applyBorder="1"/>
    <xf numFmtId="8" fontId="28" fillId="31" borderId="1" xfId="0" applyNumberFormat="1" applyFont="1" applyFill="1" applyBorder="1" applyAlignment="1">
      <alignment horizontal="center"/>
    </xf>
    <xf numFmtId="0" fontId="28" fillId="29" borderId="0" xfId="0" applyFont="1" applyFill="1" applyAlignment="1">
      <alignment horizontal="center"/>
    </xf>
    <xf numFmtId="0" fontId="41" fillId="29" borderId="23" xfId="0" applyFont="1" applyFill="1" applyBorder="1"/>
    <xf numFmtId="0" fontId="42" fillId="29" borderId="22" xfId="0" applyFont="1" applyFill="1" applyBorder="1"/>
    <xf numFmtId="0" fontId="41" fillId="29" borderId="27" xfId="0" applyFont="1" applyFill="1" applyBorder="1"/>
    <xf numFmtId="0" fontId="41" fillId="29" borderId="0" xfId="0" applyFont="1" applyFill="1"/>
    <xf numFmtId="0" fontId="27" fillId="28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/>
    </xf>
    <xf numFmtId="9" fontId="28" fillId="35" borderId="1" xfId="0" applyNumberFormat="1" applyFont="1" applyFill="1" applyBorder="1"/>
    <xf numFmtId="0" fontId="33" fillId="28" borderId="59" xfId="0" applyFont="1" applyFill="1" applyBorder="1" applyAlignment="1">
      <alignment vertical="center" textRotation="180" wrapText="1"/>
    </xf>
    <xf numFmtId="44" fontId="35" fillId="35" borderId="1" xfId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33" fillId="28" borderId="0" xfId="0" applyFont="1" applyFill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31" fillId="31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8" fontId="34" fillId="28" borderId="0" xfId="0" applyNumberFormat="1" applyFont="1" applyFill="1" applyAlignment="1">
      <alignment horizontal="center" vertical="center"/>
    </xf>
    <xf numFmtId="44" fontId="35" fillId="35" borderId="0" xfId="1" applyFont="1" applyFill="1" applyBorder="1" applyAlignment="1">
      <alignment horizontal="center"/>
    </xf>
    <xf numFmtId="0" fontId="45" fillId="36" borderId="0" xfId="12" applyFont="1" applyFill="1"/>
    <xf numFmtId="0" fontId="46" fillId="36" borderId="1" xfId="12" applyFont="1" applyFill="1" applyBorder="1" applyAlignment="1">
      <alignment horizontal="center" vertical="center"/>
    </xf>
    <xf numFmtId="0" fontId="28" fillId="36" borderId="0" xfId="12" applyFont="1" applyFill="1"/>
    <xf numFmtId="0" fontId="28" fillId="23" borderId="1" xfId="12" applyFont="1" applyFill="1" applyBorder="1" applyAlignment="1">
      <alignment horizontal="center" vertical="center"/>
    </xf>
    <xf numFmtId="0" fontId="35" fillId="23" borderId="1" xfId="12" applyFont="1" applyFill="1" applyBorder="1" applyAlignment="1">
      <alignment horizontal="center" vertical="center"/>
    </xf>
    <xf numFmtId="0" fontId="28" fillId="36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164" fontId="0" fillId="24" borderId="0" xfId="0" applyNumberFormat="1" applyFill="1"/>
    <xf numFmtId="2" fontId="0" fillId="38" borderId="0" xfId="0" applyNumberFormat="1" applyFill="1" applyAlignment="1">
      <alignment horizontal="right"/>
    </xf>
    <xf numFmtId="166" fontId="0" fillId="13" borderId="0" xfId="0" applyNumberFormat="1" applyFill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37" borderId="3" xfId="5" applyFont="1" applyFill="1" applyBorder="1" applyAlignment="1">
      <alignment horizontal="center" vertical="center"/>
    </xf>
    <xf numFmtId="0" fontId="8" fillId="37" borderId="4" xfId="5" applyFont="1" applyFill="1" applyBorder="1" applyAlignment="1">
      <alignment horizontal="center" vertical="center"/>
    </xf>
    <xf numFmtId="0" fontId="8" fillId="37" borderId="5" xfId="5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/>
    </xf>
    <xf numFmtId="0" fontId="21" fillId="18" borderId="4" xfId="0" applyFont="1" applyFill="1" applyBorder="1" applyAlignment="1">
      <alignment horizontal="left"/>
    </xf>
    <xf numFmtId="0" fontId="21" fillId="18" borderId="5" xfId="0" applyFont="1" applyFill="1" applyBorder="1" applyAlignment="1">
      <alignment horizontal="left"/>
    </xf>
    <xf numFmtId="0" fontId="14" fillId="16" borderId="45" xfId="0" applyFont="1" applyFill="1" applyBorder="1" applyAlignment="1">
      <alignment horizontal="center" vertical="center"/>
    </xf>
    <xf numFmtId="0" fontId="14" fillId="16" borderId="46" xfId="0" applyFont="1" applyFill="1" applyBorder="1" applyAlignment="1">
      <alignment horizontal="center" vertical="center"/>
    </xf>
    <xf numFmtId="0" fontId="14" fillId="16" borderId="19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9" fillId="29" borderId="16" xfId="0" applyFont="1" applyFill="1" applyBorder="1" applyAlignment="1">
      <alignment horizontal="center" vertical="center" wrapText="1"/>
    </xf>
    <xf numFmtId="0" fontId="30" fillId="29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wrapText="1"/>
    </xf>
    <xf numFmtId="0" fontId="20" fillId="13" borderId="16" xfId="0" applyFont="1" applyFill="1" applyBorder="1" applyAlignment="1">
      <alignment horizontal="center"/>
    </xf>
    <xf numFmtId="0" fontId="37" fillId="28" borderId="25" xfId="0" applyFont="1" applyFill="1" applyBorder="1" applyAlignment="1">
      <alignment horizontal="center"/>
    </xf>
    <xf numFmtId="0" fontId="37" fillId="28" borderId="37" xfId="0" applyFont="1" applyFill="1" applyBorder="1" applyAlignment="1">
      <alignment horizontal="center"/>
    </xf>
    <xf numFmtId="0" fontId="44" fillId="13" borderId="16" xfId="0" applyFont="1" applyFill="1" applyBorder="1" applyAlignment="1">
      <alignment horizontal="center"/>
    </xf>
    <xf numFmtId="0" fontId="25" fillId="28" borderId="22" xfId="0" applyFont="1" applyFill="1" applyBorder="1" applyAlignment="1">
      <alignment horizontal="center" vertical="center"/>
    </xf>
    <xf numFmtId="0" fontId="25" fillId="28" borderId="24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5" xfId="0" applyFont="1" applyFill="1" applyBorder="1" applyAlignment="1">
      <alignment horizontal="center" vertical="center"/>
    </xf>
    <xf numFmtId="0" fontId="25" fillId="28" borderId="17" xfId="0" applyFont="1" applyFill="1" applyBorder="1" applyAlignment="1">
      <alignment horizontal="center" vertical="center"/>
    </xf>
    <xf numFmtId="0" fontId="26" fillId="28" borderId="25" xfId="0" applyFont="1" applyFill="1" applyBorder="1" applyAlignment="1">
      <alignment horizontal="center" vertical="center"/>
    </xf>
    <xf numFmtId="0" fontId="26" fillId="28" borderId="37" xfId="0" applyFont="1" applyFill="1" applyBorder="1" applyAlignment="1">
      <alignment horizontal="center" vertical="center"/>
    </xf>
    <xf numFmtId="0" fontId="27" fillId="28" borderId="59" xfId="0" applyFont="1" applyFill="1" applyBorder="1" applyAlignment="1">
      <alignment horizontal="center" vertical="center" wrapText="1"/>
    </xf>
    <xf numFmtId="0" fontId="27" fillId="28" borderId="60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30" fillId="29" borderId="37" xfId="0" applyFont="1" applyFill="1" applyBorder="1" applyAlignment="1">
      <alignment horizontal="center" vertical="center"/>
    </xf>
    <xf numFmtId="0" fontId="31" fillId="30" borderId="25" xfId="0" applyFont="1" applyFill="1" applyBorder="1" applyAlignment="1">
      <alignment horizontal="center" vertical="center"/>
    </xf>
    <xf numFmtId="0" fontId="31" fillId="30" borderId="26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32" fillId="30" borderId="26" xfId="0" applyFont="1" applyFill="1" applyBorder="1" applyAlignment="1">
      <alignment horizontal="center" vertical="center"/>
    </xf>
    <xf numFmtId="0" fontId="43" fillId="28" borderId="25" xfId="0" applyFont="1" applyFill="1" applyBorder="1" applyAlignment="1">
      <alignment horizontal="right" wrapText="1"/>
    </xf>
    <xf numFmtId="0" fontId="43" fillId="28" borderId="37" xfId="0" applyFont="1" applyFill="1" applyBorder="1" applyAlignment="1">
      <alignment horizontal="right" wrapText="1"/>
    </xf>
    <xf numFmtId="0" fontId="28" fillId="29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/>
    </xf>
    <xf numFmtId="164" fontId="0" fillId="39" borderId="0" xfId="0" applyNumberFormat="1" applyFill="1"/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76">
    <dxf>
      <numFmt numFmtId="34" formatCode="_(&quot;$&quot;* #,##0.00_);_(&quot;$&quot;* \(#,##0.00\);_(&quot;$&quot;* &quot;-&quot;??_);_(@_)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</dxf>
    <dxf>
      <numFmt numFmtId="166" formatCode="0.0000"/>
    </dxf>
    <dxf>
      <numFmt numFmtId="166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EB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4538568.5184846027</c:v>
                </c:pt>
                <c:pt idx="1">
                  <c:v>1782366.3748800003</c:v>
                </c:pt>
                <c:pt idx="2">
                  <c:v>769860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963.30134759788871</c:v>
                </c:pt>
                <c:pt idx="2">
                  <c:v>952.12245046874989</c:v>
                </c:pt>
                <c:pt idx="3">
                  <c:v>2024.0730789339129</c:v>
                </c:pt>
                <c:pt idx="4">
                  <c:v>0</c:v>
                </c:pt>
                <c:pt idx="5">
                  <c:v>216.70139999999998</c:v>
                </c:pt>
                <c:pt idx="7">
                  <c:v>1632.2036400000002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C257" totalsRowCount="1" headerRowDxfId="75" dataDxfId="74" dataCellStyle="Currency">
  <autoFilter ref="A9:AC256" xr:uid="{00000000-0009-0000-0100-000001000000}"/>
  <tableColumns count="29">
    <tableColumn id="1" xr3:uid="{C1A95376-BFC5-48B7-A176-529715FEEBA1}" name="Item #" dataDxfId="73" totalsRowDxfId="27"/>
    <tableColumn id="2" xr3:uid="{DF583C00-442A-4A2A-86F8-205CC09498A2}" name="Item Description" dataDxfId="72"/>
    <tableColumn id="4" xr3:uid="{544D79C4-F963-4D7A-8FC4-67068474C720}" name="Price Code" dataDxfId="71" totalsRowDxfId="26"/>
    <tableColumn id="7" xr3:uid="{880CBAF4-DA2C-4CD1-9867-62A9E8338874}" name="EQ1" dataDxfId="70" totalsRowDxfId="25"/>
    <tableColumn id="8" xr3:uid="{7CA8FC1A-443D-4330-9322-4A7BCB6A9BB5}" name="EQ2" dataDxfId="69" totalsRowDxfId="24"/>
    <tableColumn id="9" xr3:uid="{EB7E2000-AFE5-4C14-80EB-D212865FD280}" name="EQ3" dataDxfId="68" totalsRowDxfId="23"/>
    <tableColumn id="10" xr3:uid="{BA3E9D60-D02B-4D62-98EA-C7616AD9E775}" name="EQ4" dataDxfId="67" totalsRowDxfId="22"/>
    <tableColumn id="11" xr3:uid="{8CE11E9B-FE7F-4C4E-8769-7256957A9181}" name="EQ5" dataDxfId="66" totalsRowDxfId="21"/>
    <tableColumn id="12" xr3:uid="{293F2FB6-A648-4C6D-973C-CC21DB24E7CD}" name="Unit Weight/ Count" dataDxfId="65" totalsRowDxfId="20"/>
    <tableColumn id="13" xr3:uid="{E2B307F6-1A47-49E1-A917-D3D4CA08551A}" name="UOM" dataDxfId="64" totalsRowDxfId="19"/>
    <tableColumn id="14" xr3:uid="{62BBD560-83D2-4E14-AD22-FB7762963A1B}" name="Final Work Center" dataDxfId="63" totalsRowDxfId="18"/>
    <tableColumn id="15" xr3:uid="{A56B9C5B-5319-42C3-A8DF-58630B4E6B5D}" name="Req / No processing needed" dataDxfId="62" totalsRowDxfId="17"/>
    <tableColumn id="16" xr3:uid="{FD63D3A8-A757-4EE9-A64B-47DEE12D95E1}" name="Prep Center" dataDxfId="61" totalsRowDxfId="16"/>
    <tableColumn id="17" xr3:uid="{03D61BF8-1875-4530-A5B3-8085E1C35B6C}" name="Item Weight" dataDxfId="60" totalsRowDxfId="15"/>
    <tableColumn id="18" xr3:uid="{DA7619CF-8EC4-4539-BBF0-2DD4A17FC9FD}" name="unit cost" dataDxfId="59" totalsRowDxfId="14"/>
    <tableColumn id="19" xr3:uid="{B5DCEF56-9344-4678-8006-2AED418A46CD}" name="cost per quantity" dataDxfId="58" totalsRowDxfId="13">
      <calculatedColumnFormula>I10*O10</calculatedColumnFormula>
    </tableColumn>
    <tableColumn id="20" xr3:uid="{2A7F2232-49A3-4C55-BEE8-7E16BFDA1741}" name="man minutes" dataDxfId="57" totalsRowDxfId="12"/>
    <tableColumn id="21" xr3:uid="{3A17D7DA-9394-4162-BEB6-3FEA5ED1BBEB}" name="labor factor" dataDxfId="56" totalsRowDxfId="11"/>
    <tableColumn id="22" xr3:uid="{70B8BD2A-73D6-42F1-8DF8-71104B294284}" name="labor rate" dataDxfId="55" totalsRowDxfId="10" dataCellStyle="Currency">
      <calculatedColumnFormula>$S$2</calculatedColumnFormula>
    </tableColumn>
    <tableColumn id="23" xr3:uid="{66A8CCD0-8874-43AD-85BD-E4E826523120}" name="labor cost" dataDxfId="54" totalsRowDxfId="9" dataCellStyle="Currency">
      <calculatedColumnFormula>Table1[[#This Row],[man minutes]]*Table1[[#This Row],[labor rate]]</calculatedColumnFormula>
    </tableColumn>
    <tableColumn id="24" xr3:uid="{A7F19146-6B9A-4ED0-BBEF-398D83FBD8EB}" name="total cost" dataDxfId="53" totalsRowDxfId="8" dataCellStyle="Currency">
      <calculatedColumnFormula>P10+T10</calculatedColumnFormula>
    </tableColumn>
    <tableColumn id="25" xr3:uid="{5599B597-69A2-4707-9E8C-17FDA7036612}" name="food markup" dataDxfId="52" totalsRowDxfId="7" dataCellStyle="Percent"/>
    <tableColumn id="26" xr3:uid="{2DCFA1FF-13F0-4C5A-A6CE-D47AC27ABF10}" name="labor m/u" dataDxfId="51" totalsRowDxfId="6" dataCellStyle="Percent"/>
    <tableColumn id="27" xr3:uid="{1E953153-AB0C-4A62-9875-70ECA8063077}" name="food sale price" dataDxfId="50" totalsRowDxfId="5" dataCellStyle="Currency">
      <calculatedColumnFormula>P10/V10</calculatedColumnFormula>
    </tableColumn>
    <tableColumn id="28" xr3:uid="{8D093CD2-CB12-421D-AA48-A17C799399C3}" name="labor sale price" dataDxfId="49" totalsRowDxfId="4" dataCellStyle="Currency">
      <calculatedColumnFormula>T10+(T10*W10)</calculatedColumnFormula>
    </tableColumn>
    <tableColumn id="29" xr3:uid="{A1028A2C-1329-4778-B8EC-6A0449A0E8E8}" name="calculated sale price" dataDxfId="48" totalsRowDxfId="3" dataCellStyle="Currency">
      <calculatedColumnFormula>IFERROR(ROUNDUP(X10+Y10,2)," ")</calculatedColumnFormula>
    </tableColumn>
    <tableColumn id="30" xr3:uid="{9A56FBFC-AAD1-4047-B2A6-05D98CFA5585}" name="Item         Price" dataDxfId="47" totalsRowDxfId="2" dataCellStyle="Currency"/>
    <tableColumn id="3" xr3:uid="{36153AE1-C663-49E2-BA60-22AA5D28491D}" name="Final Food Cost %" dataDxfId="46" totalsRowDxfId="1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45" totalsRow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zoomScale="115" zoomScaleNormal="115" workbookViewId="0">
      <selection activeCell="I21" sqref="I21"/>
    </sheetView>
  </sheetViews>
  <sheetFormatPr defaultColWidth="8.7109375" defaultRowHeight="15" x14ac:dyDescent="0.25"/>
  <cols>
    <col min="1" max="1" width="6.85546875" style="136" customWidth="1"/>
    <col min="2" max="2" width="30.5703125" style="136" customWidth="1"/>
    <col min="3" max="3" width="22.28515625" style="136" hidden="1" customWidth="1"/>
    <col min="4" max="4" width="10.5703125" style="136" hidden="1" customWidth="1"/>
    <col min="5" max="5" width="22.7109375" style="136" customWidth="1"/>
    <col min="6" max="6" width="9.28515625" style="136" customWidth="1"/>
    <col min="7" max="7" width="16.42578125" style="136" hidden="1" customWidth="1"/>
    <col min="8" max="8" width="2.42578125" style="136" hidden="1" customWidth="1"/>
    <col min="9" max="9" width="11.28515625" customWidth="1"/>
    <col min="10" max="10" width="5.7109375" style="136" customWidth="1"/>
    <col min="11" max="11" width="9.5703125" style="136" customWidth="1"/>
    <col min="12" max="12" width="9.7109375" style="136" customWidth="1"/>
    <col min="13" max="13" width="10.7109375" style="136" customWidth="1"/>
    <col min="14" max="14" width="10.42578125" style="136" customWidth="1"/>
    <col min="15" max="15" width="9.42578125" style="136" customWidth="1"/>
    <col min="16" max="16" width="9.28515625" style="136" customWidth="1"/>
    <col min="17" max="17" width="5.28515625" customWidth="1"/>
    <col min="18" max="18" width="8.28515625" style="136" bestFit="1" customWidth="1"/>
    <col min="19" max="19" width="21.5703125" style="304" customWidth="1"/>
    <col min="20" max="20" width="14.85546875" style="136" bestFit="1" customWidth="1"/>
    <col min="21" max="21" width="10" style="136" bestFit="1" customWidth="1"/>
    <col min="22" max="22" width="4.140625" style="136" customWidth="1"/>
    <col min="23" max="23" width="13.28515625" style="136" bestFit="1" customWidth="1"/>
    <col min="24" max="24" width="14.42578125" style="136" bestFit="1" customWidth="1"/>
    <col min="25" max="25" width="14.85546875" style="136" bestFit="1" customWidth="1"/>
    <col min="26" max="16384" width="8.7109375" style="136"/>
  </cols>
  <sheetData>
    <row r="1" spans="2:27" ht="15.75" thickBot="1" x14ac:dyDescent="0.3"/>
    <row r="2" spans="2:27" ht="15.75" thickBot="1" x14ac:dyDescent="0.3">
      <c r="B2" s="144"/>
      <c r="C2" s="144"/>
      <c r="D2" s="146"/>
      <c r="E2" s="144"/>
      <c r="F2" s="146"/>
      <c r="G2" s="145"/>
      <c r="H2" s="146"/>
      <c r="R2" s="251">
        <v>21</v>
      </c>
      <c r="S2" s="414" t="s">
        <v>1</v>
      </c>
      <c r="T2" s="415"/>
      <c r="U2" s="415"/>
      <c r="V2" s="415"/>
      <c r="W2"/>
      <c r="X2"/>
      <c r="Y2"/>
      <c r="Z2"/>
      <c r="AA2"/>
    </row>
    <row r="3" spans="2:27" ht="15.75" thickBot="1" x14ac:dyDescent="0.3">
      <c r="B3" s="147"/>
      <c r="C3" s="147"/>
      <c r="D3" s="148"/>
      <c r="E3" s="174"/>
      <c r="F3" s="148"/>
      <c r="H3" s="148"/>
      <c r="R3" s="251">
        <f>'Summary '!H4</f>
        <v>1092</v>
      </c>
      <c r="S3" s="414" t="s">
        <v>2</v>
      </c>
      <c r="T3" s="415"/>
      <c r="U3" s="415"/>
      <c r="V3" s="415"/>
      <c r="W3"/>
      <c r="X3"/>
      <c r="Y3"/>
      <c r="Z3"/>
      <c r="AA3"/>
    </row>
    <row r="4" spans="2:27" ht="15.75" thickBot="1" x14ac:dyDescent="0.3">
      <c r="B4" s="147"/>
      <c r="C4" s="147"/>
      <c r="D4" s="148"/>
      <c r="E4" s="147"/>
      <c r="F4" s="148"/>
      <c r="H4" s="148"/>
      <c r="R4" s="224">
        <v>0.85</v>
      </c>
      <c r="S4" s="414" t="s">
        <v>3</v>
      </c>
      <c r="T4" s="415"/>
      <c r="U4" s="415"/>
      <c r="V4" s="415"/>
      <c r="W4"/>
      <c r="X4"/>
      <c r="Y4"/>
      <c r="Z4"/>
      <c r="AA4"/>
    </row>
    <row r="5" spans="2:27" ht="16.5" thickBot="1" x14ac:dyDescent="0.3">
      <c r="B5" s="426" t="s">
        <v>4</v>
      </c>
      <c r="C5" s="424" t="s">
        <v>5</v>
      </c>
      <c r="D5" s="425"/>
      <c r="E5" s="424" t="s">
        <v>299</v>
      </c>
      <c r="F5" s="425"/>
      <c r="G5" s="424" t="s">
        <v>6</v>
      </c>
      <c r="H5" s="425"/>
      <c r="J5" s="213"/>
      <c r="R5" s="225">
        <v>1</v>
      </c>
      <c r="S5" s="414" t="s">
        <v>7</v>
      </c>
      <c r="T5" s="415"/>
      <c r="U5" s="415"/>
      <c r="V5" s="415"/>
      <c r="W5"/>
      <c r="X5"/>
      <c r="Y5"/>
      <c r="Z5"/>
      <c r="AA5"/>
    </row>
    <row r="6" spans="2:27" ht="16.5" thickBot="1" x14ac:dyDescent="0.3">
      <c r="B6" s="427"/>
      <c r="C6" s="326" t="s">
        <v>8</v>
      </c>
      <c r="D6" s="149" t="s">
        <v>9</v>
      </c>
      <c r="E6" s="326" t="s">
        <v>8</v>
      </c>
      <c r="F6" s="149" t="s">
        <v>9</v>
      </c>
      <c r="G6" s="162" t="s">
        <v>8</v>
      </c>
      <c r="H6" s="149" t="s">
        <v>9</v>
      </c>
      <c r="J6" s="213"/>
      <c r="R6" s="224">
        <v>0</v>
      </c>
      <c r="S6" s="414" t="s">
        <v>10</v>
      </c>
      <c r="T6" s="415"/>
      <c r="U6" s="415"/>
      <c r="V6" s="415"/>
      <c r="W6"/>
      <c r="X6"/>
      <c r="Y6"/>
      <c r="Z6"/>
      <c r="AA6"/>
    </row>
    <row r="7" spans="2:27" ht="15.75" thickBot="1" x14ac:dyDescent="0.3">
      <c r="B7" s="332" t="s">
        <v>11</v>
      </c>
      <c r="C7" s="327">
        <f>SUM(E7,G7)</f>
        <v>4538568.5184946023</v>
      </c>
      <c r="D7" s="161">
        <f>C7/$C$12</f>
        <v>0.64006484276329678</v>
      </c>
      <c r="E7" s="327">
        <f>SUM('Summary '!J11:J14)</f>
        <v>4538568.5184846027</v>
      </c>
      <c r="F7" s="161">
        <f>E7/$E$12</f>
        <v>0.64006484276278919</v>
      </c>
      <c r="G7" s="315">
        <v>1.0000000000000001E-5</v>
      </c>
      <c r="H7" s="161">
        <f>G7/$G$12</f>
        <v>1</v>
      </c>
      <c r="J7" s="214"/>
      <c r="W7"/>
      <c r="X7"/>
      <c r="Y7"/>
      <c r="Z7"/>
      <c r="AA7"/>
    </row>
    <row r="8" spans="2:27" ht="15.75" thickBot="1" x14ac:dyDescent="0.3">
      <c r="B8" s="332" t="s">
        <v>12</v>
      </c>
      <c r="C8" s="327">
        <f>SUM(E8,G8)</f>
        <v>1782366.3748800003</v>
      </c>
      <c r="D8" s="161">
        <f>C8/$C$12</f>
        <v>0.25136340871252427</v>
      </c>
      <c r="E8" s="327">
        <f>SUM('Summary '!J15:J16)</f>
        <v>1782366.3748800003</v>
      </c>
      <c r="F8" s="161">
        <f t="shared" ref="F8:F21" si="0">E8/$E$12</f>
        <v>0.25136340871287877</v>
      </c>
      <c r="G8" s="160"/>
      <c r="H8" s="161">
        <f t="shared" ref="H8:H22" si="1">G8/$G$12</f>
        <v>0</v>
      </c>
      <c r="J8" s="214"/>
      <c r="R8" s="226">
        <v>0.15</v>
      </c>
      <c r="S8" s="416" t="s">
        <v>13</v>
      </c>
      <c r="T8" s="417"/>
      <c r="U8" s="417"/>
      <c r="V8" s="417"/>
      <c r="W8"/>
      <c r="X8"/>
      <c r="Y8"/>
      <c r="Z8"/>
      <c r="AA8"/>
    </row>
    <row r="9" spans="2:27" ht="15.75" thickBot="1" x14ac:dyDescent="0.3">
      <c r="B9" s="332" t="s">
        <v>14</v>
      </c>
      <c r="C9" s="327">
        <f>SUM(E9,G9)</f>
        <v>769860</v>
      </c>
      <c r="D9" s="161">
        <f t="shared" ref="D9:D20" si="2">C9/$C$12</f>
        <v>0.108571748524179</v>
      </c>
      <c r="E9" s="327">
        <f>705*R3</f>
        <v>769860</v>
      </c>
      <c r="F9" s="161">
        <f t="shared" si="0"/>
        <v>0.10857174852433212</v>
      </c>
      <c r="G9" s="160"/>
      <c r="H9" s="161">
        <f t="shared" si="1"/>
        <v>0</v>
      </c>
      <c r="I9" t="s">
        <v>519</v>
      </c>
      <c r="J9" s="214"/>
      <c r="R9" s="226">
        <v>0.15</v>
      </c>
      <c r="S9" s="416" t="s">
        <v>15</v>
      </c>
      <c r="T9" s="417"/>
      <c r="U9" s="417"/>
      <c r="V9" s="417"/>
      <c r="W9"/>
      <c r="X9"/>
      <c r="Y9"/>
      <c r="Z9"/>
      <c r="AA9"/>
    </row>
    <row r="10" spans="2:27" ht="15.75" thickBot="1" x14ac:dyDescent="0.3">
      <c r="B10" s="332" t="s">
        <v>16</v>
      </c>
      <c r="C10" s="327">
        <f>SUM(E10,G10)</f>
        <v>0</v>
      </c>
      <c r="D10" s="161">
        <f t="shared" si="2"/>
        <v>0</v>
      </c>
      <c r="E10" s="327"/>
      <c r="F10" s="161">
        <f t="shared" si="0"/>
        <v>0</v>
      </c>
      <c r="G10" s="160"/>
      <c r="H10" s="161">
        <f t="shared" si="1"/>
        <v>0</v>
      </c>
      <c r="I10" s="316"/>
      <c r="J10" s="214"/>
      <c r="R10" s="226">
        <v>0.13</v>
      </c>
      <c r="S10" s="416" t="s">
        <v>17</v>
      </c>
      <c r="T10" s="417"/>
      <c r="U10" s="417"/>
      <c r="V10" s="417"/>
      <c r="W10"/>
      <c r="X10"/>
      <c r="Y10"/>
      <c r="Z10"/>
      <c r="AA10"/>
    </row>
    <row r="11" spans="2:27" x14ac:dyDescent="0.25">
      <c r="B11" s="332" t="s">
        <v>10</v>
      </c>
      <c r="C11" s="327">
        <f>SUM(E11,G11)</f>
        <v>0</v>
      </c>
      <c r="D11" s="161">
        <f t="shared" si="2"/>
        <v>0</v>
      </c>
      <c r="E11" s="327">
        <f>SUM(E7:E9)*R6</f>
        <v>0</v>
      </c>
      <c r="F11" s="161">
        <f>E11/$E$12</f>
        <v>0</v>
      </c>
      <c r="G11" s="160"/>
      <c r="H11" s="161">
        <f t="shared" si="1"/>
        <v>0</v>
      </c>
      <c r="J11" s="214"/>
      <c r="R11" s="248"/>
      <c r="W11"/>
      <c r="X11"/>
      <c r="Y11"/>
      <c r="Z11"/>
      <c r="AA11"/>
    </row>
    <row r="12" spans="2:27" ht="15.75" thickBot="1" x14ac:dyDescent="0.3">
      <c r="B12" s="333" t="s">
        <v>18</v>
      </c>
      <c r="C12" s="328">
        <f>SUM(C7:C11)</f>
        <v>7090794.8933746023</v>
      </c>
      <c r="D12" s="227">
        <f t="shared" si="2"/>
        <v>1</v>
      </c>
      <c r="E12" s="328">
        <f>SUM(E7:E11)</f>
        <v>7090794.8933646027</v>
      </c>
      <c r="F12" s="227">
        <f t="shared" si="0"/>
        <v>1</v>
      </c>
      <c r="G12" s="228">
        <f>SUM(G7:G11)</f>
        <v>1.0000000000000001E-5</v>
      </c>
      <c r="H12" s="227">
        <f t="shared" si="1"/>
        <v>1</v>
      </c>
      <c r="I12" s="322"/>
      <c r="J12" s="215"/>
      <c r="W12"/>
      <c r="X12"/>
      <c r="Y12"/>
      <c r="Z12"/>
      <c r="AA12"/>
    </row>
    <row r="13" spans="2:27" ht="15.75" thickBot="1" x14ac:dyDescent="0.3">
      <c r="B13" s="332" t="s">
        <v>19</v>
      </c>
      <c r="C13" s="327">
        <f>SUM(E13,G13)</f>
        <v>2589705.3828919823</v>
      </c>
      <c r="D13" s="161">
        <f t="shared" si="2"/>
        <v>0.36522074348980466</v>
      </c>
      <c r="E13" s="327">
        <f>'Summary '!J11</f>
        <v>2589705.3828919823</v>
      </c>
      <c r="F13" s="403">
        <f>E13/$E$12</f>
        <v>0.36522074349031969</v>
      </c>
      <c r="G13" s="315"/>
      <c r="H13" s="161">
        <f t="shared" si="1"/>
        <v>0</v>
      </c>
      <c r="J13" s="214"/>
      <c r="R13" s="411" t="s">
        <v>467</v>
      </c>
      <c r="S13" s="412"/>
      <c r="T13" s="412"/>
      <c r="U13" s="412"/>
      <c r="V13" s="413"/>
      <c r="W13"/>
      <c r="X13"/>
      <c r="Y13"/>
      <c r="Z13"/>
      <c r="AA13"/>
    </row>
    <row r="14" spans="2:27" ht="15.75" thickBot="1" x14ac:dyDescent="0.3">
      <c r="B14" s="332" t="s">
        <v>20</v>
      </c>
      <c r="C14" s="327">
        <f>SUM(E14,G14)</f>
        <v>0</v>
      </c>
      <c r="D14" s="161">
        <f t="shared" si="2"/>
        <v>0</v>
      </c>
      <c r="E14" s="327">
        <v>0</v>
      </c>
      <c r="F14" s="161">
        <f t="shared" si="0"/>
        <v>0</v>
      </c>
      <c r="G14" s="160"/>
      <c r="H14" s="161">
        <f t="shared" si="1"/>
        <v>0</v>
      </c>
      <c r="J14" s="214"/>
      <c r="R14" s="261">
        <f>R20+R25+R30+R35</f>
        <v>1575.559</v>
      </c>
      <c r="S14" s="408" t="s">
        <v>464</v>
      </c>
      <c r="T14" s="409"/>
      <c r="U14" s="409"/>
      <c r="V14" s="410"/>
      <c r="W14"/>
      <c r="X14"/>
      <c r="Y14"/>
      <c r="Z14"/>
      <c r="AA14"/>
    </row>
    <row r="15" spans="2:27" ht="15.75" thickBot="1" x14ac:dyDescent="0.3">
      <c r="B15" s="333" t="s">
        <v>21</v>
      </c>
      <c r="C15" s="328">
        <f>SUM(C13:C14)</f>
        <v>2589705.3828919823</v>
      </c>
      <c r="D15" s="227">
        <f t="shared" si="2"/>
        <v>0.36522074348980466</v>
      </c>
      <c r="E15" s="328">
        <f>SUM(E13:E14)</f>
        <v>2589705.3828919823</v>
      </c>
      <c r="F15" s="227">
        <f t="shared" si="0"/>
        <v>0.36522074349031969</v>
      </c>
      <c r="G15" s="228">
        <f>SUM(G13:G14)</f>
        <v>0</v>
      </c>
      <c r="H15" s="227">
        <f t="shared" si="1"/>
        <v>0</v>
      </c>
      <c r="J15" s="215"/>
      <c r="R15" s="261">
        <f>R21+R26+R31+R36</f>
        <v>1932.8198</v>
      </c>
      <c r="S15" s="408" t="s">
        <v>465</v>
      </c>
      <c r="T15" s="409"/>
      <c r="U15" s="409"/>
      <c r="V15" s="410"/>
      <c r="W15"/>
      <c r="X15"/>
      <c r="Y15"/>
      <c r="Z15"/>
      <c r="AA15"/>
    </row>
    <row r="16" spans="2:27" ht="15.75" thickBot="1" x14ac:dyDescent="0.3">
      <c r="B16" s="332" t="s">
        <v>22</v>
      </c>
      <c r="C16" s="327">
        <f>SUM(E16,G16)</f>
        <v>2347353.0508235297</v>
      </c>
      <c r="D16" s="161">
        <f t="shared" si="2"/>
        <v>0.33104230006946284</v>
      </c>
      <c r="E16" s="327">
        <f>'Summary '!L16</f>
        <v>2347353.0508235297</v>
      </c>
      <c r="F16" s="403">
        <f>E16/$E$12</f>
        <v>0.33104230006992968</v>
      </c>
      <c r="G16" s="315"/>
      <c r="H16" s="161">
        <f t="shared" si="1"/>
        <v>0</v>
      </c>
      <c r="J16" s="214"/>
      <c r="R16" s="261">
        <f>R22+R27+R32+R37</f>
        <v>1529.3419999999999</v>
      </c>
      <c r="S16" s="408">
        <v>787</v>
      </c>
      <c r="T16" s="409"/>
      <c r="U16" s="409"/>
      <c r="V16" s="410"/>
      <c r="W16"/>
      <c r="X16"/>
      <c r="Y16"/>
      <c r="Z16"/>
      <c r="AA16"/>
    </row>
    <row r="17" spans="2:27" x14ac:dyDescent="0.25">
      <c r="B17" s="332" t="s">
        <v>23</v>
      </c>
      <c r="C17" s="327">
        <f>SUM(E17,G17)</f>
        <v>0</v>
      </c>
      <c r="D17" s="161">
        <f t="shared" si="2"/>
        <v>0</v>
      </c>
      <c r="E17" s="327">
        <v>0</v>
      </c>
      <c r="F17" s="161">
        <f t="shared" si="0"/>
        <v>0</v>
      </c>
      <c r="G17" s="160"/>
      <c r="H17" s="161">
        <f t="shared" si="1"/>
        <v>0</v>
      </c>
      <c r="J17" s="214"/>
      <c r="W17"/>
      <c r="X17"/>
      <c r="Y17"/>
      <c r="Z17"/>
      <c r="AA17"/>
    </row>
    <row r="18" spans="2:27" ht="15.75" thickBot="1" x14ac:dyDescent="0.3">
      <c r="B18" s="332" t="s">
        <v>24</v>
      </c>
      <c r="C18" s="327">
        <f>SUM(E18,G18)</f>
        <v>586838.26270588243</v>
      </c>
      <c r="D18" s="161">
        <f t="shared" si="2"/>
        <v>8.2760575017365709E-2</v>
      </c>
      <c r="E18" s="327">
        <f>'Summary '!L17</f>
        <v>586838.26270588243</v>
      </c>
      <c r="F18" s="403">
        <f t="shared" si="0"/>
        <v>8.2760575017482421E-2</v>
      </c>
      <c r="G18" s="315"/>
      <c r="H18" s="161">
        <f t="shared" si="1"/>
        <v>0</v>
      </c>
      <c r="J18" s="214"/>
      <c r="W18"/>
      <c r="X18"/>
      <c r="Y18"/>
      <c r="Z18"/>
      <c r="AA18"/>
    </row>
    <row r="19" spans="2:27" ht="15.75" thickBot="1" x14ac:dyDescent="0.3">
      <c r="B19" s="332" t="s">
        <v>25</v>
      </c>
      <c r="C19" s="327">
        <f>SUM(E19,G19)</f>
        <v>0</v>
      </c>
      <c r="D19" s="161">
        <f t="shared" si="2"/>
        <v>0</v>
      </c>
      <c r="E19" s="327">
        <v>0</v>
      </c>
      <c r="F19" s="161">
        <f t="shared" si="0"/>
        <v>0</v>
      </c>
      <c r="G19" s="160"/>
      <c r="H19" s="161">
        <f t="shared" si="1"/>
        <v>0</v>
      </c>
      <c r="J19" s="214"/>
      <c r="R19" s="418" t="s">
        <v>466</v>
      </c>
      <c r="S19" s="419"/>
      <c r="T19" s="419"/>
      <c r="U19" s="419"/>
      <c r="V19" s="420"/>
      <c r="W19"/>
      <c r="X19"/>
      <c r="Y19"/>
      <c r="Z19"/>
      <c r="AA19"/>
    </row>
    <row r="20" spans="2:27" ht="15.75" thickBot="1" x14ac:dyDescent="0.3">
      <c r="B20" s="332" t="s">
        <v>26</v>
      </c>
      <c r="C20" s="327">
        <f>SUM(E20,G20)</f>
        <v>0</v>
      </c>
      <c r="D20" s="161">
        <f t="shared" si="2"/>
        <v>0</v>
      </c>
      <c r="E20" s="327">
        <v>0</v>
      </c>
      <c r="F20" s="161">
        <f t="shared" si="0"/>
        <v>0</v>
      </c>
      <c r="G20" s="315"/>
      <c r="H20" s="161">
        <f t="shared" si="1"/>
        <v>0</v>
      </c>
      <c r="J20" s="214"/>
      <c r="R20" s="261">
        <f>Handling!V53</f>
        <v>313.23599999999993</v>
      </c>
      <c r="S20" s="408" t="s">
        <v>393</v>
      </c>
      <c r="T20" s="409"/>
      <c r="U20" s="409"/>
      <c r="V20" s="410"/>
      <c r="W20"/>
      <c r="X20"/>
      <c r="Y20"/>
      <c r="Z20"/>
      <c r="AA20"/>
    </row>
    <row r="21" spans="2:27" ht="15.75" thickBot="1" x14ac:dyDescent="0.3">
      <c r="B21" s="333" t="s">
        <v>27</v>
      </c>
      <c r="C21" s="328">
        <f>SUM(C16:C20)</f>
        <v>2934191.3135294123</v>
      </c>
      <c r="D21" s="227">
        <f>C21/$C$12</f>
        <v>0.41380287508682856</v>
      </c>
      <c r="E21" s="328">
        <f>SUM(E16:E20)</f>
        <v>2934191.3135294123</v>
      </c>
      <c r="F21" s="227">
        <f t="shared" si="0"/>
        <v>0.41380287508741209</v>
      </c>
      <c r="G21" s="228">
        <f>SUM(G16:G20)</f>
        <v>0</v>
      </c>
      <c r="H21" s="227">
        <f t="shared" si="1"/>
        <v>0</v>
      </c>
      <c r="I21" s="404">
        <f>E21-E8</f>
        <v>1151824.938649412</v>
      </c>
      <c r="J21" s="215"/>
      <c r="P21" s="232"/>
      <c r="R21" s="261">
        <f>Handling!X53</f>
        <v>362.95599999999996</v>
      </c>
      <c r="S21" s="408" t="s">
        <v>394</v>
      </c>
      <c r="T21" s="409"/>
      <c r="U21" s="409"/>
      <c r="V21" s="410"/>
      <c r="W21"/>
      <c r="X21"/>
      <c r="Y21"/>
      <c r="Z21"/>
      <c r="AA21"/>
    </row>
    <row r="22" spans="2:27" ht="19.5" thickBot="1" x14ac:dyDescent="0.3">
      <c r="B22" s="334" t="s">
        <v>28</v>
      </c>
      <c r="C22" s="329">
        <f>C12-C15-C21</f>
        <v>1566898.1969532082</v>
      </c>
      <c r="D22" s="222">
        <f>C22/$C$12</f>
        <v>0.22097638142336687</v>
      </c>
      <c r="E22" s="329">
        <f>E12-E15-E21</f>
        <v>1566898.1969432076</v>
      </c>
      <c r="F22" s="402">
        <f>E22/$E$12</f>
        <v>0.22097638142226814</v>
      </c>
      <c r="G22" s="223">
        <f>G12-G15-G21</f>
        <v>1.0000000000000001E-5</v>
      </c>
      <c r="H22" s="222">
        <f t="shared" si="1"/>
        <v>1</v>
      </c>
      <c r="J22" s="216"/>
      <c r="P22" s="232"/>
      <c r="R22" s="261">
        <f>Handling!Z53</f>
        <v>313.23599999999993</v>
      </c>
      <c r="S22" s="408" t="s">
        <v>395</v>
      </c>
      <c r="T22" s="409"/>
      <c r="U22" s="409"/>
      <c r="V22" s="410"/>
      <c r="W22"/>
      <c r="X22"/>
      <c r="Y22"/>
      <c r="Z22"/>
      <c r="AA22"/>
    </row>
    <row r="23" spans="2:27" ht="15.75" thickBot="1" x14ac:dyDescent="0.3">
      <c r="B23" s="147"/>
      <c r="C23" s="327"/>
      <c r="D23" s="161"/>
      <c r="E23" s="327"/>
      <c r="F23" s="161"/>
      <c r="G23" s="160"/>
      <c r="H23" s="161"/>
      <c r="J23" s="214"/>
      <c r="K23" s="430" t="s">
        <v>300</v>
      </c>
      <c r="L23" s="431"/>
      <c r="M23" s="431"/>
      <c r="N23" s="431"/>
      <c r="O23" s="432">
        <f>'Summary '!H17+705</f>
        <v>6493.4019170005522</v>
      </c>
      <c r="P23" s="433"/>
      <c r="Q23" s="318">
        <f>4993+705</f>
        <v>5698</v>
      </c>
      <c r="R23" s="177"/>
      <c r="W23"/>
      <c r="X23"/>
      <c r="Y23"/>
      <c r="Z23"/>
      <c r="AA23"/>
    </row>
    <row r="24" spans="2:27" ht="15.75" thickBot="1" x14ac:dyDescent="0.3">
      <c r="B24" s="332" t="s">
        <v>29</v>
      </c>
      <c r="C24" s="327">
        <f>SUM(E24,G24)</f>
        <v>500000</v>
      </c>
      <c r="D24" s="161">
        <f t="shared" ref="D24:D30" si="3">C24/$C$12</f>
        <v>7.0513956124606425E-2</v>
      </c>
      <c r="E24" s="327">
        <v>500000</v>
      </c>
      <c r="F24" s="161">
        <f>E24/$C$12</f>
        <v>7.0513956124606425E-2</v>
      </c>
      <c r="G24" s="315"/>
      <c r="H24" s="161">
        <f t="shared" ref="H24:H30" si="4">G24/$G$12</f>
        <v>0</v>
      </c>
      <c r="I24" s="318"/>
      <c r="J24" s="214"/>
      <c r="K24" s="434" t="s">
        <v>301</v>
      </c>
      <c r="L24" s="435"/>
      <c r="M24" s="435"/>
      <c r="N24" s="435"/>
      <c r="O24" s="435"/>
      <c r="P24" s="436"/>
      <c r="R24" s="418" t="s">
        <v>302</v>
      </c>
      <c r="S24" s="419"/>
      <c r="T24" s="419"/>
      <c r="U24" s="419"/>
      <c r="V24" s="420"/>
      <c r="W24"/>
      <c r="X24"/>
      <c r="Y24"/>
      <c r="Z24"/>
      <c r="AA24"/>
    </row>
    <row r="25" spans="2:27" ht="15.75" thickBot="1" x14ac:dyDescent="0.3">
      <c r="B25" s="332" t="s">
        <v>30</v>
      </c>
      <c r="C25" s="327">
        <f>SUM(E25,G25)</f>
        <v>0</v>
      </c>
      <c r="D25" s="161">
        <f t="shared" si="3"/>
        <v>0</v>
      </c>
      <c r="E25" s="327">
        <v>0</v>
      </c>
      <c r="F25" s="161">
        <f>E25/$C$12</f>
        <v>0</v>
      </c>
      <c r="G25" s="315"/>
      <c r="H25" s="161">
        <f t="shared" si="4"/>
        <v>0</v>
      </c>
      <c r="J25" s="214"/>
      <c r="K25" s="298" t="s">
        <v>31</v>
      </c>
      <c r="L25" s="299" t="s">
        <v>32</v>
      </c>
      <c r="M25" s="299" t="s">
        <v>33</v>
      </c>
      <c r="N25" s="299" t="s">
        <v>34</v>
      </c>
      <c r="O25" s="299" t="s">
        <v>35</v>
      </c>
      <c r="P25" s="300" t="s">
        <v>36</v>
      </c>
      <c r="R25" s="261">
        <f>Handling!AD39</f>
        <v>338.99999999999994</v>
      </c>
      <c r="S25" s="408" t="s">
        <v>464</v>
      </c>
      <c r="T25" s="409"/>
      <c r="U25" s="409"/>
      <c r="V25" s="410"/>
      <c r="W25"/>
      <c r="X25"/>
      <c r="Y25"/>
      <c r="Z25"/>
      <c r="AA25"/>
    </row>
    <row r="26" spans="2:27" ht="15.75" thickBot="1" x14ac:dyDescent="0.3">
      <c r="B26" s="333" t="s">
        <v>37</v>
      </c>
      <c r="C26" s="328">
        <f>SUM(C24:C25)</f>
        <v>500000</v>
      </c>
      <c r="D26" s="227">
        <f t="shared" si="3"/>
        <v>7.0513956124606425E-2</v>
      </c>
      <c r="E26" s="328">
        <f>SUM(E24:E25)</f>
        <v>500000</v>
      </c>
      <c r="F26" s="227">
        <f>E26/$E$12</f>
        <v>7.0513956124705859E-2</v>
      </c>
      <c r="G26" s="228">
        <f>SUM(G24:G25)</f>
        <v>0</v>
      </c>
      <c r="H26" s="227">
        <f t="shared" si="4"/>
        <v>0</v>
      </c>
      <c r="J26" s="215"/>
      <c r="K26" s="260">
        <f>'Summary '!B24</f>
        <v>0</v>
      </c>
      <c r="L26" s="260">
        <f>'Summary '!C24</f>
        <v>34.403619557067451</v>
      </c>
      <c r="M26" s="260">
        <f>'Summary '!D24</f>
        <v>23.803061261718746</v>
      </c>
      <c r="N26" s="260">
        <f>'Summary '!E24</f>
        <v>12.417626251128302</v>
      </c>
      <c r="O26" s="260">
        <f>'Summary '!F24</f>
        <v>0</v>
      </c>
      <c r="P26" s="260">
        <f>'Summary '!G24</f>
        <v>36.116899999999994</v>
      </c>
      <c r="R26" s="261">
        <f>Handling!AD41</f>
        <v>395.49999999999994</v>
      </c>
      <c r="S26" s="408" t="s">
        <v>465</v>
      </c>
      <c r="T26" s="409"/>
      <c r="U26" s="409"/>
      <c r="V26" s="410"/>
      <c r="W26"/>
      <c r="X26"/>
      <c r="Y26"/>
      <c r="Z26"/>
      <c r="AA26"/>
    </row>
    <row r="27" spans="2:27" ht="15.75" thickBot="1" x14ac:dyDescent="0.3">
      <c r="B27" s="332" t="s">
        <v>38</v>
      </c>
      <c r="C27" s="327">
        <f>SUM(E27,G27)</f>
        <v>84000</v>
      </c>
      <c r="D27" s="161">
        <f t="shared" si="3"/>
        <v>1.1846344628933879E-2</v>
      </c>
      <c r="E27" s="330">
        <f>7000*12</f>
        <v>84000</v>
      </c>
      <c r="F27" s="161">
        <f>E27/E12</f>
        <v>1.1846344628950586E-2</v>
      </c>
      <c r="G27" s="315"/>
      <c r="H27" s="161">
        <f t="shared" si="4"/>
        <v>0</v>
      </c>
      <c r="I27" t="s">
        <v>468</v>
      </c>
      <c r="J27" s="214"/>
      <c r="R27" s="261">
        <f>Handling!AD43</f>
        <v>338.99999999999994</v>
      </c>
      <c r="S27" s="408">
        <v>787</v>
      </c>
      <c r="T27" s="409"/>
      <c r="U27" s="409"/>
      <c r="V27" s="410"/>
      <c r="W27"/>
    </row>
    <row r="28" spans="2:27" ht="15.75" thickBot="1" x14ac:dyDescent="0.3">
      <c r="B28" s="332" t="s">
        <v>39</v>
      </c>
      <c r="C28" s="327">
        <f>SUM(E28,G28)</f>
        <v>0</v>
      </c>
      <c r="D28" s="161">
        <f t="shared" si="3"/>
        <v>0</v>
      </c>
      <c r="E28" s="331"/>
      <c r="F28" s="293">
        <f>E28/E12</f>
        <v>0</v>
      </c>
      <c r="G28" s="315"/>
      <c r="H28" s="161">
        <f t="shared" si="4"/>
        <v>0</v>
      </c>
      <c r="I28" s="318" t="s">
        <v>469</v>
      </c>
      <c r="J28" s="214"/>
      <c r="K28" s="428" t="s">
        <v>40</v>
      </c>
      <c r="L28" s="429"/>
      <c r="M28" s="429"/>
      <c r="N28" s="429"/>
      <c r="O28" s="429"/>
      <c r="P28" s="429"/>
      <c r="W28"/>
    </row>
    <row r="29" spans="2:27" ht="15.75" thickBot="1" x14ac:dyDescent="0.3">
      <c r="B29" s="333" t="s">
        <v>41</v>
      </c>
      <c r="C29" s="328">
        <f>SUM(C27:C28)</f>
        <v>84000</v>
      </c>
      <c r="D29" s="227">
        <f t="shared" si="3"/>
        <v>1.1846344628933879E-2</v>
      </c>
      <c r="E29" s="328">
        <f>SUM(E27:E28)</f>
        <v>84000</v>
      </c>
      <c r="F29" s="227">
        <f>E29/E12</f>
        <v>1.1846344628950586E-2</v>
      </c>
      <c r="G29" s="228">
        <f>SUM(G27:G28)</f>
        <v>0</v>
      </c>
      <c r="H29" s="227">
        <f t="shared" si="4"/>
        <v>0</v>
      </c>
      <c r="J29" s="215"/>
      <c r="K29" s="255" t="s">
        <v>31</v>
      </c>
      <c r="L29" s="254" t="s">
        <v>32</v>
      </c>
      <c r="M29" s="254" t="s">
        <v>42</v>
      </c>
      <c r="N29" s="254" t="s">
        <v>43</v>
      </c>
      <c r="O29" s="254" t="s">
        <v>35</v>
      </c>
      <c r="P29" s="256" t="s">
        <v>44</v>
      </c>
      <c r="R29" s="418" t="s">
        <v>303</v>
      </c>
      <c r="S29" s="419"/>
      <c r="T29" s="419"/>
      <c r="U29" s="419"/>
      <c r="V29" s="420"/>
      <c r="W29"/>
    </row>
    <row r="30" spans="2:27" ht="19.5" thickBot="1" x14ac:dyDescent="0.3">
      <c r="B30" s="334" t="s">
        <v>45</v>
      </c>
      <c r="C30" s="329">
        <f>C22-C26-C29</f>
        <v>982898.19695320819</v>
      </c>
      <c r="D30" s="222">
        <f t="shared" si="3"/>
        <v>0.13861608066982659</v>
      </c>
      <c r="E30" s="329">
        <f>E22-E26-E29</f>
        <v>982898.19694320764</v>
      </c>
      <c r="F30" s="402">
        <f>E30/$E$12</f>
        <v>0.1386160806686117</v>
      </c>
      <c r="G30" s="223">
        <f>G22-G26-G29</f>
        <v>1.0000000000000001E-5</v>
      </c>
      <c r="H30" s="222">
        <f t="shared" si="4"/>
        <v>1</v>
      </c>
      <c r="I30" s="325">
        <f>E30/12</f>
        <v>81908.183078600632</v>
      </c>
      <c r="J30" s="214"/>
      <c r="K30" s="257">
        <v>0</v>
      </c>
      <c r="L30" s="258">
        <v>0</v>
      </c>
      <c r="M30" s="258">
        <v>0</v>
      </c>
      <c r="N30" s="258">
        <v>0</v>
      </c>
      <c r="O30" s="258">
        <v>0</v>
      </c>
      <c r="P30" s="259">
        <v>0</v>
      </c>
      <c r="R30" s="261">
        <f>Handling!C84</f>
        <v>704.10300000000007</v>
      </c>
      <c r="S30" s="408" t="s">
        <v>464</v>
      </c>
      <c r="T30" s="409"/>
      <c r="U30" s="409"/>
      <c r="V30" s="410"/>
      <c r="W30"/>
    </row>
    <row r="31" spans="2:27" ht="19.5" thickBot="1" x14ac:dyDescent="0.3">
      <c r="E31" s="248">
        <f>E30/(E9+'Summary '!J25)</f>
        <v>0.15617035172365015</v>
      </c>
      <c r="F31" s="248"/>
      <c r="J31" s="216"/>
      <c r="K31" s="232"/>
      <c r="L31" s="232"/>
      <c r="M31" s="232"/>
      <c r="N31" s="232"/>
      <c r="O31" s="232"/>
      <c r="P31" s="232"/>
      <c r="R31" s="261">
        <f>Handling!E84</f>
        <v>878.30380000000014</v>
      </c>
      <c r="S31" s="408" t="s">
        <v>465</v>
      </c>
      <c r="T31" s="409"/>
      <c r="U31" s="409"/>
      <c r="V31" s="410"/>
      <c r="W31"/>
    </row>
    <row r="32" spans="2:27" ht="15.75" thickBot="1" x14ac:dyDescent="0.3">
      <c r="B32" s="421" t="s">
        <v>0</v>
      </c>
      <c r="C32" s="422"/>
      <c r="D32" s="422"/>
      <c r="E32" s="422"/>
      <c r="F32" s="422"/>
      <c r="G32" s="422"/>
      <c r="H32" s="423"/>
      <c r="R32" s="261">
        <f>Handling!G84</f>
        <v>653.36599999999999</v>
      </c>
      <c r="S32" s="408">
        <v>787</v>
      </c>
      <c r="T32" s="409"/>
      <c r="U32" s="409"/>
      <c r="V32" s="410"/>
      <c r="W32"/>
    </row>
    <row r="33" spans="2:23" s="232" customFormat="1" ht="15.75" thickBot="1" x14ac:dyDescent="0.3">
      <c r="I33"/>
      <c r="K33" s="136"/>
      <c r="L33" s="136"/>
      <c r="M33" s="136"/>
      <c r="N33" s="136"/>
      <c r="O33" s="136"/>
      <c r="P33" s="136"/>
      <c r="Q33"/>
      <c r="R33" s="304"/>
      <c r="S33"/>
      <c r="T33"/>
      <c r="U33"/>
      <c r="V33"/>
      <c r="W33"/>
    </row>
    <row r="34" spans="2:23" s="232" customFormat="1" ht="15.75" thickBot="1" x14ac:dyDescent="0.3">
      <c r="B34" s="317"/>
      <c r="E34" s="232" t="s">
        <v>474</v>
      </c>
      <c r="I34"/>
      <c r="J34" s="136"/>
      <c r="K34" s="136"/>
      <c r="L34" s="136"/>
      <c r="M34" s="136"/>
      <c r="N34" s="136"/>
      <c r="O34" s="136"/>
      <c r="P34" s="136"/>
      <c r="Q34"/>
      <c r="R34" s="418" t="s">
        <v>304</v>
      </c>
      <c r="S34" s="419"/>
      <c r="T34" s="419"/>
      <c r="U34" s="419"/>
      <c r="V34" s="420"/>
      <c r="W34"/>
    </row>
    <row r="35" spans="2:23" s="232" customFormat="1" ht="15.75" thickBot="1" x14ac:dyDescent="0.3">
      <c r="I35"/>
      <c r="K35" s="136"/>
      <c r="L35" s="136"/>
      <c r="M35" s="136"/>
      <c r="N35" s="136"/>
      <c r="O35" s="136"/>
      <c r="P35" s="136"/>
      <c r="Q35"/>
      <c r="R35" s="261">
        <f>Handling!S39+Handling!S45</f>
        <v>219.21999999999997</v>
      </c>
      <c r="S35" s="408" t="s">
        <v>464</v>
      </c>
      <c r="T35" s="409"/>
      <c r="U35" s="409"/>
      <c r="V35" s="410"/>
      <c r="W35"/>
    </row>
    <row r="36" spans="2:23" s="232" customFormat="1" ht="15.75" thickBot="1" x14ac:dyDescent="0.3">
      <c r="B36" s="317" t="s">
        <v>473</v>
      </c>
      <c r="I36"/>
      <c r="K36" s="136"/>
      <c r="L36" s="136"/>
      <c r="M36" s="136"/>
      <c r="N36" s="136"/>
      <c r="O36" s="136"/>
      <c r="P36" s="136"/>
      <c r="Q36"/>
      <c r="R36" s="261">
        <f>Handling!S41+Handling!S47</f>
        <v>296.05999999999995</v>
      </c>
      <c r="S36" s="408" t="s">
        <v>465</v>
      </c>
      <c r="T36" s="409"/>
      <c r="U36" s="409"/>
      <c r="V36" s="410"/>
      <c r="W36"/>
    </row>
    <row r="37" spans="2:23" s="232" customFormat="1" ht="15.75" thickBot="1" x14ac:dyDescent="0.3">
      <c r="B37" s="317" t="s">
        <v>470</v>
      </c>
      <c r="I37"/>
      <c r="K37" s="136"/>
      <c r="L37" s="136"/>
      <c r="M37"/>
      <c r="N37" s="136"/>
      <c r="O37" s="136"/>
      <c r="P37" s="136"/>
      <c r="Q37"/>
      <c r="R37" s="261">
        <f>Handling!S43+Handling!S50</f>
        <v>223.74</v>
      </c>
      <c r="S37" s="408">
        <v>787</v>
      </c>
      <c r="T37" s="409"/>
      <c r="U37" s="409"/>
      <c r="V37" s="410"/>
      <c r="W37"/>
    </row>
    <row r="38" spans="2:23" s="232" customFormat="1" x14ac:dyDescent="0.25">
      <c r="B38" s="317" t="s">
        <v>471</v>
      </c>
      <c r="I38"/>
      <c r="K38" s="136"/>
      <c r="L38" s="136"/>
      <c r="M38" s="136"/>
      <c r="N38" s="136"/>
      <c r="O38" s="136"/>
      <c r="P38" s="136"/>
      <c r="Q38"/>
      <c r="W38"/>
    </row>
    <row r="39" spans="2:23" s="232" customFormat="1" x14ac:dyDescent="0.25">
      <c r="B39" s="317" t="s">
        <v>472</v>
      </c>
      <c r="I39"/>
      <c r="K39" s="136"/>
      <c r="L39" s="136"/>
      <c r="O39" s="136"/>
      <c r="P39" s="136"/>
      <c r="Q39"/>
      <c r="W39"/>
    </row>
    <row r="40" spans="2:23" x14ac:dyDescent="0.25">
      <c r="W40"/>
    </row>
    <row r="52" spans="22:22" x14ac:dyDescent="0.25">
      <c r="V52" s="249"/>
    </row>
    <row r="66" spans="2:3" x14ac:dyDescent="0.25">
      <c r="B66" s="304"/>
    </row>
    <row r="67" spans="2:3" x14ac:dyDescent="0.25">
      <c r="B67" s="323" t="s">
        <v>46</v>
      </c>
      <c r="C67" s="324">
        <v>271755</v>
      </c>
    </row>
    <row r="68" spans="2:3" x14ac:dyDescent="0.25">
      <c r="B68" s="323" t="s">
        <v>47</v>
      </c>
      <c r="C68" s="324">
        <v>2000</v>
      </c>
    </row>
    <row r="69" spans="2:3" x14ac:dyDescent="0.25">
      <c r="B69" s="323" t="s">
        <v>48</v>
      </c>
      <c r="C69" s="324">
        <v>164340</v>
      </c>
    </row>
    <row r="70" spans="2:3" x14ac:dyDescent="0.25">
      <c r="B70" s="323" t="s">
        <v>52</v>
      </c>
      <c r="C70" s="324">
        <v>3840</v>
      </c>
    </row>
    <row r="71" spans="2:3" x14ac:dyDescent="0.25">
      <c r="B71" s="323" t="s">
        <v>49</v>
      </c>
      <c r="C71" s="324">
        <v>19000</v>
      </c>
    </row>
    <row r="72" spans="2:3" x14ac:dyDescent="0.25">
      <c r="B72" s="323" t="s">
        <v>50</v>
      </c>
      <c r="C72" s="324">
        <v>261360</v>
      </c>
    </row>
    <row r="73" spans="2:3" x14ac:dyDescent="0.25">
      <c r="B73" s="323" t="s">
        <v>51</v>
      </c>
      <c r="C73" s="324">
        <v>675000</v>
      </c>
    </row>
    <row r="74" spans="2:3" x14ac:dyDescent="0.25">
      <c r="B74" s="323" t="s">
        <v>53</v>
      </c>
      <c r="C74" s="324">
        <f>116139*5</f>
        <v>580695</v>
      </c>
    </row>
  </sheetData>
  <mergeCells count="37"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21:V21"/>
    <mergeCell ref="R13:V13"/>
    <mergeCell ref="S14:V14"/>
    <mergeCell ref="S15:V15"/>
    <mergeCell ref="S16:V16"/>
  </mergeCells>
  <dataValidations count="1">
    <dataValidation type="list" allowBlank="1" showInputMessage="1" showErrorMessage="1" sqref="R5" xr:uid="{65A6F802-614A-4C09-BBD7-0BEE3D5EC057}">
      <formula1>#REF!</formula1>
    </dataValidation>
  </dataValidation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 x14ac:dyDescent="0.2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 x14ac:dyDescent="0.25">
      <c r="A1" s="71" t="s">
        <v>54</v>
      </c>
      <c r="B1" s="72"/>
      <c r="C1" s="73"/>
      <c r="D1" s="73"/>
      <c r="E1" s="73"/>
      <c r="F1" s="73"/>
      <c r="G1" s="73"/>
      <c r="H1" s="73"/>
      <c r="I1" s="74"/>
    </row>
    <row r="2" spans="1:9" x14ac:dyDescent="0.25">
      <c r="A2" s="75" t="s">
        <v>55</v>
      </c>
      <c r="B2" s="76" t="s">
        <v>56</v>
      </c>
      <c r="C2" s="77"/>
      <c r="D2" s="77"/>
      <c r="E2" s="77"/>
      <c r="F2" s="77"/>
      <c r="G2" s="77"/>
      <c r="H2" s="77"/>
      <c r="I2" s="78"/>
    </row>
    <row r="3" spans="1:9" x14ac:dyDescent="0.25">
      <c r="A3" s="75" t="s">
        <v>57</v>
      </c>
      <c r="B3" s="76" t="s">
        <v>58</v>
      </c>
      <c r="C3" s="77"/>
      <c r="D3" s="77"/>
      <c r="E3" s="77"/>
      <c r="F3" s="77"/>
      <c r="G3" s="77"/>
      <c r="H3" s="77"/>
      <c r="I3" s="78"/>
    </row>
    <row r="4" spans="1:9" x14ac:dyDescent="0.25">
      <c r="A4" s="75" t="s">
        <v>59</v>
      </c>
      <c r="B4" s="79"/>
      <c r="C4" s="77"/>
      <c r="D4" s="77"/>
      <c r="E4" s="77"/>
      <c r="F4" s="77"/>
      <c r="G4" s="77"/>
      <c r="H4" s="77"/>
      <c r="I4" s="78"/>
    </row>
    <row r="5" spans="1:9" x14ac:dyDescent="0.25">
      <c r="A5" s="75" t="s">
        <v>60</v>
      </c>
      <c r="B5" s="80"/>
      <c r="C5" s="81"/>
      <c r="D5" s="77"/>
      <c r="E5" s="77"/>
      <c r="F5" s="77"/>
      <c r="G5" s="77"/>
      <c r="H5" s="77"/>
      <c r="I5" s="78"/>
    </row>
    <row r="6" spans="1:9" x14ac:dyDescent="0.25">
      <c r="A6" s="75" t="s">
        <v>61</v>
      </c>
      <c r="B6" s="82"/>
      <c r="C6" s="77"/>
      <c r="D6" s="77"/>
      <c r="E6" s="77"/>
      <c r="F6" s="77"/>
      <c r="G6" s="77"/>
      <c r="H6" s="77"/>
      <c r="I6" s="78"/>
    </row>
    <row r="7" spans="1:9" x14ac:dyDescent="0.25">
      <c r="A7" s="75" t="s">
        <v>62</v>
      </c>
      <c r="B7" s="82"/>
      <c r="C7" s="77"/>
      <c r="D7" s="77"/>
      <c r="E7" s="77"/>
      <c r="F7" s="77"/>
      <c r="G7" s="77"/>
      <c r="H7" s="77"/>
      <c r="I7" s="78"/>
    </row>
    <row r="8" spans="1:9" x14ac:dyDescent="0.25">
      <c r="A8" s="75" t="s">
        <v>63</v>
      </c>
      <c r="B8" s="82"/>
      <c r="C8" s="77"/>
      <c r="D8" s="77"/>
      <c r="E8" s="77"/>
      <c r="F8" s="77"/>
      <c r="G8" s="77"/>
      <c r="H8" s="77"/>
      <c r="I8" s="78"/>
    </row>
    <row r="9" spans="1:9" x14ac:dyDescent="0.25">
      <c r="A9" s="75" t="s">
        <v>64</v>
      </c>
      <c r="B9" s="83"/>
      <c r="C9" s="77"/>
      <c r="D9" s="77"/>
      <c r="E9" s="77"/>
      <c r="F9" s="77"/>
      <c r="G9" s="77"/>
      <c r="H9" s="77"/>
      <c r="I9" s="78"/>
    </row>
    <row r="10" spans="1:9" x14ac:dyDescent="0.25">
      <c r="A10" s="75"/>
      <c r="B10" s="77"/>
      <c r="C10" s="77"/>
      <c r="D10" s="77"/>
      <c r="E10" s="77"/>
      <c r="F10" s="77"/>
      <c r="G10" s="77"/>
      <c r="H10" s="77"/>
      <c r="I10" s="78"/>
    </row>
    <row r="11" spans="1:9" x14ac:dyDescent="0.25">
      <c r="A11" s="75"/>
      <c r="B11" s="77"/>
      <c r="C11" s="77"/>
      <c r="D11" s="77"/>
      <c r="E11" s="77"/>
      <c r="F11" s="77"/>
      <c r="G11" s="77"/>
      <c r="H11" s="77"/>
      <c r="I11" s="78"/>
    </row>
    <row r="12" spans="1:9" x14ac:dyDescent="0.25">
      <c r="A12" s="75" t="s">
        <v>65</v>
      </c>
      <c r="B12" s="80">
        <v>787</v>
      </c>
      <c r="C12" s="80"/>
      <c r="D12" s="80"/>
      <c r="E12" s="80"/>
      <c r="F12" s="80" t="s">
        <v>66</v>
      </c>
      <c r="G12" s="80" t="s">
        <v>66</v>
      </c>
      <c r="H12" s="80" t="s">
        <v>66</v>
      </c>
      <c r="I12" s="80" t="s">
        <v>66</v>
      </c>
    </row>
    <row r="13" spans="1:9" x14ac:dyDescent="0.25">
      <c r="A13" s="75" t="s">
        <v>67</v>
      </c>
      <c r="B13" s="80">
        <f>+'FlightConfig '!B3</f>
        <v>0</v>
      </c>
      <c r="C13" s="80"/>
      <c r="D13" s="80"/>
      <c r="E13" s="80"/>
      <c r="F13" s="80" t="s">
        <v>66</v>
      </c>
      <c r="G13" s="80" t="s">
        <v>66</v>
      </c>
      <c r="H13" s="80" t="s">
        <v>66</v>
      </c>
      <c r="I13" s="80" t="s">
        <v>66</v>
      </c>
    </row>
    <row r="14" spans="1:9" x14ac:dyDescent="0.25">
      <c r="A14" s="75" t="s">
        <v>68</v>
      </c>
      <c r="B14" s="80">
        <f>+'FlightConfig '!C3</f>
        <v>34</v>
      </c>
      <c r="C14" s="80"/>
      <c r="D14" s="80"/>
      <c r="E14" s="80"/>
      <c r="F14" s="80" t="s">
        <v>66</v>
      </c>
      <c r="G14" s="80" t="s">
        <v>66</v>
      </c>
      <c r="H14" s="80" t="s">
        <v>66</v>
      </c>
      <c r="I14" s="80" t="s">
        <v>66</v>
      </c>
    </row>
    <row r="15" spans="1:9" x14ac:dyDescent="0.25">
      <c r="A15" s="75" t="s">
        <v>69</v>
      </c>
      <c r="B15" s="80">
        <f>SUM('FlightConfig '!D3:E3)</f>
        <v>246</v>
      </c>
      <c r="C15" s="80"/>
      <c r="D15" s="80"/>
      <c r="E15" s="80"/>
      <c r="F15" s="80" t="s">
        <v>66</v>
      </c>
      <c r="G15" s="80" t="s">
        <v>66</v>
      </c>
      <c r="H15" s="80" t="s">
        <v>66</v>
      </c>
      <c r="I15" s="80" t="s">
        <v>66</v>
      </c>
    </row>
    <row r="16" spans="1:9" x14ac:dyDescent="0.25">
      <c r="A16" s="75" t="s">
        <v>70</v>
      </c>
      <c r="B16" s="84">
        <v>0.2673611111111111</v>
      </c>
      <c r="C16" s="80"/>
      <c r="D16" s="80"/>
      <c r="E16" s="80"/>
      <c r="F16" s="80" t="s">
        <v>66</v>
      </c>
      <c r="G16" s="80" t="s">
        <v>66</v>
      </c>
      <c r="H16" s="80" t="s">
        <v>66</v>
      </c>
      <c r="I16" s="80" t="s">
        <v>66</v>
      </c>
    </row>
    <row r="17" spans="1:9" x14ac:dyDescent="0.25">
      <c r="A17" s="75" t="s">
        <v>71</v>
      </c>
      <c r="B17" s="84">
        <v>0.93402777777777779</v>
      </c>
      <c r="C17" s="80"/>
      <c r="D17" s="80"/>
      <c r="E17" s="80"/>
      <c r="F17" s="80" t="s">
        <v>66</v>
      </c>
      <c r="G17" s="80" t="s">
        <v>66</v>
      </c>
      <c r="H17" s="80" t="s">
        <v>66</v>
      </c>
      <c r="I17" s="80" t="s">
        <v>66</v>
      </c>
    </row>
    <row r="18" spans="1:9" x14ac:dyDescent="0.25">
      <c r="A18" s="75" t="s">
        <v>72</v>
      </c>
      <c r="B18" s="119">
        <f>+'FlightConfig '!K2</f>
        <v>0</v>
      </c>
      <c r="C18" s="80"/>
      <c r="D18" s="80"/>
      <c r="E18" s="80"/>
      <c r="F18" s="80" t="s">
        <v>66</v>
      </c>
      <c r="G18" s="80" t="s">
        <v>66</v>
      </c>
      <c r="H18" s="80" t="s">
        <v>66</v>
      </c>
      <c r="I18" s="80" t="s">
        <v>66</v>
      </c>
    </row>
    <row r="19" spans="1:9" x14ac:dyDescent="0.25">
      <c r="A19" s="75" t="s">
        <v>73</v>
      </c>
      <c r="B19" s="119">
        <f>+'FlightConfig '!K3</f>
        <v>0</v>
      </c>
      <c r="C19" s="80"/>
      <c r="D19" s="80"/>
      <c r="E19" s="80"/>
      <c r="F19" s="80" t="s">
        <v>66</v>
      </c>
      <c r="G19" s="80" t="s">
        <v>66</v>
      </c>
      <c r="H19" s="80" t="s">
        <v>66</v>
      </c>
      <c r="I19" s="80" t="s">
        <v>66</v>
      </c>
    </row>
    <row r="20" spans="1:9" x14ac:dyDescent="0.25">
      <c r="A20" s="75" t="s">
        <v>74</v>
      </c>
      <c r="B20" s="85"/>
      <c r="C20" s="85"/>
      <c r="D20" s="85"/>
      <c r="E20" s="80"/>
      <c r="F20" s="80"/>
      <c r="G20" s="80"/>
      <c r="H20" s="80"/>
      <c r="I20" s="80"/>
    </row>
    <row r="21" spans="1:9" x14ac:dyDescent="0.25">
      <c r="A21" s="75" t="s">
        <v>75</v>
      </c>
      <c r="B21" s="76" t="s">
        <v>76</v>
      </c>
      <c r="C21" s="77"/>
      <c r="D21" s="77"/>
      <c r="E21" s="77"/>
      <c r="F21" s="77"/>
      <c r="G21" s="77"/>
      <c r="H21" s="77"/>
      <c r="I21" s="78"/>
    </row>
    <row r="22" spans="1:9" x14ac:dyDescent="0.25">
      <c r="A22" s="75" t="s">
        <v>77</v>
      </c>
      <c r="B22" s="76" t="s">
        <v>78</v>
      </c>
      <c r="C22" s="77"/>
      <c r="D22" s="77"/>
      <c r="E22" s="77"/>
      <c r="F22" s="77"/>
      <c r="G22" s="77"/>
      <c r="H22" s="77"/>
      <c r="I22" s="78"/>
    </row>
    <row r="23" spans="1:9" x14ac:dyDescent="0.25">
      <c r="A23" s="75" t="s">
        <v>79</v>
      </c>
      <c r="B23" s="76" t="s">
        <v>80</v>
      </c>
      <c r="C23" s="77"/>
      <c r="D23" s="77"/>
      <c r="E23" s="86" t="s">
        <v>81</v>
      </c>
      <c r="F23" s="87"/>
      <c r="G23" s="87"/>
      <c r="H23" s="88"/>
      <c r="I23" s="89"/>
    </row>
    <row r="24" spans="1:9" x14ac:dyDescent="0.25">
      <c r="A24" s="75" t="s">
        <v>82</v>
      </c>
      <c r="B24" s="76"/>
      <c r="C24" s="77"/>
      <c r="D24" s="77"/>
      <c r="E24" s="86" t="s">
        <v>83</v>
      </c>
      <c r="F24" s="87"/>
      <c r="G24" s="87"/>
      <c r="H24" s="88"/>
      <c r="I24" s="89"/>
    </row>
    <row r="25" spans="1:9" x14ac:dyDescent="0.25">
      <c r="A25" s="75" t="s">
        <v>84</v>
      </c>
      <c r="B25" s="76" t="s">
        <v>85</v>
      </c>
      <c r="C25" s="77"/>
      <c r="D25" s="77"/>
      <c r="E25" s="86" t="s">
        <v>86</v>
      </c>
      <c r="F25" s="87"/>
      <c r="G25" s="87"/>
      <c r="H25" s="88"/>
      <c r="I25" s="89"/>
    </row>
    <row r="26" spans="1:9" x14ac:dyDescent="0.25">
      <c r="A26" s="75" t="s">
        <v>87</v>
      </c>
      <c r="B26" s="76"/>
      <c r="C26" s="77"/>
      <c r="D26" s="77"/>
      <c r="E26" s="86"/>
      <c r="F26" s="87"/>
      <c r="G26" s="87"/>
      <c r="H26" s="88"/>
      <c r="I26" s="89"/>
    </row>
    <row r="27" spans="1:9" x14ac:dyDescent="0.25">
      <c r="A27" s="75" t="s">
        <v>88</v>
      </c>
      <c r="B27" s="76"/>
      <c r="C27" s="77"/>
      <c r="D27" s="77"/>
      <c r="E27" s="86" t="s">
        <v>89</v>
      </c>
      <c r="F27" s="87"/>
      <c r="G27" s="87"/>
      <c r="H27" s="88"/>
      <c r="I27" s="90"/>
    </row>
    <row r="28" spans="1:9" x14ac:dyDescent="0.25">
      <c r="A28" s="75" t="s">
        <v>90</v>
      </c>
      <c r="B28" s="76"/>
      <c r="C28" s="77"/>
      <c r="D28" s="77"/>
      <c r="E28" s="86" t="s">
        <v>91</v>
      </c>
      <c r="F28" s="87"/>
      <c r="G28" s="87"/>
      <c r="H28" s="91"/>
      <c r="I28" s="90"/>
    </row>
    <row r="29" spans="1:9" x14ac:dyDescent="0.25">
      <c r="A29" s="75" t="s">
        <v>92</v>
      </c>
      <c r="B29" s="76"/>
      <c r="C29" s="77"/>
      <c r="D29" s="77"/>
      <c r="E29" s="86" t="s">
        <v>93</v>
      </c>
      <c r="F29" s="87"/>
      <c r="G29" s="87"/>
      <c r="H29" s="91"/>
      <c r="I29" s="90"/>
    </row>
    <row r="30" spans="1:9" x14ac:dyDescent="0.25">
      <c r="A30" s="75" t="s">
        <v>94</v>
      </c>
      <c r="B30" s="76"/>
      <c r="C30" s="77"/>
      <c r="D30" s="77"/>
      <c r="E30" s="86" t="s">
        <v>95</v>
      </c>
      <c r="F30" s="87"/>
      <c r="G30" s="87"/>
      <c r="H30" s="91"/>
      <c r="I30" s="90"/>
    </row>
    <row r="31" spans="1:9" x14ac:dyDescent="0.25">
      <c r="A31" s="75"/>
      <c r="B31" s="77"/>
      <c r="C31" s="77"/>
      <c r="D31" s="77"/>
      <c r="E31" s="86" t="s">
        <v>96</v>
      </c>
      <c r="F31" s="87"/>
      <c r="G31" s="87"/>
      <c r="H31" s="88"/>
      <c r="I31" s="90"/>
    </row>
    <row r="32" spans="1:9" x14ac:dyDescent="0.25">
      <c r="A32" s="75"/>
      <c r="B32" s="77"/>
      <c r="C32" s="77"/>
      <c r="D32" s="77"/>
      <c r="E32" s="86" t="s">
        <v>97</v>
      </c>
      <c r="F32" s="87"/>
      <c r="G32" s="87"/>
      <c r="H32" s="88"/>
      <c r="I32" s="90"/>
    </row>
    <row r="33" spans="1:9" x14ac:dyDescent="0.25">
      <c r="A33" s="92" t="s">
        <v>98</v>
      </c>
      <c r="B33" s="93" t="s">
        <v>99</v>
      </c>
      <c r="C33" s="93" t="s">
        <v>100</v>
      </c>
      <c r="D33" s="93" t="s">
        <v>101</v>
      </c>
      <c r="E33" s="86" t="s">
        <v>102</v>
      </c>
      <c r="F33" s="87"/>
      <c r="G33" s="87"/>
      <c r="H33" s="88"/>
      <c r="I33" s="90"/>
    </row>
    <row r="34" spans="1:9" x14ac:dyDescent="0.25">
      <c r="A34" s="75" t="s">
        <v>103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 x14ac:dyDescent="0.25">
      <c r="A35" s="75" t="s">
        <v>104</v>
      </c>
      <c r="B35" s="95"/>
      <c r="C35" s="97" t="s">
        <v>105</v>
      </c>
      <c r="D35" s="98" t="s">
        <v>105</v>
      </c>
      <c r="E35" s="94"/>
      <c r="F35" s="94"/>
      <c r="G35" s="94"/>
      <c r="H35" s="94"/>
      <c r="I35" s="94"/>
    </row>
    <row r="36" spans="1:9" x14ac:dyDescent="0.25">
      <c r="A36" s="75" t="s">
        <v>106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 x14ac:dyDescent="0.25">
      <c r="A37" s="75" t="s">
        <v>107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 x14ac:dyDescent="0.25">
      <c r="A38" s="75" t="s">
        <v>108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 x14ac:dyDescent="0.25">
      <c r="A39" s="75" t="s">
        <v>109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 x14ac:dyDescent="0.25">
      <c r="A40" s="99" t="s">
        <v>110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 x14ac:dyDescent="0.25">
      <c r="A41" s="75"/>
      <c r="B41" s="102"/>
      <c r="C41" s="77"/>
      <c r="D41" s="103"/>
      <c r="E41" s="94"/>
      <c r="F41" s="94"/>
      <c r="G41" s="94"/>
      <c r="H41" s="94"/>
      <c r="I41" s="94"/>
    </row>
    <row r="42" spans="1:9" x14ac:dyDescent="0.25">
      <c r="A42" s="92" t="s">
        <v>111</v>
      </c>
      <c r="B42" s="93"/>
      <c r="C42" s="93"/>
      <c r="D42" s="93"/>
      <c r="E42" s="93"/>
      <c r="F42" s="104"/>
      <c r="G42" s="104"/>
      <c r="H42" s="104"/>
      <c r="I42" s="105"/>
    </row>
    <row r="43" spans="1:9" x14ac:dyDescent="0.25">
      <c r="A43" s="106" t="s">
        <v>112</v>
      </c>
      <c r="B43" s="107"/>
      <c r="C43" s="107"/>
      <c r="D43" s="107"/>
      <c r="E43" s="107"/>
      <c r="F43" s="107"/>
      <c r="G43" s="107"/>
      <c r="H43" s="107"/>
      <c r="I43" s="108"/>
    </row>
    <row r="44" spans="1:9" x14ac:dyDescent="0.25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 x14ac:dyDescent="0.25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 x14ac:dyDescent="0.25">
      <c r="A46" s="112"/>
      <c r="B46" s="94"/>
      <c r="C46" s="94"/>
      <c r="D46" s="94"/>
      <c r="E46" s="94"/>
      <c r="F46" s="94"/>
      <c r="G46" s="94"/>
      <c r="H46" s="94"/>
      <c r="I46" s="94"/>
    </row>
    <row r="47" spans="1:9" x14ac:dyDescent="0.25">
      <c r="A47" s="75" t="s">
        <v>113</v>
      </c>
      <c r="B47" s="77"/>
      <c r="C47" s="77"/>
      <c r="D47" s="77"/>
      <c r="E47" s="113"/>
      <c r="F47" s="94"/>
      <c r="G47" s="94"/>
      <c r="H47" s="94"/>
      <c r="I47" s="114"/>
    </row>
    <row r="48" spans="1:9" x14ac:dyDescent="0.25">
      <c r="A48" s="115" t="s">
        <v>114</v>
      </c>
      <c r="B48" s="116"/>
      <c r="C48" s="116"/>
      <c r="D48" s="116"/>
      <c r="E48" s="116"/>
      <c r="F48" s="116"/>
      <c r="G48" s="116"/>
      <c r="H48" s="116"/>
      <c r="I48" s="117"/>
    </row>
    <row r="49" spans="1:9" x14ac:dyDescent="0.25">
      <c r="A49" s="106" t="s">
        <v>115</v>
      </c>
      <c r="B49" s="107"/>
      <c r="C49" s="107"/>
      <c r="D49" s="107"/>
      <c r="E49" s="107"/>
      <c r="F49" s="107"/>
      <c r="G49" s="107"/>
      <c r="H49" s="107"/>
      <c r="I49" s="108"/>
    </row>
    <row r="50" spans="1:9" x14ac:dyDescent="0.25">
      <c r="A50" s="118" t="s">
        <v>116</v>
      </c>
      <c r="B50" s="107"/>
      <c r="C50" s="107"/>
      <c r="D50" s="107"/>
      <c r="E50" s="107"/>
      <c r="F50" s="107"/>
      <c r="G50" s="107"/>
      <c r="H50" s="107"/>
      <c r="I50" s="108"/>
    </row>
    <row r="51" spans="1:9" x14ac:dyDescent="0.25">
      <c r="A51" s="118" t="s">
        <v>117</v>
      </c>
      <c r="B51" s="107"/>
      <c r="C51" s="107"/>
      <c r="D51" s="107"/>
      <c r="E51" s="107"/>
      <c r="F51" s="107"/>
      <c r="G51" s="107"/>
      <c r="H51" s="107"/>
      <c r="I51" s="108"/>
    </row>
    <row r="52" spans="1:9" x14ac:dyDescent="0.25">
      <c r="A52" s="118" t="s">
        <v>118</v>
      </c>
      <c r="B52" s="107"/>
      <c r="C52" s="107"/>
      <c r="D52" s="107"/>
      <c r="E52" s="107"/>
      <c r="F52" s="107"/>
      <c r="G52" s="107"/>
      <c r="H52" s="107"/>
      <c r="I52" s="108"/>
    </row>
    <row r="53" spans="1:9" x14ac:dyDescent="0.25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 x14ac:dyDescent="0.25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 x14ac:dyDescent="0.25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 x14ac:dyDescent="0.25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topLeftCell="A4" zoomScale="115" zoomScaleNormal="115" workbookViewId="0">
      <selection activeCell="D23" sqref="D23"/>
    </sheetView>
  </sheetViews>
  <sheetFormatPr defaultColWidth="10.7109375" defaultRowHeight="15" x14ac:dyDescent="0.25"/>
  <cols>
    <col min="1" max="1" width="24.28515625" style="136" bestFit="1" customWidth="1"/>
    <col min="2" max="2" width="12.42578125" style="136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10.285156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37" t="s">
        <v>119</v>
      </c>
      <c r="B2" s="28"/>
      <c r="C2" s="146"/>
      <c r="G2" s="141" t="s">
        <v>120</v>
      </c>
      <c r="H2" s="247">
        <f>'P&amp;L'!R2</f>
        <v>21</v>
      </c>
      <c r="L2" s="244" t="s">
        <v>121</v>
      </c>
      <c r="M2" s="244" t="s">
        <v>7</v>
      </c>
    </row>
    <row r="3" spans="1:13" ht="15.75" thickBot="1" x14ac:dyDescent="0.3">
      <c r="A3" s="438"/>
      <c r="B3" s="169"/>
      <c r="C3" s="170"/>
      <c r="E3" s="141" t="s">
        <v>122</v>
      </c>
      <c r="F3" s="143"/>
      <c r="G3" s="141" t="s">
        <v>123</v>
      </c>
      <c r="H3" s="247">
        <f>H4/12</f>
        <v>91</v>
      </c>
      <c r="J3" s="230" t="s">
        <v>124</v>
      </c>
      <c r="L3" s="244">
        <v>737</v>
      </c>
      <c r="M3" s="244">
        <v>1</v>
      </c>
    </row>
    <row r="4" spans="1:13" ht="15.75" thickBot="1" x14ac:dyDescent="0.3">
      <c r="E4" s="141" t="s">
        <v>3</v>
      </c>
      <c r="F4" s="142">
        <f>'P&amp;L'!R4</f>
        <v>0.85</v>
      </c>
      <c r="G4" s="141" t="s">
        <v>125</v>
      </c>
      <c r="H4" s="141">
        <f>H2*52</f>
        <v>1092</v>
      </c>
      <c r="J4" s="231">
        <f>H17*H4</f>
        <v>6320934.8933646027</v>
      </c>
      <c r="L4" s="244"/>
      <c r="M4" s="244"/>
    </row>
    <row r="5" spans="1:13" ht="15.75" thickBot="1" x14ac:dyDescent="0.3">
      <c r="A5" s="137" t="s">
        <v>126</v>
      </c>
      <c r="L5" s="244"/>
      <c r="M5" s="244"/>
    </row>
    <row r="6" spans="1:13" ht="15.75" thickBot="1" x14ac:dyDescent="0.3">
      <c r="A6" s="157" t="s">
        <v>127</v>
      </c>
      <c r="B6" s="157" t="s">
        <v>31</v>
      </c>
      <c r="C6" s="157" t="s">
        <v>32</v>
      </c>
      <c r="D6" s="157" t="s">
        <v>33</v>
      </c>
      <c r="E6" s="157" t="s">
        <v>34</v>
      </c>
      <c r="F6" s="157" t="s">
        <v>35</v>
      </c>
      <c r="G6" s="157" t="s">
        <v>36</v>
      </c>
      <c r="H6" s="157" t="s">
        <v>128</v>
      </c>
      <c r="I6" s="156" t="s">
        <v>129</v>
      </c>
      <c r="L6" s="243"/>
      <c r="M6" s="243"/>
    </row>
    <row r="7" spans="1:13" ht="15.75" thickBot="1" x14ac:dyDescent="0.3">
      <c r="A7" s="135" t="s">
        <v>130</v>
      </c>
      <c r="B7" s="135">
        <f>+'FlightConfig '!B17</f>
        <v>0</v>
      </c>
      <c r="C7" s="135">
        <f>('Summary FLT104'!C7+'Summary FLT110'!C7)/2</f>
        <v>32</v>
      </c>
      <c r="D7" s="135">
        <f>('Summary FLT104'!D7+'Summary FLT110'!D7)/2</f>
        <v>46</v>
      </c>
      <c r="E7" s="135">
        <f>('Summary FLT104'!E7+'Summary FLT110'!E7)/2</f>
        <v>191</v>
      </c>
      <c r="F7" s="135">
        <f>('Summary FLT104'!F7+'Summary FLT110'!F7)/2</f>
        <v>0</v>
      </c>
      <c r="G7" s="135">
        <f>('Summary FLT104'!G7+'Summary FLT110'!G7)/2</f>
        <v>6</v>
      </c>
      <c r="H7" s="135">
        <f>('Summary FLT104'!H7+'Summary FLT110'!H7)/2</f>
        <v>275</v>
      </c>
      <c r="L7" s="243"/>
      <c r="M7" s="243"/>
    </row>
    <row r="8" spans="1:13" ht="15.75" thickBot="1" x14ac:dyDescent="0.3">
      <c r="A8" s="135" t="s">
        <v>131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40</v>
      </c>
      <c r="E8" s="135">
        <f t="shared" si="0"/>
        <v>163</v>
      </c>
      <c r="F8" s="135">
        <f t="shared" si="0"/>
        <v>0</v>
      </c>
      <c r="G8" s="135">
        <f t="shared" si="0"/>
        <v>6</v>
      </c>
      <c r="H8" s="135">
        <f>SUM(B8:G8)</f>
        <v>237</v>
      </c>
      <c r="L8" s="243"/>
      <c r="M8" s="243"/>
    </row>
    <row r="9" spans="1:13" ht="15.75" thickBot="1" x14ac:dyDescent="0.3">
      <c r="A9" s="278"/>
      <c r="B9" s="279" t="s">
        <v>132</v>
      </c>
      <c r="C9" s="279" t="s">
        <v>133</v>
      </c>
      <c r="D9" s="279" t="s">
        <v>134</v>
      </c>
      <c r="E9" s="279" t="s">
        <v>135</v>
      </c>
      <c r="F9" s="279" t="s">
        <v>136</v>
      </c>
      <c r="G9" s="279" t="s">
        <v>137</v>
      </c>
      <c r="H9" s="157" t="s">
        <v>138</v>
      </c>
      <c r="J9" s="157" t="s">
        <v>139</v>
      </c>
    </row>
    <row r="10" spans="1:13" ht="15.75" thickBot="1" x14ac:dyDescent="0.3">
      <c r="A10" s="135" t="s">
        <v>140</v>
      </c>
      <c r="B10" s="139">
        <f>('Summary FLT104'!B10+'Summary FLT110'!B10)/2</f>
        <v>0</v>
      </c>
      <c r="C10" s="139">
        <f>('Summary FLT104'!C10+'Summary FLT110'!C10)/2</f>
        <v>0</v>
      </c>
      <c r="D10" s="139">
        <f>('Summary FLT104'!D10+'Summary FLT110'!D10)/2</f>
        <v>0</v>
      </c>
      <c r="E10" s="139">
        <f>('Summary FLT104'!E10+'Summary FLT110'!E10)/2</f>
        <v>0</v>
      </c>
      <c r="F10" s="139">
        <f>('Summary FLT104'!F10+'Summary FLT110'!F10)/2</f>
        <v>0</v>
      </c>
      <c r="G10" s="139">
        <f>('Summary FLT104'!G10+'Summary FLT110'!G10)/2</f>
        <v>0</v>
      </c>
      <c r="H10" s="139">
        <f>('Summary FLT104'!H10+'Summary FLT110'!H10)/2</f>
        <v>0</v>
      </c>
      <c r="J10" s="138">
        <f>H10*$H$4</f>
        <v>0</v>
      </c>
    </row>
    <row r="11" spans="1:13" ht="15.75" thickBot="1" x14ac:dyDescent="0.3">
      <c r="A11" s="135" t="s">
        <v>141</v>
      </c>
      <c r="B11" s="139">
        <f>('Summary FLT104'!B11+'Summary FLT110'!B11)/2</f>
        <v>0</v>
      </c>
      <c r="C11" s="139">
        <f>('Summary FLT104'!C11+'Summary FLT110'!C11)/2</f>
        <v>623.09296338435342</v>
      </c>
      <c r="D11" s="139">
        <f>('Summary FLT104'!D11+'Summary FLT110'!D11)/2</f>
        <v>550.992565625</v>
      </c>
      <c r="E11" s="139">
        <f>('Summary FLT104'!E11+'Summary FLT110'!E11)/2</f>
        <v>1065.1635468990553</v>
      </c>
      <c r="F11" s="139">
        <f>('Summary FLT104'!F11+'Summary FLT110'!F11)/2</f>
        <v>0</v>
      </c>
      <c r="G11" s="139">
        <f>('Summary FLT104'!G11+'Summary FLT110'!G11)/2</f>
        <v>132.27600000000001</v>
      </c>
      <c r="H11" s="139">
        <f>('Summary FLT104'!H11+'Summary FLT110'!H11)/2</f>
        <v>2371.5250759084088</v>
      </c>
      <c r="I11" s="177">
        <f>I12*45%</f>
        <v>1626.3384562176077</v>
      </c>
      <c r="J11" s="138">
        <f>H11*$H$4</f>
        <v>2589705.3828919823</v>
      </c>
    </row>
    <row r="12" spans="1:13" ht="15.75" thickBot="1" x14ac:dyDescent="0.3">
      <c r="A12" s="135" t="s">
        <v>142</v>
      </c>
      <c r="B12" s="139">
        <f>('Summary FLT104'!B12+'Summary FLT110'!B12)/2</f>
        <v>0</v>
      </c>
      <c r="C12" s="139">
        <f>('Summary FLT104'!C12+'Summary FLT110'!C12)/2</f>
        <v>214.56038235294119</v>
      </c>
      <c r="D12" s="139">
        <f>('Summary FLT104'!D12+'Summary FLT110'!D12)/2</f>
        <v>276.94</v>
      </c>
      <c r="E12" s="139">
        <f>('Summary FLT104'!E12+'Summary FLT110'!E12)/2</f>
        <v>694.9</v>
      </c>
      <c r="F12" s="139">
        <f>('Summary FLT104'!F12+'Summary FLT110'!F12)/2</f>
        <v>0</v>
      </c>
      <c r="G12" s="139">
        <f>('Summary FLT104'!G12+'Summary FLT110'!G12)/2</f>
        <v>56.160000000000004</v>
      </c>
      <c r="H12" s="139">
        <f>('Summary FLT104'!H12+'Summary FLT110'!H12)/2</f>
        <v>1242.5603823529411</v>
      </c>
      <c r="I12" s="249">
        <f>H11+H12</f>
        <v>3614.0854582613501</v>
      </c>
      <c r="J12" s="138">
        <f t="shared" ref="J12:J17" si="1">H12*$H$4</f>
        <v>1356875.9375294116</v>
      </c>
    </row>
    <row r="13" spans="1:13" ht="15.75" thickBot="1" x14ac:dyDescent="0.3">
      <c r="A13" s="135" t="s">
        <v>143</v>
      </c>
      <c r="B13" s="139">
        <f>('Summary FLT104'!B13+'Summary FLT110'!B13)/2</f>
        <v>0</v>
      </c>
      <c r="C13" s="139">
        <f>('Summary FLT104'!C13+'Summary FLT110'!C13)/2</f>
        <v>93.46394450765294</v>
      </c>
      <c r="D13" s="139">
        <f>('Summary FLT104'!D13+'Summary FLT110'!D13)/2</f>
        <v>82.648884843749926</v>
      </c>
      <c r="E13" s="139">
        <f>('Summary FLT104'!E13+'Summary FLT110'!E13)/2</f>
        <v>159.7745320348582</v>
      </c>
      <c r="F13" s="139">
        <f>('Summary FLT104'!F13+'Summary FLT110'!F13)/2</f>
        <v>0</v>
      </c>
      <c r="G13" s="139">
        <f>('Summary FLT104'!G13+'Summary FLT110'!G13)/2</f>
        <v>19.841399999999986</v>
      </c>
      <c r="H13" s="139">
        <f>('Summary FLT104'!H13+'Summary FLT110'!H13)/2</f>
        <v>355.72876138626106</v>
      </c>
      <c r="J13" s="138">
        <f t="shared" si="1"/>
        <v>388455.80743379705</v>
      </c>
    </row>
    <row r="14" spans="1:13" ht="15.75" thickBot="1" x14ac:dyDescent="0.3">
      <c r="A14" s="135" t="s">
        <v>144</v>
      </c>
      <c r="B14" s="139">
        <f>('Summary FLT104'!B14+'Summary FLT110'!B14)/2</f>
        <v>0</v>
      </c>
      <c r="C14" s="139">
        <f>('Summary FLT104'!C14+'Summary FLT110'!C14)/2</f>
        <v>32.184057352941153</v>
      </c>
      <c r="D14" s="139">
        <f>('Summary FLT104'!D14+'Summary FLT110'!D14)/2</f>
        <v>41.540999999999968</v>
      </c>
      <c r="E14" s="139">
        <f>('Summary FLT104'!E14+'Summary FLT110'!E14)/2</f>
        <v>104.23499999999993</v>
      </c>
      <c r="F14" s="139">
        <f>('Summary FLT104'!F14+'Summary FLT110'!F14)/2</f>
        <v>0</v>
      </c>
      <c r="G14" s="139">
        <f>('Summary FLT104'!G14+'Summary FLT110'!G14)/2</f>
        <v>8.4239999999999924</v>
      </c>
      <c r="H14" s="139">
        <f>('Summary FLT104'!H14+'Summary FLT110'!H14)/2</f>
        <v>186.38405735294106</v>
      </c>
      <c r="J14" s="138">
        <f t="shared" si="1"/>
        <v>203531.39062941165</v>
      </c>
      <c r="L14" s="157" t="s">
        <v>145</v>
      </c>
      <c r="M14" s="157"/>
    </row>
    <row r="15" spans="1:13" ht="15.75" thickBot="1" x14ac:dyDescent="0.3">
      <c r="A15" s="135" t="s">
        <v>146</v>
      </c>
      <c r="B15" s="139">
        <f>('Summary FLT104'!B15+'Summary FLT110'!B15)/2</f>
        <v>0</v>
      </c>
      <c r="C15" s="139">
        <f>('Summary FLT104'!C15+'Summary FLT110'!C15)/2</f>
        <v>0</v>
      </c>
      <c r="D15" s="139">
        <f>('Summary FLT104'!D15+'Summary FLT110'!D15)/2</f>
        <v>0</v>
      </c>
      <c r="E15" s="139">
        <f>('Summary FLT104'!E15+'Summary FLT110'!E15)/2</f>
        <v>1444.4280000000001</v>
      </c>
      <c r="F15" s="139">
        <f>('Summary FLT104'!F15+'Summary FLT110'!F15)/2</f>
        <v>0</v>
      </c>
      <c r="G15" s="139">
        <f>('Summary FLT104'!G15+'Summary FLT110'!G15)/2</f>
        <v>0</v>
      </c>
      <c r="H15" s="139">
        <f>('Summary FLT104'!H15+'Summary FLT110'!H15)/2</f>
        <v>1444.4280000000001</v>
      </c>
      <c r="I15" s="177"/>
      <c r="J15" s="138">
        <f t="shared" si="1"/>
        <v>1577315.3760000002</v>
      </c>
      <c r="L15" s="237">
        <f>J12+J15</f>
        <v>2934191.3135294118</v>
      </c>
      <c r="M15" s="239">
        <v>1</v>
      </c>
    </row>
    <row r="16" spans="1:13" ht="15.75" thickBot="1" x14ac:dyDescent="0.3">
      <c r="A16" s="135" t="s">
        <v>147</v>
      </c>
      <c r="B16" s="139">
        <f>('Summary FLT104'!B16+'Summary FLT110'!B16)/2</f>
        <v>0</v>
      </c>
      <c r="C16" s="139">
        <f>('Summary FLT104'!C16+'Summary FLT110'!C16)/2</f>
        <v>0</v>
      </c>
      <c r="D16" s="139">
        <f>('Summary FLT104'!D16+'Summary FLT110'!D16)/2</f>
        <v>0</v>
      </c>
      <c r="E16" s="139">
        <f>('Summary FLT104'!E16+'Summary FLT110'!E16)/2</f>
        <v>187.77564000000001</v>
      </c>
      <c r="F16" s="139">
        <f>('Summary FLT104'!F16+'Summary FLT110'!F16)/2</f>
        <v>0</v>
      </c>
      <c r="G16" s="139">
        <f>('Summary FLT104'!G16+'Summary FLT110'!G16)/2</f>
        <v>0</v>
      </c>
      <c r="H16" s="139">
        <f>('Summary FLT104'!H16+'Summary FLT110'!H16)/2</f>
        <v>187.77564000000001</v>
      </c>
      <c r="I16" s="155"/>
      <c r="J16" s="138">
        <f t="shared" si="1"/>
        <v>205050.99888</v>
      </c>
      <c r="L16" s="237">
        <f>L15*M16</f>
        <v>2347353.0508235297</v>
      </c>
      <c r="M16" s="239">
        <v>0.8</v>
      </c>
    </row>
    <row r="17" spans="1:13" ht="15.75" thickBot="1" x14ac:dyDescent="0.3">
      <c r="A17" s="158" t="s">
        <v>148</v>
      </c>
      <c r="B17" s="159">
        <f>SUM(B11:B16)</f>
        <v>0</v>
      </c>
      <c r="C17" s="159">
        <f>SUM(C11:C16)</f>
        <v>963.30134759788871</v>
      </c>
      <c r="D17" s="159">
        <f>SUM(D10:D16)</f>
        <v>952.12245046874989</v>
      </c>
      <c r="E17" s="159">
        <f>SUM(E10:E16)</f>
        <v>3656.2767189339133</v>
      </c>
      <c r="F17" s="159">
        <f>SUM(F10:F16)</f>
        <v>0</v>
      </c>
      <c r="G17" s="159">
        <f>SUM(G10:G16)</f>
        <v>216.70139999999998</v>
      </c>
      <c r="H17" s="159">
        <f>SUM(H10:H16)</f>
        <v>5788.4019170005522</v>
      </c>
      <c r="J17" s="229">
        <f t="shared" si="1"/>
        <v>6320934.8933646027</v>
      </c>
      <c r="L17" s="237">
        <f>L15*M17</f>
        <v>586838.26270588243</v>
      </c>
      <c r="M17" s="239">
        <v>0.2</v>
      </c>
    </row>
    <row r="18" spans="1:13" ht="15.75" thickBot="1" x14ac:dyDescent="0.3">
      <c r="A18" s="217"/>
      <c r="B18" s="218">
        <f>B17</f>
        <v>0</v>
      </c>
      <c r="C18" s="218">
        <f>C17</f>
        <v>963.30134759788871</v>
      </c>
      <c r="D18" s="218">
        <f>D17</f>
        <v>952.12245046874989</v>
      </c>
      <c r="E18" s="218">
        <f>E17-E15-E16</f>
        <v>2024.0730789339129</v>
      </c>
      <c r="F18" s="218">
        <f>F17</f>
        <v>0</v>
      </c>
      <c r="G18" s="218">
        <f>G17</f>
        <v>216.70139999999998</v>
      </c>
      <c r="H18" s="218"/>
      <c r="I18" s="218">
        <f>E15+E16</f>
        <v>1632.2036400000002</v>
      </c>
      <c r="J18" s="218"/>
      <c r="L18" s="236"/>
    </row>
    <row r="19" spans="1:13" ht="15.75" thickBot="1" x14ac:dyDescent="0.3">
      <c r="A19" s="157" t="s">
        <v>149</v>
      </c>
      <c r="B19" s="221" t="s">
        <v>150</v>
      </c>
      <c r="C19" s="221" t="s">
        <v>151</v>
      </c>
      <c r="D19" s="221" t="s">
        <v>152</v>
      </c>
      <c r="E19" s="154"/>
      <c r="F19" s="154"/>
      <c r="G19" s="154"/>
      <c r="H19" s="156"/>
      <c r="I19" s="154">
        <f>E16</f>
        <v>187.77564000000001</v>
      </c>
      <c r="J19" s="249">
        <f>H11+H12+H15</f>
        <v>5058.51345826135</v>
      </c>
    </row>
    <row r="20" spans="1:13" ht="15.75" thickBot="1" x14ac:dyDescent="0.3">
      <c r="A20" s="219" t="s">
        <v>153</v>
      </c>
      <c r="B20" s="139"/>
      <c r="C20" s="139"/>
      <c r="D20" s="220">
        <f>Handling!C84+Handling!S39+Handling!S45+Handling!V53+Handling!AD39</f>
        <v>1575.559</v>
      </c>
      <c r="G20" s="177"/>
      <c r="J20" s="249">
        <f>H13+H14+H16</f>
        <v>729.88845873920218</v>
      </c>
    </row>
    <row r="21" spans="1:13" ht="15.75" hidden="1" thickBot="1" x14ac:dyDescent="0.3">
      <c r="A21" s="158" t="s">
        <v>154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155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156</v>
      </c>
      <c r="B24" s="139">
        <f>IFERROR(((B11+B12+B13+B14)/B8),0)</f>
        <v>0</v>
      </c>
      <c r="C24" s="139">
        <f>IFERROR(((C11+C12+C13+C14)/C8),0)</f>
        <v>34.403619557067451</v>
      </c>
      <c r="D24" s="139">
        <f>IFERROR(((D10+D11+D12+D13+D14)/D8),0)</f>
        <v>23.803061261718746</v>
      </c>
      <c r="E24" s="139">
        <f>IFERROR(((E10+E11+E12+E13+E14)/E8),0)</f>
        <v>12.417626251128302</v>
      </c>
      <c r="F24" s="139">
        <f>IFERROR(((F10+F11+F12+F13+F14)/F8),0)</f>
        <v>0</v>
      </c>
      <c r="G24" s="139">
        <f>IFERROR(((G10+G11+G12+G13+G14)/G8),0)</f>
        <v>36.116899999999994</v>
      </c>
    </row>
    <row r="25" spans="1:13" ht="15.75" thickBot="1" x14ac:dyDescent="0.3">
      <c r="A25" s="135" t="s">
        <v>157</v>
      </c>
      <c r="B25" s="139">
        <f t="shared" ref="B25:G25" si="2">IFERROR(((B13+B14)/B8),0)</f>
        <v>0</v>
      </c>
      <c r="C25" s="139">
        <f t="shared" si="2"/>
        <v>4.4874286378783603</v>
      </c>
      <c r="D25" s="139">
        <f t="shared" si="2"/>
        <v>3.1047471210937472</v>
      </c>
      <c r="E25" s="139">
        <f t="shared" si="2"/>
        <v>1.6196903805819516</v>
      </c>
      <c r="F25" s="139">
        <f t="shared" si="2"/>
        <v>0</v>
      </c>
      <c r="G25" s="139">
        <f t="shared" si="2"/>
        <v>4.7108999999999961</v>
      </c>
      <c r="J25" s="249">
        <f>J11+J12+J15</f>
        <v>5523896.6964213941</v>
      </c>
    </row>
    <row r="26" spans="1:13" ht="15.75" thickBot="1" x14ac:dyDescent="0.3">
      <c r="A26" s="135" t="s">
        <v>158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  <c r="J26" s="249">
        <f>J13+J14+J16</f>
        <v>797038.19694320869</v>
      </c>
    </row>
    <row r="27" spans="1:13" s="233" customFormat="1" x14ac:dyDescent="0.25">
      <c r="A27" s="234"/>
      <c r="B27" s="235"/>
      <c r="C27" s="235"/>
      <c r="D27" s="235"/>
      <c r="E27" s="235"/>
      <c r="F27" s="235"/>
      <c r="G27" s="235"/>
    </row>
    <row r="28" spans="1:13" x14ac:dyDescent="0.25">
      <c r="B28" s="158" t="s">
        <v>159</v>
      </c>
      <c r="C28" s="158" t="s">
        <v>160</v>
      </c>
    </row>
    <row r="29" spans="1:13" ht="15.75" thickBot="1" x14ac:dyDescent="0.3">
      <c r="A29" s="158" t="s">
        <v>161</v>
      </c>
      <c r="B29" s="158">
        <f>'P&amp;L'!R5</f>
        <v>1</v>
      </c>
      <c r="C29" s="158"/>
    </row>
    <row r="30" spans="1:13" ht="15.75" thickBot="1" x14ac:dyDescent="0.3">
      <c r="A30" s="135" t="s">
        <v>140</v>
      </c>
      <c r="B30" s="139">
        <f t="shared" ref="B30:G30" si="4">B37*B8</f>
        <v>0</v>
      </c>
      <c r="C30" s="139">
        <f t="shared" si="4"/>
        <v>0</v>
      </c>
      <c r="D30" s="139">
        <f t="shared" si="4"/>
        <v>0</v>
      </c>
      <c r="E30" s="139">
        <f t="shared" si="4"/>
        <v>0</v>
      </c>
      <c r="F30" s="139">
        <f t="shared" si="4"/>
        <v>0</v>
      </c>
      <c r="G30" s="139">
        <f t="shared" si="4"/>
        <v>0</v>
      </c>
    </row>
    <row r="31" spans="1:13" ht="15.75" thickBot="1" x14ac:dyDescent="0.3">
      <c r="A31" s="135" t="s">
        <v>141</v>
      </c>
      <c r="B31" s="139">
        <f>('Summary FLT104'!B31+'Summary FLT110'!B31)/2</f>
        <v>0</v>
      </c>
      <c r="C31" s="139">
        <f>('Summary FLT104'!C31+'Summary FLT110'!C31)/2</f>
        <v>725.94514672648324</v>
      </c>
      <c r="D31" s="139">
        <f>('Summary FLT104'!D31+'Summary FLT110'!D31)/2</f>
        <v>641.86214999999993</v>
      </c>
      <c r="E31" s="139">
        <f>('Summary FLT104'!E31+'Summary FLT110'!E31)/2</f>
        <v>1248.0784454793663</v>
      </c>
      <c r="F31" s="139">
        <f>('Summary FLT104'!F31+'Summary FLT110'!F31)/2</f>
        <v>0</v>
      </c>
      <c r="G31" s="139">
        <f>('Summary FLT104'!G31+'Summary FLT110'!G31)/2</f>
        <v>132.27600000000001</v>
      </c>
    </row>
    <row r="32" spans="1:13" ht="15.75" thickBot="1" x14ac:dyDescent="0.3">
      <c r="A32" s="135" t="s">
        <v>142</v>
      </c>
      <c r="B32" s="139">
        <f>('Summary FLT104'!B32+'Summary FLT110'!B32)/2</f>
        <v>0</v>
      </c>
      <c r="C32" s="139">
        <f>('Summary FLT104'!C32+'Summary FLT110'!C32)/2</f>
        <v>249.77000000000004</v>
      </c>
      <c r="D32" s="139">
        <f>('Summary FLT104'!D32+'Summary FLT110'!D32)/2</f>
        <v>322.72000000000003</v>
      </c>
      <c r="E32" s="139">
        <f>('Summary FLT104'!E32+'Summary FLT110'!E32)/2</f>
        <v>814.25</v>
      </c>
      <c r="F32" s="139">
        <f>('Summary FLT104'!F32+'Summary FLT110'!F32)/2</f>
        <v>0</v>
      </c>
      <c r="G32" s="139">
        <f>('Summary FLT104'!G32+'Summary FLT110'!G32)/2</f>
        <v>56.160000000000004</v>
      </c>
    </row>
    <row r="33" spans="1:7" ht="15.75" thickBot="1" x14ac:dyDescent="0.3">
      <c r="A33" s="135" t="s">
        <v>162</v>
      </c>
      <c r="B33" s="139">
        <f>('Summary FLT104'!B33+'Summary FLT110'!B33)/2</f>
        <v>0</v>
      </c>
      <c r="C33" s="139">
        <f>('Summary FLT104'!C33+'Summary FLT110'!C33)/2</f>
        <v>108.89177200897242</v>
      </c>
      <c r="D33" s="139">
        <f>('Summary FLT104'!D33+'Summary FLT110'!D33)/2</f>
        <v>96.279322499999921</v>
      </c>
      <c r="E33" s="139">
        <f>('Summary FLT104'!E33+'Summary FLT110'!E33)/2</f>
        <v>187.21176682190486</v>
      </c>
      <c r="F33" s="139">
        <f>('Summary FLT104'!F33+'Summary FLT110'!F33)/2</f>
        <v>0</v>
      </c>
      <c r="G33" s="139">
        <f>('Summary FLT104'!G33+'Summary FLT110'!G33)/2</f>
        <v>19.841399999999989</v>
      </c>
    </row>
    <row r="34" spans="1:7" ht="15.75" thickBot="1" x14ac:dyDescent="0.3">
      <c r="A34" s="135" t="s">
        <v>163</v>
      </c>
      <c r="B34" s="139">
        <f>('Summary FLT104'!B34+'Summary FLT110'!B34)/2</f>
        <v>0</v>
      </c>
      <c r="C34" s="139">
        <f>('Summary FLT104'!C34+'Summary FLT110'!C34)/2</f>
        <v>37.465499999999977</v>
      </c>
      <c r="D34" s="139">
        <f>('Summary FLT104'!D34+'Summary FLT110'!D34)/2</f>
        <v>48.407999999999966</v>
      </c>
      <c r="E34" s="139">
        <f>('Summary FLT104'!E34+'Summary FLT110'!E34)/2</f>
        <v>122.13749999999992</v>
      </c>
      <c r="F34" s="139">
        <f>('Summary FLT104'!F34+'Summary FLT110'!F34)/2</f>
        <v>0</v>
      </c>
      <c r="G34" s="139">
        <f>('Summary FLT104'!G34+'Summary FLT110'!G34)/2</f>
        <v>8.4239999999999942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164</v>
      </c>
    </row>
    <row r="37" spans="1:7" ht="15.75" thickBot="1" x14ac:dyDescent="0.3">
      <c r="A37" s="135" t="s">
        <v>140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141</v>
      </c>
      <c r="B38" s="139" t="str">
        <f t="shared" ref="B38:G38" si="5">IFERROR(B31/B7," ")</f>
        <v xml:space="preserve"> </v>
      </c>
      <c r="C38" s="139">
        <f t="shared" si="5"/>
        <v>22.685785835202601</v>
      </c>
      <c r="D38" s="139">
        <f t="shared" si="5"/>
        <v>13.953524999999999</v>
      </c>
      <c r="E38" s="139">
        <f t="shared" si="5"/>
        <v>6.5344421229286196</v>
      </c>
      <c r="F38" s="139" t="str">
        <f t="shared" si="5"/>
        <v xml:space="preserve"> </v>
      </c>
      <c r="G38" s="139">
        <f t="shared" si="5"/>
        <v>22.046000000000003</v>
      </c>
    </row>
    <row r="39" spans="1:7" ht="15.75" thickBot="1" x14ac:dyDescent="0.3">
      <c r="A39" s="135" t="s">
        <v>142</v>
      </c>
      <c r="B39" s="139" t="str">
        <f>IFERROR(B32/B7," ")</f>
        <v xml:space="preserve"> </v>
      </c>
      <c r="C39" s="139">
        <f t="shared" ref="C39:G39" si="6">IFERROR(C32/C7," ")</f>
        <v>7.8053125000000012</v>
      </c>
      <c r="D39" s="139">
        <f t="shared" si="6"/>
        <v>7.0156521739130442</v>
      </c>
      <c r="E39" s="139">
        <f t="shared" si="6"/>
        <v>4.2630890052356021</v>
      </c>
      <c r="F39" s="139" t="str">
        <f t="shared" si="6"/>
        <v xml:space="preserve"> </v>
      </c>
      <c r="G39" s="139">
        <f t="shared" si="6"/>
        <v>9.3600000000000012</v>
      </c>
    </row>
    <row r="40" spans="1:7" ht="15.75" thickBot="1" x14ac:dyDescent="0.3">
      <c r="A40" s="135" t="s">
        <v>162</v>
      </c>
      <c r="B40" s="139" t="str">
        <f>IFERROR(B33/B8," ")</f>
        <v xml:space="preserve"> </v>
      </c>
      <c r="C40" s="139">
        <f>IFERROR(C33/C7," ")</f>
        <v>3.4028678752803883</v>
      </c>
      <c r="D40" s="139">
        <f>IFERROR(D33/D7," ")</f>
        <v>2.0930287499999984</v>
      </c>
      <c r="E40" s="139">
        <f>IFERROR(E33/E7," ")</f>
        <v>0.98016631843929247</v>
      </c>
      <c r="F40" s="139" t="str">
        <f>IFERROR(F33/F7," ")</f>
        <v xml:space="preserve"> </v>
      </c>
      <c r="G40" s="139">
        <f>IFERROR(G33/G7," ")</f>
        <v>3.3068999999999984</v>
      </c>
    </row>
    <row r="41" spans="1:7" ht="15.75" thickBot="1" x14ac:dyDescent="0.3">
      <c r="A41" s="135" t="s">
        <v>163</v>
      </c>
      <c r="B41" s="139" t="str">
        <f t="shared" ref="B41:G41" si="7">IFERROR(B34/B7," ")</f>
        <v xml:space="preserve"> </v>
      </c>
      <c r="C41" s="139">
        <f t="shared" si="7"/>
        <v>1.1707968749999993</v>
      </c>
      <c r="D41" s="139">
        <f t="shared" si="7"/>
        <v>1.0523478260869559</v>
      </c>
      <c r="E41" s="139">
        <f t="shared" si="7"/>
        <v>0.63946335078533989</v>
      </c>
      <c r="F41" s="139" t="str">
        <f t="shared" si="7"/>
        <v xml:space="preserve"> </v>
      </c>
      <c r="G41" s="139">
        <f t="shared" si="7"/>
        <v>1.403999999999999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37" t="s">
        <v>119</v>
      </c>
      <c r="B2" s="28"/>
      <c r="C2" s="146"/>
      <c r="G2" s="141" t="s">
        <v>120</v>
      </c>
      <c r="H2" s="247">
        <f>'Summary  735'!H2+'Summary 2221'!H2+'Summary 2439'!H2+'Summary 2682'!H2+'Summary 2855'!H2</f>
        <v>0</v>
      </c>
      <c r="L2" s="244" t="s">
        <v>121</v>
      </c>
      <c r="M2" s="244" t="s">
        <v>7</v>
      </c>
    </row>
    <row r="3" spans="1:13" ht="15.75" thickBot="1" x14ac:dyDescent="0.3">
      <c r="A3" s="438"/>
      <c r="B3" s="169"/>
      <c r="C3" s="170"/>
      <c r="E3" s="141" t="s">
        <v>122</v>
      </c>
      <c r="F3" s="143">
        <v>737</v>
      </c>
      <c r="G3" s="141" t="s">
        <v>123</v>
      </c>
      <c r="H3" s="247">
        <f>H4/12</f>
        <v>0</v>
      </c>
      <c r="J3" s="230" t="s">
        <v>124</v>
      </c>
      <c r="L3" s="244">
        <v>737</v>
      </c>
      <c r="M3" s="244">
        <v>1</v>
      </c>
    </row>
    <row r="4" spans="1:13" ht="15.75" thickBot="1" x14ac:dyDescent="0.3">
      <c r="E4" s="141" t="s">
        <v>3</v>
      </c>
      <c r="F4" s="142">
        <f>'P&amp;L'!R4</f>
        <v>0.85</v>
      </c>
      <c r="G4" s="141" t="s">
        <v>125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 x14ac:dyDescent="0.3">
      <c r="A5" s="137" t="s">
        <v>126</v>
      </c>
      <c r="L5" s="244"/>
      <c r="M5" s="244"/>
    </row>
    <row r="6" spans="1:13" ht="15.75" thickBot="1" x14ac:dyDescent="0.3">
      <c r="A6" s="157" t="s">
        <v>127</v>
      </c>
      <c r="B6" s="157" t="s">
        <v>31</v>
      </c>
      <c r="C6" s="157" t="s">
        <v>32</v>
      </c>
      <c r="D6" s="157" t="s">
        <v>33</v>
      </c>
      <c r="E6" s="157" t="s">
        <v>34</v>
      </c>
      <c r="F6" s="157" t="s">
        <v>35</v>
      </c>
      <c r="G6" s="157" t="s">
        <v>36</v>
      </c>
      <c r="H6" s="157" t="s">
        <v>128</v>
      </c>
      <c r="I6" s="156" t="s">
        <v>129</v>
      </c>
      <c r="L6" s="243"/>
      <c r="M6" s="243"/>
    </row>
    <row r="7" spans="1:13" ht="15.75" thickBot="1" x14ac:dyDescent="0.3">
      <c r="A7" s="135" t="s">
        <v>130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 x14ac:dyDescent="0.3">
      <c r="A8" s="135" t="s">
        <v>131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 x14ac:dyDescent="0.3">
      <c r="A9" s="278"/>
      <c r="B9" s="279" t="s">
        <v>132</v>
      </c>
      <c r="C9" s="279" t="s">
        <v>133</v>
      </c>
      <c r="D9" s="279" t="s">
        <v>134</v>
      </c>
      <c r="E9" s="279" t="s">
        <v>135</v>
      </c>
      <c r="F9" s="279" t="s">
        <v>136</v>
      </c>
      <c r="G9" s="279" t="s">
        <v>137</v>
      </c>
      <c r="H9" s="157" t="s">
        <v>138</v>
      </c>
      <c r="J9" s="157" t="s">
        <v>139</v>
      </c>
    </row>
    <row r="10" spans="1:13" ht="15.75" thickBot="1" x14ac:dyDescent="0.3">
      <c r="A10" s="135" t="s">
        <v>140</v>
      </c>
      <c r="B10" s="139">
        <f>B37*B8</f>
        <v>0</v>
      </c>
      <c r="C10" s="139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39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39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39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39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38" t="e">
        <f t="shared" ref="H10:H16" si="1">SUM(B10:G10)</f>
        <v>#REF!</v>
      </c>
      <c r="J10" s="138" t="e">
        <f>H10*$H$4</f>
        <v>#REF!</v>
      </c>
    </row>
    <row r="11" spans="1:13" ht="15.75" thickBot="1" x14ac:dyDescent="0.3">
      <c r="A11" s="135" t="s">
        <v>141</v>
      </c>
      <c r="B11" s="139">
        <f>('Summary  735'!B11+'Summary 2221'!B11+'Summary 2439'!B11+'Summary 2682'!B11+'Summary 2855'!B11)/5</f>
        <v>0</v>
      </c>
      <c r="C11" s="139">
        <f>('Summary  735'!C11+'Summary 2221'!C11+'Summary 2439'!C11+'Summary 2682'!C11+'Summary 2855'!C11)/5</f>
        <v>0</v>
      </c>
      <c r="D11" s="139">
        <f>('Summary  735'!D11+'Summary 2221'!D11+'Summary 2439'!D11+'Summary 2682'!D11+'Summary 2855'!D11)/5</f>
        <v>0</v>
      </c>
      <c r="E11" s="139">
        <f>('Summary  735'!E11+'Summary 2221'!E11+'Summary 2439'!E11+'Summary 2682'!E11+'Summary 2855'!E11)/5</f>
        <v>0</v>
      </c>
      <c r="F11" s="139">
        <f>('Summary  735'!F11+'Summary 2221'!F11+'Summary 2439'!F11+'Summary 2682'!F11+'Summary 2855'!F11)/5</f>
        <v>0</v>
      </c>
      <c r="G11" s="139">
        <f>('Summary  735'!G11+'Summary 2221'!G11+'Summary 2439'!G11+'Summary 2682'!G11+'Summary 2855'!G11)/5</f>
        <v>0</v>
      </c>
      <c r="H11" s="138">
        <f t="shared" si="1"/>
        <v>0</v>
      </c>
      <c r="I11" s="177" t="e">
        <f>I12*45%</f>
        <v>#REF!</v>
      </c>
      <c r="J11" s="138">
        <f>H11*$H$4</f>
        <v>0</v>
      </c>
    </row>
    <row r="12" spans="1:13" ht="15.75" thickBot="1" x14ac:dyDescent="0.3">
      <c r="A12" s="135" t="s">
        <v>142</v>
      </c>
      <c r="B12" s="139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39">
        <f>('Summary  735'!C12+'Summary 2221'!C12+'Summary 2439'!C12+'Summary 2682'!C12+'Summary 2855'!C12)/5</f>
        <v>0</v>
      </c>
      <c r="D12" s="139">
        <f>('Summary  735'!D12+'Summary 2221'!D12+'Summary 2439'!D12+'Summary 2682'!D12+'Summary 2855'!D12)/5</f>
        <v>0</v>
      </c>
      <c r="E12" s="139">
        <f>('Summary  735'!E12+'Summary 2221'!E12+'Summary 2439'!E12+'Summary 2682'!E12+'Summary 2855'!E12)/5</f>
        <v>0</v>
      </c>
      <c r="F12" s="139">
        <f>('Summary  735'!F12+'Summary 2221'!F12+'Summary 2439'!F12+'Summary 2682'!F12+'Summary 2855'!F12)/5</f>
        <v>0</v>
      </c>
      <c r="G12" s="139">
        <f>('Summary  735'!G12+'Summary 2221'!G12+'Summary 2439'!G12+'Summary 2682'!G12+'Summary 2855'!G12)/5</f>
        <v>0</v>
      </c>
      <c r="H12" s="138" t="e">
        <f t="shared" si="1"/>
        <v>#REF!</v>
      </c>
      <c r="I12" s="249" t="e">
        <f>H11+H12</f>
        <v>#REF!</v>
      </c>
      <c r="J12" s="138" t="e">
        <f t="shared" ref="J12:J17" si="2">H12*$H$4</f>
        <v>#REF!</v>
      </c>
    </row>
    <row r="13" spans="1:13" ht="15.75" thickBot="1" x14ac:dyDescent="0.3">
      <c r="A13" s="135" t="s">
        <v>143</v>
      </c>
      <c r="B13" s="139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39">
        <f>('Summary  735'!C13+'Summary 2221'!C13+'Summary 2439'!C13+'Summary 2682'!C13+'Summary 2855'!C13)/5</f>
        <v>0</v>
      </c>
      <c r="D13" s="139">
        <f>('Summary  735'!D13+'Summary 2221'!D13+'Summary 2439'!D13+'Summary 2682'!D13+'Summary 2855'!D13)/5</f>
        <v>0</v>
      </c>
      <c r="E13" s="139">
        <f>('Summary  735'!E13+'Summary 2221'!E13+'Summary 2439'!E13+'Summary 2682'!E13+'Summary 2855'!E13)/5</f>
        <v>0</v>
      </c>
      <c r="F13" s="139">
        <f>('Summary  735'!F13+'Summary 2221'!F13+'Summary 2439'!F13+'Summary 2682'!F13+'Summary 2855'!F13)/5</f>
        <v>0</v>
      </c>
      <c r="G13" s="139">
        <f>('Summary  735'!G13+'Summary 2221'!G13+'Summary 2439'!G13+'Summary 2682'!G13+'Summary 2855'!G13)/5</f>
        <v>0</v>
      </c>
      <c r="H13" s="138" t="e">
        <f t="shared" si="1"/>
        <v>#VALUE!</v>
      </c>
      <c r="J13" s="138" t="e">
        <f t="shared" si="2"/>
        <v>#VALUE!</v>
      </c>
    </row>
    <row r="14" spans="1:13" ht="15.75" thickBot="1" x14ac:dyDescent="0.3">
      <c r="A14" s="135" t="s">
        <v>144</v>
      </c>
      <c r="B14" s="139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39">
        <f>('Summary  735'!C14+'Summary 2221'!C14+'Summary 2439'!C14+'Summary 2682'!C14+'Summary 2855'!C14)/5</f>
        <v>0</v>
      </c>
      <c r="D14" s="139">
        <f>('Summary  735'!D14+'Summary 2221'!D14+'Summary 2439'!D14+'Summary 2682'!D14+'Summary 2855'!D14)/5</f>
        <v>0</v>
      </c>
      <c r="E14" s="139">
        <f>('Summary  735'!E14+'Summary 2221'!E14+'Summary 2439'!E14+'Summary 2682'!E14+'Summary 2855'!E14)/5</f>
        <v>0</v>
      </c>
      <c r="F14" s="139">
        <f>('Summary  735'!F14+'Summary 2221'!F14+'Summary 2439'!F14+'Summary 2682'!F14+'Summary 2855'!F14)/5</f>
        <v>0</v>
      </c>
      <c r="G14" s="139">
        <f>('Summary  735'!G14+'Summary 2221'!G14+'Summary 2439'!G14+'Summary 2682'!G14+'Summary 2855'!G14)/5</f>
        <v>0</v>
      </c>
      <c r="H14" s="138" t="e">
        <f t="shared" si="1"/>
        <v>#VALUE!</v>
      </c>
      <c r="J14" s="138" t="e">
        <f t="shared" si="2"/>
        <v>#VALUE!</v>
      </c>
      <c r="L14" s="157" t="s">
        <v>145</v>
      </c>
      <c r="M14" s="157"/>
    </row>
    <row r="15" spans="1:13" ht="15.75" thickBot="1" x14ac:dyDescent="0.3">
      <c r="A15" s="135" t="s">
        <v>146</v>
      </c>
      <c r="B15" s="139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39">
        <f>('Summary  735'!C15+'Summary 2221'!C15+'Summary 2439'!C15+'Summary 2682'!C15+'Summary 2855'!C15)/5</f>
        <v>0</v>
      </c>
      <c r="D15" s="139">
        <f>('Summary  735'!D15+'Summary 2221'!D15+'Summary 2439'!D15+'Summary 2682'!D15+'Summary 2855'!D15)/5</f>
        <v>0</v>
      </c>
      <c r="E15" s="139">
        <f>('Summary  735'!E15+'Summary 2221'!E15+'Summary 2439'!E15+'Summary 2682'!E15+'Summary 2855'!E15)/5</f>
        <v>0</v>
      </c>
      <c r="F15" s="139">
        <f>('Summary  735'!F15+'Summary 2221'!F15+'Summary 2439'!F15+'Summary 2682'!F15+'Summary 2855'!F15)/5</f>
        <v>0</v>
      </c>
      <c r="G15" s="139">
        <f>('Summary  735'!G15+'Summary 2221'!G15+'Summary 2439'!G15+'Summary 2682'!G15+'Summary 2855'!G15)/5</f>
        <v>0</v>
      </c>
      <c r="H15" s="138" t="e">
        <f t="shared" si="1"/>
        <v>#REF!</v>
      </c>
      <c r="I15" s="177"/>
      <c r="J15" s="138" t="e">
        <f t="shared" si="2"/>
        <v>#REF!</v>
      </c>
      <c r="L15" s="237" t="e">
        <f>J12+J15</f>
        <v>#REF!</v>
      </c>
      <c r="M15" s="239">
        <v>1</v>
      </c>
    </row>
    <row r="16" spans="1:13" ht="15.75" thickBot="1" x14ac:dyDescent="0.3">
      <c r="A16" s="135" t="s">
        <v>147</v>
      </c>
      <c r="B16" s="139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39">
        <f>('Summary  735'!C16+'Summary 2221'!C16+'Summary 2439'!C16+'Summary 2682'!C16+'Summary 2855'!C16)/5</f>
        <v>0</v>
      </c>
      <c r="D16" s="139">
        <f>('Summary  735'!D16+'Summary 2221'!D16+'Summary 2439'!D16+'Summary 2682'!D16+'Summary 2855'!D16)/5</f>
        <v>0</v>
      </c>
      <c r="E16" s="139">
        <f>('Summary  735'!E16+'Summary 2221'!E16+'Summary 2439'!E16+'Summary 2682'!E16+'Summary 2855'!E16)/5</f>
        <v>0</v>
      </c>
      <c r="F16" s="139">
        <f>('Summary  735'!F16+'Summary 2221'!F16+'Summary 2439'!F16+'Summary 2682'!F16+'Summary 2855'!F16)/5</f>
        <v>0</v>
      </c>
      <c r="G16" s="139">
        <f>('Summary  735'!G16+'Summary 2221'!G16+'Summary 2439'!G16+'Summary 2682'!G16+'Summary 2855'!G16)/5</f>
        <v>0</v>
      </c>
      <c r="H16" s="138" t="e">
        <f t="shared" si="1"/>
        <v>#REF!</v>
      </c>
      <c r="I16" s="155"/>
      <c r="J16" s="138" t="e">
        <f t="shared" si="2"/>
        <v>#REF!</v>
      </c>
      <c r="L16" s="238" t="e">
        <f>L15*M16</f>
        <v>#REF!</v>
      </c>
      <c r="M16" s="239">
        <v>0.8</v>
      </c>
    </row>
    <row r="17" spans="1:13" ht="15.75" thickBot="1" x14ac:dyDescent="0.3">
      <c r="A17" s="158" t="s">
        <v>148</v>
      </c>
      <c r="B17" s="159" t="e">
        <f>SUM(B11:B16)</f>
        <v>#REF!</v>
      </c>
      <c r="C17" s="159">
        <f>SUM(C11:C16)</f>
        <v>0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9" t="e">
        <f t="shared" si="2"/>
        <v>#REF!</v>
      </c>
      <c r="L17" s="238" t="e">
        <f>L15*M17</f>
        <v>#REF!</v>
      </c>
      <c r="M17" s="239">
        <v>0.2</v>
      </c>
    </row>
    <row r="18" spans="1:13" ht="15.75" thickBot="1" x14ac:dyDescent="0.3">
      <c r="A18" s="217"/>
      <c r="B18" s="218" t="e">
        <f>B17</f>
        <v>#REF!</v>
      </c>
      <c r="C18" s="218">
        <f>C17</f>
        <v>0</v>
      </c>
      <c r="D18" s="218" t="e">
        <f>D17</f>
        <v>#REF!</v>
      </c>
      <c r="E18" s="218" t="e">
        <f>E17-E15-E16</f>
        <v>#REF!</v>
      </c>
      <c r="F18" s="218" t="e">
        <f>F17</f>
        <v>#REF!</v>
      </c>
      <c r="G18" s="218" t="e">
        <f>G17</f>
        <v>#REF!</v>
      </c>
      <c r="H18" s="218"/>
      <c r="I18" s="218">
        <f>E15+E16</f>
        <v>0</v>
      </c>
      <c r="J18" s="218"/>
      <c r="L18" s="236"/>
    </row>
    <row r="19" spans="1:13" ht="15.75" thickBot="1" x14ac:dyDescent="0.3">
      <c r="A19" s="157" t="s">
        <v>149</v>
      </c>
      <c r="B19" s="221" t="s">
        <v>150</v>
      </c>
      <c r="C19" s="221" t="s">
        <v>151</v>
      </c>
      <c r="D19" s="221" t="s">
        <v>152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9" t="s">
        <v>153</v>
      </c>
      <c r="B20" s="139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 x14ac:dyDescent="0.3">
      <c r="A21" s="158" t="s">
        <v>154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155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156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157</v>
      </c>
      <c r="B25" s="139">
        <f t="shared" ref="B25:G25" si="3">IFERROR(((B13+B14)/B8),0)</f>
        <v>0</v>
      </c>
      <c r="C25" s="139">
        <f t="shared" si="3"/>
        <v>0</v>
      </c>
      <c r="D25" s="139">
        <f t="shared" si="3"/>
        <v>0</v>
      </c>
      <c r="E25" s="139">
        <f t="shared" si="3"/>
        <v>0</v>
      </c>
      <c r="F25" s="139">
        <f t="shared" si="3"/>
        <v>0</v>
      </c>
      <c r="G25" s="139">
        <f t="shared" si="3"/>
        <v>0</v>
      </c>
    </row>
    <row r="26" spans="1:13" ht="15.75" thickBot="1" x14ac:dyDescent="0.3">
      <c r="A26" s="135" t="s">
        <v>158</v>
      </c>
      <c r="B26" s="139">
        <f t="shared" ref="B26:G26" si="4">IFERROR((B10/B8),0)</f>
        <v>0</v>
      </c>
      <c r="C26" s="139">
        <f t="shared" si="4"/>
        <v>0</v>
      </c>
      <c r="D26" s="139">
        <f t="shared" si="4"/>
        <v>0</v>
      </c>
      <c r="E26" s="139">
        <f t="shared" si="4"/>
        <v>0</v>
      </c>
      <c r="F26" s="139">
        <f t="shared" si="4"/>
        <v>0</v>
      </c>
      <c r="G26" s="139">
        <f t="shared" si="4"/>
        <v>0</v>
      </c>
    </row>
    <row r="27" spans="1:13" s="233" customFormat="1" x14ac:dyDescent="0.25">
      <c r="A27" s="234"/>
      <c r="B27" s="235"/>
      <c r="C27" s="235"/>
      <c r="D27" s="235"/>
      <c r="E27" s="235"/>
      <c r="F27" s="235"/>
      <c r="G27" s="235"/>
    </row>
    <row r="28" spans="1:13" x14ac:dyDescent="0.25">
      <c r="B28" s="158" t="s">
        <v>159</v>
      </c>
      <c r="C28" s="158" t="s">
        <v>160</v>
      </c>
    </row>
    <row r="29" spans="1:13" ht="15.75" thickBot="1" x14ac:dyDescent="0.3">
      <c r="A29" s="158" t="s">
        <v>161</v>
      </c>
      <c r="B29" s="158">
        <f>'P&amp;L'!R5</f>
        <v>1</v>
      </c>
      <c r="C29" s="158"/>
    </row>
    <row r="30" spans="1:13" ht="15.75" thickBot="1" x14ac:dyDescent="0.3">
      <c r="A30" s="135" t="s">
        <v>140</v>
      </c>
      <c r="B30" s="139">
        <f t="shared" ref="B30:G30" si="5">B37*B8</f>
        <v>0</v>
      </c>
      <c r="C30" s="139">
        <f t="shared" si="5"/>
        <v>0</v>
      </c>
      <c r="D30" s="139">
        <f t="shared" si="5"/>
        <v>0</v>
      </c>
      <c r="E30" s="139">
        <f t="shared" si="5"/>
        <v>0</v>
      </c>
      <c r="F30" s="139">
        <f t="shared" si="5"/>
        <v>0</v>
      </c>
      <c r="G30" s="139">
        <f t="shared" si="5"/>
        <v>0</v>
      </c>
    </row>
    <row r="31" spans="1:13" ht="15.75" thickBot="1" x14ac:dyDescent="0.3">
      <c r="A31" s="135" t="s">
        <v>141</v>
      </c>
      <c r="B31" s="139">
        <f>('Summary  735'!B31+'Summary 2221'!B31+'Summary 2439'!B31+'Summary 2682'!B31+'Summary 2855'!B31)/5</f>
        <v>0</v>
      </c>
      <c r="C31" s="139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39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39">
        <f>('Summary  735'!E31+'Summary 2221'!E31+'Summary 2439'!E31+'Summary 2682'!E31+'Summary 2855'!E31)/5</f>
        <v>0</v>
      </c>
      <c r="F31" s="139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39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.75" thickBot="1" x14ac:dyDescent="0.3">
      <c r="A32" s="135" t="s">
        <v>142</v>
      </c>
      <c r="B32" s="139">
        <f>('Summary  735'!B32+'Summary 2221'!B32+'Summary 2439'!B32+'Summary 2682'!B32+'Summary 2855'!B32)/5</f>
        <v>0</v>
      </c>
      <c r="C32" s="139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39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39">
        <f>('Summary  735'!E32+'Summary 2221'!E32+'Summary 2439'!E32+'Summary 2682'!E32+'Summary 2855'!E32)/5</f>
        <v>0</v>
      </c>
      <c r="F32" s="139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39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.75" thickBot="1" x14ac:dyDescent="0.3">
      <c r="A33" s="135" t="s">
        <v>162</v>
      </c>
      <c r="B33" s="139">
        <f>('Summary  735'!B33+'Summary 2221'!B33+'Summary 2439'!B33+'Summary 2682'!B33+'Summary 2855'!B33)/5</f>
        <v>0</v>
      </c>
      <c r="C33" s="139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39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39">
        <f>('Summary  735'!E33+'Summary 2221'!E33+'Summary 2439'!E33+'Summary 2682'!E33+'Summary 2855'!E33)/5</f>
        <v>0</v>
      </c>
      <c r="F33" s="139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39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.75" thickBot="1" x14ac:dyDescent="0.3">
      <c r="A34" s="135" t="s">
        <v>163</v>
      </c>
      <c r="B34" s="139">
        <f>('Summary  735'!B34+'Summary 2221'!B34+'Summary 2439'!B34+'Summary 2682'!B34+'Summary 2855'!B34)/5</f>
        <v>0</v>
      </c>
      <c r="C34" s="139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39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39">
        <f>('Summary  735'!E34+'Summary 2221'!E34+'Summary 2439'!E34+'Summary 2682'!E34+'Summary 2855'!E34)/5</f>
        <v>0</v>
      </c>
      <c r="F34" s="139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39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164</v>
      </c>
    </row>
    <row r="37" spans="1:7" ht="15.75" thickBot="1" x14ac:dyDescent="0.3">
      <c r="A37" s="135" t="s">
        <v>140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141</v>
      </c>
      <c r="B38" s="139" t="str">
        <f t="shared" ref="B38:G38" si="6">IFERROR(B31/B7," ")</f>
        <v xml:space="preserve"> </v>
      </c>
      <c r="C38" s="139" t="str">
        <f t="shared" si="6"/>
        <v xml:space="preserve"> </v>
      </c>
      <c r="D38" s="139" t="str">
        <f t="shared" si="6"/>
        <v xml:space="preserve"> </v>
      </c>
      <c r="E38" s="139">
        <f t="shared" si="6"/>
        <v>0</v>
      </c>
      <c r="F38" s="139" t="str">
        <f t="shared" si="6"/>
        <v xml:space="preserve"> </v>
      </c>
      <c r="G38" s="139" t="str">
        <f t="shared" si="6"/>
        <v xml:space="preserve"> </v>
      </c>
    </row>
    <row r="39" spans="1:7" ht="15.75" thickBot="1" x14ac:dyDescent="0.3">
      <c r="A39" s="135" t="s">
        <v>142</v>
      </c>
      <c r="B39" s="139" t="str">
        <f t="shared" ref="B39:G39" si="7">IFERROR(B32/B7," ")</f>
        <v xml:space="preserve"> </v>
      </c>
      <c r="C39" s="139" t="str">
        <f t="shared" si="7"/>
        <v xml:space="preserve"> </v>
      </c>
      <c r="D39" s="139" t="str">
        <f t="shared" si="7"/>
        <v xml:space="preserve"> </v>
      </c>
      <c r="E39" s="139">
        <f t="shared" si="7"/>
        <v>0</v>
      </c>
      <c r="F39" s="139" t="str">
        <f t="shared" si="7"/>
        <v xml:space="preserve"> </v>
      </c>
      <c r="G39" s="139" t="str">
        <f t="shared" si="7"/>
        <v xml:space="preserve"> </v>
      </c>
    </row>
    <row r="40" spans="1:7" ht="15.75" thickBot="1" x14ac:dyDescent="0.3">
      <c r="A40" s="135" t="s">
        <v>162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>
        <f>IFERROR(E33/E7," ")</f>
        <v>0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 x14ac:dyDescent="0.3">
      <c r="A41" s="135" t="s">
        <v>163</v>
      </c>
      <c r="B41" s="139" t="str">
        <f t="shared" ref="B41:G41" si="8">IFERROR(B34/B7," ")</f>
        <v xml:space="preserve"> </v>
      </c>
      <c r="C41" s="139" t="str">
        <f t="shared" si="8"/>
        <v xml:space="preserve"> </v>
      </c>
      <c r="D41" s="139" t="str">
        <f t="shared" si="8"/>
        <v xml:space="preserve"> </v>
      </c>
      <c r="E41" s="139">
        <f t="shared" si="8"/>
        <v>0</v>
      </c>
      <c r="F41" s="139" t="str">
        <f t="shared" si="8"/>
        <v xml:space="preserve"> </v>
      </c>
      <c r="G41" s="139" t="str">
        <f t="shared" si="8"/>
        <v xml:space="preserve"> 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37" t="s">
        <v>119</v>
      </c>
      <c r="B2" s="28"/>
      <c r="C2" s="146"/>
      <c r="G2" s="141" t="s">
        <v>120</v>
      </c>
      <c r="H2" s="247" t="e">
        <f>#REF!+'Summary FLT104'!H2+'Summary FLT110'!H2+#REF!+#REF!+#REF!+'Summary 2037'!H2+'Summary 2817'!H2</f>
        <v>#REF!</v>
      </c>
      <c r="L2" s="244" t="s">
        <v>121</v>
      </c>
      <c r="M2" s="244" t="s">
        <v>7</v>
      </c>
    </row>
    <row r="3" spans="1:13" ht="15.75" thickBot="1" x14ac:dyDescent="0.3">
      <c r="A3" s="438"/>
      <c r="B3" s="169"/>
      <c r="C3" s="170"/>
      <c r="E3" s="141" t="s">
        <v>122</v>
      </c>
      <c r="F3" s="143">
        <v>737</v>
      </c>
      <c r="G3" s="141" t="s">
        <v>123</v>
      </c>
      <c r="H3" s="247" t="e">
        <f>H4/12</f>
        <v>#REF!</v>
      </c>
      <c r="J3" s="230" t="s">
        <v>124</v>
      </c>
      <c r="L3" s="244">
        <v>737</v>
      </c>
      <c r="M3" s="244">
        <v>1</v>
      </c>
    </row>
    <row r="4" spans="1:13" ht="15.75" thickBot="1" x14ac:dyDescent="0.3">
      <c r="E4" s="141" t="s">
        <v>3</v>
      </c>
      <c r="F4" s="142">
        <f>'P&amp;L'!R4</f>
        <v>0.85</v>
      </c>
      <c r="G4" s="141" t="s">
        <v>125</v>
      </c>
      <c r="H4" s="141" t="e">
        <f>H2*52</f>
        <v>#REF!</v>
      </c>
      <c r="J4" s="231" t="e">
        <f>H17*H4</f>
        <v>#REF!</v>
      </c>
      <c r="L4" s="244"/>
      <c r="M4" s="244"/>
    </row>
    <row r="5" spans="1:13" ht="15.75" thickBot="1" x14ac:dyDescent="0.3">
      <c r="A5" s="137" t="s">
        <v>126</v>
      </c>
      <c r="L5" s="244"/>
      <c r="M5" s="244"/>
    </row>
    <row r="6" spans="1:13" ht="15.75" thickBot="1" x14ac:dyDescent="0.3">
      <c r="A6" s="157" t="s">
        <v>127</v>
      </c>
      <c r="B6" s="157" t="s">
        <v>31</v>
      </c>
      <c r="C6" s="157" t="s">
        <v>32</v>
      </c>
      <c r="D6" s="157" t="s">
        <v>33</v>
      </c>
      <c r="E6" s="157" t="s">
        <v>34</v>
      </c>
      <c r="F6" s="157" t="s">
        <v>35</v>
      </c>
      <c r="G6" s="157" t="s">
        <v>36</v>
      </c>
      <c r="H6" s="157" t="s">
        <v>128</v>
      </c>
      <c r="I6" s="156" t="s">
        <v>129</v>
      </c>
      <c r="L6" s="243"/>
      <c r="M6" s="243"/>
    </row>
    <row r="7" spans="1:13" ht="15.75" thickBot="1" x14ac:dyDescent="0.3">
      <c r="A7" s="135" t="s">
        <v>130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 x14ac:dyDescent="0.3">
      <c r="A8" s="135" t="s">
        <v>131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 x14ac:dyDescent="0.3">
      <c r="A9" s="278"/>
      <c r="B9" s="279" t="s">
        <v>132</v>
      </c>
      <c r="C9" s="279" t="s">
        <v>133</v>
      </c>
      <c r="D9" s="279" t="s">
        <v>134</v>
      </c>
      <c r="E9" s="279" t="s">
        <v>135</v>
      </c>
      <c r="F9" s="279" t="s">
        <v>136</v>
      </c>
      <c r="G9" s="279" t="s">
        <v>137</v>
      </c>
      <c r="H9" s="157" t="s">
        <v>138</v>
      </c>
      <c r="J9" s="157" t="s">
        <v>139</v>
      </c>
    </row>
    <row r="10" spans="1:13" ht="15.75" thickBot="1" x14ac:dyDescent="0.3">
      <c r="A10" s="135" t="s">
        <v>140</v>
      </c>
      <c r="B10" s="139" t="e">
        <f>(#REF!+'Summary FLT104'!B10+'Summary FLT110'!B10+#REF!+#REF!+#REF!)/6</f>
        <v>#REF!</v>
      </c>
      <c r="C10" s="139" t="e">
        <f>(#REF!+'Summary FLT104'!C10+'Summary FLT110'!C10+#REF!+#REF!+#REF!)/6</f>
        <v>#REF!</v>
      </c>
      <c r="D10" s="139" t="e">
        <f>(#REF!+'Summary FLT104'!D10+'Summary FLT110'!D10+#REF!+#REF!+#REF!)/6</f>
        <v>#REF!</v>
      </c>
      <c r="E10" s="139" t="e">
        <f>(#REF!+'Summary FLT104'!E10+'Summary FLT110'!E10+#REF!+#REF!+#REF!)/6</f>
        <v>#REF!</v>
      </c>
      <c r="F10" s="139" t="e">
        <f>(#REF!+'Summary FLT104'!F10+'Summary FLT110'!F10+#REF!+#REF!+#REF!)/6</f>
        <v>#REF!</v>
      </c>
      <c r="G10" s="139" t="e">
        <f>(#REF!+'Summary FLT104'!G10+'Summary FLT110'!G10+#REF!+#REF!+#REF!)/6</f>
        <v>#REF!</v>
      </c>
      <c r="H10" s="139" t="e">
        <f>(#REF!+'Summary FLT104'!H10+'Summary FLT110'!H10+#REF!+#REF!+#REF!)/6</f>
        <v>#REF!</v>
      </c>
      <c r="J10" s="138" t="e">
        <f>H10*$H$4</f>
        <v>#REF!</v>
      </c>
    </row>
    <row r="11" spans="1:13" ht="15.75" thickBot="1" x14ac:dyDescent="0.3">
      <c r="A11" s="135" t="s">
        <v>141</v>
      </c>
      <c r="B11" s="139" t="e">
        <f>(#REF!+'Summary FLT104'!B11+'Summary FLT110'!B11+#REF!+#REF!+#REF!)/6</f>
        <v>#REF!</v>
      </c>
      <c r="C11" s="139" t="e">
        <f>(#REF!+'Summary FLT104'!C11+'Summary FLT110'!C11+#REF!+#REF!+#REF!)/6</f>
        <v>#REF!</v>
      </c>
      <c r="D11" s="139" t="e">
        <f>(#REF!+'Summary FLT104'!D11+'Summary FLT110'!D11+#REF!+#REF!+#REF!)/6</f>
        <v>#REF!</v>
      </c>
      <c r="E11" s="139" t="e">
        <f>(#REF!+'Summary FLT104'!E11+'Summary FLT110'!E11+#REF!+#REF!+#REF!)/6</f>
        <v>#REF!</v>
      </c>
      <c r="F11" s="139" t="e">
        <f>(#REF!+'Summary FLT104'!F11+'Summary FLT110'!F11+#REF!+#REF!+#REF!)/6</f>
        <v>#REF!</v>
      </c>
      <c r="G11" s="139" t="e">
        <f>(#REF!+'Summary FLT104'!G11+'Summary FLT110'!G11+#REF!+#REF!+#REF!)/6</f>
        <v>#REF!</v>
      </c>
      <c r="H11" s="139" t="e">
        <f>(#REF!+'Summary FLT104'!H11+'Summary FLT110'!H11+#REF!+#REF!+#REF!)/6</f>
        <v>#REF!</v>
      </c>
      <c r="I11" s="177" t="e">
        <f>I12*45%</f>
        <v>#REF!</v>
      </c>
      <c r="J11" s="138" t="e">
        <f>H11*$H$4</f>
        <v>#REF!</v>
      </c>
    </row>
    <row r="12" spans="1:13" ht="15.75" thickBot="1" x14ac:dyDescent="0.3">
      <c r="A12" s="135" t="s">
        <v>142</v>
      </c>
      <c r="B12" s="139" t="e">
        <f>(#REF!+'Summary FLT104'!B12+'Summary FLT110'!B12+#REF!+#REF!+#REF!)/6</f>
        <v>#REF!</v>
      </c>
      <c r="C12" s="139" t="e">
        <f>(#REF!+'Summary FLT104'!C12+'Summary FLT110'!C12+#REF!+#REF!+#REF!)/6</f>
        <v>#REF!</v>
      </c>
      <c r="D12" s="139" t="e">
        <f>(#REF!+'Summary FLT104'!D12+'Summary FLT110'!D12+#REF!+#REF!+#REF!)/6</f>
        <v>#REF!</v>
      </c>
      <c r="E12" s="139" t="e">
        <f>(#REF!+'Summary FLT104'!E12+'Summary FLT110'!E12+#REF!+#REF!+#REF!)/6</f>
        <v>#REF!</v>
      </c>
      <c r="F12" s="139" t="e">
        <f>(#REF!+'Summary FLT104'!F12+'Summary FLT110'!F12+#REF!+#REF!+#REF!)/6</f>
        <v>#REF!</v>
      </c>
      <c r="G12" s="139" t="e">
        <f>(#REF!+'Summary FLT104'!G12+'Summary FLT110'!G12+#REF!+#REF!+#REF!)/6</f>
        <v>#REF!</v>
      </c>
      <c r="H12" s="139" t="e">
        <f>(#REF!+'Summary FLT104'!H12+'Summary FLT110'!H12+#REF!+#REF!+#REF!)/6</f>
        <v>#REF!</v>
      </c>
      <c r="I12" s="249" t="e">
        <f>H11+H12</f>
        <v>#REF!</v>
      </c>
      <c r="J12" s="138" t="e">
        <f t="shared" ref="J12:J17" si="1">H12*$H$4</f>
        <v>#REF!</v>
      </c>
    </row>
    <row r="13" spans="1:13" ht="15.75" thickBot="1" x14ac:dyDescent="0.3">
      <c r="A13" s="135" t="s">
        <v>143</v>
      </c>
      <c r="B13" s="139" t="e">
        <f>(#REF!+'Summary FLT104'!B13+'Summary FLT110'!B13+#REF!+#REF!+#REF!)/6</f>
        <v>#REF!</v>
      </c>
      <c r="C13" s="139" t="e">
        <f>(#REF!+'Summary FLT104'!C13+'Summary FLT110'!C13+#REF!+#REF!+#REF!)/6</f>
        <v>#REF!</v>
      </c>
      <c r="D13" s="139" t="e">
        <f>(#REF!+'Summary FLT104'!D13+'Summary FLT110'!D13+#REF!+#REF!+#REF!)/6</f>
        <v>#REF!</v>
      </c>
      <c r="E13" s="139" t="e">
        <f>(#REF!+'Summary FLT104'!E13+'Summary FLT110'!E13+#REF!+#REF!+#REF!)/6</f>
        <v>#REF!</v>
      </c>
      <c r="F13" s="139" t="e">
        <f>(#REF!+'Summary FLT104'!F13+'Summary FLT110'!F13+#REF!+#REF!+#REF!)/6</f>
        <v>#REF!</v>
      </c>
      <c r="G13" s="139" t="e">
        <f>(#REF!+'Summary FLT104'!G13+'Summary FLT110'!G13+#REF!+#REF!+#REF!)/6</f>
        <v>#REF!</v>
      </c>
      <c r="H13" s="139" t="e">
        <f>(#REF!+'Summary FLT104'!H13+'Summary FLT110'!H13+#REF!+#REF!+#REF!)/6</f>
        <v>#REF!</v>
      </c>
      <c r="J13" s="138" t="e">
        <f t="shared" si="1"/>
        <v>#REF!</v>
      </c>
    </row>
    <row r="14" spans="1:13" ht="15.75" thickBot="1" x14ac:dyDescent="0.3">
      <c r="A14" s="135" t="s">
        <v>144</v>
      </c>
      <c r="B14" s="139" t="e">
        <f>(#REF!+'Summary FLT104'!B14+'Summary FLT110'!B14+#REF!+#REF!+#REF!)/6</f>
        <v>#REF!</v>
      </c>
      <c r="C14" s="139" t="e">
        <f>(#REF!+'Summary FLT104'!C14+'Summary FLT110'!C14+#REF!+#REF!+#REF!)/6</f>
        <v>#REF!</v>
      </c>
      <c r="D14" s="139" t="e">
        <f>(#REF!+'Summary FLT104'!D14+'Summary FLT110'!D14+#REF!+#REF!+#REF!)/6</f>
        <v>#REF!</v>
      </c>
      <c r="E14" s="139" t="e">
        <f>(#REF!+'Summary FLT104'!E14+'Summary FLT110'!E14+#REF!+#REF!+#REF!)/6</f>
        <v>#REF!</v>
      </c>
      <c r="F14" s="139" t="e">
        <f>(#REF!+'Summary FLT104'!F14+'Summary FLT110'!F14+#REF!+#REF!+#REF!)/6</f>
        <v>#REF!</v>
      </c>
      <c r="G14" s="139" t="e">
        <f>(#REF!+'Summary FLT104'!G14+'Summary FLT110'!G14+#REF!+#REF!+#REF!)/6</f>
        <v>#REF!</v>
      </c>
      <c r="H14" s="139" t="e">
        <f>(#REF!+'Summary FLT104'!H14+'Summary FLT110'!H14+#REF!+#REF!+#REF!)/6</f>
        <v>#REF!</v>
      </c>
      <c r="J14" s="138" t="e">
        <f t="shared" si="1"/>
        <v>#REF!</v>
      </c>
      <c r="L14" s="157" t="s">
        <v>145</v>
      </c>
      <c r="M14" s="157"/>
    </row>
    <row r="15" spans="1:13" ht="15.75" thickBot="1" x14ac:dyDescent="0.3">
      <c r="A15" s="135" t="s">
        <v>146</v>
      </c>
      <c r="B15" s="139" t="e">
        <f>(#REF!+'Summary FLT104'!B15+'Summary FLT110'!B15+#REF!+#REF!+#REF!)/6</f>
        <v>#REF!</v>
      </c>
      <c r="C15" s="139" t="e">
        <f>(#REF!+'Summary FLT104'!C15+'Summary FLT110'!C15+#REF!+#REF!+#REF!)/6</f>
        <v>#REF!</v>
      </c>
      <c r="D15" s="139" t="e">
        <f>(#REF!+'Summary FLT104'!D15+'Summary FLT110'!D15+#REF!+#REF!+#REF!)/6</f>
        <v>#REF!</v>
      </c>
      <c r="E15" s="139" t="e">
        <f>(#REF!+'Summary FLT104'!E15+'Summary FLT110'!E15+#REF!+#REF!+#REF!)/6</f>
        <v>#REF!</v>
      </c>
      <c r="F15" s="139" t="e">
        <f>(#REF!+'Summary FLT104'!F15+'Summary FLT110'!F15+#REF!+#REF!+#REF!)/6</f>
        <v>#REF!</v>
      </c>
      <c r="G15" s="139" t="e">
        <f>(#REF!+'Summary FLT104'!G15+'Summary FLT110'!G15+#REF!+#REF!+#REF!)/6</f>
        <v>#REF!</v>
      </c>
      <c r="H15" s="139" t="e">
        <f>(#REF!+'Summary FLT104'!H15+'Summary FLT110'!H15+#REF!+#REF!+#REF!)/6</f>
        <v>#REF!</v>
      </c>
      <c r="I15" s="177"/>
      <c r="J15" s="138" t="e">
        <f t="shared" si="1"/>
        <v>#REF!</v>
      </c>
      <c r="L15" s="237" t="e">
        <f>J12+J15</f>
        <v>#REF!</v>
      </c>
      <c r="M15" s="239">
        <v>1</v>
      </c>
    </row>
    <row r="16" spans="1:13" ht="15.75" thickBot="1" x14ac:dyDescent="0.3">
      <c r="A16" s="135" t="s">
        <v>147</v>
      </c>
      <c r="B16" s="139" t="e">
        <f>(#REF!+'Summary FLT104'!B16+'Summary FLT110'!B16+#REF!+#REF!+#REF!)/6</f>
        <v>#REF!</v>
      </c>
      <c r="C16" s="139" t="e">
        <f>(#REF!+'Summary FLT104'!C16+'Summary FLT110'!C16+#REF!+#REF!+#REF!)/6</f>
        <v>#REF!</v>
      </c>
      <c r="D16" s="139" t="e">
        <f>(#REF!+'Summary FLT104'!D16+'Summary FLT110'!D16+#REF!+#REF!+#REF!)/6</f>
        <v>#REF!</v>
      </c>
      <c r="E16" s="139" t="e">
        <f>(#REF!+'Summary FLT104'!E16+'Summary FLT110'!E16+#REF!+#REF!+#REF!)/6</f>
        <v>#REF!</v>
      </c>
      <c r="F16" s="139" t="e">
        <f>(#REF!+'Summary FLT104'!F16+'Summary FLT110'!F16+#REF!+#REF!+#REF!)/6</f>
        <v>#REF!</v>
      </c>
      <c r="G16" s="139" t="e">
        <f>(#REF!+'Summary FLT104'!G16+'Summary FLT110'!G16+#REF!+#REF!+#REF!)/6</f>
        <v>#REF!</v>
      </c>
      <c r="H16" s="139" t="e">
        <f>(#REF!+'Summary FLT104'!H16+'Summary FLT110'!H16+#REF!+#REF!+#REF!)/6</f>
        <v>#REF!</v>
      </c>
      <c r="I16" s="155"/>
      <c r="J16" s="138" t="e">
        <f t="shared" si="1"/>
        <v>#REF!</v>
      </c>
      <c r="L16" s="238" t="e">
        <f>L15*M16</f>
        <v>#REF!</v>
      </c>
      <c r="M16" s="239">
        <v>0.8</v>
      </c>
    </row>
    <row r="17" spans="1:13" ht="15.75" thickBot="1" x14ac:dyDescent="0.3">
      <c r="A17" s="158" t="s">
        <v>148</v>
      </c>
      <c r="B17" s="159" t="e">
        <f>SUM(B11:B16)</f>
        <v>#REF!</v>
      </c>
      <c r="C17" s="159" t="e">
        <f>SUM(C11:C16)</f>
        <v>#REF!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9" t="e">
        <f t="shared" si="1"/>
        <v>#REF!</v>
      </c>
      <c r="L17" s="238" t="e">
        <f>L15*M17</f>
        <v>#REF!</v>
      </c>
      <c r="M17" s="239">
        <v>0.2</v>
      </c>
    </row>
    <row r="18" spans="1:13" ht="15.75" thickBot="1" x14ac:dyDescent="0.3">
      <c r="A18" s="217"/>
      <c r="B18" s="218" t="e">
        <f>B17</f>
        <v>#REF!</v>
      </c>
      <c r="C18" s="218" t="e">
        <f>C17</f>
        <v>#REF!</v>
      </c>
      <c r="D18" s="218" t="e">
        <f>D17</f>
        <v>#REF!</v>
      </c>
      <c r="E18" s="218" t="e">
        <f>E17-E15-E16</f>
        <v>#REF!</v>
      </c>
      <c r="F18" s="218" t="e">
        <f>F17</f>
        <v>#REF!</v>
      </c>
      <c r="G18" s="218" t="e">
        <f>G17</f>
        <v>#REF!</v>
      </c>
      <c r="H18" s="218"/>
      <c r="I18" s="218" t="e">
        <f>E15+E16</f>
        <v>#REF!</v>
      </c>
      <c r="J18" s="218"/>
      <c r="L18" s="236"/>
    </row>
    <row r="19" spans="1:13" ht="15.75" thickBot="1" x14ac:dyDescent="0.3">
      <c r="A19" s="157" t="s">
        <v>149</v>
      </c>
      <c r="B19" s="221" t="s">
        <v>150</v>
      </c>
      <c r="C19" s="221" t="s">
        <v>151</v>
      </c>
      <c r="D19" s="221" t="s">
        <v>152</v>
      </c>
      <c r="E19" s="154"/>
      <c r="F19" s="154"/>
      <c r="G19" s="154"/>
      <c r="H19" s="156"/>
      <c r="I19" s="154" t="e">
        <f>E16</f>
        <v>#REF!</v>
      </c>
    </row>
    <row r="20" spans="1:13" ht="15.75" thickBot="1" x14ac:dyDescent="0.3">
      <c r="A20" s="219" t="s">
        <v>153</v>
      </c>
      <c r="B20" s="139" t="e">
        <f>(#REF!+'Summary FLT104'!B20+'Summary FLT110'!B20+#REF!+#REF!+#REF!+'Summary 2037'!B20+'Summary 2817'!B20)/8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 x14ac:dyDescent="0.3">
      <c r="A21" s="158" t="s">
        <v>154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155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156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157</v>
      </c>
      <c r="B25" s="139">
        <f t="shared" ref="B25:G25" si="2">IFERROR(((B13+B14)/B8),0)</f>
        <v>0</v>
      </c>
      <c r="C25" s="139">
        <f t="shared" si="2"/>
        <v>0</v>
      </c>
      <c r="D25" s="139">
        <f t="shared" si="2"/>
        <v>0</v>
      </c>
      <c r="E25" s="139">
        <f t="shared" si="2"/>
        <v>0</v>
      </c>
      <c r="F25" s="139">
        <f t="shared" si="2"/>
        <v>0</v>
      </c>
      <c r="G25" s="139">
        <f t="shared" si="2"/>
        <v>0</v>
      </c>
    </row>
    <row r="26" spans="1:13" ht="15.75" thickBot="1" x14ac:dyDescent="0.3">
      <c r="A26" s="135" t="s">
        <v>158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</row>
    <row r="27" spans="1:13" s="233" customFormat="1" x14ac:dyDescent="0.25">
      <c r="A27" s="234"/>
      <c r="B27" s="235"/>
      <c r="C27" s="235"/>
      <c r="D27" s="235"/>
      <c r="E27" s="235"/>
      <c r="F27" s="235"/>
      <c r="G27" s="235"/>
    </row>
    <row r="28" spans="1:13" x14ac:dyDescent="0.25">
      <c r="B28" s="158" t="s">
        <v>159</v>
      </c>
      <c r="C28" s="158" t="s">
        <v>160</v>
      </c>
    </row>
    <row r="29" spans="1:13" ht="15.75" thickBot="1" x14ac:dyDescent="0.3">
      <c r="A29" s="158" t="s">
        <v>161</v>
      </c>
      <c r="B29" s="158">
        <f>'P&amp;L'!R5</f>
        <v>1</v>
      </c>
      <c r="C29" s="158"/>
    </row>
    <row r="30" spans="1:13" ht="15.75" thickBot="1" x14ac:dyDescent="0.3">
      <c r="A30" s="135" t="s">
        <v>140</v>
      </c>
      <c r="B30" s="139" t="e">
        <f>(#REF!+'Summary FLT104'!B30+'Summary FLT110'!B30+#REF!+#REF!+#REF!)/6</f>
        <v>#REF!</v>
      </c>
      <c r="C30" s="139" t="e">
        <f>(#REF!+'Summary FLT104'!C30+'Summary FLT110'!C30+#REF!+#REF!+#REF!)/6</f>
        <v>#REF!</v>
      </c>
      <c r="D30" s="139" t="e">
        <f>(#REF!+'Summary FLT104'!D30+'Summary FLT110'!D30+#REF!+#REF!+#REF!)/6</f>
        <v>#REF!</v>
      </c>
      <c r="E30" s="139" t="e">
        <f>(#REF!+'Summary FLT104'!E30+'Summary FLT110'!E30+#REF!+#REF!+#REF!)/6</f>
        <v>#REF!</v>
      </c>
      <c r="F30" s="139" t="e">
        <f>(#REF!+'Summary FLT104'!F30+'Summary FLT110'!F30+#REF!+#REF!+#REF!)/6</f>
        <v>#REF!</v>
      </c>
      <c r="G30" s="139" t="e">
        <f>(#REF!+'Summary FLT104'!G30+'Summary FLT110'!G30+#REF!+#REF!+#REF!)/6</f>
        <v>#REF!</v>
      </c>
    </row>
    <row r="31" spans="1:13" ht="15.75" thickBot="1" x14ac:dyDescent="0.3">
      <c r="A31" s="135" t="s">
        <v>141</v>
      </c>
      <c r="B31" s="139" t="e">
        <f>(#REF!+'Summary FLT104'!B31+'Summary FLT110'!B31+#REF!+#REF!+#REF!)/6</f>
        <v>#REF!</v>
      </c>
      <c r="C31" s="139" t="e">
        <f>(#REF!+'Summary FLT104'!C31+'Summary FLT110'!C31+#REF!+#REF!+#REF!)/6</f>
        <v>#REF!</v>
      </c>
      <c r="D31" s="139" t="e">
        <f>(#REF!+'Summary FLT104'!D31+'Summary FLT110'!D31+#REF!+#REF!+#REF!)/6</f>
        <v>#REF!</v>
      </c>
      <c r="E31" s="139" t="e">
        <f>(#REF!+'Summary FLT104'!E31+'Summary FLT110'!E31+#REF!+#REF!+#REF!)/6</f>
        <v>#REF!</v>
      </c>
      <c r="F31" s="139" t="e">
        <f>(#REF!+'Summary FLT104'!F31+'Summary FLT110'!F31+#REF!+#REF!+#REF!)/6</f>
        <v>#REF!</v>
      </c>
      <c r="G31" s="139" t="e">
        <f>(#REF!+'Summary FLT104'!G31+'Summary FLT110'!G31+#REF!+#REF!+#REF!)/6</f>
        <v>#REF!</v>
      </c>
    </row>
    <row r="32" spans="1:13" ht="15.75" thickBot="1" x14ac:dyDescent="0.3">
      <c r="A32" s="135" t="s">
        <v>142</v>
      </c>
      <c r="B32" s="139" t="e">
        <f>(#REF!+'Summary FLT104'!B32+'Summary FLT110'!B32+#REF!+#REF!+#REF!)/6</f>
        <v>#REF!</v>
      </c>
      <c r="C32" s="139" t="e">
        <f>(#REF!+'Summary FLT104'!C32+'Summary FLT110'!C32+#REF!+#REF!+#REF!)/6</f>
        <v>#REF!</v>
      </c>
      <c r="D32" s="139" t="e">
        <f>(#REF!+'Summary FLT104'!D32+'Summary FLT110'!D32+#REF!+#REF!+#REF!)/6</f>
        <v>#REF!</v>
      </c>
      <c r="E32" s="139" t="e">
        <f>(#REF!+'Summary FLT104'!E32+'Summary FLT110'!E32+#REF!+#REF!+#REF!)/6</f>
        <v>#REF!</v>
      </c>
      <c r="F32" s="139" t="e">
        <f>(#REF!+'Summary FLT104'!F32+'Summary FLT110'!F32+#REF!+#REF!+#REF!)/6</f>
        <v>#REF!</v>
      </c>
      <c r="G32" s="139" t="e">
        <f>(#REF!+'Summary FLT104'!G32+'Summary FLT110'!G32+#REF!+#REF!+#REF!)/6</f>
        <v>#REF!</v>
      </c>
    </row>
    <row r="33" spans="1:7" ht="15.75" thickBot="1" x14ac:dyDescent="0.3">
      <c r="A33" s="135" t="s">
        <v>162</v>
      </c>
      <c r="B33" s="139" t="e">
        <f>(#REF!+'Summary FLT104'!B33+'Summary FLT110'!B33+#REF!+#REF!+#REF!)/6</f>
        <v>#REF!</v>
      </c>
      <c r="C33" s="139" t="e">
        <f>(#REF!+'Summary FLT104'!C33+'Summary FLT110'!C33+#REF!+#REF!+#REF!)/6</f>
        <v>#REF!</v>
      </c>
      <c r="D33" s="139" t="e">
        <f>(#REF!+'Summary FLT104'!D33+'Summary FLT110'!D33+#REF!+#REF!+#REF!)/6</f>
        <v>#REF!</v>
      </c>
      <c r="E33" s="139" t="e">
        <f>(#REF!+'Summary FLT104'!E33+'Summary FLT110'!E33+#REF!+#REF!+#REF!)/6</f>
        <v>#REF!</v>
      </c>
      <c r="F33" s="139" t="e">
        <f>(#REF!+'Summary FLT104'!F33+'Summary FLT110'!F33+#REF!+#REF!+#REF!)/6</f>
        <v>#REF!</v>
      </c>
      <c r="G33" s="139" t="e">
        <f>(#REF!+'Summary FLT104'!G33+'Summary FLT110'!G33+#REF!+#REF!+#REF!)/6</f>
        <v>#REF!</v>
      </c>
    </row>
    <row r="34" spans="1:7" ht="15.75" thickBot="1" x14ac:dyDescent="0.3">
      <c r="A34" s="135" t="s">
        <v>163</v>
      </c>
      <c r="B34" s="139" t="e">
        <f>(#REF!+'Summary FLT104'!B34+'Summary FLT110'!B34+#REF!+#REF!+#REF!)/6</f>
        <v>#REF!</v>
      </c>
      <c r="C34" s="139" t="e">
        <f>(#REF!+'Summary FLT104'!C34+'Summary FLT110'!C34+#REF!+#REF!+#REF!)/6</f>
        <v>#REF!</v>
      </c>
      <c r="D34" s="139" t="e">
        <f>(#REF!+'Summary FLT104'!D34+'Summary FLT110'!D34+#REF!+#REF!+#REF!)/6</f>
        <v>#REF!</v>
      </c>
      <c r="E34" s="139" t="e">
        <f>(#REF!+'Summary FLT104'!E34+'Summary FLT110'!E34+#REF!+#REF!+#REF!)/6</f>
        <v>#REF!</v>
      </c>
      <c r="F34" s="139" t="e">
        <f>(#REF!+'Summary FLT104'!F34+'Summary FLT110'!F34+#REF!+#REF!+#REF!)/6</f>
        <v>#REF!</v>
      </c>
      <c r="G34" s="139" t="e">
        <f>(#REF!+'Summary FLT104'!G34+'Summary FLT110'!G34+#REF!+#REF!+#REF!)/6</f>
        <v>#REF!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164</v>
      </c>
    </row>
    <row r="37" spans="1:7" ht="15.75" thickBot="1" x14ac:dyDescent="0.3">
      <c r="A37" s="135" t="s">
        <v>140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141</v>
      </c>
      <c r="B38" s="139" t="str">
        <f t="shared" ref="B38:G38" si="4">IFERROR(B31/B7," ")</f>
        <v xml:space="preserve"> </v>
      </c>
      <c r="C38" s="139" t="str">
        <f t="shared" si="4"/>
        <v xml:space="preserve"> </v>
      </c>
      <c r="D38" s="139" t="str">
        <f t="shared" si="4"/>
        <v xml:space="preserve"> </v>
      </c>
      <c r="E38" s="139" t="str">
        <f t="shared" si="4"/>
        <v xml:space="preserve"> </v>
      </c>
      <c r="F38" s="139" t="str">
        <f t="shared" si="4"/>
        <v xml:space="preserve"> </v>
      </c>
      <c r="G38" s="139" t="str">
        <f t="shared" si="4"/>
        <v xml:space="preserve"> </v>
      </c>
    </row>
    <row r="39" spans="1:7" ht="15.75" thickBot="1" x14ac:dyDescent="0.3">
      <c r="A39" s="135" t="s">
        <v>142</v>
      </c>
      <c r="B39" s="139" t="str">
        <f t="shared" ref="B39:G39" si="5">IFERROR(B32/B7," ")</f>
        <v xml:space="preserve"> </v>
      </c>
      <c r="C39" s="139" t="str">
        <f t="shared" si="5"/>
        <v xml:space="preserve"> </v>
      </c>
      <c r="D39" s="139" t="str">
        <f t="shared" si="5"/>
        <v xml:space="preserve"> </v>
      </c>
      <c r="E39" s="139" t="str">
        <f t="shared" si="5"/>
        <v xml:space="preserve"> </v>
      </c>
      <c r="F39" s="139" t="str">
        <f t="shared" si="5"/>
        <v xml:space="preserve"> </v>
      </c>
      <c r="G39" s="139" t="str">
        <f t="shared" si="5"/>
        <v xml:space="preserve"> </v>
      </c>
    </row>
    <row r="40" spans="1:7" ht="15.75" thickBot="1" x14ac:dyDescent="0.3">
      <c r="A40" s="135" t="s">
        <v>162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 t="str">
        <f>IFERROR(E33/E7," ")</f>
        <v xml:space="preserve"> 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 x14ac:dyDescent="0.3">
      <c r="A41" s="135" t="s">
        <v>163</v>
      </c>
      <c r="B41" s="139" t="str">
        <f t="shared" ref="B41:G41" si="6">IFERROR(B34/B7," ")</f>
        <v xml:space="preserve"> </v>
      </c>
      <c r="C41" s="139" t="str">
        <f t="shared" si="6"/>
        <v xml:space="preserve"> </v>
      </c>
      <c r="D41" s="139" t="str">
        <f t="shared" si="6"/>
        <v xml:space="preserve"> </v>
      </c>
      <c r="E41" s="139" t="str">
        <f t="shared" si="6"/>
        <v xml:space="preserve"> </v>
      </c>
      <c r="F41" s="139" t="str">
        <f t="shared" si="6"/>
        <v xml:space="preserve"> </v>
      </c>
      <c r="G41" s="139" t="str">
        <f t="shared" si="6"/>
        <v xml:space="preserve"> 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37" t="s">
        <v>119</v>
      </c>
      <c r="B2" s="28"/>
      <c r="C2" s="146"/>
      <c r="G2" s="141" t="s">
        <v>120</v>
      </c>
      <c r="H2" s="247">
        <v>0</v>
      </c>
      <c r="L2" s="244" t="s">
        <v>121</v>
      </c>
      <c r="M2" s="244" t="s">
        <v>7</v>
      </c>
    </row>
    <row r="3" spans="1:13" ht="15.75" thickBot="1" x14ac:dyDescent="0.3">
      <c r="A3" s="438"/>
      <c r="B3" s="169"/>
      <c r="C3" s="170"/>
      <c r="E3" s="141" t="s">
        <v>122</v>
      </c>
      <c r="F3" s="143">
        <v>738</v>
      </c>
      <c r="G3" s="141" t="s">
        <v>123</v>
      </c>
      <c r="H3" s="141">
        <f>H4/12</f>
        <v>0</v>
      </c>
      <c r="J3" s="230" t="s">
        <v>124</v>
      </c>
      <c r="L3" s="244">
        <v>737</v>
      </c>
      <c r="M3" s="244">
        <v>1</v>
      </c>
    </row>
    <row r="4" spans="1:13" ht="15.75" thickBot="1" x14ac:dyDescent="0.3">
      <c r="E4" s="141" t="s">
        <v>3</v>
      </c>
      <c r="F4" s="142">
        <f>'P&amp;L'!R4</f>
        <v>0.85</v>
      </c>
      <c r="G4" s="141" t="s">
        <v>125</v>
      </c>
      <c r="H4" s="141">
        <f>H2*52</f>
        <v>0</v>
      </c>
      <c r="J4" s="231">
        <f>H17*H4</f>
        <v>0</v>
      </c>
      <c r="L4" s="244"/>
      <c r="M4" s="244"/>
    </row>
    <row r="5" spans="1:13" ht="15.75" thickBot="1" x14ac:dyDescent="0.3">
      <c r="A5" s="137" t="s">
        <v>126</v>
      </c>
      <c r="L5" s="244"/>
      <c r="M5" s="244"/>
    </row>
    <row r="6" spans="1:13" ht="15.75" thickBot="1" x14ac:dyDescent="0.3">
      <c r="A6" s="157" t="s">
        <v>127</v>
      </c>
      <c r="B6" s="157" t="s">
        <v>31</v>
      </c>
      <c r="C6" s="157" t="s">
        <v>32</v>
      </c>
      <c r="D6" s="157" t="s">
        <v>33</v>
      </c>
      <c r="E6" s="157" t="s">
        <v>34</v>
      </c>
      <c r="F6" s="157" t="s">
        <v>35</v>
      </c>
      <c r="G6" s="157" t="s">
        <v>36</v>
      </c>
      <c r="H6" s="157" t="s">
        <v>128</v>
      </c>
      <c r="I6" s="156" t="s">
        <v>129</v>
      </c>
      <c r="L6" s="243"/>
      <c r="M6" s="243"/>
    </row>
    <row r="7" spans="1:13" ht="15.75" thickBot="1" x14ac:dyDescent="0.3">
      <c r="A7" s="135" t="s">
        <v>130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 x14ac:dyDescent="0.3">
      <c r="A8" s="135" t="s">
        <v>131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 x14ac:dyDescent="0.3">
      <c r="A9" s="278"/>
      <c r="B9" s="279" t="s">
        <v>132</v>
      </c>
      <c r="C9" s="279" t="s">
        <v>133</v>
      </c>
      <c r="D9" s="279" t="s">
        <v>134</v>
      </c>
      <c r="E9" s="279" t="s">
        <v>135</v>
      </c>
      <c r="F9" s="279" t="s">
        <v>136</v>
      </c>
      <c r="G9" s="279" t="s">
        <v>137</v>
      </c>
      <c r="H9" s="157" t="s">
        <v>138</v>
      </c>
      <c r="J9" s="157" t="s">
        <v>139</v>
      </c>
    </row>
    <row r="10" spans="1:13" ht="15.75" thickBot="1" x14ac:dyDescent="0.3">
      <c r="A10" s="135" t="s">
        <v>140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141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142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143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144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145</v>
      </c>
      <c r="M14" s="157"/>
    </row>
    <row r="15" spans="1:13" ht="15.75" thickBot="1" x14ac:dyDescent="0.3">
      <c r="A15" s="135" t="s">
        <v>146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 x14ac:dyDescent="0.3">
      <c r="A16" s="135" t="s">
        <v>147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 x14ac:dyDescent="0.3">
      <c r="A17" s="158" t="s">
        <v>148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 x14ac:dyDescent="0.3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 x14ac:dyDescent="0.3">
      <c r="A19" s="157" t="s">
        <v>149</v>
      </c>
      <c r="B19" s="221" t="s">
        <v>150</v>
      </c>
      <c r="C19" s="221" t="s">
        <v>151</v>
      </c>
      <c r="D19" s="221" t="s">
        <v>152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9" t="s">
        <v>165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 x14ac:dyDescent="0.3">
      <c r="A21" s="158" t="s">
        <v>154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155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156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157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158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 x14ac:dyDescent="0.25">
      <c r="A27" s="234"/>
      <c r="B27" s="235"/>
      <c r="C27" s="235"/>
      <c r="D27" s="235"/>
      <c r="E27" s="235"/>
      <c r="F27" s="235"/>
      <c r="G27" s="235"/>
    </row>
    <row r="28" spans="1:13" x14ac:dyDescent="0.25">
      <c r="B28" s="158" t="s">
        <v>159</v>
      </c>
      <c r="C28" s="158" t="s">
        <v>160</v>
      </c>
    </row>
    <row r="29" spans="1:13" ht="15.75" thickBot="1" x14ac:dyDescent="0.3">
      <c r="A29" s="158" t="s">
        <v>161</v>
      </c>
      <c r="B29" s="158">
        <f>'P&amp;L'!R5</f>
        <v>1</v>
      </c>
      <c r="C29" s="158">
        <v>735</v>
      </c>
    </row>
    <row r="30" spans="1:13" ht="15.75" thickBot="1" x14ac:dyDescent="0.3">
      <c r="A30" s="135" t="s">
        <v>140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141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142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162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163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164</v>
      </c>
    </row>
    <row r="37" spans="1:7" ht="15.75" thickBot="1" x14ac:dyDescent="0.3">
      <c r="A37" s="135" t="s">
        <v>140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141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142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162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163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37" t="s">
        <v>119</v>
      </c>
      <c r="B2" s="28"/>
      <c r="C2" s="146"/>
      <c r="G2" s="141" t="s">
        <v>120</v>
      </c>
      <c r="H2" s="247">
        <v>0</v>
      </c>
      <c r="L2" s="244" t="s">
        <v>121</v>
      </c>
      <c r="M2" s="244" t="s">
        <v>7</v>
      </c>
    </row>
    <row r="3" spans="1:13" ht="15.75" thickBot="1" x14ac:dyDescent="0.3">
      <c r="A3" s="438"/>
      <c r="B3" s="169"/>
      <c r="C3" s="170"/>
      <c r="E3" s="141" t="s">
        <v>122</v>
      </c>
      <c r="F3" s="143">
        <v>738</v>
      </c>
      <c r="G3" s="141" t="s">
        <v>123</v>
      </c>
      <c r="H3" s="141">
        <f>H4/12</f>
        <v>0</v>
      </c>
      <c r="J3" s="230" t="s">
        <v>124</v>
      </c>
      <c r="L3" s="244">
        <v>737</v>
      </c>
      <c r="M3" s="244">
        <v>1</v>
      </c>
    </row>
    <row r="4" spans="1:13" ht="15.75" thickBot="1" x14ac:dyDescent="0.3">
      <c r="E4" s="141" t="s">
        <v>3</v>
      </c>
      <c r="F4" s="142">
        <f>'P&amp;L'!R4</f>
        <v>0.85</v>
      </c>
      <c r="G4" s="141" t="s">
        <v>125</v>
      </c>
      <c r="H4" s="141">
        <f>H2*52</f>
        <v>0</v>
      </c>
      <c r="J4" s="231">
        <f>H17*H4</f>
        <v>0</v>
      </c>
      <c r="L4" s="244"/>
      <c r="M4" s="244"/>
    </row>
    <row r="5" spans="1:13" ht="15.75" thickBot="1" x14ac:dyDescent="0.3">
      <c r="A5" s="137" t="s">
        <v>126</v>
      </c>
      <c r="L5" s="244"/>
      <c r="M5" s="244"/>
    </row>
    <row r="6" spans="1:13" ht="15.75" thickBot="1" x14ac:dyDescent="0.3">
      <c r="A6" s="157" t="s">
        <v>127</v>
      </c>
      <c r="B6" s="157" t="s">
        <v>31</v>
      </c>
      <c r="C6" s="157" t="s">
        <v>32</v>
      </c>
      <c r="D6" s="157" t="s">
        <v>33</v>
      </c>
      <c r="E6" s="157" t="s">
        <v>34</v>
      </c>
      <c r="F6" s="157" t="s">
        <v>35</v>
      </c>
      <c r="G6" s="157" t="s">
        <v>36</v>
      </c>
      <c r="H6" s="157" t="s">
        <v>128</v>
      </c>
      <c r="I6" s="156" t="s">
        <v>129</v>
      </c>
      <c r="L6" s="243"/>
      <c r="M6" s="243"/>
    </row>
    <row r="7" spans="1:13" ht="15.75" thickBot="1" x14ac:dyDescent="0.3">
      <c r="A7" s="135" t="s">
        <v>130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 x14ac:dyDescent="0.3">
      <c r="A8" s="135" t="s">
        <v>131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 x14ac:dyDescent="0.3">
      <c r="A9" s="278"/>
      <c r="B9" s="279" t="s">
        <v>132</v>
      </c>
      <c r="C9" s="279" t="s">
        <v>133</v>
      </c>
      <c r="D9" s="279" t="s">
        <v>134</v>
      </c>
      <c r="E9" s="279" t="s">
        <v>135</v>
      </c>
      <c r="F9" s="279" t="s">
        <v>136</v>
      </c>
      <c r="G9" s="279" t="s">
        <v>137</v>
      </c>
      <c r="H9" s="157" t="s">
        <v>138</v>
      </c>
      <c r="J9" s="157" t="s">
        <v>139</v>
      </c>
    </row>
    <row r="10" spans="1:13" ht="15.75" thickBot="1" x14ac:dyDescent="0.3">
      <c r="A10" s="135" t="s">
        <v>140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141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142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143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144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145</v>
      </c>
      <c r="M14" s="157"/>
    </row>
    <row r="15" spans="1:13" ht="15.75" thickBot="1" x14ac:dyDescent="0.3">
      <c r="A15" s="135" t="s">
        <v>146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 x14ac:dyDescent="0.3">
      <c r="A16" s="135" t="s">
        <v>147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 x14ac:dyDescent="0.3">
      <c r="A17" s="158" t="s">
        <v>148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 x14ac:dyDescent="0.3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 x14ac:dyDescent="0.3">
      <c r="A19" s="157" t="s">
        <v>149</v>
      </c>
      <c r="B19" s="221" t="s">
        <v>150</v>
      </c>
      <c r="C19" s="221" t="s">
        <v>151</v>
      </c>
      <c r="D19" s="221" t="s">
        <v>152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9" t="s">
        <v>165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 x14ac:dyDescent="0.3">
      <c r="A21" s="158" t="s">
        <v>154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155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156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157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158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 x14ac:dyDescent="0.25">
      <c r="A27" s="234"/>
      <c r="B27" s="235"/>
      <c r="C27" s="235"/>
      <c r="D27" s="235"/>
      <c r="E27" s="235"/>
      <c r="F27" s="235"/>
      <c r="G27" s="235"/>
    </row>
    <row r="28" spans="1:13" x14ac:dyDescent="0.25">
      <c r="B28" s="158" t="s">
        <v>159</v>
      </c>
      <c r="C28" s="158" t="s">
        <v>160</v>
      </c>
    </row>
    <row r="29" spans="1:13" ht="15.75" thickBot="1" x14ac:dyDescent="0.3">
      <c r="A29" s="158" t="s">
        <v>161</v>
      </c>
      <c r="B29" s="158">
        <f>'P&amp;L'!R5</f>
        <v>1</v>
      </c>
      <c r="C29" s="158">
        <v>2221</v>
      </c>
    </row>
    <row r="30" spans="1:13" ht="15.75" thickBot="1" x14ac:dyDescent="0.3">
      <c r="A30" s="135" t="s">
        <v>140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141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142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162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163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164</v>
      </c>
    </row>
    <row r="37" spans="1:7" ht="15.75" thickBot="1" x14ac:dyDescent="0.3">
      <c r="A37" s="135" t="s">
        <v>140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141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142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162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163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37" t="s">
        <v>119</v>
      </c>
      <c r="B2" s="28"/>
      <c r="C2" s="146"/>
      <c r="G2" s="141" t="s">
        <v>120</v>
      </c>
      <c r="H2" s="247">
        <v>0</v>
      </c>
      <c r="L2" s="244" t="s">
        <v>121</v>
      </c>
      <c r="M2" s="244" t="s">
        <v>7</v>
      </c>
    </row>
    <row r="3" spans="1:13" ht="15.75" thickBot="1" x14ac:dyDescent="0.3">
      <c r="A3" s="438"/>
      <c r="B3" s="169"/>
      <c r="C3" s="170"/>
      <c r="E3" s="141" t="s">
        <v>122</v>
      </c>
      <c r="F3" s="143">
        <v>738</v>
      </c>
      <c r="G3" s="141" t="s">
        <v>123</v>
      </c>
      <c r="H3" s="141">
        <f>H4/12</f>
        <v>0</v>
      </c>
      <c r="J3" s="230" t="s">
        <v>124</v>
      </c>
      <c r="L3" s="244">
        <v>737</v>
      </c>
      <c r="M3" s="244">
        <v>1</v>
      </c>
    </row>
    <row r="4" spans="1:13" ht="15.75" thickBot="1" x14ac:dyDescent="0.3">
      <c r="E4" s="141" t="s">
        <v>3</v>
      </c>
      <c r="F4" s="142">
        <f>'P&amp;L'!R4</f>
        <v>0.85</v>
      </c>
      <c r="G4" s="141" t="s">
        <v>125</v>
      </c>
      <c r="H4" s="141">
        <f>H2*52</f>
        <v>0</v>
      </c>
      <c r="J4" s="231">
        <f>H17*H4</f>
        <v>0</v>
      </c>
      <c r="L4" s="244"/>
      <c r="M4" s="244"/>
    </row>
    <row r="5" spans="1:13" ht="15.75" thickBot="1" x14ac:dyDescent="0.3">
      <c r="A5" s="137" t="s">
        <v>126</v>
      </c>
      <c r="L5" s="244"/>
      <c r="M5" s="244"/>
    </row>
    <row r="6" spans="1:13" ht="15.75" thickBot="1" x14ac:dyDescent="0.3">
      <c r="A6" s="157" t="s">
        <v>127</v>
      </c>
      <c r="B6" s="157" t="s">
        <v>31</v>
      </c>
      <c r="C6" s="157" t="s">
        <v>32</v>
      </c>
      <c r="D6" s="157" t="s">
        <v>33</v>
      </c>
      <c r="E6" s="157" t="s">
        <v>34</v>
      </c>
      <c r="F6" s="157" t="s">
        <v>35</v>
      </c>
      <c r="G6" s="157" t="s">
        <v>36</v>
      </c>
      <c r="H6" s="157" t="s">
        <v>128</v>
      </c>
      <c r="I6" s="156" t="s">
        <v>129</v>
      </c>
      <c r="L6" s="243"/>
      <c r="M6" s="243"/>
    </row>
    <row r="7" spans="1:13" ht="15.75" thickBot="1" x14ac:dyDescent="0.3">
      <c r="A7" s="135" t="s">
        <v>130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 x14ac:dyDescent="0.3">
      <c r="A8" s="135" t="s">
        <v>131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 x14ac:dyDescent="0.3">
      <c r="A9" s="278"/>
      <c r="B9" s="279" t="s">
        <v>132</v>
      </c>
      <c r="C9" s="279" t="s">
        <v>133</v>
      </c>
      <c r="D9" s="279" t="s">
        <v>134</v>
      </c>
      <c r="E9" s="279" t="s">
        <v>135</v>
      </c>
      <c r="F9" s="279" t="s">
        <v>136</v>
      </c>
      <c r="G9" s="279" t="s">
        <v>137</v>
      </c>
      <c r="H9" s="157" t="s">
        <v>138</v>
      </c>
      <c r="J9" s="157" t="s">
        <v>139</v>
      </c>
    </row>
    <row r="10" spans="1:13" ht="15.75" thickBot="1" x14ac:dyDescent="0.3">
      <c r="A10" s="135" t="s">
        <v>140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141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142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143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144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145</v>
      </c>
      <c r="M14" s="157"/>
    </row>
    <row r="15" spans="1:13" ht="15.75" thickBot="1" x14ac:dyDescent="0.3">
      <c r="A15" s="135" t="s">
        <v>146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 x14ac:dyDescent="0.3">
      <c r="A16" s="135" t="s">
        <v>147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 x14ac:dyDescent="0.3">
      <c r="A17" s="158" t="s">
        <v>148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 x14ac:dyDescent="0.3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 x14ac:dyDescent="0.3">
      <c r="A19" s="157" t="s">
        <v>149</v>
      </c>
      <c r="B19" s="221" t="s">
        <v>150</v>
      </c>
      <c r="C19" s="221" t="s">
        <v>151</v>
      </c>
      <c r="D19" s="221" t="s">
        <v>152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9" t="s">
        <v>165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 x14ac:dyDescent="0.3">
      <c r="A21" s="158" t="s">
        <v>154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155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156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157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158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 x14ac:dyDescent="0.25">
      <c r="A27" s="234"/>
      <c r="B27" s="235"/>
      <c r="C27" s="235"/>
      <c r="D27" s="235"/>
      <c r="E27" s="235"/>
      <c r="F27" s="235"/>
      <c r="G27" s="235"/>
    </row>
    <row r="28" spans="1:13" x14ac:dyDescent="0.25">
      <c r="B28" s="158" t="s">
        <v>159</v>
      </c>
      <c r="C28" s="158" t="s">
        <v>160</v>
      </c>
    </row>
    <row r="29" spans="1:13" ht="15.75" thickBot="1" x14ac:dyDescent="0.3">
      <c r="A29" s="158" t="s">
        <v>161</v>
      </c>
      <c r="B29" s="158">
        <f>'P&amp;L'!R5</f>
        <v>1</v>
      </c>
      <c r="C29" s="158">
        <v>2439</v>
      </c>
    </row>
    <row r="30" spans="1:13" ht="15.75" thickBot="1" x14ac:dyDescent="0.3">
      <c r="A30" s="135" t="s">
        <v>140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141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142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162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163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164</v>
      </c>
    </row>
    <row r="37" spans="1:7" ht="15.75" thickBot="1" x14ac:dyDescent="0.3">
      <c r="A37" s="135" t="s">
        <v>140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141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142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162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163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37" t="s">
        <v>119</v>
      </c>
      <c r="B2" s="28"/>
      <c r="C2" s="146"/>
      <c r="G2" s="141" t="s">
        <v>120</v>
      </c>
      <c r="H2" s="247">
        <v>0</v>
      </c>
      <c r="L2" s="244" t="s">
        <v>121</v>
      </c>
      <c r="M2" s="244" t="s">
        <v>7</v>
      </c>
    </row>
    <row r="3" spans="1:13" ht="15.75" thickBot="1" x14ac:dyDescent="0.3">
      <c r="A3" s="438"/>
      <c r="B3" s="169"/>
      <c r="C3" s="170"/>
      <c r="E3" s="141" t="s">
        <v>122</v>
      </c>
      <c r="F3" s="143">
        <v>738</v>
      </c>
      <c r="G3" s="141" t="s">
        <v>123</v>
      </c>
      <c r="H3" s="141">
        <f>H4/12</f>
        <v>0</v>
      </c>
      <c r="J3" s="230" t="s">
        <v>124</v>
      </c>
      <c r="L3" s="244">
        <v>737</v>
      </c>
      <c r="M3" s="244">
        <v>1</v>
      </c>
    </row>
    <row r="4" spans="1:13" ht="15.75" thickBot="1" x14ac:dyDescent="0.3">
      <c r="E4" s="141" t="s">
        <v>3</v>
      </c>
      <c r="F4" s="142">
        <f>'P&amp;L'!R4</f>
        <v>0.85</v>
      </c>
      <c r="G4" s="141" t="s">
        <v>125</v>
      </c>
      <c r="H4" s="141">
        <f>H2*52</f>
        <v>0</v>
      </c>
      <c r="J4" s="231">
        <f>H17*H4</f>
        <v>0</v>
      </c>
      <c r="L4" s="244"/>
      <c r="M4" s="244"/>
    </row>
    <row r="5" spans="1:13" ht="15.75" thickBot="1" x14ac:dyDescent="0.3">
      <c r="A5" s="137" t="s">
        <v>126</v>
      </c>
      <c r="L5" s="244"/>
      <c r="M5" s="244"/>
    </row>
    <row r="6" spans="1:13" ht="15.75" thickBot="1" x14ac:dyDescent="0.3">
      <c r="A6" s="157" t="s">
        <v>127</v>
      </c>
      <c r="B6" s="157" t="s">
        <v>31</v>
      </c>
      <c r="C6" s="157" t="s">
        <v>32</v>
      </c>
      <c r="D6" s="157" t="s">
        <v>33</v>
      </c>
      <c r="E6" s="157" t="s">
        <v>34</v>
      </c>
      <c r="F6" s="157" t="s">
        <v>35</v>
      </c>
      <c r="G6" s="157" t="s">
        <v>36</v>
      </c>
      <c r="H6" s="157" t="s">
        <v>128</v>
      </c>
      <c r="I6" s="156" t="s">
        <v>129</v>
      </c>
      <c r="L6" s="243"/>
      <c r="M6" s="243"/>
    </row>
    <row r="7" spans="1:13" ht="15.75" thickBot="1" x14ac:dyDescent="0.3">
      <c r="A7" s="135" t="s">
        <v>130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 x14ac:dyDescent="0.3">
      <c r="A8" s="135" t="s">
        <v>131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 x14ac:dyDescent="0.3">
      <c r="A9" s="278"/>
      <c r="B9" s="279" t="s">
        <v>132</v>
      </c>
      <c r="C9" s="279" t="s">
        <v>133</v>
      </c>
      <c r="D9" s="279" t="s">
        <v>134</v>
      </c>
      <c r="E9" s="279" t="s">
        <v>135</v>
      </c>
      <c r="F9" s="279" t="s">
        <v>136</v>
      </c>
      <c r="G9" s="279" t="s">
        <v>137</v>
      </c>
      <c r="H9" s="157" t="s">
        <v>138</v>
      </c>
      <c r="J9" s="157" t="s">
        <v>139</v>
      </c>
    </row>
    <row r="10" spans="1:13" ht="15.75" thickBot="1" x14ac:dyDescent="0.3">
      <c r="A10" s="135" t="s">
        <v>140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141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142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143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144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145</v>
      </c>
      <c r="M14" s="157"/>
    </row>
    <row r="15" spans="1:13" ht="15.75" thickBot="1" x14ac:dyDescent="0.3">
      <c r="A15" s="135" t="s">
        <v>146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 x14ac:dyDescent="0.3">
      <c r="A16" s="135" t="s">
        <v>147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 x14ac:dyDescent="0.3">
      <c r="A17" s="158" t="s">
        <v>148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 x14ac:dyDescent="0.3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 x14ac:dyDescent="0.3">
      <c r="A19" s="157" t="s">
        <v>149</v>
      </c>
      <c r="B19" s="221" t="s">
        <v>150</v>
      </c>
      <c r="C19" s="221" t="s">
        <v>151</v>
      </c>
      <c r="D19" s="221" t="s">
        <v>152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9" t="s">
        <v>165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 x14ac:dyDescent="0.3">
      <c r="A21" s="158" t="s">
        <v>154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155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156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157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158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 x14ac:dyDescent="0.25">
      <c r="A27" s="234"/>
      <c r="B27" s="235"/>
      <c r="C27" s="235"/>
      <c r="D27" s="235"/>
      <c r="E27" s="235"/>
      <c r="F27" s="235"/>
      <c r="G27" s="235"/>
    </row>
    <row r="28" spans="1:13" x14ac:dyDescent="0.25">
      <c r="B28" s="158" t="s">
        <v>159</v>
      </c>
      <c r="C28" s="158" t="s">
        <v>160</v>
      </c>
    </row>
    <row r="29" spans="1:13" ht="15.75" thickBot="1" x14ac:dyDescent="0.3">
      <c r="A29" s="158" t="s">
        <v>161</v>
      </c>
      <c r="B29" s="158">
        <f>'P&amp;L'!R5</f>
        <v>1</v>
      </c>
      <c r="C29" s="158">
        <v>2682</v>
      </c>
    </row>
    <row r="30" spans="1:13" ht="15.75" thickBot="1" x14ac:dyDescent="0.3">
      <c r="A30" s="135" t="s">
        <v>140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141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142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162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163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164</v>
      </c>
    </row>
    <row r="37" spans="1:7" ht="15.75" thickBot="1" x14ac:dyDescent="0.3">
      <c r="A37" s="135" t="s">
        <v>140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141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142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162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163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37" t="s">
        <v>119</v>
      </c>
      <c r="B2" s="28"/>
      <c r="C2" s="146"/>
      <c r="G2" s="141" t="s">
        <v>120</v>
      </c>
      <c r="H2" s="247">
        <v>0</v>
      </c>
      <c r="L2" s="244" t="s">
        <v>121</v>
      </c>
      <c r="M2" s="244" t="s">
        <v>7</v>
      </c>
    </row>
    <row r="3" spans="1:13" ht="15.75" thickBot="1" x14ac:dyDescent="0.3">
      <c r="A3" s="438"/>
      <c r="B3" s="169"/>
      <c r="C3" s="170"/>
      <c r="E3" s="141" t="s">
        <v>122</v>
      </c>
      <c r="F3" s="143">
        <v>738</v>
      </c>
      <c r="G3" s="141" t="s">
        <v>123</v>
      </c>
      <c r="H3" s="141">
        <f>H4/12</f>
        <v>0</v>
      </c>
      <c r="J3" s="230" t="s">
        <v>124</v>
      </c>
      <c r="L3" s="244">
        <v>737</v>
      </c>
      <c r="M3" s="244">
        <v>1</v>
      </c>
    </row>
    <row r="4" spans="1:13" ht="15.75" thickBot="1" x14ac:dyDescent="0.3">
      <c r="E4" s="141" t="s">
        <v>3</v>
      </c>
      <c r="F4" s="142">
        <f>'P&amp;L'!R4</f>
        <v>0.85</v>
      </c>
      <c r="G4" s="141" t="s">
        <v>125</v>
      </c>
      <c r="H4" s="141">
        <f>H2*52</f>
        <v>0</v>
      </c>
      <c r="J4" s="231">
        <f>H17*H4</f>
        <v>0</v>
      </c>
      <c r="L4" s="244"/>
      <c r="M4" s="244"/>
    </row>
    <row r="5" spans="1:13" ht="15.75" thickBot="1" x14ac:dyDescent="0.3">
      <c r="A5" s="137" t="s">
        <v>126</v>
      </c>
      <c r="L5" s="244"/>
      <c r="M5" s="244"/>
    </row>
    <row r="6" spans="1:13" ht="15.75" thickBot="1" x14ac:dyDescent="0.3">
      <c r="A6" s="157" t="s">
        <v>127</v>
      </c>
      <c r="B6" s="157" t="s">
        <v>31</v>
      </c>
      <c r="C6" s="157" t="s">
        <v>32</v>
      </c>
      <c r="D6" s="157" t="s">
        <v>33</v>
      </c>
      <c r="E6" s="157" t="s">
        <v>34</v>
      </c>
      <c r="F6" s="157" t="s">
        <v>35</v>
      </c>
      <c r="G6" s="157" t="s">
        <v>36</v>
      </c>
      <c r="H6" s="157" t="s">
        <v>128</v>
      </c>
      <c r="I6" s="156" t="s">
        <v>129</v>
      </c>
      <c r="L6" s="243"/>
      <c r="M6" s="243"/>
    </row>
    <row r="7" spans="1:13" ht="15.75" thickBot="1" x14ac:dyDescent="0.3">
      <c r="A7" s="135" t="s">
        <v>130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 x14ac:dyDescent="0.3">
      <c r="A8" s="135" t="s">
        <v>131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 x14ac:dyDescent="0.3">
      <c r="A9" s="278"/>
      <c r="B9" s="279" t="s">
        <v>132</v>
      </c>
      <c r="C9" s="279" t="s">
        <v>133</v>
      </c>
      <c r="D9" s="279" t="s">
        <v>134</v>
      </c>
      <c r="E9" s="279" t="s">
        <v>135</v>
      </c>
      <c r="F9" s="279" t="s">
        <v>136</v>
      </c>
      <c r="G9" s="279" t="s">
        <v>137</v>
      </c>
      <c r="H9" s="157" t="s">
        <v>138</v>
      </c>
      <c r="J9" s="157" t="s">
        <v>139</v>
      </c>
    </row>
    <row r="10" spans="1:13" ht="15.75" thickBot="1" x14ac:dyDescent="0.3">
      <c r="A10" s="135" t="s">
        <v>140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141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142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143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144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145</v>
      </c>
      <c r="M14" s="157"/>
    </row>
    <row r="15" spans="1:13" ht="15.75" thickBot="1" x14ac:dyDescent="0.3">
      <c r="A15" s="135" t="s">
        <v>146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 x14ac:dyDescent="0.3">
      <c r="A16" s="135" t="s">
        <v>147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 x14ac:dyDescent="0.3">
      <c r="A17" s="158" t="s">
        <v>148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 x14ac:dyDescent="0.3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 x14ac:dyDescent="0.3">
      <c r="A19" s="157" t="s">
        <v>149</v>
      </c>
      <c r="B19" s="221" t="s">
        <v>150</v>
      </c>
      <c r="C19" s="221" t="s">
        <v>151</v>
      </c>
      <c r="D19" s="221" t="s">
        <v>152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9" t="s">
        <v>165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 x14ac:dyDescent="0.3">
      <c r="A21" s="158" t="s">
        <v>154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155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156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157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158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 x14ac:dyDescent="0.25">
      <c r="A27" s="234"/>
      <c r="B27" s="235"/>
      <c r="C27" s="235"/>
      <c r="D27" s="235"/>
      <c r="E27" s="235"/>
      <c r="F27" s="235"/>
      <c r="G27" s="235"/>
    </row>
    <row r="28" spans="1:13" x14ac:dyDescent="0.25">
      <c r="B28" s="158" t="s">
        <v>159</v>
      </c>
      <c r="C28" s="158" t="s">
        <v>160</v>
      </c>
    </row>
    <row r="29" spans="1:13" ht="15.75" thickBot="1" x14ac:dyDescent="0.3">
      <c r="A29" s="158" t="s">
        <v>161</v>
      </c>
      <c r="B29" s="158">
        <f>'P&amp;L'!R5</f>
        <v>1</v>
      </c>
      <c r="C29" s="158">
        <v>2855</v>
      </c>
    </row>
    <row r="30" spans="1:13" ht="15.75" thickBot="1" x14ac:dyDescent="0.3">
      <c r="A30" s="135" t="s">
        <v>140</v>
      </c>
      <c r="B30" s="139">
        <f t="shared" ref="B30:G30" si="6">B37*B8</f>
        <v>0</v>
      </c>
      <c r="C30" s="139">
        <f>C37*C8</f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141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142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162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163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164</v>
      </c>
    </row>
    <row r="37" spans="1:7" ht="15.75" thickBot="1" x14ac:dyDescent="0.3">
      <c r="A37" s="135" t="s">
        <v>140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141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142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162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163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B23" sqref="B23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37" t="s">
        <v>119</v>
      </c>
      <c r="B2" s="28"/>
      <c r="C2" s="146"/>
      <c r="G2" s="141" t="s">
        <v>120</v>
      </c>
      <c r="H2" s="247">
        <v>7</v>
      </c>
      <c r="L2" s="244" t="s">
        <v>121</v>
      </c>
      <c r="M2" s="244" t="s">
        <v>7</v>
      </c>
    </row>
    <row r="3" spans="1:13" ht="15.75" thickBot="1" x14ac:dyDescent="0.3">
      <c r="A3" s="438"/>
      <c r="B3" s="169"/>
      <c r="C3" s="170"/>
      <c r="E3" s="141" t="s">
        <v>122</v>
      </c>
      <c r="F3" s="143">
        <v>738</v>
      </c>
      <c r="G3" s="141" t="s">
        <v>123</v>
      </c>
      <c r="H3" s="141">
        <f>H4/12</f>
        <v>30.333333333333332</v>
      </c>
      <c r="J3" s="230" t="s">
        <v>124</v>
      </c>
      <c r="L3" s="244">
        <v>737</v>
      </c>
      <c r="M3" s="244">
        <v>1</v>
      </c>
    </row>
    <row r="4" spans="1:13" ht="15.75" thickBot="1" x14ac:dyDescent="0.3">
      <c r="E4" s="141" t="s">
        <v>3</v>
      </c>
      <c r="F4" s="142">
        <f>'P&amp;L'!R4</f>
        <v>0.85</v>
      </c>
      <c r="G4" s="141" t="s">
        <v>125</v>
      </c>
      <c r="H4" s="141">
        <f>H2*52</f>
        <v>364</v>
      </c>
      <c r="J4" s="231">
        <f>H17*H4</f>
        <v>2396534.2433764017</v>
      </c>
      <c r="L4" s="244"/>
      <c r="M4" s="244"/>
    </row>
    <row r="5" spans="1:13" ht="15.75" thickBot="1" x14ac:dyDescent="0.3">
      <c r="A5" s="137" t="s">
        <v>126</v>
      </c>
      <c r="L5" s="244"/>
      <c r="M5" s="244"/>
    </row>
    <row r="6" spans="1:13" ht="15.75" thickBot="1" x14ac:dyDescent="0.3">
      <c r="A6" s="157" t="s">
        <v>127</v>
      </c>
      <c r="B6" s="157" t="s">
        <v>31</v>
      </c>
      <c r="C6" s="157" t="s">
        <v>32</v>
      </c>
      <c r="D6" s="157" t="s">
        <v>33</v>
      </c>
      <c r="E6" s="157" t="s">
        <v>34</v>
      </c>
      <c r="F6" s="157" t="s">
        <v>35</v>
      </c>
      <c r="G6" s="157" t="s">
        <v>36</v>
      </c>
      <c r="H6" s="157" t="s">
        <v>128</v>
      </c>
      <c r="I6" s="156" t="s">
        <v>129</v>
      </c>
      <c r="L6" s="243"/>
      <c r="M6" s="243"/>
    </row>
    <row r="7" spans="1:13" ht="15.75" thickBot="1" x14ac:dyDescent="0.3">
      <c r="A7" s="135" t="s">
        <v>130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 x14ac:dyDescent="0.3">
      <c r="A8" s="135" t="s">
        <v>131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 x14ac:dyDescent="0.3">
      <c r="A9" s="278"/>
      <c r="B9" s="279" t="s">
        <v>132</v>
      </c>
      <c r="C9" s="279" t="s">
        <v>133</v>
      </c>
      <c r="D9" s="279" t="s">
        <v>134</v>
      </c>
      <c r="E9" s="279" t="s">
        <v>135</v>
      </c>
      <c r="F9" s="279" t="s">
        <v>136</v>
      </c>
      <c r="G9" s="279" t="s">
        <v>234</v>
      </c>
      <c r="H9" s="157" t="s">
        <v>138</v>
      </c>
      <c r="J9" s="157" t="s">
        <v>139</v>
      </c>
    </row>
    <row r="10" spans="1:13" ht="15.75" thickBot="1" x14ac:dyDescent="0.3">
      <c r="A10" s="135" t="s">
        <v>140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141</v>
      </c>
      <c r="B11" s="139">
        <f>IFERROR(B38*B8,0)</f>
        <v>0</v>
      </c>
      <c r="C11" s="139">
        <f>IFERROR(C38*$C$8,0)</f>
        <v>753.10892676870674</v>
      </c>
      <c r="D11" s="139">
        <f>IFERROR(D38*$D$8,0)</f>
        <v>603.06413124999995</v>
      </c>
      <c r="E11" s="139">
        <f>IFERROR(E38*$E$8,0)</f>
        <v>1412.0520937981105</v>
      </c>
      <c r="F11" s="139">
        <f>IFERROR(F38*$F$8,0)</f>
        <v>0</v>
      </c>
      <c r="G11" s="139">
        <f>IFERROR(G38*G8,0)</f>
        <v>78.972000000000008</v>
      </c>
      <c r="H11" s="138">
        <f t="shared" si="2"/>
        <v>2847.1971518168175</v>
      </c>
      <c r="I11" s="177">
        <f>I12*45%</f>
        <v>1915.4492624352151</v>
      </c>
      <c r="J11" s="138">
        <f>H11*$H$4</f>
        <v>1036379.7632613216</v>
      </c>
    </row>
    <row r="12" spans="1:13" ht="15.75" thickBot="1" x14ac:dyDescent="0.3">
      <c r="A12" s="135" t="s">
        <v>142</v>
      </c>
      <c r="B12" s="139">
        <f>IFERROR(B39*B8,0)</f>
        <v>0</v>
      </c>
      <c r="C12" s="139">
        <f>IFERROR(C39*$C$8,0)</f>
        <v>237.00676470588238</v>
      </c>
      <c r="D12" s="139">
        <f>IFERROR(D39*$D$8,0)</f>
        <v>319.8</v>
      </c>
      <c r="E12" s="139">
        <f>IFERROR(E39*$E$8,0)</f>
        <v>823.03</v>
      </c>
      <c r="F12" s="139">
        <f>IFERROR(F39*$F$8,0)</f>
        <v>0</v>
      </c>
      <c r="G12" s="139">
        <f>IFERROR(G39*G8,0)</f>
        <v>29.52000000000001</v>
      </c>
      <c r="H12" s="138">
        <f t="shared" si="2"/>
        <v>1409.3567647058824</v>
      </c>
      <c r="I12" s="249">
        <f>H11+H12</f>
        <v>4256.5539165227001</v>
      </c>
      <c r="J12" s="138">
        <f t="shared" ref="J12:J17" si="3">H12*$H$4</f>
        <v>513005.86235294119</v>
      </c>
    </row>
    <row r="13" spans="1:13" ht="15.75" thickBot="1" x14ac:dyDescent="0.3">
      <c r="A13" s="135" t="s">
        <v>143</v>
      </c>
      <c r="B13" s="139">
        <f t="shared" ref="B13:B14" si="4">IFERROR(B40*B9,0)</f>
        <v>0</v>
      </c>
      <c r="C13" s="139">
        <f>IFERROR(C40*$C$8,0)</f>
        <v>112.96633901530593</v>
      </c>
      <c r="D13" s="139">
        <f>IFERROR(D40*$D$8,0)</f>
        <v>90.459619687499909</v>
      </c>
      <c r="E13" s="139">
        <f>IFERROR(E40*$E$8,0)</f>
        <v>211.80781406971644</v>
      </c>
      <c r="F13" s="139">
        <f>IFERROR(F40*$F$8,0)</f>
        <v>0</v>
      </c>
      <c r="G13" s="139">
        <f>IFERROR(G40*$G$8,0)</f>
        <v>11.845799999999992</v>
      </c>
      <c r="H13" s="138">
        <f>SUM(B13:G13)</f>
        <v>427.07957277252228</v>
      </c>
      <c r="J13" s="138">
        <f t="shared" si="3"/>
        <v>155456.96448919812</v>
      </c>
    </row>
    <row r="14" spans="1:13" ht="15.75" thickBot="1" x14ac:dyDescent="0.3">
      <c r="A14" s="135" t="s">
        <v>144</v>
      </c>
      <c r="B14" s="139">
        <f t="shared" si="4"/>
        <v>0</v>
      </c>
      <c r="C14" s="139">
        <f>IFERROR(C41*$C$8,0)</f>
        <v>35.551014705882331</v>
      </c>
      <c r="D14" s="139">
        <f>IFERROR(D41*$D$8,0)</f>
        <v>47.96999999999997</v>
      </c>
      <c r="E14" s="139">
        <f>IFERROR(E41*$E$8,0)</f>
        <v>123.45449999999991</v>
      </c>
      <c r="F14" s="139">
        <f>IFERROR(F41*$F$8,0)</f>
        <v>0</v>
      </c>
      <c r="G14" s="139">
        <f>IFERROR(G41*$G$8,0)</f>
        <v>4.4279999999999982</v>
      </c>
      <c r="H14" s="138">
        <f t="shared" si="2"/>
        <v>211.4035147058822</v>
      </c>
      <c r="J14" s="138">
        <f t="shared" si="3"/>
        <v>76950.87935294112</v>
      </c>
      <c r="L14" s="157" t="s">
        <v>145</v>
      </c>
      <c r="M14" s="157"/>
    </row>
    <row r="15" spans="1:13" ht="15.75" thickBot="1" x14ac:dyDescent="0.3">
      <c r="A15" s="135" t="s">
        <v>146</v>
      </c>
      <c r="B15" s="139">
        <v>0</v>
      </c>
      <c r="C15" s="139">
        <v>0</v>
      </c>
      <c r="D15" s="139">
        <v>0</v>
      </c>
      <c r="E15" s="139">
        <f>+B20</f>
        <v>1494.556</v>
      </c>
      <c r="F15" s="139">
        <v>0</v>
      </c>
      <c r="G15" s="139">
        <f>IFERROR(G42*$G$8,0)</f>
        <v>0</v>
      </c>
      <c r="H15" s="138">
        <f t="shared" si="2"/>
        <v>1494.556</v>
      </c>
      <c r="I15" s="177"/>
      <c r="J15" s="138">
        <f t="shared" si="3"/>
        <v>544018.38399999996</v>
      </c>
      <c r="L15" s="237">
        <f>J12+J15</f>
        <v>1057024.2463529413</v>
      </c>
      <c r="M15" s="239">
        <v>1</v>
      </c>
    </row>
    <row r="16" spans="1:13" ht="15.75" thickBot="1" x14ac:dyDescent="0.3">
      <c r="A16" s="135" t="s">
        <v>147</v>
      </c>
      <c r="B16" s="140">
        <v>0</v>
      </c>
      <c r="C16" s="140">
        <v>0</v>
      </c>
      <c r="D16" s="140">
        <v>0</v>
      </c>
      <c r="E16" s="139">
        <f>+C20</f>
        <v>194.29228000000001</v>
      </c>
      <c r="F16" s="140">
        <v>0</v>
      </c>
      <c r="G16" s="139">
        <f>IFERROR(G43*$G$8,0)</f>
        <v>0</v>
      </c>
      <c r="H16" s="138">
        <f t="shared" si="2"/>
        <v>194.29228000000001</v>
      </c>
      <c r="I16" s="155"/>
      <c r="J16" s="138">
        <f t="shared" si="3"/>
        <v>70722.389920000001</v>
      </c>
      <c r="L16" s="238">
        <f>L15*M16</f>
        <v>845619.39708235301</v>
      </c>
      <c r="M16" s="239">
        <v>0.8</v>
      </c>
    </row>
    <row r="17" spans="1:13" ht="15.75" thickBot="1" x14ac:dyDescent="0.3">
      <c r="A17" s="158" t="s">
        <v>148</v>
      </c>
      <c r="B17" s="159">
        <f>SUM(B11:B16)</f>
        <v>0</v>
      </c>
      <c r="C17" s="159">
        <f>SUM(C11:C16)</f>
        <v>1138.6330451957774</v>
      </c>
      <c r="D17" s="159">
        <f>SUM(D10:D16)</f>
        <v>1061.2937509374997</v>
      </c>
      <c r="E17" s="159">
        <f>SUM(E10:E16)</f>
        <v>4259.1926878678269</v>
      </c>
      <c r="F17" s="159">
        <f>SUM(F10:F16)</f>
        <v>0</v>
      </c>
      <c r="G17" s="159">
        <f>SUM(G10:G16)</f>
        <v>124.76580000000001</v>
      </c>
      <c r="H17" s="159">
        <f>SUM(H10:H16)</f>
        <v>6583.8852840011041</v>
      </c>
      <c r="J17" s="229">
        <f t="shared" si="3"/>
        <v>2396534.2433764017</v>
      </c>
      <c r="L17" s="238">
        <f>L15*M17</f>
        <v>211404.84927058825</v>
      </c>
      <c r="M17" s="239">
        <v>0.2</v>
      </c>
    </row>
    <row r="18" spans="1:13" ht="15.75" thickBot="1" x14ac:dyDescent="0.3">
      <c r="A18" s="217"/>
      <c r="B18" s="218">
        <f>B17</f>
        <v>0</v>
      </c>
      <c r="C18" s="218">
        <f>C17</f>
        <v>1138.6330451957774</v>
      </c>
      <c r="D18" s="218">
        <f>D17</f>
        <v>1061.2937509374997</v>
      </c>
      <c r="E18" s="218">
        <f>E17-E15-E16</f>
        <v>2570.3444078678267</v>
      </c>
      <c r="F18" s="218">
        <f>F17</f>
        <v>0</v>
      </c>
      <c r="G18" s="218">
        <f>G17</f>
        <v>124.76580000000001</v>
      </c>
      <c r="H18" s="218"/>
      <c r="I18" s="218">
        <f>E15+E16</f>
        <v>1688.8482800000002</v>
      </c>
      <c r="J18" s="218"/>
      <c r="L18" s="236"/>
    </row>
    <row r="19" spans="1:13" ht="15.75" thickBot="1" x14ac:dyDescent="0.3">
      <c r="A19" s="157" t="s">
        <v>149</v>
      </c>
      <c r="B19" s="221" t="s">
        <v>150</v>
      </c>
      <c r="C19" s="221" t="s">
        <v>151</v>
      </c>
      <c r="D19" s="221" t="s">
        <v>152</v>
      </c>
      <c r="E19" s="154"/>
      <c r="F19" s="154"/>
      <c r="G19" s="154"/>
      <c r="H19" s="156"/>
      <c r="I19" s="154">
        <f>E16</f>
        <v>194.29228000000001</v>
      </c>
      <c r="J19" s="249">
        <f>H11+H12+H15</f>
        <v>5751.1099165227006</v>
      </c>
    </row>
    <row r="20" spans="1:13" ht="15.75" thickBot="1" x14ac:dyDescent="0.3">
      <c r="A20" s="219" t="s">
        <v>165</v>
      </c>
      <c r="B20" s="382">
        <f>Handling!C83+Handling!S39+Handling!S45+Handling!V53+Handling!AD39</f>
        <v>1494.556</v>
      </c>
      <c r="C20" s="220">
        <f>B20*'P&amp;L'!$R$10</f>
        <v>194.29228000000001</v>
      </c>
      <c r="D20" s="220">
        <f>SUM(B20:C20)</f>
        <v>1688.8482800000002</v>
      </c>
      <c r="G20" s="177"/>
      <c r="J20" s="249">
        <f>H13+H14+H16</f>
        <v>832.77536747840452</v>
      </c>
    </row>
    <row r="21" spans="1:13" ht="15.75" hidden="1" thickBot="1" x14ac:dyDescent="0.3">
      <c r="A21" s="158" t="s">
        <v>154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155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156</v>
      </c>
      <c r="B24" s="139">
        <f>IFERROR(((B11+B12+B13+B14)/B8),0)</f>
        <v>0</v>
      </c>
      <c r="C24" s="139">
        <f>IFERROR(((C11+C12+C13+C14)/C8),0)</f>
        <v>39.263208455026806</v>
      </c>
      <c r="D24" s="139">
        <f>IFERROR(((D10+D11+D12+D13+D14)/D8),0)</f>
        <v>25.885213437499992</v>
      </c>
      <c r="E24" s="139">
        <f>IFERROR(((E10+E11+E12+E13+E14)/E8),0)</f>
        <v>15.209138508093652</v>
      </c>
      <c r="F24" s="139">
        <f>IFERROR(((F10+F11+F12+F13+F14)/F8),0)</f>
        <v>0</v>
      </c>
      <c r="G24" s="139">
        <f>IFERROR(((G10+G11+G12+G13+G14)/G8),0)</f>
        <v>20.794300000000003</v>
      </c>
    </row>
    <row r="25" spans="1:13" ht="15.75" thickBot="1" x14ac:dyDescent="0.3">
      <c r="A25" s="135" t="s">
        <v>157</v>
      </c>
      <c r="B25" s="139">
        <f t="shared" ref="B25:G25" si="5">IFERROR(((B13+B14)/B8),0)</f>
        <v>0</v>
      </c>
      <c r="C25" s="139">
        <f>IFERROR(((C13+C14)/C8),0)</f>
        <v>5.1212880593513201</v>
      </c>
      <c r="D25" s="139">
        <f t="shared" si="5"/>
        <v>3.3763321874999974</v>
      </c>
      <c r="E25" s="139">
        <f>IFERROR(((E13+E14)/E8),0)</f>
        <v>1.9838006749687358</v>
      </c>
      <c r="F25" s="139">
        <f t="shared" si="5"/>
        <v>0</v>
      </c>
      <c r="G25" s="139">
        <f t="shared" si="5"/>
        <v>2.7122999999999986</v>
      </c>
    </row>
    <row r="26" spans="1:13" ht="15.75" thickBot="1" x14ac:dyDescent="0.3">
      <c r="A26" s="135" t="s">
        <v>158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3" customFormat="1" x14ac:dyDescent="0.25">
      <c r="A27" s="234"/>
      <c r="B27" s="235"/>
      <c r="C27" s="235"/>
      <c r="D27" s="235"/>
      <c r="E27" s="235"/>
      <c r="F27" s="235"/>
      <c r="G27" s="235"/>
    </row>
    <row r="28" spans="1:13" x14ac:dyDescent="0.25">
      <c r="B28" s="158" t="s">
        <v>159</v>
      </c>
      <c r="C28" s="158" t="s">
        <v>160</v>
      </c>
    </row>
    <row r="29" spans="1:13" ht="15.75" thickBot="1" x14ac:dyDescent="0.3">
      <c r="A29" s="158" t="s">
        <v>161</v>
      </c>
      <c r="B29" s="158">
        <f>'P&amp;L'!R5</f>
        <v>1</v>
      </c>
      <c r="C29" s="158">
        <v>104</v>
      </c>
    </row>
    <row r="30" spans="1:13" ht="15.75" thickBot="1" x14ac:dyDescent="0.3">
      <c r="A30" s="135" t="s">
        <v>140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 x14ac:dyDescent="0.3">
      <c r="A31" s="135" t="s">
        <v>141</v>
      </c>
      <c r="B31" s="321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882.95529345296654</v>
      </c>
      <c r="D31" s="139">
        <f>IFERROR(IF($B$29=$B$29,SUMIF(Food!$C:$C,D$9&amp;$B$29&amp;$C$29,Food!$X:$X),0),"")</f>
        <v>706.02629999999999</v>
      </c>
      <c r="E31" s="139">
        <f>IFERROR(IF($B$29=$B$29,SUMIF(Food!$C:$C,E$9&amp;$B$29&amp;$C$29,Food!$X:$X),0),"")</f>
        <v>1654.3568909587327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78.972000000000008</v>
      </c>
      <c r="H31" s="304"/>
    </row>
    <row r="32" spans="1:13" ht="15.75" thickBot="1" x14ac:dyDescent="0.3">
      <c r="A32" s="135" t="s">
        <v>142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277.87000000000006</v>
      </c>
      <c r="D32" s="139">
        <f>IFERROR(IF($B$29=$B$29,SUMIF(Food!$C:$C,D$9&amp;$B$29&amp;$C$29,Food!$Z:$Z),0),"")</f>
        <v>374.40000000000003</v>
      </c>
      <c r="E32" s="139">
        <f>IFERROR(IF($B$29=$B$29,SUMIF(Food!$C:$C,E$9&amp;$B$29&amp;$C$29,Food!$Z:$Z),0),"")</f>
        <v>964.26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29.52000000000001</v>
      </c>
    </row>
    <row r="33" spans="1:7" ht="15.75" thickBot="1" x14ac:dyDescent="0.3">
      <c r="A33" s="135" t="s">
        <v>162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132.44329401794488</v>
      </c>
      <c r="D33" s="139">
        <f>IFERROR(IF($B$29=$B$29,SUMIF(Food!$C:$C,D$9&amp;$B$29&amp;$C$29,Food!$AB:$AB),0),"")</f>
        <v>105.90394499999991</v>
      </c>
      <c r="E33" s="139">
        <f>IFERROR(IF($B$29=$B$29,SUMIF(Food!$C:$C,E$9&amp;$B$29&amp;$C$29,Food!$AB:$AB),0),"")</f>
        <v>248.15353364380979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11.845799999999992</v>
      </c>
    </row>
    <row r="34" spans="1:7" ht="15.75" thickBot="1" x14ac:dyDescent="0.3">
      <c r="A34" s="135" t="s">
        <v>163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41.680499999999974</v>
      </c>
      <c r="D34" s="139">
        <f>IFERROR(IF($B$29=$B$29,SUMIF(Food!$C:$C,D$9&amp;$B$29&amp;$C$29,Food!$AC:$AC),0),"")</f>
        <v>56.159999999999961</v>
      </c>
      <c r="E34" s="139">
        <f>IFERROR(IF($B$29=$B$29,SUMIF(Food!$C:$C,E$9&amp;$B$29&amp;$C$29,Food!$AC:$AC),0),"")</f>
        <v>144.6389999999999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4.4279999999999982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164</v>
      </c>
    </row>
    <row r="37" spans="1:7" ht="15.75" thickBot="1" x14ac:dyDescent="0.3">
      <c r="A37" s="135" t="s">
        <v>140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141</v>
      </c>
      <c r="B38" s="139" t="str">
        <f t="shared" ref="B38:G38" si="8">IFERROR(B31/B7," ")</f>
        <v xml:space="preserve"> </v>
      </c>
      <c r="C38" s="139">
        <f t="shared" si="8"/>
        <v>25.969273336851955</v>
      </c>
      <c r="D38" s="139">
        <f t="shared" si="8"/>
        <v>14.708881249999999</v>
      </c>
      <c r="E38" s="139">
        <f t="shared" si="8"/>
        <v>8.3553378331249135</v>
      </c>
      <c r="F38" s="139" t="str">
        <f t="shared" si="8"/>
        <v xml:space="preserve"> </v>
      </c>
      <c r="G38" s="139">
        <f t="shared" si="8"/>
        <v>13.162000000000001</v>
      </c>
    </row>
    <row r="39" spans="1:7" ht="15.75" thickBot="1" x14ac:dyDescent="0.3">
      <c r="A39" s="135" t="s">
        <v>142</v>
      </c>
      <c r="B39" s="139" t="str">
        <f t="shared" ref="B39:G39" si="9">IFERROR(B32/B7," ")</f>
        <v xml:space="preserve"> </v>
      </c>
      <c r="C39" s="139">
        <f>IFERROR(C32/C7," ")</f>
        <v>8.1726470588235305</v>
      </c>
      <c r="D39" s="139">
        <f t="shared" si="9"/>
        <v>7.8000000000000007</v>
      </c>
      <c r="E39" s="139">
        <f t="shared" si="9"/>
        <v>4.87</v>
      </c>
      <c r="F39" s="139" t="str">
        <f t="shared" si="9"/>
        <v xml:space="preserve"> </v>
      </c>
      <c r="G39" s="139">
        <f t="shared" si="9"/>
        <v>4.9200000000000017</v>
      </c>
    </row>
    <row r="40" spans="1:7" ht="15.75" thickBot="1" x14ac:dyDescent="0.3">
      <c r="A40" s="135" t="s">
        <v>162</v>
      </c>
      <c r="B40" s="139" t="str">
        <f>IFERROR(B33/B8," ")</f>
        <v xml:space="preserve"> </v>
      </c>
      <c r="C40" s="139">
        <f>IFERROR(C33/C7," ")</f>
        <v>3.8953910005277907</v>
      </c>
      <c r="D40" s="139">
        <f>IFERROR(D33/D7," ")</f>
        <v>2.2063321874999979</v>
      </c>
      <c r="E40" s="139">
        <f>IFERROR(E33/E7," ")</f>
        <v>1.2533006749687363</v>
      </c>
      <c r="F40" s="139" t="str">
        <f>IFERROR(F33/F7," ")</f>
        <v xml:space="preserve"> </v>
      </c>
      <c r="G40" s="139">
        <f>IFERROR(G33/G7," ")</f>
        <v>1.9742999999999986</v>
      </c>
    </row>
    <row r="41" spans="1:7" ht="15.75" thickBot="1" x14ac:dyDescent="0.3">
      <c r="A41" s="135" t="s">
        <v>163</v>
      </c>
      <c r="B41" s="139" t="str">
        <f t="shared" ref="B41:G41" si="10">IFERROR(B34/B7," ")</f>
        <v xml:space="preserve"> </v>
      </c>
      <c r="C41" s="139">
        <f t="shared" si="10"/>
        <v>1.2258970588235287</v>
      </c>
      <c r="D41" s="139">
        <f t="shared" si="10"/>
        <v>1.1699999999999993</v>
      </c>
      <c r="E41" s="139">
        <f t="shared" si="10"/>
        <v>0.73049999999999948</v>
      </c>
      <c r="F41" s="139" t="str">
        <f t="shared" si="10"/>
        <v xml:space="preserve"> </v>
      </c>
      <c r="G41" s="139">
        <f t="shared" si="10"/>
        <v>0.73799999999999966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B18" sqref="B18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37" t="s">
        <v>119</v>
      </c>
      <c r="B2" s="28"/>
      <c r="C2" s="146"/>
      <c r="G2" s="141" t="s">
        <v>120</v>
      </c>
      <c r="H2" s="247">
        <v>7</v>
      </c>
      <c r="L2" s="244" t="s">
        <v>121</v>
      </c>
      <c r="M2" s="244" t="s">
        <v>7</v>
      </c>
    </row>
    <row r="3" spans="1:13" ht="15.75" thickBot="1" x14ac:dyDescent="0.3">
      <c r="A3" s="438"/>
      <c r="B3" s="169"/>
      <c r="C3" s="170"/>
      <c r="E3" s="141" t="s">
        <v>122</v>
      </c>
      <c r="F3" s="143">
        <v>738</v>
      </c>
      <c r="G3" s="141" t="s">
        <v>123</v>
      </c>
      <c r="H3" s="141">
        <f>H4/12</f>
        <v>30.333333333333332</v>
      </c>
      <c r="J3" s="230" t="s">
        <v>124</v>
      </c>
      <c r="L3" s="244">
        <v>330</v>
      </c>
      <c r="M3" s="244">
        <v>1</v>
      </c>
    </row>
    <row r="4" spans="1:13" ht="15.75" thickBot="1" x14ac:dyDescent="0.3">
      <c r="E4" s="141" t="s">
        <v>3</v>
      </c>
      <c r="F4" s="142">
        <f>'P&amp;L'!R4</f>
        <v>0.85</v>
      </c>
      <c r="G4" s="141" t="s">
        <v>125</v>
      </c>
      <c r="H4" s="141">
        <f>H2*52</f>
        <v>364</v>
      </c>
      <c r="J4" s="231">
        <f>H17*H4</f>
        <v>1817422.3522000001</v>
      </c>
      <c r="L4" s="244"/>
      <c r="M4" s="244"/>
    </row>
    <row r="5" spans="1:13" ht="15.75" thickBot="1" x14ac:dyDescent="0.3">
      <c r="A5" s="137" t="s">
        <v>126</v>
      </c>
      <c r="L5" s="244"/>
      <c r="M5" s="244"/>
    </row>
    <row r="6" spans="1:13" ht="15.75" thickBot="1" x14ac:dyDescent="0.3">
      <c r="A6" s="157" t="s">
        <v>127</v>
      </c>
      <c r="B6" s="157" t="s">
        <v>31</v>
      </c>
      <c r="C6" s="157" t="s">
        <v>32</v>
      </c>
      <c r="D6" s="157" t="s">
        <v>33</v>
      </c>
      <c r="E6" s="157" t="s">
        <v>34</v>
      </c>
      <c r="F6" s="157" t="s">
        <v>35</v>
      </c>
      <c r="G6" s="157" t="s">
        <v>36</v>
      </c>
      <c r="H6" s="157" t="s">
        <v>128</v>
      </c>
      <c r="I6" s="156" t="s">
        <v>129</v>
      </c>
      <c r="L6" s="243"/>
      <c r="M6" s="243"/>
    </row>
    <row r="7" spans="1:13" ht="15.75" thickBot="1" x14ac:dyDescent="0.3">
      <c r="A7" s="135" t="s">
        <v>130</v>
      </c>
      <c r="B7" s="135">
        <f>+'FlightConfig '!B17</f>
        <v>0</v>
      </c>
      <c r="C7" s="340">
        <f>+'FlightConfig '!C23</f>
        <v>30</v>
      </c>
      <c r="D7" s="340">
        <f>+'FlightConfig '!D23</f>
        <v>44</v>
      </c>
      <c r="E7" s="340">
        <f>+'FlightConfig '!E23</f>
        <v>184</v>
      </c>
      <c r="F7" s="340">
        <f>+'FlightConfig '!F23</f>
        <v>0</v>
      </c>
      <c r="G7" s="340">
        <f>+'FlightConfig '!G23</f>
        <v>6</v>
      </c>
      <c r="H7" s="340">
        <f>+'FlightConfig '!H23</f>
        <v>264</v>
      </c>
      <c r="L7" s="243"/>
      <c r="M7" s="243"/>
    </row>
    <row r="8" spans="1:13" ht="15.75" thickBot="1" x14ac:dyDescent="0.3">
      <c r="A8" s="135" t="s">
        <v>131</v>
      </c>
      <c r="B8" s="135">
        <f t="shared" ref="B8:G8" si="0">ROUNDUP(B7*$F$4,0)</f>
        <v>0</v>
      </c>
      <c r="C8" s="135">
        <f t="shared" si="0"/>
        <v>26</v>
      </c>
      <c r="D8" s="135">
        <f t="shared" si="0"/>
        <v>38</v>
      </c>
      <c r="E8" s="135">
        <f t="shared" si="0"/>
        <v>157</v>
      </c>
      <c r="F8" s="135">
        <f t="shared" si="0"/>
        <v>0</v>
      </c>
      <c r="G8" s="135">
        <f t="shared" si="0"/>
        <v>6</v>
      </c>
      <c r="H8" s="135">
        <f>SUM(B8:G8)</f>
        <v>227</v>
      </c>
      <c r="L8" s="243"/>
      <c r="M8" s="243"/>
    </row>
    <row r="9" spans="1:13" ht="15.75" thickBot="1" x14ac:dyDescent="0.3">
      <c r="A9" s="278"/>
      <c r="B9" s="279" t="s">
        <v>132</v>
      </c>
      <c r="C9" s="279" t="s">
        <v>133</v>
      </c>
      <c r="D9" s="279" t="s">
        <v>134</v>
      </c>
      <c r="E9" s="279" t="s">
        <v>135</v>
      </c>
      <c r="F9" s="279" t="s">
        <v>136</v>
      </c>
      <c r="G9" s="279" t="s">
        <v>137</v>
      </c>
      <c r="H9" s="157" t="s">
        <v>138</v>
      </c>
      <c r="J9" s="157" t="s">
        <v>139</v>
      </c>
    </row>
    <row r="10" spans="1:13" ht="15.75" thickBot="1" x14ac:dyDescent="0.3">
      <c r="A10" s="135" t="s">
        <v>140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141</v>
      </c>
      <c r="B11" s="139">
        <f>IFERROR(B38*B8,0)</f>
        <v>0</v>
      </c>
      <c r="C11" s="139">
        <f>IFERROR(C38*$C$8,0)</f>
        <v>493.077</v>
      </c>
      <c r="D11" s="139">
        <f>IFERROR(D38*$D$8,0)</f>
        <v>498.92099999999999</v>
      </c>
      <c r="E11" s="139">
        <f>IFERROR(E38*$E$8,0)</f>
        <v>718.27499999999998</v>
      </c>
      <c r="F11" s="139">
        <f>IFERROR(F38*$F$8,0)</f>
        <v>0</v>
      </c>
      <c r="G11" s="139">
        <f>IFERROR(G38*$G$8,0)</f>
        <v>185.58000000000004</v>
      </c>
      <c r="H11" s="138">
        <f t="shared" si="2"/>
        <v>1895.8530000000001</v>
      </c>
      <c r="I11" s="177"/>
      <c r="J11" s="138">
        <f>H11*$H$4</f>
        <v>690090.49199999997</v>
      </c>
    </row>
    <row r="12" spans="1:13" ht="15.75" thickBot="1" x14ac:dyDescent="0.3">
      <c r="A12" s="135" t="s">
        <v>142</v>
      </c>
      <c r="B12" s="139">
        <f>IFERROR(B39*B8,0)</f>
        <v>0</v>
      </c>
      <c r="C12" s="139">
        <f>IFERROR(C39*$C$8,0)</f>
        <v>192.11399999999998</v>
      </c>
      <c r="D12" s="139">
        <f>IFERROR(D39*$D$8,0)</f>
        <v>234.08</v>
      </c>
      <c r="E12" s="139">
        <f>IFERROR(E39*$E$8,0)</f>
        <v>566.77</v>
      </c>
      <c r="F12" s="139">
        <f>IFERROR(F39*$F$8,0)</f>
        <v>0</v>
      </c>
      <c r="G12" s="139">
        <f>IFERROR(G39*$G$8,0)</f>
        <v>82.8</v>
      </c>
      <c r="H12" s="138">
        <f t="shared" si="2"/>
        <v>1075.7639999999999</v>
      </c>
      <c r="I12" s="249"/>
      <c r="J12" s="138">
        <f t="shared" ref="J12:J17" si="3">H12*$H$4</f>
        <v>391578.09599999996</v>
      </c>
    </row>
    <row r="13" spans="1:13" ht="15.75" thickBot="1" x14ac:dyDescent="0.3">
      <c r="A13" s="135" t="s">
        <v>143</v>
      </c>
      <c r="B13" s="139">
        <f t="shared" ref="B13:B14" si="4">IFERROR(B40*B9,0)</f>
        <v>0</v>
      </c>
      <c r="C13" s="139">
        <f>IFERROR(C40*$C$8,0)</f>
        <v>73.96154999999996</v>
      </c>
      <c r="D13" s="139">
        <f>IFERROR(D40*$D$8,0)</f>
        <v>74.838149999999956</v>
      </c>
      <c r="E13" s="139">
        <f>IFERROR(E40*$E$8,0)</f>
        <v>107.74124999999995</v>
      </c>
      <c r="F13" s="139">
        <f>IFERROR(F40*$F$8,0)</f>
        <v>0</v>
      </c>
      <c r="G13" s="139">
        <f>IFERROR(G40*$G$8,0)</f>
        <v>27.836999999999982</v>
      </c>
      <c r="H13" s="138">
        <f t="shared" si="2"/>
        <v>284.37794999999983</v>
      </c>
      <c r="J13" s="138">
        <f t="shared" si="3"/>
        <v>103513.57379999994</v>
      </c>
    </row>
    <row r="14" spans="1:13" ht="15.75" thickBot="1" x14ac:dyDescent="0.3">
      <c r="A14" s="135" t="s">
        <v>144</v>
      </c>
      <c r="B14" s="139">
        <f t="shared" si="4"/>
        <v>0</v>
      </c>
      <c r="C14" s="139">
        <f>IFERROR(C41*$C$8,0)</f>
        <v>28.817099999999982</v>
      </c>
      <c r="D14" s="139">
        <f>IFERROR(D41*$D$8,0)</f>
        <v>35.111999999999973</v>
      </c>
      <c r="E14" s="139">
        <f>IFERROR(E41*$E$8,0)</f>
        <v>85.015499999999946</v>
      </c>
      <c r="F14" s="139">
        <f>IFERROR(F41*$F$8,0)</f>
        <v>0</v>
      </c>
      <c r="G14" s="139">
        <f>IFERROR(G41*$G$8,0)</f>
        <v>12.419999999999987</v>
      </c>
      <c r="H14" s="138">
        <f t="shared" si="2"/>
        <v>161.36459999999988</v>
      </c>
      <c r="J14" s="138">
        <f t="shared" si="3"/>
        <v>58736.714399999953</v>
      </c>
      <c r="L14" s="157" t="s">
        <v>145</v>
      </c>
      <c r="M14" s="157"/>
    </row>
    <row r="15" spans="1:13" ht="15.75" thickBot="1" x14ac:dyDescent="0.3">
      <c r="A15" s="135" t="s">
        <v>146</v>
      </c>
      <c r="B15" s="139">
        <v>0</v>
      </c>
      <c r="C15" s="139">
        <v>0</v>
      </c>
      <c r="D15" s="139">
        <v>0</v>
      </c>
      <c r="E15" s="139">
        <f>+B20</f>
        <v>1394.3000000000002</v>
      </c>
      <c r="F15" s="139">
        <v>0</v>
      </c>
      <c r="G15" s="139">
        <v>0</v>
      </c>
      <c r="H15" s="138">
        <f t="shared" si="2"/>
        <v>1394.3000000000002</v>
      </c>
      <c r="I15" s="177"/>
      <c r="J15" s="138">
        <f t="shared" si="3"/>
        <v>507525.20000000007</v>
      </c>
      <c r="L15" s="237">
        <f>J12+J15</f>
        <v>899103.29600000009</v>
      </c>
      <c r="M15" s="239">
        <v>1</v>
      </c>
    </row>
    <row r="16" spans="1:13" ht="15.75" thickBot="1" x14ac:dyDescent="0.3">
      <c r="A16" s="135" t="s">
        <v>147</v>
      </c>
      <c r="B16" s="140">
        <v>0</v>
      </c>
      <c r="C16" s="140">
        <v>0</v>
      </c>
      <c r="D16" s="140">
        <v>0</v>
      </c>
      <c r="E16" s="139">
        <f>+C20</f>
        <v>181.25900000000004</v>
      </c>
      <c r="F16" s="140">
        <v>0</v>
      </c>
      <c r="G16" s="139">
        <v>0</v>
      </c>
      <c r="H16" s="138">
        <f t="shared" si="2"/>
        <v>181.25900000000004</v>
      </c>
      <c r="I16" s="155"/>
      <c r="J16" s="138">
        <f t="shared" si="3"/>
        <v>65978.276000000013</v>
      </c>
      <c r="L16" s="238">
        <f>L15*M16</f>
        <v>719282.63680000009</v>
      </c>
      <c r="M16" s="239">
        <v>0.8</v>
      </c>
    </row>
    <row r="17" spans="1:13" ht="15.75" thickBot="1" x14ac:dyDescent="0.3">
      <c r="A17" s="158" t="s">
        <v>148</v>
      </c>
      <c r="B17" s="159">
        <f>SUM(B11:B16)</f>
        <v>0</v>
      </c>
      <c r="C17" s="159">
        <f>SUM(C11:C16)</f>
        <v>787.96965</v>
      </c>
      <c r="D17" s="159">
        <f>SUM(D10:D16)</f>
        <v>842.95114999999987</v>
      </c>
      <c r="E17" s="159">
        <f>SUM(E10:E16)</f>
        <v>3053.3607500000003</v>
      </c>
      <c r="F17" s="159">
        <f>SUM(F10:F16)</f>
        <v>0</v>
      </c>
      <c r="G17" s="159">
        <f>SUM(G10:G16)</f>
        <v>308.63700000000006</v>
      </c>
      <c r="H17" s="159">
        <f>SUM(H10:H16)</f>
        <v>4992.9185500000003</v>
      </c>
      <c r="J17" s="229">
        <f t="shared" si="3"/>
        <v>1817422.3522000001</v>
      </c>
      <c r="L17" s="238">
        <f>L15*M17</f>
        <v>179820.65920000002</v>
      </c>
      <c r="M17" s="239">
        <v>0.2</v>
      </c>
    </row>
    <row r="18" spans="1:13" ht="15.75" thickBot="1" x14ac:dyDescent="0.3">
      <c r="A18" s="217"/>
      <c r="B18" s="218">
        <f>B17</f>
        <v>0</v>
      </c>
      <c r="C18" s="218">
        <f>C17</f>
        <v>787.96965</v>
      </c>
      <c r="D18" s="218">
        <f>D17</f>
        <v>842.95114999999987</v>
      </c>
      <c r="E18" s="218">
        <f>E17-E15-E16</f>
        <v>1477.8017500000001</v>
      </c>
      <c r="F18" s="218">
        <f>F17</f>
        <v>0</v>
      </c>
      <c r="G18" s="218">
        <f>G17</f>
        <v>308.63700000000006</v>
      </c>
      <c r="H18" s="218"/>
      <c r="I18" s="218">
        <f>E15+E16</f>
        <v>1575.5590000000002</v>
      </c>
      <c r="J18" s="218"/>
      <c r="L18" s="236"/>
    </row>
    <row r="19" spans="1:13" ht="15.75" thickBot="1" x14ac:dyDescent="0.3">
      <c r="A19" s="157" t="s">
        <v>149</v>
      </c>
      <c r="B19" s="221" t="s">
        <v>150</v>
      </c>
      <c r="C19" s="221" t="s">
        <v>151</v>
      </c>
      <c r="D19" s="221" t="s">
        <v>152</v>
      </c>
      <c r="E19" s="154"/>
      <c r="F19" s="154"/>
      <c r="G19" s="154"/>
      <c r="H19" s="156"/>
      <c r="I19" s="154">
        <f>E16</f>
        <v>181.25900000000004</v>
      </c>
      <c r="J19" s="249">
        <f>H11+H12+H15</f>
        <v>4365.9170000000004</v>
      </c>
    </row>
    <row r="20" spans="1:13" ht="15.75" thickBot="1" x14ac:dyDescent="0.3">
      <c r="A20" s="219" t="s">
        <v>165</v>
      </c>
      <c r="B20" s="382">
        <f>Handling!C83+Handling!R39+Handling!R45+Handling!V52+Handling!AC39</f>
        <v>1394.3000000000002</v>
      </c>
      <c r="C20" s="220">
        <f>B20*'P&amp;L'!$R$10</f>
        <v>181.25900000000004</v>
      </c>
      <c r="D20" s="220">
        <f>SUM(B20:C20)</f>
        <v>1575.5590000000002</v>
      </c>
      <c r="G20" s="177"/>
      <c r="J20" s="249">
        <f>H13+H14+H16</f>
        <v>627.00154999999972</v>
      </c>
    </row>
    <row r="21" spans="1:13" ht="15.75" hidden="1" thickBot="1" x14ac:dyDescent="0.3">
      <c r="A21" s="158" t="s">
        <v>154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155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156</v>
      </c>
      <c r="B24" s="139">
        <f>IFERROR(((B11+B12+B13+B14)/B8),0)</f>
        <v>0</v>
      </c>
      <c r="C24" s="139">
        <f>IFERROR(((C11+C12+C13+C14)/C8),0)</f>
        <v>30.306525000000001</v>
      </c>
      <c r="D24" s="139">
        <f>IFERROR(((D10+D11+D12+D13+D14)/D8),0)</f>
        <v>22.182924999999997</v>
      </c>
      <c r="E24" s="139">
        <f>IFERROR(((E10+E11+E12+E13+E14)/E8),0)</f>
        <v>9.4127500000000008</v>
      </c>
      <c r="F24" s="139">
        <f>IFERROR(((F10+F11+F12+F13+F14)/F8),0)</f>
        <v>0</v>
      </c>
      <c r="G24" s="139">
        <f>IFERROR(((G10+G11+G12+G13+G14)/G8),0)</f>
        <v>51.43950000000001</v>
      </c>
    </row>
    <row r="25" spans="1:13" ht="15.75" thickBot="1" x14ac:dyDescent="0.3">
      <c r="A25" s="135" t="s">
        <v>157</v>
      </c>
      <c r="B25" s="139">
        <f t="shared" ref="B25:F25" si="5">IFERROR(((B13+B14)/B8),0)</f>
        <v>0</v>
      </c>
      <c r="C25" s="139">
        <f t="shared" si="5"/>
        <v>3.9530249999999976</v>
      </c>
      <c r="D25" s="139">
        <f t="shared" si="5"/>
        <v>2.8934249999999979</v>
      </c>
      <c r="E25" s="139">
        <f t="shared" si="5"/>
        <v>1.2277499999999995</v>
      </c>
      <c r="F25" s="139">
        <f t="shared" si="5"/>
        <v>0</v>
      </c>
      <c r="G25" s="139">
        <f>IFERROR(((G13+G14)/G8),0)</f>
        <v>6.7094999999999949</v>
      </c>
    </row>
    <row r="26" spans="1:13" ht="15.75" thickBot="1" x14ac:dyDescent="0.3">
      <c r="A26" s="135" t="s">
        <v>158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3" customFormat="1" x14ac:dyDescent="0.25">
      <c r="A27" s="234"/>
      <c r="B27" s="235"/>
      <c r="C27" s="235"/>
      <c r="D27" s="235"/>
      <c r="E27" s="235"/>
      <c r="F27" s="235"/>
      <c r="G27" s="235"/>
    </row>
    <row r="28" spans="1:13" x14ac:dyDescent="0.25">
      <c r="B28" s="158" t="s">
        <v>159</v>
      </c>
      <c r="C28" s="158" t="s">
        <v>160</v>
      </c>
    </row>
    <row r="29" spans="1:13" ht="15.75" thickBot="1" x14ac:dyDescent="0.3">
      <c r="A29" s="158" t="s">
        <v>161</v>
      </c>
      <c r="B29" s="158">
        <f>'P&amp;L'!R5</f>
        <v>1</v>
      </c>
      <c r="C29" s="158">
        <v>110</v>
      </c>
    </row>
    <row r="30" spans="1:13" ht="15.75" thickBot="1" x14ac:dyDescent="0.3">
      <c r="A30" s="135" t="s">
        <v>140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 x14ac:dyDescent="0.3">
      <c r="A31" s="135" t="s">
        <v>141</v>
      </c>
      <c r="B31" s="321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568.93500000000006</v>
      </c>
      <c r="D31" s="139">
        <f>IFERROR(IF($B$29=$B$29,SUMIF(Food!$C:$C,D$9&amp;$B$29&amp;$C$29,Food!$X:$X),0),"")</f>
        <v>577.69799999999998</v>
      </c>
      <c r="E31" s="139">
        <f>IFERROR(IF($B$29=$B$29,SUMIF(Food!$C:$C,E$9&amp;$B$29&amp;$C$29,Food!$X:$X),0),"")</f>
        <v>841.8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185.58000000000004</v>
      </c>
      <c r="H31" s="304" t="s">
        <v>166</v>
      </c>
    </row>
    <row r="32" spans="1:13" ht="15.75" thickBot="1" x14ac:dyDescent="0.3">
      <c r="A32" s="135" t="s">
        <v>142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221.67</v>
      </c>
      <c r="D32" s="139">
        <f>IFERROR(IF($B$29=$B$29,SUMIF(Food!$C:$C,D$9&amp;$B$29&amp;$C$29,Food!$Z:$Z),0),"")</f>
        <v>271.04000000000002</v>
      </c>
      <c r="E32" s="139">
        <f>IFERROR(IF($B$29=$B$29,SUMIF(Food!$C:$C,E$9&amp;$B$29&amp;$C$29,Food!$Z:$Z),0),"")</f>
        <v>664.24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82.8</v>
      </c>
    </row>
    <row r="33" spans="1:7" ht="15.75" thickBot="1" x14ac:dyDescent="0.3">
      <c r="A33" s="135" t="s">
        <v>162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85.340249999999955</v>
      </c>
      <c r="D33" s="139">
        <f>IFERROR(IF($B$29=$B$29,SUMIF(Food!$C:$C,D$9&amp;$B$29&amp;$C$29,Food!$AB:$AB),0),"")</f>
        <v>86.654699999999949</v>
      </c>
      <c r="E33" s="139">
        <f>IFERROR(IF($B$29=$B$29,SUMIF(Food!$C:$C,E$9&amp;$B$29&amp;$C$29,Food!$AB:$AB),0),"")</f>
        <v>126.26999999999994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27.836999999999986</v>
      </c>
    </row>
    <row r="34" spans="1:7" ht="15.75" thickBot="1" x14ac:dyDescent="0.3">
      <c r="A34" s="135" t="s">
        <v>163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33.250499999999981</v>
      </c>
      <c r="D34" s="139">
        <f>IFERROR(IF($B$29=$B$29,SUMIF(Food!$C:$C,D$9&amp;$B$29&amp;$C$29,Food!$AC:$AC),0),"")</f>
        <v>40.65599999999997</v>
      </c>
      <c r="E34" s="139">
        <f>IFERROR(IF($B$29=$B$29,SUMIF(Food!$C:$C,E$9&amp;$B$29&amp;$C$29,Food!$AC:$AC),0),"")</f>
        <v>99.635999999999939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12.419999999999989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164</v>
      </c>
    </row>
    <row r="37" spans="1:7" ht="15.75" thickBot="1" x14ac:dyDescent="0.3">
      <c r="A37" s="135" t="s">
        <v>140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141</v>
      </c>
      <c r="B38" s="139" t="str">
        <f t="shared" ref="B38:G38" si="8">IFERROR(B31/B7," ")</f>
        <v xml:space="preserve"> </v>
      </c>
      <c r="C38" s="139">
        <f t="shared" si="8"/>
        <v>18.964500000000001</v>
      </c>
      <c r="D38" s="139">
        <f t="shared" si="8"/>
        <v>13.1295</v>
      </c>
      <c r="E38" s="139">
        <f t="shared" si="8"/>
        <v>4.5750000000000002</v>
      </c>
      <c r="F38" s="139" t="str">
        <f t="shared" si="8"/>
        <v xml:space="preserve"> </v>
      </c>
      <c r="G38" s="139">
        <f t="shared" si="8"/>
        <v>30.930000000000007</v>
      </c>
    </row>
    <row r="39" spans="1:7" ht="15.75" thickBot="1" x14ac:dyDescent="0.3">
      <c r="A39" s="135" t="s">
        <v>142</v>
      </c>
      <c r="B39" s="139" t="str">
        <f t="shared" ref="B39:G39" si="9">IFERROR(B32/B7," ")</f>
        <v xml:space="preserve"> </v>
      </c>
      <c r="C39" s="139">
        <f t="shared" si="9"/>
        <v>7.3889999999999993</v>
      </c>
      <c r="D39" s="139">
        <f t="shared" si="9"/>
        <v>6.16</v>
      </c>
      <c r="E39" s="139">
        <f t="shared" si="9"/>
        <v>3.61</v>
      </c>
      <c r="F39" s="139" t="str">
        <f t="shared" si="9"/>
        <v xml:space="preserve"> </v>
      </c>
      <c r="G39" s="139">
        <f t="shared" si="9"/>
        <v>13.799999999999999</v>
      </c>
    </row>
    <row r="40" spans="1:7" ht="15.75" thickBot="1" x14ac:dyDescent="0.3">
      <c r="A40" s="135" t="s">
        <v>162</v>
      </c>
      <c r="B40" s="139" t="str">
        <f>IFERROR(B33/B8," ")</f>
        <v xml:space="preserve"> </v>
      </c>
      <c r="C40" s="139">
        <f>IFERROR(C33/C7," ")</f>
        <v>2.8446749999999983</v>
      </c>
      <c r="D40" s="139">
        <f>IFERROR(D33/D7," ")</f>
        <v>1.9694249999999989</v>
      </c>
      <c r="E40" s="139">
        <f>IFERROR(E33/E7," ")</f>
        <v>0.68624999999999969</v>
      </c>
      <c r="F40" s="139" t="str">
        <f>IFERROR(F33/F7," ")</f>
        <v xml:space="preserve"> </v>
      </c>
      <c r="G40" s="139">
        <f>IFERROR(G33/G7," ")</f>
        <v>4.6394999999999973</v>
      </c>
    </row>
    <row r="41" spans="1:7" ht="15.75" thickBot="1" x14ac:dyDescent="0.3">
      <c r="A41" s="135" t="s">
        <v>163</v>
      </c>
      <c r="B41" s="139" t="str">
        <f t="shared" ref="B41:G41" si="10">IFERROR(B34/B7," ")</f>
        <v xml:space="preserve"> </v>
      </c>
      <c r="C41" s="139">
        <f t="shared" si="10"/>
        <v>1.1083499999999993</v>
      </c>
      <c r="D41" s="139">
        <f t="shared" si="10"/>
        <v>0.92399999999999938</v>
      </c>
      <c r="E41" s="139">
        <f t="shared" si="10"/>
        <v>0.54149999999999965</v>
      </c>
      <c r="F41" s="139" t="str">
        <f t="shared" si="10"/>
        <v xml:space="preserve"> </v>
      </c>
      <c r="G41" s="139">
        <f t="shared" si="10"/>
        <v>2.0699999999999981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37" t="s">
        <v>119</v>
      </c>
      <c r="B2" s="28"/>
      <c r="C2" s="146"/>
      <c r="G2" s="141" t="s">
        <v>120</v>
      </c>
      <c r="H2" s="247">
        <v>0</v>
      </c>
      <c r="L2" s="244" t="s">
        <v>121</v>
      </c>
      <c r="M2" s="244" t="s">
        <v>7</v>
      </c>
    </row>
    <row r="3" spans="1:13" ht="15.75" thickBot="1" x14ac:dyDescent="0.3">
      <c r="A3" s="438"/>
      <c r="B3" s="169"/>
      <c r="C3" s="170"/>
      <c r="E3" s="141" t="s">
        <v>122</v>
      </c>
      <c r="F3" s="143">
        <v>738</v>
      </c>
      <c r="G3" s="141" t="s">
        <v>123</v>
      </c>
      <c r="H3" s="141">
        <f>H4/12</f>
        <v>0</v>
      </c>
      <c r="J3" s="230" t="s">
        <v>124</v>
      </c>
      <c r="L3" s="244">
        <v>737</v>
      </c>
      <c r="M3" s="244">
        <v>1</v>
      </c>
    </row>
    <row r="4" spans="1:13" ht="15.75" thickBot="1" x14ac:dyDescent="0.3">
      <c r="E4" s="141" t="s">
        <v>3</v>
      </c>
      <c r="F4" s="142">
        <f>'P&amp;L'!R4</f>
        <v>0.85</v>
      </c>
      <c r="G4" s="141" t="s">
        <v>125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 x14ac:dyDescent="0.3">
      <c r="A5" s="137" t="s">
        <v>126</v>
      </c>
      <c r="L5" s="244"/>
      <c r="M5" s="244"/>
    </row>
    <row r="6" spans="1:13" ht="15.75" thickBot="1" x14ac:dyDescent="0.3">
      <c r="A6" s="157" t="s">
        <v>127</v>
      </c>
      <c r="B6" s="157" t="s">
        <v>31</v>
      </c>
      <c r="C6" s="157" t="s">
        <v>32</v>
      </c>
      <c r="D6" s="157" t="s">
        <v>33</v>
      </c>
      <c r="E6" s="157" t="s">
        <v>34</v>
      </c>
      <c r="F6" s="157" t="s">
        <v>35</v>
      </c>
      <c r="G6" s="157" t="s">
        <v>36</v>
      </c>
      <c r="H6" s="157" t="s">
        <v>128</v>
      </c>
      <c r="I6" s="156" t="s">
        <v>129</v>
      </c>
      <c r="L6" s="243"/>
      <c r="M6" s="243"/>
    </row>
    <row r="7" spans="1:13" ht="15.75" thickBot="1" x14ac:dyDescent="0.3">
      <c r="A7" s="135" t="s">
        <v>130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 x14ac:dyDescent="0.3">
      <c r="A8" s="135" t="s">
        <v>131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 x14ac:dyDescent="0.3">
      <c r="A9" s="278"/>
      <c r="B9" s="279" t="s">
        <v>132</v>
      </c>
      <c r="C9" s="279" t="s">
        <v>133</v>
      </c>
      <c r="D9" s="279" t="s">
        <v>134</v>
      </c>
      <c r="E9" s="279" t="s">
        <v>135</v>
      </c>
      <c r="F9" s="279" t="s">
        <v>136</v>
      </c>
      <c r="G9" s="279" t="s">
        <v>137</v>
      </c>
      <c r="H9" s="157" t="s">
        <v>138</v>
      </c>
      <c r="J9" s="157" t="s">
        <v>139</v>
      </c>
    </row>
    <row r="10" spans="1:13" ht="15.75" thickBot="1" x14ac:dyDescent="0.3">
      <c r="A10" s="135" t="s">
        <v>140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141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142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143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144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145</v>
      </c>
      <c r="M14" s="157"/>
    </row>
    <row r="15" spans="1:13" ht="15.75" thickBot="1" x14ac:dyDescent="0.3">
      <c r="A15" s="135" t="s">
        <v>146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7" t="e">
        <f>J12+J15</f>
        <v>#REF!</v>
      </c>
      <c r="M15" s="239">
        <v>1</v>
      </c>
    </row>
    <row r="16" spans="1:13" ht="15.75" thickBot="1" x14ac:dyDescent="0.3">
      <c r="A16" s="135" t="s">
        <v>147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8" t="e">
        <f>L15*M16</f>
        <v>#REF!</v>
      </c>
      <c r="M16" s="239">
        <v>0.8</v>
      </c>
    </row>
    <row r="17" spans="1:13" ht="15.75" thickBot="1" x14ac:dyDescent="0.3">
      <c r="A17" s="158" t="s">
        <v>148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9" t="e">
        <f t="shared" si="3"/>
        <v>#REF!</v>
      </c>
      <c r="L17" s="238" t="e">
        <f>L15*M17</f>
        <v>#REF!</v>
      </c>
      <c r="M17" s="239">
        <v>0.2</v>
      </c>
    </row>
    <row r="18" spans="1:13" ht="15.75" thickBot="1" x14ac:dyDescent="0.3">
      <c r="A18" s="217"/>
      <c r="B18" s="218">
        <f>B17</f>
        <v>0</v>
      </c>
      <c r="C18" s="218">
        <f>C17</f>
        <v>0</v>
      </c>
      <c r="D18" s="218">
        <f>D17</f>
        <v>0</v>
      </c>
      <c r="E18" s="218" t="e">
        <f>E17-E15-E16</f>
        <v>#REF!</v>
      </c>
      <c r="F18" s="218">
        <f>F17</f>
        <v>0</v>
      </c>
      <c r="G18" s="218">
        <f>G17</f>
        <v>0</v>
      </c>
      <c r="H18" s="218"/>
      <c r="I18" s="218" t="e">
        <f>E15+E16</f>
        <v>#REF!</v>
      </c>
      <c r="J18" s="218"/>
      <c r="L18" s="236"/>
    </row>
    <row r="19" spans="1:13" ht="15.75" thickBot="1" x14ac:dyDescent="0.3">
      <c r="A19" s="157" t="s">
        <v>149</v>
      </c>
      <c r="B19" s="221" t="s">
        <v>150</v>
      </c>
      <c r="C19" s="221" t="s">
        <v>151</v>
      </c>
      <c r="D19" s="221" t="s">
        <v>152</v>
      </c>
      <c r="E19" s="154"/>
      <c r="F19" s="154"/>
      <c r="G19" s="154"/>
      <c r="H19" s="156"/>
      <c r="I19" s="154" t="e">
        <f>E16</f>
        <v>#REF!</v>
      </c>
    </row>
    <row r="20" spans="1:13" ht="15.75" thickBot="1" x14ac:dyDescent="0.3">
      <c r="A20" s="219" t="s">
        <v>165</v>
      </c>
      <c r="B20" s="220" t="e">
        <f>Handling!C22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 x14ac:dyDescent="0.3">
      <c r="A21" s="158" t="s">
        <v>154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155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156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157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158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 x14ac:dyDescent="0.25">
      <c r="A27" s="234"/>
      <c r="B27" s="235"/>
      <c r="C27" s="235"/>
      <c r="D27" s="235"/>
      <c r="E27" s="235"/>
      <c r="F27" s="235"/>
      <c r="G27" s="235"/>
    </row>
    <row r="28" spans="1:13" x14ac:dyDescent="0.25">
      <c r="B28" s="158" t="s">
        <v>159</v>
      </c>
      <c r="C28" s="158" t="s">
        <v>160</v>
      </c>
    </row>
    <row r="29" spans="1:13" ht="15.75" thickBot="1" x14ac:dyDescent="0.3">
      <c r="A29" s="158" t="s">
        <v>161</v>
      </c>
      <c r="B29" s="158">
        <f>'P&amp;L'!R5</f>
        <v>1</v>
      </c>
      <c r="C29" s="158">
        <v>2037</v>
      </c>
    </row>
    <row r="30" spans="1:13" ht="15.75" thickBot="1" x14ac:dyDescent="0.3">
      <c r="A30" s="135" t="s">
        <v>140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141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142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162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163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164</v>
      </c>
    </row>
    <row r="37" spans="1:7" ht="15.75" thickBot="1" x14ac:dyDescent="0.3">
      <c r="A37" s="135" t="s">
        <v>140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141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142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162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163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37" t="s">
        <v>119</v>
      </c>
      <c r="B2" s="28"/>
      <c r="C2" s="146"/>
      <c r="G2" s="141" t="s">
        <v>120</v>
      </c>
      <c r="H2" s="247">
        <v>0</v>
      </c>
      <c r="L2" s="244" t="s">
        <v>121</v>
      </c>
      <c r="M2" s="244" t="s">
        <v>7</v>
      </c>
    </row>
    <row r="3" spans="1:13" ht="15.75" thickBot="1" x14ac:dyDescent="0.3">
      <c r="A3" s="438"/>
      <c r="B3" s="169"/>
      <c r="C3" s="170"/>
      <c r="E3" s="141" t="s">
        <v>122</v>
      </c>
      <c r="F3" s="143">
        <v>738</v>
      </c>
      <c r="G3" s="141" t="s">
        <v>123</v>
      </c>
      <c r="H3" s="141">
        <f>H4/12</f>
        <v>0</v>
      </c>
      <c r="J3" s="230" t="s">
        <v>124</v>
      </c>
      <c r="L3" s="244">
        <v>737</v>
      </c>
      <c r="M3" s="244">
        <v>1</v>
      </c>
    </row>
    <row r="4" spans="1:13" ht="15.75" thickBot="1" x14ac:dyDescent="0.3">
      <c r="E4" s="141" t="s">
        <v>3</v>
      </c>
      <c r="F4" s="142">
        <f>'P&amp;L'!R4</f>
        <v>0.85</v>
      </c>
      <c r="G4" s="141" t="s">
        <v>125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 x14ac:dyDescent="0.3">
      <c r="A5" s="137" t="s">
        <v>126</v>
      </c>
      <c r="L5" s="244"/>
      <c r="M5" s="244"/>
    </row>
    <row r="6" spans="1:13" ht="15.75" thickBot="1" x14ac:dyDescent="0.3">
      <c r="A6" s="157" t="s">
        <v>127</v>
      </c>
      <c r="B6" s="157" t="s">
        <v>31</v>
      </c>
      <c r="C6" s="157" t="s">
        <v>32</v>
      </c>
      <c r="D6" s="157" t="s">
        <v>33</v>
      </c>
      <c r="E6" s="157" t="s">
        <v>34</v>
      </c>
      <c r="F6" s="157" t="s">
        <v>35</v>
      </c>
      <c r="G6" s="157" t="s">
        <v>36</v>
      </c>
      <c r="H6" s="157" t="s">
        <v>128</v>
      </c>
      <c r="I6" s="156" t="s">
        <v>129</v>
      </c>
      <c r="L6" s="243"/>
      <c r="M6" s="243"/>
    </row>
    <row r="7" spans="1:13" ht="15.75" thickBot="1" x14ac:dyDescent="0.3">
      <c r="A7" s="135" t="s">
        <v>130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 x14ac:dyDescent="0.3">
      <c r="A8" s="135" t="s">
        <v>131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 x14ac:dyDescent="0.3">
      <c r="A9" s="278"/>
      <c r="B9" s="279" t="s">
        <v>132</v>
      </c>
      <c r="C9" s="279" t="s">
        <v>133</v>
      </c>
      <c r="D9" s="279" t="s">
        <v>134</v>
      </c>
      <c r="E9" s="279" t="s">
        <v>135</v>
      </c>
      <c r="F9" s="279" t="s">
        <v>136</v>
      </c>
      <c r="G9" s="279" t="s">
        <v>137</v>
      </c>
      <c r="H9" s="157" t="s">
        <v>138</v>
      </c>
      <c r="J9" s="157" t="s">
        <v>139</v>
      </c>
    </row>
    <row r="10" spans="1:13" ht="15.75" thickBot="1" x14ac:dyDescent="0.3">
      <c r="A10" s="135" t="s">
        <v>140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141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142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143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144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>SUM(B14:G14)</f>
        <v>0</v>
      </c>
      <c r="J14" s="138">
        <f t="shared" si="3"/>
        <v>0</v>
      </c>
      <c r="L14" s="157" t="s">
        <v>145</v>
      </c>
      <c r="M14" s="157"/>
    </row>
    <row r="15" spans="1:13" ht="15.75" thickBot="1" x14ac:dyDescent="0.3">
      <c r="A15" s="135" t="s">
        <v>146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7" t="e">
        <f>J12+J15</f>
        <v>#REF!</v>
      </c>
      <c r="M15" s="239">
        <v>1</v>
      </c>
    </row>
    <row r="16" spans="1:13" ht="15.75" thickBot="1" x14ac:dyDescent="0.3">
      <c r="A16" s="135" t="s">
        <v>147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8" t="e">
        <f>L15*M16</f>
        <v>#REF!</v>
      </c>
      <c r="M16" s="239">
        <v>0.8</v>
      </c>
    </row>
    <row r="17" spans="1:13" ht="15.75" thickBot="1" x14ac:dyDescent="0.3">
      <c r="A17" s="158" t="s">
        <v>148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9" t="e">
        <f t="shared" si="3"/>
        <v>#REF!</v>
      </c>
      <c r="L17" s="238" t="e">
        <f>L15*M17</f>
        <v>#REF!</v>
      </c>
      <c r="M17" s="239">
        <v>0.2</v>
      </c>
    </row>
    <row r="18" spans="1:13" ht="15.75" thickBot="1" x14ac:dyDescent="0.3">
      <c r="A18" s="217"/>
      <c r="B18" s="218">
        <f>B17</f>
        <v>0</v>
      </c>
      <c r="C18" s="218">
        <f>C17</f>
        <v>0</v>
      </c>
      <c r="D18" s="218">
        <f>D17</f>
        <v>0</v>
      </c>
      <c r="E18" s="218" t="e">
        <f>E17-E15-E16</f>
        <v>#REF!</v>
      </c>
      <c r="F18" s="218">
        <f>F17</f>
        <v>0</v>
      </c>
      <c r="G18" s="218">
        <f>G17</f>
        <v>0</v>
      </c>
      <c r="H18" s="218"/>
      <c r="I18" s="218" t="e">
        <f>E15+E16</f>
        <v>#REF!</v>
      </c>
      <c r="J18" s="218"/>
      <c r="L18" s="236"/>
    </row>
    <row r="19" spans="1:13" ht="15.75" thickBot="1" x14ac:dyDescent="0.3">
      <c r="A19" s="157" t="s">
        <v>149</v>
      </c>
      <c r="B19" s="221" t="s">
        <v>150</v>
      </c>
      <c r="C19" s="221" t="s">
        <v>151</v>
      </c>
      <c r="D19" s="221" t="s">
        <v>152</v>
      </c>
      <c r="E19" s="154"/>
      <c r="F19" s="154"/>
      <c r="G19" s="154"/>
      <c r="H19" s="156"/>
      <c r="I19" s="154" t="e">
        <f>E16</f>
        <v>#REF!</v>
      </c>
    </row>
    <row r="20" spans="1:13" ht="15.75" thickBot="1" x14ac:dyDescent="0.3">
      <c r="A20" s="219" t="s">
        <v>165</v>
      </c>
      <c r="B20" s="220" t="e">
        <f>Handling!C22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 x14ac:dyDescent="0.3">
      <c r="A21" s="158" t="s">
        <v>154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155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156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157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158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 x14ac:dyDescent="0.25">
      <c r="A27" s="234"/>
      <c r="B27" s="235"/>
      <c r="C27" s="235"/>
      <c r="D27" s="235"/>
      <c r="E27" s="235"/>
      <c r="F27" s="235"/>
      <c r="G27" s="235"/>
    </row>
    <row r="28" spans="1:13" x14ac:dyDescent="0.25">
      <c r="B28" s="158" t="s">
        <v>159</v>
      </c>
      <c r="C28" s="158" t="s">
        <v>160</v>
      </c>
    </row>
    <row r="29" spans="1:13" ht="15.75" thickBot="1" x14ac:dyDescent="0.3">
      <c r="A29" s="158" t="s">
        <v>161</v>
      </c>
      <c r="B29" s="158">
        <f>'P&amp;L'!R5</f>
        <v>1</v>
      </c>
      <c r="C29" s="158">
        <v>2817</v>
      </c>
    </row>
    <row r="30" spans="1:13" ht="15.75" thickBot="1" x14ac:dyDescent="0.3">
      <c r="A30" s="135" t="s">
        <v>140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141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142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162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163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164</v>
      </c>
    </row>
    <row r="37" spans="1:7" ht="15.75" thickBot="1" x14ac:dyDescent="0.3">
      <c r="A37" s="135" t="s">
        <v>140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141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142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162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163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A36" zoomScale="85" zoomScaleNormal="85" workbookViewId="0">
      <selection activeCell="C83" sqref="C83"/>
    </sheetView>
  </sheetViews>
  <sheetFormatPr defaultColWidth="8.7109375" defaultRowHeight="15" x14ac:dyDescent="0.25"/>
  <cols>
    <col min="1" max="1" width="21.42578125" style="35" bestFit="1" customWidth="1"/>
    <col min="2" max="2" width="13.42578125" style="35" customWidth="1"/>
    <col min="3" max="3" width="22.85546875" style="35" customWidth="1"/>
    <col min="4" max="4" width="13.5703125" style="35" bestFit="1" customWidth="1"/>
    <col min="5" max="5" width="14.28515625" style="35" bestFit="1" customWidth="1"/>
    <col min="6" max="6" width="14.7109375" style="35" bestFit="1" customWidth="1"/>
    <col min="7" max="7" width="9.42578125" style="35" bestFit="1" customWidth="1"/>
    <col min="8" max="13" width="9.42578125" style="35" customWidth="1"/>
    <col min="14" max="14" width="10.7109375" style="35" customWidth="1"/>
    <col min="15" max="15" width="29.7109375" style="35" bestFit="1" customWidth="1"/>
    <col min="16" max="16" width="14.7109375" style="35" customWidth="1"/>
    <col min="17" max="18" width="11" style="35" bestFit="1" customWidth="1"/>
    <col min="19" max="19" width="11" style="35" customWidth="1"/>
    <col min="20" max="20" width="11.28515625" style="35" customWidth="1"/>
    <col min="21" max="21" width="43.28515625" style="35" bestFit="1" customWidth="1"/>
    <col min="22" max="22" width="9.85546875" style="35" bestFit="1" customWidth="1"/>
    <col min="23" max="27" width="8.7109375" style="35"/>
    <col min="28" max="28" width="14.5703125" style="35" bestFit="1" customWidth="1"/>
    <col min="29" max="29" width="15.7109375" style="35" bestFit="1" customWidth="1"/>
    <col min="30" max="16384" width="8.7109375" style="35"/>
  </cols>
  <sheetData>
    <row r="1" spans="1:21" hidden="1" x14ac:dyDescent="0.25">
      <c r="A1" s="34" t="s">
        <v>167</v>
      </c>
    </row>
    <row r="2" spans="1:21" hidden="1" x14ac:dyDescent="0.25">
      <c r="A2" s="34"/>
      <c r="B2" s="280" t="s">
        <v>168</v>
      </c>
    </row>
    <row r="3" spans="1:21" ht="15.75" hidden="1" thickBot="1" x14ac:dyDescent="0.3">
      <c r="A3" s="36" t="s">
        <v>169</v>
      </c>
      <c r="B3" s="37" t="s">
        <v>127</v>
      </c>
      <c r="D3" s="6" t="s">
        <v>170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 x14ac:dyDescent="0.25">
      <c r="A4" s="40" t="s">
        <v>171</v>
      </c>
      <c r="B4" s="41">
        <f>+E3</f>
        <v>350</v>
      </c>
      <c r="C4" s="295" t="s">
        <v>172</v>
      </c>
      <c r="D4" s="11" t="s">
        <v>127</v>
      </c>
      <c r="E4" s="42" t="s">
        <v>31</v>
      </c>
      <c r="F4" s="42" t="s">
        <v>32</v>
      </c>
      <c r="G4" s="42" t="s">
        <v>173</v>
      </c>
      <c r="H4" s="42"/>
      <c r="I4" s="42"/>
      <c r="J4" s="42"/>
      <c r="K4" s="42"/>
      <c r="L4" s="42"/>
      <c r="M4" s="42"/>
      <c r="N4" s="42" t="s">
        <v>36</v>
      </c>
      <c r="O4" s="42" t="s">
        <v>128</v>
      </c>
    </row>
    <row r="5" spans="1:21" ht="15.75" hidden="1" thickBot="1" x14ac:dyDescent="0.3">
      <c r="A5" s="43" t="s">
        <v>174</v>
      </c>
      <c r="B5" s="121">
        <f>+'FlightConfig '!K2</f>
        <v>0</v>
      </c>
      <c r="D5" s="14" t="s">
        <v>130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 x14ac:dyDescent="0.25"/>
    <row r="7" spans="1:21" hidden="1" x14ac:dyDescent="0.25">
      <c r="A7" s="34" t="s">
        <v>175</v>
      </c>
    </row>
    <row r="8" spans="1:21" hidden="1" x14ac:dyDescent="0.25">
      <c r="A8" s="262" t="s">
        <v>176</v>
      </c>
      <c r="B8" s="263" t="s">
        <v>177</v>
      </c>
      <c r="C8" s="263" t="s">
        <v>178</v>
      </c>
      <c r="D8" s="263" t="s">
        <v>179</v>
      </c>
      <c r="E8" s="263" t="s">
        <v>180</v>
      </c>
      <c r="F8" s="263" t="s">
        <v>181</v>
      </c>
      <c r="G8" s="263" t="s">
        <v>182</v>
      </c>
      <c r="H8" s="263"/>
      <c r="I8" s="263"/>
      <c r="J8" s="263"/>
      <c r="K8" s="263"/>
      <c r="L8" s="263"/>
      <c r="M8" s="263"/>
      <c r="N8" s="263" t="s">
        <v>183</v>
      </c>
      <c r="O8" s="264" t="s">
        <v>184</v>
      </c>
      <c r="Q8" s="34"/>
    </row>
    <row r="9" spans="1:21" hidden="1" x14ac:dyDescent="0.25">
      <c r="A9" s="265" t="s">
        <v>185</v>
      </c>
      <c r="B9" s="266">
        <v>1</v>
      </c>
      <c r="C9" s="266">
        <v>1</v>
      </c>
      <c r="D9" s="266">
        <f>$B$5*B9</f>
        <v>0</v>
      </c>
      <c r="E9" s="266">
        <f>C9*D9*52</f>
        <v>0</v>
      </c>
      <c r="F9" s="267">
        <v>18</v>
      </c>
      <c r="G9" s="268" t="e">
        <f>F9*#REF!</f>
        <v>#REF!</v>
      </c>
      <c r="H9" s="268"/>
      <c r="I9" s="268"/>
      <c r="J9" s="268"/>
      <c r="K9" s="268"/>
      <c r="L9" s="268"/>
      <c r="M9" s="268"/>
      <c r="N9" s="268" t="e">
        <f>E9*#REF!</f>
        <v>#REF!</v>
      </c>
      <c r="O9" s="274" t="e">
        <f>(B9*#REF!)*C9</f>
        <v>#REF!</v>
      </c>
      <c r="P9" s="280"/>
      <c r="Q9" s="50" t="s">
        <v>186</v>
      </c>
      <c r="R9" s="49"/>
      <c r="S9" s="49"/>
      <c r="T9" s="49"/>
      <c r="U9" s="50"/>
    </row>
    <row r="10" spans="1:21" hidden="1" x14ac:dyDescent="0.25">
      <c r="A10" s="48" t="s">
        <v>187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69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5" t="e">
        <f>(B10*#REF!)*C10</f>
        <v>#REF!</v>
      </c>
      <c r="P10" s="280"/>
      <c r="Q10" s="50" t="s">
        <v>188</v>
      </c>
      <c r="R10" s="49"/>
      <c r="S10" s="49"/>
      <c r="T10" s="49"/>
      <c r="U10" s="50"/>
    </row>
    <row r="11" spans="1:21" hidden="1" x14ac:dyDescent="0.25">
      <c r="A11" s="48" t="s">
        <v>189</v>
      </c>
      <c r="B11" s="49">
        <v>1</v>
      </c>
      <c r="C11" s="296">
        <v>2</v>
      </c>
      <c r="D11" s="49">
        <f>$B$5*B11</f>
        <v>0</v>
      </c>
      <c r="E11" s="49">
        <f>C11*D11*52</f>
        <v>0</v>
      </c>
      <c r="F11" s="269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5" t="e">
        <f>(B11*#REF!)*C11</f>
        <v>#REF!</v>
      </c>
      <c r="P11" s="51"/>
      <c r="Q11" s="313" t="s">
        <v>190</v>
      </c>
      <c r="R11" s="313" t="s">
        <v>191</v>
      </c>
      <c r="S11" s="313"/>
      <c r="T11" s="313" t="s">
        <v>192</v>
      </c>
      <c r="U11" s="313" t="s">
        <v>193</v>
      </c>
    </row>
    <row r="12" spans="1:21" hidden="1" x14ac:dyDescent="0.25">
      <c r="A12" s="48" t="s">
        <v>194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69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5" t="e">
        <f>(B12*#REF!)*C12</f>
        <v>#REF!</v>
      </c>
      <c r="P12" s="280"/>
      <c r="Q12" s="313" t="e">
        <f>#REF!/2</f>
        <v>#REF!</v>
      </c>
      <c r="R12" s="313">
        <v>12</v>
      </c>
      <c r="S12" s="313"/>
      <c r="T12" s="313" t="e">
        <f>Q12+R12</f>
        <v>#REF!</v>
      </c>
      <c r="U12" s="314" t="e">
        <f>T12+#REF!</f>
        <v>#REF!</v>
      </c>
    </row>
    <row r="13" spans="1:21" ht="15.75" hidden="1" thickBot="1" x14ac:dyDescent="0.3">
      <c r="A13" s="59" t="s">
        <v>195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76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77" t="e">
        <f>(B13*#REF!)*C13</f>
        <v>#REF!</v>
      </c>
      <c r="Q13" s="51"/>
      <c r="R13" s="51"/>
      <c r="S13" s="51"/>
    </row>
    <row r="14" spans="1:21" ht="15.75" hidden="1" thickBot="1" x14ac:dyDescent="0.3">
      <c r="A14" s="270" t="s">
        <v>196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2" t="e">
        <f>SUM(N9:N13)</f>
        <v>#REF!</v>
      </c>
      <c r="O14" s="273" t="e">
        <f>SUM(O9:O13)</f>
        <v>#REF!</v>
      </c>
    </row>
    <row r="15" spans="1:21" hidden="1" x14ac:dyDescent="0.25"/>
    <row r="16" spans="1:21" hidden="1" x14ac:dyDescent="0.25"/>
    <row r="17" spans="1:20" hidden="1" x14ac:dyDescent="0.25">
      <c r="A17" s="45" t="s">
        <v>197</v>
      </c>
      <c r="B17" s="46" t="s">
        <v>198</v>
      </c>
      <c r="C17" s="46" t="s">
        <v>199</v>
      </c>
      <c r="D17" s="46" t="s">
        <v>200</v>
      </c>
      <c r="E17" s="46" t="s">
        <v>201</v>
      </c>
      <c r="F17" s="46" t="s">
        <v>202</v>
      </c>
      <c r="G17" s="56" t="s">
        <v>203</v>
      </c>
      <c r="H17" s="56"/>
      <c r="I17" s="56"/>
      <c r="J17" s="56"/>
      <c r="K17" s="56"/>
      <c r="L17" s="56"/>
      <c r="M17" s="56"/>
      <c r="N17" s="46" t="s">
        <v>204</v>
      </c>
      <c r="O17" s="57"/>
      <c r="P17" s="56" t="s">
        <v>205</v>
      </c>
      <c r="Q17" s="47" t="s">
        <v>206</v>
      </c>
      <c r="T17" s="335" t="s">
        <v>207</v>
      </c>
    </row>
    <row r="18" spans="1:20" hidden="1" x14ac:dyDescent="0.25">
      <c r="A18" s="48" t="s">
        <v>208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209</v>
      </c>
    </row>
    <row r="19" spans="1:20" ht="15.75" hidden="1" thickBot="1" x14ac:dyDescent="0.3">
      <c r="A19" s="59" t="s">
        <v>210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211</v>
      </c>
    </row>
    <row r="20" spans="1:20" hidden="1" x14ac:dyDescent="0.25">
      <c r="T20" s="53" t="s">
        <v>212</v>
      </c>
    </row>
    <row r="21" spans="1:20" hidden="1" x14ac:dyDescent="0.25">
      <c r="T21" s="53" t="s">
        <v>213</v>
      </c>
    </row>
    <row r="22" spans="1:20" hidden="1" x14ac:dyDescent="0.25">
      <c r="A22" s="36" t="s">
        <v>214</v>
      </c>
      <c r="B22" s="65"/>
      <c r="C22" s="66" t="e">
        <f>SUM(O14,Q18,Q19)</f>
        <v>#REF!</v>
      </c>
      <c r="Q22" s="51"/>
      <c r="T22" s="53" t="s">
        <v>215</v>
      </c>
    </row>
    <row r="23" spans="1:20" hidden="1" x14ac:dyDescent="0.25">
      <c r="A23" s="40" t="s">
        <v>216</v>
      </c>
      <c r="B23" s="64">
        <f>+'P&amp;L'!$R$10</f>
        <v>0.13</v>
      </c>
      <c r="C23" s="58" t="e">
        <f>C22*B23</f>
        <v>#REF!</v>
      </c>
      <c r="E23" s="35" t="s">
        <v>217</v>
      </c>
      <c r="F23" s="35" t="s">
        <v>218</v>
      </c>
      <c r="T23" s="54" t="s">
        <v>219</v>
      </c>
    </row>
    <row r="24" spans="1:20" ht="15.75" hidden="1" thickBot="1" x14ac:dyDescent="0.3">
      <c r="A24" s="67" t="s">
        <v>220</v>
      </c>
      <c r="B24" s="68"/>
      <c r="C24" s="69" t="e">
        <f>C22+C23</f>
        <v>#REF!</v>
      </c>
      <c r="D24" s="35" t="s">
        <v>221</v>
      </c>
      <c r="E24" s="297">
        <v>544.68493150684924</v>
      </c>
      <c r="F24" s="297">
        <v>399.93493150684935</v>
      </c>
    </row>
    <row r="25" spans="1:20" hidden="1" x14ac:dyDescent="0.25"/>
    <row r="26" spans="1:20" hidden="1" x14ac:dyDescent="0.25"/>
    <row r="27" spans="1:20" hidden="1" x14ac:dyDescent="0.25"/>
    <row r="28" spans="1:20" ht="15.75" hidden="1" thickBot="1" x14ac:dyDescent="0.3">
      <c r="A28" s="70" t="s">
        <v>222</v>
      </c>
    </row>
    <row r="29" spans="1:20" hidden="1" x14ac:dyDescent="0.25">
      <c r="A29" s="35" t="s">
        <v>223</v>
      </c>
    </row>
    <row r="30" spans="1:20" hidden="1" x14ac:dyDescent="0.25">
      <c r="A30" s="35" t="s">
        <v>224</v>
      </c>
    </row>
    <row r="31" spans="1:20" hidden="1" x14ac:dyDescent="0.25">
      <c r="A31" s="35" t="s">
        <v>225</v>
      </c>
    </row>
    <row r="32" spans="1:20" ht="33" hidden="1" customHeight="1" x14ac:dyDescent="0.25"/>
    <row r="33" spans="1:30" customFormat="1" hidden="1" x14ac:dyDescent="0.25"/>
    <row r="34" spans="1:30" customFormat="1" hidden="1" x14ac:dyDescent="0.25"/>
    <row r="35" spans="1:30" customFormat="1" hidden="1" x14ac:dyDescent="0.25"/>
    <row r="36" spans="1:30" customFormat="1" ht="60" customHeight="1" x14ac:dyDescent="0.5">
      <c r="A36" s="443" t="s">
        <v>431</v>
      </c>
      <c r="B36" s="443"/>
      <c r="C36" s="443"/>
      <c r="D36" s="443"/>
      <c r="E36" s="443"/>
      <c r="F36" s="443"/>
      <c r="G36" s="443"/>
      <c r="H36" s="387"/>
      <c r="I36" s="387"/>
      <c r="J36" s="387"/>
      <c r="K36" s="387"/>
      <c r="L36" s="387"/>
      <c r="M36" s="387"/>
      <c r="O36" s="443" t="s">
        <v>438</v>
      </c>
      <c r="P36" s="443"/>
      <c r="Q36" s="443"/>
      <c r="R36" s="443"/>
      <c r="S36" s="387"/>
      <c r="U36" s="446" t="s">
        <v>460</v>
      </c>
      <c r="V36" s="446"/>
      <c r="W36" s="446"/>
      <c r="X36" s="446"/>
      <c r="Y36" s="446"/>
      <c r="Z36" s="446"/>
      <c r="AB36" s="442" t="s">
        <v>462</v>
      </c>
      <c r="AC36" s="442"/>
    </row>
    <row r="37" spans="1:30" customFormat="1" ht="87" customHeight="1" x14ac:dyDescent="0.4">
      <c r="A37" s="447" t="s">
        <v>396</v>
      </c>
      <c r="B37" s="448"/>
      <c r="C37" s="453" t="s">
        <v>397</v>
      </c>
      <c r="D37" s="454"/>
      <c r="E37" s="454"/>
      <c r="F37" s="454"/>
      <c r="G37" s="454"/>
      <c r="H37" s="389"/>
      <c r="I37" s="389"/>
      <c r="J37" s="389"/>
      <c r="K37" s="389"/>
      <c r="L37" s="389"/>
      <c r="M37" s="389"/>
      <c r="O37" s="354" t="s">
        <v>432</v>
      </c>
      <c r="P37" s="354" t="s">
        <v>412</v>
      </c>
      <c r="Q37" s="354" t="s">
        <v>437</v>
      </c>
      <c r="R37" s="361" t="s">
        <v>436</v>
      </c>
      <c r="S37" s="388"/>
      <c r="U37" s="444" t="s">
        <v>430</v>
      </c>
      <c r="V37" s="445"/>
      <c r="W37" s="445"/>
      <c r="X37" s="445"/>
      <c r="Y37" s="445"/>
      <c r="Z37" s="445"/>
      <c r="AB37" s="444" t="s">
        <v>430</v>
      </c>
      <c r="AC37" s="445"/>
    </row>
    <row r="38" spans="1:30" customFormat="1" ht="15.6" customHeight="1" x14ac:dyDescent="0.25">
      <c r="A38" s="449"/>
      <c r="B38" s="450"/>
      <c r="C38" s="455" t="s">
        <v>398</v>
      </c>
      <c r="D38" s="455" t="s">
        <v>399</v>
      </c>
      <c r="E38" s="455" t="s">
        <v>400</v>
      </c>
      <c r="F38" s="455" t="s">
        <v>401</v>
      </c>
      <c r="G38" s="455" t="s">
        <v>402</v>
      </c>
      <c r="H38" s="390"/>
      <c r="I38" s="390"/>
      <c r="J38" s="390"/>
      <c r="K38" s="390"/>
      <c r="L38" s="390"/>
      <c r="M38" s="390"/>
      <c r="O38" s="355" t="s">
        <v>433</v>
      </c>
      <c r="P38" s="356"/>
      <c r="Q38" s="356"/>
      <c r="R38" s="356"/>
      <c r="S38" s="384">
        <f>'P&amp;L'!$R$10</f>
        <v>0.13</v>
      </c>
      <c r="U38" s="362" t="s">
        <v>439</v>
      </c>
      <c r="V38" s="363" t="s">
        <v>398</v>
      </c>
      <c r="W38" s="363" t="s">
        <v>399</v>
      </c>
      <c r="X38" s="363" t="s">
        <v>400</v>
      </c>
      <c r="Y38" s="363" t="s">
        <v>401</v>
      </c>
      <c r="Z38" s="363" t="s">
        <v>402</v>
      </c>
      <c r="AB38" s="381" t="s">
        <v>170</v>
      </c>
      <c r="AC38" s="381" t="s">
        <v>461</v>
      </c>
      <c r="AD38" s="384">
        <f>'P&amp;L'!$R$10</f>
        <v>0.13</v>
      </c>
    </row>
    <row r="39" spans="1:30" customFormat="1" x14ac:dyDescent="0.25">
      <c r="A39" s="451"/>
      <c r="B39" s="452"/>
      <c r="C39" s="456"/>
      <c r="D39" s="456"/>
      <c r="E39" s="456"/>
      <c r="F39" s="456"/>
      <c r="G39" s="457"/>
      <c r="H39" s="390"/>
      <c r="I39" s="390"/>
      <c r="J39" s="390"/>
      <c r="K39" s="390"/>
      <c r="L39" s="390"/>
      <c r="M39" s="390"/>
      <c r="O39" s="357" t="s">
        <v>398</v>
      </c>
      <c r="P39" s="358">
        <v>335</v>
      </c>
      <c r="Q39" s="358">
        <v>0.4</v>
      </c>
      <c r="R39" s="360">
        <v>134</v>
      </c>
      <c r="S39" s="383">
        <f>R39*(1+$S$38)</f>
        <v>151.41999999999999</v>
      </c>
      <c r="U39" s="364" t="s">
        <v>440</v>
      </c>
      <c r="V39" s="365"/>
      <c r="W39" s="365"/>
      <c r="X39" s="365"/>
      <c r="Y39" s="365"/>
      <c r="Z39" s="366"/>
      <c r="AB39" s="363" t="s">
        <v>398</v>
      </c>
      <c r="AC39" s="358">
        <v>300</v>
      </c>
      <c r="AD39" s="383">
        <f>AC39*(1+$S$38)</f>
        <v>338.99999999999994</v>
      </c>
    </row>
    <row r="40" spans="1:30" customFormat="1" ht="17.45" customHeight="1" x14ac:dyDescent="0.25">
      <c r="A40" s="439" t="s">
        <v>403</v>
      </c>
      <c r="B40" s="439"/>
      <c r="C40" s="439"/>
      <c r="D40" s="439"/>
      <c r="E40" s="439"/>
      <c r="F40" s="439"/>
      <c r="G40" s="439"/>
      <c r="H40" s="391"/>
      <c r="I40" s="391"/>
      <c r="J40" s="391"/>
      <c r="K40" s="391"/>
      <c r="L40" s="391"/>
      <c r="M40" s="391"/>
      <c r="O40" s="357" t="s">
        <v>399</v>
      </c>
      <c r="P40" s="358">
        <v>335</v>
      </c>
      <c r="Q40" s="358">
        <v>0.4</v>
      </c>
      <c r="R40" s="360">
        <v>134</v>
      </c>
      <c r="S40" s="383">
        <f t="shared" ref="S40:S43" si="0">R40*(1+$S$38)</f>
        <v>151.41999999999999</v>
      </c>
      <c r="U40" s="367" t="s">
        <v>441</v>
      </c>
      <c r="V40" s="368">
        <v>480</v>
      </c>
      <c r="W40" s="368">
        <v>480</v>
      </c>
      <c r="X40" s="368">
        <v>560</v>
      </c>
      <c r="Y40" s="368">
        <v>560</v>
      </c>
      <c r="Z40" s="368">
        <v>480</v>
      </c>
      <c r="AB40" s="363" t="s">
        <v>399</v>
      </c>
      <c r="AC40" s="358">
        <v>300</v>
      </c>
      <c r="AD40" s="383">
        <f t="shared" ref="AD40:AD43" si="1">AC40*(1+$S$38)</f>
        <v>338.99999999999994</v>
      </c>
    </row>
    <row r="41" spans="1:30" customFormat="1" ht="17.25" x14ac:dyDescent="0.3">
      <c r="A41" s="440" t="s">
        <v>404</v>
      </c>
      <c r="B41" s="441"/>
      <c r="C41" s="440" t="s">
        <v>405</v>
      </c>
      <c r="D41" s="458"/>
      <c r="E41" s="458"/>
      <c r="F41" s="458"/>
      <c r="G41" s="458"/>
      <c r="H41" s="396"/>
      <c r="I41" s="397" t="s">
        <v>463</v>
      </c>
      <c r="J41" s="397" t="s">
        <v>463</v>
      </c>
      <c r="K41" s="397" t="s">
        <v>463</v>
      </c>
      <c r="L41" s="397" t="s">
        <v>463</v>
      </c>
      <c r="M41" s="397" t="s">
        <v>463</v>
      </c>
      <c r="O41" s="357" t="s">
        <v>400</v>
      </c>
      <c r="P41" s="358">
        <v>455</v>
      </c>
      <c r="Q41" s="358">
        <v>0.4</v>
      </c>
      <c r="R41" s="360">
        <v>182</v>
      </c>
      <c r="S41" s="383">
        <f t="shared" si="0"/>
        <v>205.65999999999997</v>
      </c>
      <c r="U41" s="367" t="s">
        <v>442</v>
      </c>
      <c r="V41" s="368">
        <v>0.55000000000000004</v>
      </c>
      <c r="W41" s="368">
        <v>0.55000000000000004</v>
      </c>
      <c r="X41" s="368">
        <v>0.55000000000000004</v>
      </c>
      <c r="Y41" s="368">
        <v>0.55000000000000004</v>
      </c>
      <c r="Z41" s="368">
        <v>0.55000000000000004</v>
      </c>
      <c r="AB41" s="363" t="s">
        <v>400</v>
      </c>
      <c r="AC41" s="358">
        <v>350</v>
      </c>
      <c r="AD41" s="383">
        <f t="shared" si="1"/>
        <v>395.49999999999994</v>
      </c>
    </row>
    <row r="42" spans="1:30" customFormat="1" x14ac:dyDescent="0.25">
      <c r="A42" s="465" t="s">
        <v>406</v>
      </c>
      <c r="B42" s="466"/>
      <c r="C42" s="342">
        <v>496</v>
      </c>
      <c r="D42" s="342">
        <v>480</v>
      </c>
      <c r="E42" s="342">
        <v>648</v>
      </c>
      <c r="F42" s="342">
        <v>340</v>
      </c>
      <c r="G42" s="342">
        <v>485</v>
      </c>
      <c r="H42" s="398">
        <v>0.3</v>
      </c>
      <c r="I42" s="399">
        <f>C42*$H$42</f>
        <v>148.79999999999998</v>
      </c>
      <c r="J42" s="399">
        <f>D42*$H$42</f>
        <v>144</v>
      </c>
      <c r="K42" s="399">
        <f>E42*$H$42</f>
        <v>194.4</v>
      </c>
      <c r="L42" s="399">
        <f>F42*$H$42</f>
        <v>102</v>
      </c>
      <c r="M42" s="399">
        <f>G42*$H$42</f>
        <v>145.5</v>
      </c>
      <c r="O42" s="357" t="s">
        <v>401</v>
      </c>
      <c r="P42" s="358">
        <v>395</v>
      </c>
      <c r="Q42" s="358">
        <v>0.4</v>
      </c>
      <c r="R42" s="360">
        <v>158</v>
      </c>
      <c r="S42" s="383">
        <f t="shared" si="0"/>
        <v>178.54</v>
      </c>
      <c r="U42" s="369" t="s">
        <v>443</v>
      </c>
      <c r="V42" s="370">
        <f>V40*V41</f>
        <v>264</v>
      </c>
      <c r="W42" s="370">
        <f t="shared" ref="W42:Z42" si="2">W40*W41</f>
        <v>264</v>
      </c>
      <c r="X42" s="370">
        <f t="shared" si="2"/>
        <v>308</v>
      </c>
      <c r="Y42" s="370">
        <f t="shared" si="2"/>
        <v>308</v>
      </c>
      <c r="Z42" s="370">
        <f t="shared" si="2"/>
        <v>264</v>
      </c>
      <c r="AB42" s="363" t="s">
        <v>401</v>
      </c>
      <c r="AC42" s="358">
        <v>350</v>
      </c>
      <c r="AD42" s="383">
        <f t="shared" si="1"/>
        <v>395.49999999999994</v>
      </c>
    </row>
    <row r="43" spans="1:30" customFormat="1" x14ac:dyDescent="0.25">
      <c r="A43" s="465" t="s">
        <v>407</v>
      </c>
      <c r="B43" s="466"/>
      <c r="C43" s="342">
        <v>276</v>
      </c>
      <c r="D43" s="342">
        <v>284</v>
      </c>
      <c r="E43" s="342">
        <v>380</v>
      </c>
      <c r="F43" s="342">
        <v>326</v>
      </c>
      <c r="G43" s="342">
        <v>302</v>
      </c>
      <c r="H43" s="398">
        <v>1</v>
      </c>
      <c r="I43" s="399">
        <f>C43*$H$43</f>
        <v>276</v>
      </c>
      <c r="J43" s="399">
        <f>D43*$H$43</f>
        <v>284</v>
      </c>
      <c r="K43" s="399">
        <f>E43*$H$43</f>
        <v>380</v>
      </c>
      <c r="L43" s="399">
        <f>F43*$H$43</f>
        <v>326</v>
      </c>
      <c r="M43" s="399">
        <f>G43*$H$43</f>
        <v>302</v>
      </c>
      <c r="O43" s="357" t="s">
        <v>402</v>
      </c>
      <c r="P43" s="358">
        <v>345</v>
      </c>
      <c r="Q43" s="358">
        <v>0.4</v>
      </c>
      <c r="R43" s="360">
        <v>138</v>
      </c>
      <c r="S43" s="383">
        <f t="shared" si="0"/>
        <v>155.94</v>
      </c>
      <c r="U43" s="367" t="s">
        <v>444</v>
      </c>
      <c r="V43" s="368">
        <v>0</v>
      </c>
      <c r="W43" s="368">
        <v>0</v>
      </c>
      <c r="X43" s="368">
        <v>0</v>
      </c>
      <c r="Y43" s="368">
        <v>0</v>
      </c>
      <c r="Z43" s="368">
        <v>0</v>
      </c>
      <c r="AB43" s="363" t="s">
        <v>402</v>
      </c>
      <c r="AC43" s="358">
        <v>300</v>
      </c>
      <c r="AD43" s="383">
        <f t="shared" si="1"/>
        <v>338.99999999999994</v>
      </c>
    </row>
    <row r="44" spans="1:30" customFormat="1" x14ac:dyDescent="0.25">
      <c r="A44" s="465" t="s">
        <v>408</v>
      </c>
      <c r="B44" s="466"/>
      <c r="C44" s="342">
        <v>414</v>
      </c>
      <c r="D44" s="342">
        <v>420</v>
      </c>
      <c r="E44" s="342">
        <v>492</v>
      </c>
      <c r="F44" s="342">
        <v>258</v>
      </c>
      <c r="G44" s="342">
        <v>414</v>
      </c>
      <c r="H44" s="398">
        <v>0.75</v>
      </c>
      <c r="I44" s="399">
        <f>C44*$H$44</f>
        <v>310.5</v>
      </c>
      <c r="J44" s="399">
        <f>D44*$H$44</f>
        <v>315</v>
      </c>
      <c r="K44" s="399">
        <f>E44*$H$44</f>
        <v>369</v>
      </c>
      <c r="L44" s="399">
        <f>F44*$H$44</f>
        <v>193.5</v>
      </c>
      <c r="M44" s="399">
        <f>G44*$H$44</f>
        <v>310.5</v>
      </c>
      <c r="O44" s="355" t="s">
        <v>434</v>
      </c>
      <c r="P44" s="359"/>
      <c r="Q44" s="359"/>
      <c r="R44" s="359"/>
      <c r="S44" s="384">
        <f>'P&amp;L'!$R$10</f>
        <v>0.13</v>
      </c>
      <c r="U44" s="367" t="s">
        <v>442</v>
      </c>
      <c r="V44" s="368">
        <v>0</v>
      </c>
      <c r="W44" s="368">
        <v>0</v>
      </c>
      <c r="X44" s="368">
        <v>0</v>
      </c>
      <c r="Y44" s="368">
        <v>0</v>
      </c>
      <c r="Z44" s="368">
        <v>0</v>
      </c>
      <c r="AB44" s="463"/>
      <c r="AC44" s="464"/>
    </row>
    <row r="45" spans="1:30" customFormat="1" x14ac:dyDescent="0.25">
      <c r="A45" s="465" t="s">
        <v>409</v>
      </c>
      <c r="B45" s="466"/>
      <c r="C45" s="342">
        <v>60</v>
      </c>
      <c r="D45" s="342">
        <v>60</v>
      </c>
      <c r="E45" s="342">
        <v>82</v>
      </c>
      <c r="F45" s="342">
        <v>34</v>
      </c>
      <c r="G45" s="342">
        <v>59</v>
      </c>
      <c r="H45" s="398">
        <v>0.3</v>
      </c>
      <c r="I45" s="399">
        <f>C45*$H$45</f>
        <v>18</v>
      </c>
      <c r="J45" s="399">
        <f>D45*$H$45</f>
        <v>18</v>
      </c>
      <c r="K45" s="399">
        <f>E45*$H$45</f>
        <v>24.599999999999998</v>
      </c>
      <c r="L45" s="399">
        <f>F45*$H$45</f>
        <v>10.199999999999999</v>
      </c>
      <c r="M45" s="399">
        <f>G45*$H$45</f>
        <v>17.7</v>
      </c>
      <c r="O45" s="357" t="s">
        <v>398</v>
      </c>
      <c r="P45" s="358">
        <v>150</v>
      </c>
      <c r="Q45" s="358">
        <v>0.4</v>
      </c>
      <c r="R45" s="360">
        <v>60</v>
      </c>
      <c r="S45" s="383">
        <f t="shared" ref="S45:S50" si="3">R45*(1+$S$38)</f>
        <v>67.8</v>
      </c>
      <c r="U45" s="369" t="s">
        <v>445</v>
      </c>
      <c r="V45" s="370">
        <v>0</v>
      </c>
      <c r="W45" s="370">
        <v>0</v>
      </c>
      <c r="X45" s="370">
        <v>0</v>
      </c>
      <c r="Y45" s="370">
        <v>0</v>
      </c>
      <c r="Z45" s="370">
        <v>0</v>
      </c>
    </row>
    <row r="46" spans="1:30" customFormat="1" x14ac:dyDescent="0.25">
      <c r="A46" s="465" t="s">
        <v>410</v>
      </c>
      <c r="B46" s="466"/>
      <c r="C46" s="342">
        <v>0</v>
      </c>
      <c r="D46" s="342">
        <v>0</v>
      </c>
      <c r="E46" s="342">
        <v>0</v>
      </c>
      <c r="F46" s="342">
        <v>0</v>
      </c>
      <c r="G46" s="342">
        <v>0</v>
      </c>
      <c r="H46" s="398"/>
      <c r="I46" s="399">
        <f>C46*$H$46</f>
        <v>0</v>
      </c>
      <c r="J46" s="399">
        <f>D46*$H$46</f>
        <v>0</v>
      </c>
      <c r="K46" s="399">
        <f>E46*$H$46</f>
        <v>0</v>
      </c>
      <c r="L46" s="399">
        <f>F46*$H$46</f>
        <v>0</v>
      </c>
      <c r="M46" s="399">
        <f>G46*$H$46</f>
        <v>0</v>
      </c>
      <c r="O46" s="357" t="s">
        <v>399</v>
      </c>
      <c r="P46" s="358">
        <v>150</v>
      </c>
      <c r="Q46" s="358">
        <v>0.4</v>
      </c>
      <c r="R46" s="360">
        <v>60</v>
      </c>
      <c r="S46" s="383">
        <f t="shared" si="3"/>
        <v>67.8</v>
      </c>
      <c r="U46" s="367" t="s">
        <v>446</v>
      </c>
      <c r="V46" s="368">
        <v>30</v>
      </c>
      <c r="W46" s="368">
        <v>30</v>
      </c>
      <c r="X46" s="368">
        <v>30</v>
      </c>
      <c r="Y46" s="368">
        <v>30</v>
      </c>
      <c r="Z46" s="368">
        <v>30</v>
      </c>
    </row>
    <row r="47" spans="1:30" customFormat="1" x14ac:dyDescent="0.25">
      <c r="A47" s="459" t="s">
        <v>411</v>
      </c>
      <c r="B47" s="460"/>
      <c r="C47" s="343">
        <v>1246</v>
      </c>
      <c r="D47" s="343">
        <v>1244</v>
      </c>
      <c r="E47" s="343">
        <v>1602</v>
      </c>
      <c r="F47" s="344">
        <v>958</v>
      </c>
      <c r="G47" s="343">
        <v>1260</v>
      </c>
      <c r="H47" s="398"/>
      <c r="I47" s="400">
        <f t="shared" ref="I47:J47" si="4">SUM(I42:I46)</f>
        <v>753.3</v>
      </c>
      <c r="J47" s="400">
        <f t="shared" si="4"/>
        <v>761</v>
      </c>
      <c r="K47" s="400">
        <f t="shared" ref="K47:M47" si="5">SUM(K42:K46)</f>
        <v>968</v>
      </c>
      <c r="L47" s="400">
        <f t="shared" ref="L47" si="6">SUM(L42:L46)</f>
        <v>631.70000000000005</v>
      </c>
      <c r="M47" s="400">
        <f t="shared" si="5"/>
        <v>775.7</v>
      </c>
      <c r="O47" s="357" t="s">
        <v>400</v>
      </c>
      <c r="P47" s="358">
        <v>200</v>
      </c>
      <c r="Q47" s="358">
        <v>0.4</v>
      </c>
      <c r="R47" s="360">
        <v>80</v>
      </c>
      <c r="S47" s="383">
        <f t="shared" si="3"/>
        <v>90.399999999999991</v>
      </c>
      <c r="U47" s="367" t="s">
        <v>442</v>
      </c>
      <c r="V47" s="368">
        <v>0.44</v>
      </c>
      <c r="W47" s="368">
        <v>0.44</v>
      </c>
      <c r="X47" s="368">
        <v>0.44</v>
      </c>
      <c r="Y47" s="368">
        <v>0.44</v>
      </c>
      <c r="Z47" s="368">
        <v>0.44</v>
      </c>
    </row>
    <row r="48" spans="1:30" customFormat="1" x14ac:dyDescent="0.25">
      <c r="A48" s="459" t="s">
        <v>412</v>
      </c>
      <c r="B48" s="460"/>
      <c r="C48" s="345">
        <f>I47</f>
        <v>753.3</v>
      </c>
      <c r="D48" s="345">
        <f t="shared" ref="D48:G48" si="7">J47</f>
        <v>761</v>
      </c>
      <c r="E48" s="345">
        <f t="shared" si="7"/>
        <v>968</v>
      </c>
      <c r="F48" s="345">
        <f t="shared" si="7"/>
        <v>631.70000000000005</v>
      </c>
      <c r="G48" s="345">
        <f t="shared" si="7"/>
        <v>775.7</v>
      </c>
      <c r="H48" s="392"/>
      <c r="I48" s="392"/>
      <c r="J48" s="392"/>
      <c r="K48" s="392"/>
      <c r="L48" s="392"/>
      <c r="M48" s="392"/>
      <c r="O48" s="357" t="s">
        <v>401</v>
      </c>
      <c r="P48" s="358">
        <v>250</v>
      </c>
      <c r="Q48" s="358">
        <v>0.4</v>
      </c>
      <c r="R48" s="360">
        <v>100</v>
      </c>
      <c r="S48" s="383">
        <f t="shared" si="3"/>
        <v>112.99999999999999</v>
      </c>
      <c r="U48" s="369" t="s">
        <v>447</v>
      </c>
      <c r="V48" s="370">
        <f t="shared" ref="V48:Z48" si="8">V46*V47</f>
        <v>13.2</v>
      </c>
      <c r="W48" s="370">
        <f t="shared" si="8"/>
        <v>13.2</v>
      </c>
      <c r="X48" s="370">
        <f t="shared" si="8"/>
        <v>13.2</v>
      </c>
      <c r="Y48" s="370">
        <f t="shared" si="8"/>
        <v>13.2</v>
      </c>
      <c r="Z48" s="370">
        <f t="shared" si="8"/>
        <v>13.2</v>
      </c>
    </row>
    <row r="49" spans="1:26" customFormat="1" x14ac:dyDescent="0.25">
      <c r="A49" s="459" t="s">
        <v>413</v>
      </c>
      <c r="B49" s="460"/>
      <c r="C49" s="345">
        <v>0.4</v>
      </c>
      <c r="D49" s="345">
        <v>0.4</v>
      </c>
      <c r="E49" s="345">
        <v>0.4</v>
      </c>
      <c r="F49" s="345">
        <v>0.4</v>
      </c>
      <c r="G49" s="345">
        <v>0.4</v>
      </c>
      <c r="H49" s="392"/>
      <c r="I49" s="392"/>
      <c r="J49" s="392"/>
      <c r="K49" s="392"/>
      <c r="L49" s="392"/>
      <c r="M49" s="392"/>
      <c r="O49" s="357" t="s">
        <v>402</v>
      </c>
      <c r="P49" s="358">
        <v>150</v>
      </c>
      <c r="Q49" s="358">
        <v>0.4</v>
      </c>
      <c r="R49" s="360">
        <v>60</v>
      </c>
      <c r="S49" s="383">
        <f t="shared" si="3"/>
        <v>67.8</v>
      </c>
      <c r="U49" s="371" t="s">
        <v>448</v>
      </c>
      <c r="V49" s="368">
        <v>0</v>
      </c>
      <c r="W49" s="368">
        <v>0</v>
      </c>
      <c r="X49" s="368">
        <v>0</v>
      </c>
      <c r="Y49" s="368">
        <v>0</v>
      </c>
      <c r="Z49" s="368">
        <v>0</v>
      </c>
    </row>
    <row r="50" spans="1:26" customFormat="1" x14ac:dyDescent="0.25">
      <c r="A50" s="461" t="s">
        <v>414</v>
      </c>
      <c r="B50" s="462"/>
      <c r="C50" s="346">
        <f>C48*C49</f>
        <v>301.32</v>
      </c>
      <c r="D50" s="346">
        <f t="shared" ref="D50:G50" si="9">D48*D49</f>
        <v>304.40000000000003</v>
      </c>
      <c r="E50" s="346">
        <f t="shared" si="9"/>
        <v>387.20000000000005</v>
      </c>
      <c r="F50" s="346">
        <f t="shared" si="9"/>
        <v>252.68000000000004</v>
      </c>
      <c r="G50" s="346">
        <f t="shared" si="9"/>
        <v>310.28000000000003</v>
      </c>
      <c r="H50" s="393"/>
      <c r="I50" s="393"/>
      <c r="J50" s="393"/>
      <c r="K50" s="393"/>
      <c r="L50" s="393"/>
      <c r="M50" s="393"/>
      <c r="O50" s="357" t="s">
        <v>435</v>
      </c>
      <c r="P50" s="358">
        <v>150</v>
      </c>
      <c r="Q50" s="358">
        <v>0.4</v>
      </c>
      <c r="R50" s="360">
        <v>60</v>
      </c>
      <c r="S50" s="383">
        <f t="shared" si="3"/>
        <v>67.8</v>
      </c>
      <c r="U50" s="371" t="s">
        <v>449</v>
      </c>
      <c r="V50" s="368">
        <v>0</v>
      </c>
      <c r="W50" s="368">
        <v>0</v>
      </c>
      <c r="X50" s="368">
        <v>0</v>
      </c>
      <c r="Y50" s="368">
        <v>0</v>
      </c>
      <c r="Z50" s="368">
        <v>0</v>
      </c>
    </row>
    <row r="51" spans="1:26" customFormat="1" ht="17.25" x14ac:dyDescent="0.3">
      <c r="A51" s="440" t="s">
        <v>415</v>
      </c>
      <c r="B51" s="441"/>
      <c r="C51" s="440" t="s">
        <v>405</v>
      </c>
      <c r="D51" s="458"/>
      <c r="E51" s="458"/>
      <c r="F51" s="458"/>
      <c r="G51" s="458"/>
      <c r="H51" s="396"/>
      <c r="I51" s="397" t="s">
        <v>463</v>
      </c>
      <c r="J51" s="397" t="s">
        <v>463</v>
      </c>
      <c r="K51" s="397" t="s">
        <v>463</v>
      </c>
      <c r="L51" s="397" t="s">
        <v>463</v>
      </c>
      <c r="M51" s="397" t="s">
        <v>463</v>
      </c>
      <c r="U51" s="369" t="s">
        <v>450</v>
      </c>
      <c r="V51" s="370">
        <v>0</v>
      </c>
      <c r="W51" s="370">
        <v>0</v>
      </c>
      <c r="X51" s="370">
        <v>0</v>
      </c>
      <c r="Y51" s="370">
        <v>0</v>
      </c>
      <c r="Z51" s="370">
        <v>0</v>
      </c>
    </row>
    <row r="52" spans="1:26" customFormat="1" x14ac:dyDescent="0.25">
      <c r="A52" s="465" t="s">
        <v>406</v>
      </c>
      <c r="B52" s="466"/>
      <c r="C52" s="342">
        <v>374</v>
      </c>
      <c r="D52" s="342">
        <v>363</v>
      </c>
      <c r="E52" s="342">
        <v>444</v>
      </c>
      <c r="F52" s="342">
        <v>416</v>
      </c>
      <c r="G52" s="342">
        <v>283</v>
      </c>
      <c r="H52" s="398">
        <v>0.3</v>
      </c>
      <c r="I52" s="399">
        <f>$H$52*C52</f>
        <v>112.2</v>
      </c>
      <c r="J52" s="399">
        <f t="shared" ref="J52:M52" si="10">$H$52*D52</f>
        <v>108.89999999999999</v>
      </c>
      <c r="K52" s="399">
        <f t="shared" si="10"/>
        <v>133.19999999999999</v>
      </c>
      <c r="L52" s="399">
        <f t="shared" si="10"/>
        <v>124.8</v>
      </c>
      <c r="M52" s="399">
        <f t="shared" si="10"/>
        <v>84.899999999999991</v>
      </c>
      <c r="U52" s="372" t="s">
        <v>451</v>
      </c>
      <c r="V52" s="373">
        <f>V42+V45+V48+V51</f>
        <v>277.2</v>
      </c>
      <c r="W52" s="373">
        <f t="shared" ref="W52:Z52" si="11">W42+W45+W48+W51</f>
        <v>277.2</v>
      </c>
      <c r="X52" s="373">
        <f t="shared" si="11"/>
        <v>321.2</v>
      </c>
      <c r="Y52" s="373">
        <f t="shared" si="11"/>
        <v>321.2</v>
      </c>
      <c r="Z52" s="373">
        <f t="shared" si="11"/>
        <v>277.2</v>
      </c>
    </row>
    <row r="53" spans="1:26" customFormat="1" x14ac:dyDescent="0.25">
      <c r="A53" s="465" t="s">
        <v>407</v>
      </c>
      <c r="B53" s="466"/>
      <c r="C53" s="342">
        <v>192</v>
      </c>
      <c r="D53" s="342">
        <v>184</v>
      </c>
      <c r="E53" s="342">
        <v>224</v>
      </c>
      <c r="F53" s="342">
        <v>224</v>
      </c>
      <c r="G53" s="342">
        <v>140</v>
      </c>
      <c r="H53" s="398">
        <v>1</v>
      </c>
      <c r="I53" s="399">
        <f>$H$53*C53</f>
        <v>192</v>
      </c>
      <c r="J53" s="399">
        <f t="shared" ref="J53:M53" si="12">$H$53*D53</f>
        <v>184</v>
      </c>
      <c r="K53" s="399">
        <f t="shared" si="12"/>
        <v>224</v>
      </c>
      <c r="L53" s="399">
        <f t="shared" si="12"/>
        <v>224</v>
      </c>
      <c r="M53" s="399">
        <f t="shared" si="12"/>
        <v>140</v>
      </c>
      <c r="U53" s="384">
        <f>'P&amp;L'!$R$10</f>
        <v>0.13</v>
      </c>
      <c r="V53" s="383">
        <f>V52*(1+$U$53)</f>
        <v>313.23599999999993</v>
      </c>
      <c r="W53" s="383">
        <f t="shared" ref="W53:Z53" si="13">W52*(1+$U$53)</f>
        <v>313.23599999999993</v>
      </c>
      <c r="X53" s="383">
        <f t="shared" si="13"/>
        <v>362.95599999999996</v>
      </c>
      <c r="Y53" s="383">
        <f t="shared" si="13"/>
        <v>362.95599999999996</v>
      </c>
      <c r="Z53" s="383">
        <f t="shared" si="13"/>
        <v>313.23599999999993</v>
      </c>
    </row>
    <row r="54" spans="1:26" customFormat="1" x14ac:dyDescent="0.25">
      <c r="A54" s="465" t="s">
        <v>408</v>
      </c>
      <c r="B54" s="466"/>
      <c r="C54" s="342">
        <v>288</v>
      </c>
      <c r="D54" s="342">
        <v>276</v>
      </c>
      <c r="E54" s="342">
        <v>336</v>
      </c>
      <c r="F54" s="342">
        <v>336</v>
      </c>
      <c r="G54" s="342">
        <v>210</v>
      </c>
      <c r="H54" s="398">
        <v>0.75</v>
      </c>
      <c r="I54" s="399">
        <f>$H$54*C54</f>
        <v>216</v>
      </c>
      <c r="J54" s="399">
        <f t="shared" ref="J54:M54" si="14">$H$54*D54</f>
        <v>207</v>
      </c>
      <c r="K54" s="399">
        <f t="shared" si="14"/>
        <v>252</v>
      </c>
      <c r="L54" s="399">
        <f t="shared" si="14"/>
        <v>252</v>
      </c>
      <c r="M54" s="399">
        <f t="shared" si="14"/>
        <v>157.5</v>
      </c>
      <c r="U54" s="364" t="s">
        <v>452</v>
      </c>
      <c r="V54" s="365"/>
      <c r="W54" s="365"/>
      <c r="X54" s="365"/>
      <c r="Y54" s="365"/>
      <c r="Z54" s="366"/>
    </row>
    <row r="55" spans="1:26" customFormat="1" x14ac:dyDescent="0.25">
      <c r="A55" s="465" t="s">
        <v>416</v>
      </c>
      <c r="B55" s="466"/>
      <c r="C55" s="342">
        <v>96</v>
      </c>
      <c r="D55" s="342">
        <v>92</v>
      </c>
      <c r="E55" s="342">
        <v>112</v>
      </c>
      <c r="F55" s="342">
        <v>112</v>
      </c>
      <c r="G55" s="342">
        <v>70</v>
      </c>
      <c r="H55" s="398">
        <v>0.3</v>
      </c>
      <c r="I55" s="399">
        <f>$H$55*C55</f>
        <v>28.799999999999997</v>
      </c>
      <c r="J55" s="399">
        <f t="shared" ref="J55:M55" si="15">$H$55*D55</f>
        <v>27.599999999999998</v>
      </c>
      <c r="K55" s="399">
        <f t="shared" si="15"/>
        <v>33.6</v>
      </c>
      <c r="L55" s="399">
        <f t="shared" si="15"/>
        <v>33.6</v>
      </c>
      <c r="M55" s="399">
        <f t="shared" si="15"/>
        <v>21</v>
      </c>
      <c r="U55" s="367" t="s">
        <v>441</v>
      </c>
      <c r="V55" s="368">
        <v>360</v>
      </c>
      <c r="W55" s="368">
        <v>360</v>
      </c>
      <c r="X55" s="368">
        <v>420</v>
      </c>
      <c r="Y55" s="368">
        <v>420</v>
      </c>
      <c r="Z55" s="368">
        <v>360</v>
      </c>
    </row>
    <row r="56" spans="1:26" customFormat="1" x14ac:dyDescent="0.25">
      <c r="A56" s="465" t="s">
        <v>410</v>
      </c>
      <c r="B56" s="466"/>
      <c r="C56" s="342">
        <v>0</v>
      </c>
      <c r="D56" s="342">
        <v>0</v>
      </c>
      <c r="E56" s="342">
        <v>0</v>
      </c>
      <c r="F56" s="342">
        <v>0</v>
      </c>
      <c r="G56" s="342">
        <v>0</v>
      </c>
      <c r="H56" s="398"/>
      <c r="I56" s="399">
        <f t="shared" ref="I56" si="16">H56*C56</f>
        <v>0</v>
      </c>
      <c r="J56" s="399">
        <f t="shared" ref="J56" si="17">I56*D56</f>
        <v>0</v>
      </c>
      <c r="K56" s="399">
        <f t="shared" ref="K56" si="18">J56*E56</f>
        <v>0</v>
      </c>
      <c r="L56" s="399">
        <f t="shared" ref="L56" si="19">K56*F56</f>
        <v>0</v>
      </c>
      <c r="M56" s="399">
        <f t="shared" ref="M56" si="20">L56*G56</f>
        <v>0</v>
      </c>
      <c r="U56" s="367" t="s">
        <v>442</v>
      </c>
      <c r="V56" s="368">
        <v>0.55000000000000004</v>
      </c>
      <c r="W56" s="368">
        <v>0.55000000000000004</v>
      </c>
      <c r="X56" s="368">
        <v>0.55000000000000004</v>
      </c>
      <c r="Y56" s="368">
        <v>0.55000000000000004</v>
      </c>
      <c r="Z56" s="368">
        <v>0.55000000000000004</v>
      </c>
    </row>
    <row r="57" spans="1:26" customFormat="1" x14ac:dyDescent="0.25">
      <c r="A57" s="459" t="s">
        <v>411</v>
      </c>
      <c r="B57" s="460"/>
      <c r="C57" s="344">
        <v>950</v>
      </c>
      <c r="D57" s="344">
        <v>915</v>
      </c>
      <c r="E57" s="343">
        <v>1116</v>
      </c>
      <c r="F57" s="343">
        <v>1088</v>
      </c>
      <c r="G57" s="344">
        <v>703</v>
      </c>
      <c r="H57" s="398"/>
      <c r="I57" s="400">
        <f t="shared" ref="I57:M57" si="21">SUM(I52:I56)</f>
        <v>549</v>
      </c>
      <c r="J57" s="400">
        <f t="shared" si="21"/>
        <v>527.5</v>
      </c>
      <c r="K57" s="400">
        <f t="shared" si="21"/>
        <v>642.80000000000007</v>
      </c>
      <c r="L57" s="400">
        <f t="shared" si="21"/>
        <v>634.4</v>
      </c>
      <c r="M57" s="400">
        <f t="shared" si="21"/>
        <v>403.4</v>
      </c>
      <c r="U57" s="369" t="s">
        <v>443</v>
      </c>
      <c r="V57" s="370">
        <f t="shared" ref="V57:Z57" si="22">V55*V56</f>
        <v>198.00000000000003</v>
      </c>
      <c r="W57" s="370">
        <f t="shared" si="22"/>
        <v>198.00000000000003</v>
      </c>
      <c r="X57" s="370">
        <f t="shared" si="22"/>
        <v>231.00000000000003</v>
      </c>
      <c r="Y57" s="370">
        <f t="shared" si="22"/>
        <v>231.00000000000003</v>
      </c>
      <c r="Z57" s="370">
        <f t="shared" si="22"/>
        <v>198.00000000000003</v>
      </c>
    </row>
    <row r="58" spans="1:26" customFormat="1" x14ac:dyDescent="0.25">
      <c r="A58" s="459" t="s">
        <v>412</v>
      </c>
      <c r="B58" s="460"/>
      <c r="C58" s="345">
        <f>I57</f>
        <v>549</v>
      </c>
      <c r="D58" s="345">
        <f t="shared" ref="D58:G58" si="23">J57</f>
        <v>527.5</v>
      </c>
      <c r="E58" s="345">
        <f t="shared" si="23"/>
        <v>642.80000000000007</v>
      </c>
      <c r="F58" s="345">
        <f t="shared" si="23"/>
        <v>634.4</v>
      </c>
      <c r="G58" s="345">
        <f t="shared" si="23"/>
        <v>403.4</v>
      </c>
      <c r="H58" s="392"/>
      <c r="I58" s="392"/>
      <c r="J58" s="392"/>
      <c r="K58" s="392"/>
      <c r="L58" s="392"/>
      <c r="M58" s="392"/>
      <c r="U58" s="367" t="s">
        <v>444</v>
      </c>
      <c r="V58" s="368">
        <v>0</v>
      </c>
      <c r="W58" s="368">
        <v>0</v>
      </c>
      <c r="X58" s="368">
        <v>0</v>
      </c>
      <c r="Y58" s="368">
        <v>0</v>
      </c>
      <c r="Z58" s="368">
        <v>0</v>
      </c>
    </row>
    <row r="59" spans="1:26" customFormat="1" x14ac:dyDescent="0.25">
      <c r="A59" s="459" t="s">
        <v>413</v>
      </c>
      <c r="B59" s="460"/>
      <c r="C59" s="345">
        <v>0.4</v>
      </c>
      <c r="D59" s="345">
        <v>0.4</v>
      </c>
      <c r="E59" s="345">
        <v>0.4</v>
      </c>
      <c r="F59" s="345">
        <v>0.4</v>
      </c>
      <c r="G59" s="345">
        <v>0.4</v>
      </c>
      <c r="H59" s="392"/>
      <c r="I59" s="392"/>
      <c r="J59" s="392"/>
      <c r="K59" s="392"/>
      <c r="L59" s="392"/>
      <c r="M59" s="392"/>
      <c r="U59" s="367" t="s">
        <v>442</v>
      </c>
      <c r="V59" s="368">
        <v>0</v>
      </c>
      <c r="W59" s="368">
        <v>0</v>
      </c>
      <c r="X59" s="368">
        <v>0</v>
      </c>
      <c r="Y59" s="368">
        <v>0</v>
      </c>
      <c r="Z59" s="368">
        <v>0</v>
      </c>
    </row>
    <row r="60" spans="1:26" customFormat="1" x14ac:dyDescent="0.25">
      <c r="A60" s="461" t="s">
        <v>414</v>
      </c>
      <c r="B60" s="462"/>
      <c r="C60" s="346">
        <f t="shared" ref="C60:G60" si="24">C58*C59</f>
        <v>219.60000000000002</v>
      </c>
      <c r="D60" s="346">
        <f t="shared" si="24"/>
        <v>211</v>
      </c>
      <c r="E60" s="346">
        <f t="shared" si="24"/>
        <v>257.12000000000006</v>
      </c>
      <c r="F60" s="346">
        <f t="shared" si="24"/>
        <v>253.76</v>
      </c>
      <c r="G60" s="346">
        <f t="shared" si="24"/>
        <v>161.36000000000001</v>
      </c>
      <c r="H60" s="393"/>
      <c r="I60" s="393"/>
      <c r="J60" s="393"/>
      <c r="K60" s="393"/>
      <c r="L60" s="393"/>
      <c r="M60" s="393"/>
      <c r="U60" s="369" t="s">
        <v>445</v>
      </c>
      <c r="V60" s="370">
        <f t="shared" ref="V60:Z60" si="25">V58*V59</f>
        <v>0</v>
      </c>
      <c r="W60" s="370">
        <f t="shared" si="25"/>
        <v>0</v>
      </c>
      <c r="X60" s="370">
        <f t="shared" si="25"/>
        <v>0</v>
      </c>
      <c r="Y60" s="370">
        <f t="shared" si="25"/>
        <v>0</v>
      </c>
      <c r="Z60" s="370">
        <f t="shared" si="25"/>
        <v>0</v>
      </c>
    </row>
    <row r="61" spans="1:26" customFormat="1" ht="17.25" x14ac:dyDescent="0.3">
      <c r="A61" s="440" t="s">
        <v>417</v>
      </c>
      <c r="B61" s="441"/>
      <c r="C61" s="440" t="s">
        <v>405</v>
      </c>
      <c r="D61" s="458"/>
      <c r="E61" s="458"/>
      <c r="F61" s="458"/>
      <c r="G61" s="458"/>
      <c r="H61" s="396"/>
      <c r="I61" s="397" t="s">
        <v>463</v>
      </c>
      <c r="J61" s="397" t="s">
        <v>463</v>
      </c>
      <c r="K61" s="397" t="s">
        <v>463</v>
      </c>
      <c r="L61" s="397" t="s">
        <v>463</v>
      </c>
      <c r="M61" s="397" t="s">
        <v>463</v>
      </c>
      <c r="U61" s="367" t="s">
        <v>446</v>
      </c>
      <c r="V61" s="368">
        <v>30</v>
      </c>
      <c r="W61" s="368">
        <v>30</v>
      </c>
      <c r="X61" s="368">
        <v>30</v>
      </c>
      <c r="Y61" s="368">
        <v>30</v>
      </c>
      <c r="Z61" s="368">
        <v>30</v>
      </c>
    </row>
    <row r="62" spans="1:26" customFormat="1" x14ac:dyDescent="0.25">
      <c r="A62" s="465" t="s">
        <v>418</v>
      </c>
      <c r="B62" s="466"/>
      <c r="C62" s="342">
        <v>185</v>
      </c>
      <c r="D62" s="342">
        <v>184</v>
      </c>
      <c r="E62" s="342">
        <v>235</v>
      </c>
      <c r="F62" s="342">
        <v>325</v>
      </c>
      <c r="G62" s="342">
        <v>192</v>
      </c>
      <c r="H62" s="398">
        <v>0.25</v>
      </c>
      <c r="I62" s="399">
        <f>$H$62*C62</f>
        <v>46.25</v>
      </c>
      <c r="J62" s="399">
        <f t="shared" ref="J62:M62" si="26">$H$62*D62</f>
        <v>46</v>
      </c>
      <c r="K62" s="399">
        <f t="shared" si="26"/>
        <v>58.75</v>
      </c>
      <c r="L62" s="399">
        <f t="shared" si="26"/>
        <v>81.25</v>
      </c>
      <c r="M62" s="399">
        <f t="shared" si="26"/>
        <v>48</v>
      </c>
      <c r="U62" s="367" t="s">
        <v>442</v>
      </c>
      <c r="V62" s="368">
        <v>0.44</v>
      </c>
      <c r="W62" s="368">
        <v>0.44</v>
      </c>
      <c r="X62" s="368">
        <v>0.44</v>
      </c>
      <c r="Y62" s="368">
        <v>0.44</v>
      </c>
      <c r="Z62" s="368">
        <v>0.44</v>
      </c>
    </row>
    <row r="63" spans="1:26" customFormat="1" x14ac:dyDescent="0.25">
      <c r="A63" s="465" t="s">
        <v>419</v>
      </c>
      <c r="B63" s="466"/>
      <c r="C63" s="342">
        <v>185</v>
      </c>
      <c r="D63" s="342">
        <v>184</v>
      </c>
      <c r="E63" s="342">
        <v>235</v>
      </c>
      <c r="F63" s="342">
        <v>325</v>
      </c>
      <c r="G63" s="342">
        <v>192</v>
      </c>
      <c r="H63" s="398">
        <v>0.4</v>
      </c>
      <c r="I63" s="399">
        <f>$H$63*C63</f>
        <v>74</v>
      </c>
      <c r="J63" s="399">
        <f t="shared" ref="J63:M63" si="27">$H$63*D63</f>
        <v>73.600000000000009</v>
      </c>
      <c r="K63" s="399">
        <f t="shared" si="27"/>
        <v>94</v>
      </c>
      <c r="L63" s="399">
        <f t="shared" si="27"/>
        <v>130</v>
      </c>
      <c r="M63" s="399">
        <f t="shared" si="27"/>
        <v>76.800000000000011</v>
      </c>
      <c r="U63" s="369" t="s">
        <v>447</v>
      </c>
      <c r="V63" s="370">
        <f t="shared" ref="V63:Z63" si="28">V61*V62</f>
        <v>13.2</v>
      </c>
      <c r="W63" s="370">
        <f t="shared" si="28"/>
        <v>13.2</v>
      </c>
      <c r="X63" s="370">
        <f t="shared" si="28"/>
        <v>13.2</v>
      </c>
      <c r="Y63" s="370">
        <f t="shared" si="28"/>
        <v>13.2</v>
      </c>
      <c r="Z63" s="370">
        <f t="shared" si="28"/>
        <v>13.2</v>
      </c>
    </row>
    <row r="64" spans="1:26" customFormat="1" x14ac:dyDescent="0.25">
      <c r="A64" s="465" t="s">
        <v>410</v>
      </c>
      <c r="B64" s="466"/>
      <c r="C64" s="342">
        <v>0</v>
      </c>
      <c r="D64" s="342">
        <v>0</v>
      </c>
      <c r="E64" s="342">
        <v>0</v>
      </c>
      <c r="F64" s="342">
        <v>0</v>
      </c>
      <c r="G64" s="342">
        <v>0</v>
      </c>
      <c r="H64" s="398">
        <v>0.25</v>
      </c>
      <c r="I64" s="399">
        <f>$H$64*C64</f>
        <v>0</v>
      </c>
      <c r="J64" s="399">
        <f t="shared" ref="J64:M64" si="29">$H$64*D64</f>
        <v>0</v>
      </c>
      <c r="K64" s="399">
        <f t="shared" si="29"/>
        <v>0</v>
      </c>
      <c r="L64" s="399">
        <f t="shared" si="29"/>
        <v>0</v>
      </c>
      <c r="M64" s="399">
        <f t="shared" si="29"/>
        <v>0</v>
      </c>
      <c r="U64" s="371" t="s">
        <v>448</v>
      </c>
      <c r="V64" s="368">
        <v>0</v>
      </c>
      <c r="W64" s="368">
        <v>0</v>
      </c>
      <c r="X64" s="368">
        <v>0</v>
      </c>
      <c r="Y64" s="368">
        <v>0</v>
      </c>
      <c r="Z64" s="368">
        <v>0</v>
      </c>
    </row>
    <row r="65" spans="1:26" customFormat="1" x14ac:dyDescent="0.25">
      <c r="A65" s="459" t="s">
        <v>411</v>
      </c>
      <c r="B65" s="460"/>
      <c r="C65" s="344">
        <v>370</v>
      </c>
      <c r="D65" s="344">
        <v>368</v>
      </c>
      <c r="E65" s="344">
        <v>470</v>
      </c>
      <c r="F65" s="344">
        <v>650</v>
      </c>
      <c r="G65" s="344">
        <v>384</v>
      </c>
      <c r="H65" s="398"/>
      <c r="I65" s="399">
        <f>$H$65*C65</f>
        <v>0</v>
      </c>
      <c r="J65" s="399">
        <f t="shared" ref="J65:M65" si="30">$H$65*D65</f>
        <v>0</v>
      </c>
      <c r="K65" s="399">
        <f t="shared" si="30"/>
        <v>0</v>
      </c>
      <c r="L65" s="399">
        <f t="shared" si="30"/>
        <v>0</v>
      </c>
      <c r="M65" s="399">
        <f t="shared" si="30"/>
        <v>0</v>
      </c>
      <c r="U65" s="371" t="s">
        <v>449</v>
      </c>
      <c r="V65" s="368">
        <v>0</v>
      </c>
      <c r="W65" s="368">
        <v>0</v>
      </c>
      <c r="X65" s="368">
        <v>0</v>
      </c>
      <c r="Y65" s="368">
        <v>0</v>
      </c>
      <c r="Z65" s="368">
        <v>0</v>
      </c>
    </row>
    <row r="66" spans="1:26" customFormat="1" x14ac:dyDescent="0.25">
      <c r="A66" s="459" t="s">
        <v>412</v>
      </c>
      <c r="B66" s="460"/>
      <c r="C66" s="345">
        <f>I66</f>
        <v>120.25</v>
      </c>
      <c r="D66" s="345">
        <f t="shared" ref="D66:G66" si="31">J66</f>
        <v>119.60000000000001</v>
      </c>
      <c r="E66" s="345">
        <f t="shared" si="31"/>
        <v>152.75</v>
      </c>
      <c r="F66" s="345">
        <f t="shared" si="31"/>
        <v>211.25</v>
      </c>
      <c r="G66" s="345">
        <f t="shared" si="31"/>
        <v>124.80000000000001</v>
      </c>
      <c r="H66" s="401"/>
      <c r="I66" s="400">
        <f t="shared" ref="I66:M66" si="32">SUM(I62:I65)</f>
        <v>120.25</v>
      </c>
      <c r="J66" s="400">
        <f t="shared" si="32"/>
        <v>119.60000000000001</v>
      </c>
      <c r="K66" s="400">
        <f t="shared" si="32"/>
        <v>152.75</v>
      </c>
      <c r="L66" s="400">
        <f t="shared" si="32"/>
        <v>211.25</v>
      </c>
      <c r="M66" s="400">
        <f t="shared" si="32"/>
        <v>124.80000000000001</v>
      </c>
      <c r="U66" s="369" t="s">
        <v>450</v>
      </c>
      <c r="V66" s="370">
        <f t="shared" ref="V66:Z66" si="33">V64*V65</f>
        <v>0</v>
      </c>
      <c r="W66" s="370">
        <f t="shared" si="33"/>
        <v>0</v>
      </c>
      <c r="X66" s="370">
        <f t="shared" si="33"/>
        <v>0</v>
      </c>
      <c r="Y66" s="370">
        <f t="shared" si="33"/>
        <v>0</v>
      </c>
      <c r="Z66" s="370">
        <f t="shared" si="33"/>
        <v>0</v>
      </c>
    </row>
    <row r="67" spans="1:26" customFormat="1" x14ac:dyDescent="0.25">
      <c r="A67" s="459" t="s">
        <v>413</v>
      </c>
      <c r="B67" s="460"/>
      <c r="C67" s="345">
        <v>0.4</v>
      </c>
      <c r="D67" s="345">
        <v>0.4</v>
      </c>
      <c r="E67" s="345">
        <v>0.4</v>
      </c>
      <c r="F67" s="345">
        <v>0.4</v>
      </c>
      <c r="G67" s="345">
        <v>0.4</v>
      </c>
      <c r="H67" s="392"/>
      <c r="I67" s="392"/>
      <c r="J67" s="392"/>
      <c r="K67" s="392"/>
      <c r="L67" s="392"/>
      <c r="M67" s="392"/>
      <c r="U67" s="372" t="s">
        <v>451</v>
      </c>
      <c r="V67" s="373">
        <f>V57+V60+V63+V66</f>
        <v>211.20000000000002</v>
      </c>
      <c r="W67" s="373">
        <f t="shared" ref="W67:Z67" si="34">W57+W60+W63+W66</f>
        <v>211.20000000000002</v>
      </c>
      <c r="X67" s="373">
        <f t="shared" si="34"/>
        <v>244.20000000000002</v>
      </c>
      <c r="Y67" s="373">
        <f t="shared" si="34"/>
        <v>244.20000000000002</v>
      </c>
      <c r="Z67" s="373">
        <f t="shared" si="34"/>
        <v>211.20000000000002</v>
      </c>
    </row>
    <row r="68" spans="1:26" customFormat="1" x14ac:dyDescent="0.25">
      <c r="A68" s="461" t="s">
        <v>414</v>
      </c>
      <c r="B68" s="462"/>
      <c r="C68" s="346">
        <f t="shared" ref="C68:G68" si="35">C66*C67</f>
        <v>48.1</v>
      </c>
      <c r="D68" s="346">
        <f t="shared" si="35"/>
        <v>47.84</v>
      </c>
      <c r="E68" s="346">
        <f t="shared" si="35"/>
        <v>61.1</v>
      </c>
      <c r="F68" s="346">
        <f t="shared" si="35"/>
        <v>84.5</v>
      </c>
      <c r="G68" s="346">
        <f t="shared" si="35"/>
        <v>49.920000000000009</v>
      </c>
      <c r="H68" s="393"/>
      <c r="I68" s="393"/>
      <c r="J68" s="393"/>
      <c r="K68" s="393"/>
      <c r="L68" s="393"/>
      <c r="M68" s="393"/>
      <c r="U68" s="384">
        <f>'P&amp;L'!$R$10</f>
        <v>0.13</v>
      </c>
      <c r="V68" s="383">
        <f>V67*(1+$U$53)</f>
        <v>238.65600000000001</v>
      </c>
      <c r="W68" s="383">
        <f t="shared" ref="W68:Z68" si="36">W67*(1+$U$53)</f>
        <v>238.65600000000001</v>
      </c>
      <c r="X68" s="383">
        <f t="shared" si="36"/>
        <v>275.94599999999997</v>
      </c>
      <c r="Y68" s="383">
        <f t="shared" si="36"/>
        <v>275.94599999999997</v>
      </c>
      <c r="Z68" s="383">
        <f t="shared" si="36"/>
        <v>238.65600000000001</v>
      </c>
    </row>
    <row r="69" spans="1:26" customFormat="1" ht="17.25" x14ac:dyDescent="0.3">
      <c r="A69" s="440" t="s">
        <v>420</v>
      </c>
      <c r="B69" s="441"/>
      <c r="C69" s="440"/>
      <c r="D69" s="458"/>
      <c r="E69" s="458"/>
      <c r="F69" s="458"/>
      <c r="G69" s="458"/>
      <c r="H69" s="396"/>
      <c r="I69" s="397" t="s">
        <v>463</v>
      </c>
      <c r="J69" s="397" t="s">
        <v>463</v>
      </c>
      <c r="K69" s="397" t="s">
        <v>463</v>
      </c>
      <c r="L69" s="397" t="s">
        <v>463</v>
      </c>
      <c r="M69" s="397" t="s">
        <v>463</v>
      </c>
      <c r="U69" s="364" t="s">
        <v>453</v>
      </c>
      <c r="V69" s="365"/>
      <c r="W69" s="365"/>
      <c r="X69" s="365"/>
      <c r="Y69" s="365"/>
      <c r="Z69" s="366"/>
    </row>
    <row r="70" spans="1:26" customFormat="1" x14ac:dyDescent="0.25">
      <c r="A70" s="465" t="s">
        <v>421</v>
      </c>
      <c r="B70" s="466"/>
      <c r="C70" s="342">
        <v>23</v>
      </c>
      <c r="D70" s="342">
        <v>21</v>
      </c>
      <c r="E70" s="342">
        <v>29</v>
      </c>
      <c r="F70" s="342">
        <v>31</v>
      </c>
      <c r="G70" s="347">
        <v>27</v>
      </c>
      <c r="H70" s="398">
        <v>2.5</v>
      </c>
      <c r="I70" s="399">
        <f>C70*$H$70</f>
        <v>57.5</v>
      </c>
      <c r="J70" s="399">
        <f t="shared" ref="J70:M70" si="37">D70*$H$70</f>
        <v>52.5</v>
      </c>
      <c r="K70" s="399">
        <f t="shared" si="37"/>
        <v>72.5</v>
      </c>
      <c r="L70" s="399">
        <f t="shared" si="37"/>
        <v>77.5</v>
      </c>
      <c r="M70" s="399">
        <f t="shared" si="37"/>
        <v>67.5</v>
      </c>
      <c r="U70" s="367" t="s">
        <v>441</v>
      </c>
      <c r="V70" s="368">
        <v>300</v>
      </c>
      <c r="W70" s="368">
        <v>300</v>
      </c>
      <c r="X70" s="368">
        <v>360</v>
      </c>
      <c r="Y70" s="368">
        <v>360</v>
      </c>
      <c r="Z70" s="368">
        <v>300</v>
      </c>
    </row>
    <row r="71" spans="1:26" customFormat="1" x14ac:dyDescent="0.25">
      <c r="A71" s="465" t="s">
        <v>422</v>
      </c>
      <c r="B71" s="466"/>
      <c r="C71" s="342">
        <v>5</v>
      </c>
      <c r="D71" s="342">
        <v>9</v>
      </c>
      <c r="E71" s="342">
        <v>15</v>
      </c>
      <c r="F71" s="342">
        <v>19</v>
      </c>
      <c r="G71" s="347">
        <v>6</v>
      </c>
      <c r="H71" s="398">
        <v>1.5</v>
      </c>
      <c r="I71" s="399">
        <f>C71*$H$71</f>
        <v>7.5</v>
      </c>
      <c r="J71" s="399">
        <f t="shared" ref="J71:M71" si="38">D71*$H$71</f>
        <v>13.5</v>
      </c>
      <c r="K71" s="399">
        <f t="shared" si="38"/>
        <v>22.5</v>
      </c>
      <c r="L71" s="399">
        <f t="shared" si="38"/>
        <v>28.5</v>
      </c>
      <c r="M71" s="399">
        <f t="shared" si="38"/>
        <v>9</v>
      </c>
      <c r="U71" s="367" t="s">
        <v>442</v>
      </c>
      <c r="V71" s="368">
        <v>0.55000000000000004</v>
      </c>
      <c r="W71" s="368">
        <v>0.55000000000000004</v>
      </c>
      <c r="X71" s="368">
        <v>0.55000000000000004</v>
      </c>
      <c r="Y71" s="368">
        <v>0.55000000000000004</v>
      </c>
      <c r="Z71" s="368">
        <v>0.55000000000000004</v>
      </c>
    </row>
    <row r="72" spans="1:26" customFormat="1" x14ac:dyDescent="0.25">
      <c r="A72" s="465" t="s">
        <v>423</v>
      </c>
      <c r="B72" s="466"/>
      <c r="C72" s="342">
        <v>20</v>
      </c>
      <c r="D72" s="342">
        <v>23</v>
      </c>
      <c r="E72" s="342">
        <v>15</v>
      </c>
      <c r="F72" s="342">
        <v>10</v>
      </c>
      <c r="G72" s="347">
        <v>7</v>
      </c>
      <c r="H72" s="398">
        <v>0.3</v>
      </c>
      <c r="I72" s="399">
        <f>C72*$H$72</f>
        <v>6</v>
      </c>
      <c r="J72" s="399">
        <f t="shared" ref="J72:M72" si="39">D72*$H$72</f>
        <v>6.8999999999999995</v>
      </c>
      <c r="K72" s="399">
        <f t="shared" si="39"/>
        <v>4.5</v>
      </c>
      <c r="L72" s="399">
        <f t="shared" si="39"/>
        <v>3</v>
      </c>
      <c r="M72" s="399">
        <f t="shared" si="39"/>
        <v>2.1</v>
      </c>
      <c r="U72" s="369" t="s">
        <v>443</v>
      </c>
      <c r="V72" s="370">
        <f t="shared" ref="V72:Z72" si="40">V70*V71</f>
        <v>165</v>
      </c>
      <c r="W72" s="370">
        <f t="shared" si="40"/>
        <v>165</v>
      </c>
      <c r="X72" s="370">
        <f t="shared" si="40"/>
        <v>198.00000000000003</v>
      </c>
      <c r="Y72" s="370">
        <f t="shared" si="40"/>
        <v>198.00000000000003</v>
      </c>
      <c r="Z72" s="370">
        <f t="shared" si="40"/>
        <v>165</v>
      </c>
    </row>
    <row r="73" spans="1:26" customFormat="1" x14ac:dyDescent="0.25">
      <c r="A73" s="465" t="s">
        <v>424</v>
      </c>
      <c r="B73" s="466"/>
      <c r="C73" s="342">
        <v>12</v>
      </c>
      <c r="D73" s="342">
        <v>12</v>
      </c>
      <c r="E73" s="342">
        <v>15</v>
      </c>
      <c r="F73" s="342">
        <v>18</v>
      </c>
      <c r="G73" s="342">
        <v>12</v>
      </c>
      <c r="H73" s="398">
        <v>0.3</v>
      </c>
      <c r="I73" s="399">
        <f>C73*$H$73</f>
        <v>3.5999999999999996</v>
      </c>
      <c r="J73" s="399">
        <f t="shared" ref="J73:M73" si="41">D73*$H$73</f>
        <v>3.5999999999999996</v>
      </c>
      <c r="K73" s="399">
        <f t="shared" si="41"/>
        <v>4.5</v>
      </c>
      <c r="L73" s="399">
        <f t="shared" si="41"/>
        <v>5.3999999999999995</v>
      </c>
      <c r="M73" s="399">
        <f t="shared" si="41"/>
        <v>3.5999999999999996</v>
      </c>
      <c r="U73" s="367" t="s">
        <v>444</v>
      </c>
      <c r="V73" s="368">
        <v>0</v>
      </c>
      <c r="W73" s="368">
        <v>0</v>
      </c>
      <c r="X73" s="368">
        <v>0</v>
      </c>
      <c r="Y73" s="368">
        <v>0</v>
      </c>
      <c r="Z73" s="368">
        <v>0</v>
      </c>
    </row>
    <row r="74" spans="1:26" customFormat="1" x14ac:dyDescent="0.25">
      <c r="A74" s="465" t="s">
        <v>425</v>
      </c>
      <c r="B74" s="466"/>
      <c r="C74" s="342">
        <v>0</v>
      </c>
      <c r="D74" s="342">
        <v>0</v>
      </c>
      <c r="E74" s="342">
        <v>0</v>
      </c>
      <c r="F74" s="342">
        <v>0</v>
      </c>
      <c r="G74" s="342">
        <v>0</v>
      </c>
      <c r="H74" s="398">
        <v>1.5</v>
      </c>
      <c r="I74" s="399">
        <f>C74*$H$74</f>
        <v>0</v>
      </c>
      <c r="J74" s="399">
        <f t="shared" ref="J74:M74" si="42">D74*$H$74</f>
        <v>0</v>
      </c>
      <c r="K74" s="399">
        <f t="shared" si="42"/>
        <v>0</v>
      </c>
      <c r="L74" s="399">
        <f t="shared" si="42"/>
        <v>0</v>
      </c>
      <c r="M74" s="399">
        <f t="shared" si="42"/>
        <v>0</v>
      </c>
      <c r="U74" s="367" t="s">
        <v>442</v>
      </c>
      <c r="V74" s="368">
        <v>0</v>
      </c>
      <c r="W74" s="368">
        <v>0</v>
      </c>
      <c r="X74" s="368">
        <v>0</v>
      </c>
      <c r="Y74" s="368">
        <v>0</v>
      </c>
      <c r="Z74" s="368">
        <v>0</v>
      </c>
    </row>
    <row r="75" spans="1:26" customFormat="1" x14ac:dyDescent="0.25">
      <c r="A75" s="465" t="s">
        <v>426</v>
      </c>
      <c r="B75" s="466"/>
      <c r="C75" s="342">
        <v>136</v>
      </c>
      <c r="D75" s="342">
        <v>150</v>
      </c>
      <c r="E75" s="342">
        <v>176</v>
      </c>
      <c r="F75" s="342">
        <v>184</v>
      </c>
      <c r="G75" s="347">
        <v>138</v>
      </c>
      <c r="H75" s="398">
        <v>0.3</v>
      </c>
      <c r="I75" s="399">
        <f>C75*$H$75</f>
        <v>40.799999999999997</v>
      </c>
      <c r="J75" s="399">
        <f t="shared" ref="J75:M75" si="43">D75*$H$75</f>
        <v>45</v>
      </c>
      <c r="K75" s="399">
        <f t="shared" si="43"/>
        <v>52.8</v>
      </c>
      <c r="L75" s="399">
        <f t="shared" si="43"/>
        <v>55.199999999999996</v>
      </c>
      <c r="M75" s="399">
        <f t="shared" si="43"/>
        <v>41.4</v>
      </c>
      <c r="U75" s="369" t="s">
        <v>445</v>
      </c>
      <c r="V75" s="370">
        <f>V73*V74</f>
        <v>0</v>
      </c>
      <c r="W75" s="370">
        <f t="shared" ref="W75:Z75" si="44">W73*W74</f>
        <v>0</v>
      </c>
      <c r="X75" s="370">
        <f t="shared" si="44"/>
        <v>0</v>
      </c>
      <c r="Y75" s="370">
        <f t="shared" si="44"/>
        <v>0</v>
      </c>
      <c r="Z75" s="370">
        <f t="shared" si="44"/>
        <v>0</v>
      </c>
    </row>
    <row r="76" spans="1:26" customFormat="1" x14ac:dyDescent="0.25">
      <c r="A76" s="465" t="s">
        <v>427</v>
      </c>
      <c r="B76" s="466"/>
      <c r="C76" s="342">
        <v>44</v>
      </c>
      <c r="D76" s="342">
        <v>42</v>
      </c>
      <c r="E76" s="342">
        <v>45</v>
      </c>
      <c r="F76" s="342">
        <v>68</v>
      </c>
      <c r="G76" s="347">
        <v>38</v>
      </c>
      <c r="H76" s="398">
        <v>0.3</v>
      </c>
      <c r="I76" s="399">
        <f>C76*$H$76</f>
        <v>13.2</v>
      </c>
      <c r="J76" s="399">
        <f t="shared" ref="J76:M76" si="45">D76*$H$76</f>
        <v>12.6</v>
      </c>
      <c r="K76" s="399">
        <f t="shared" si="45"/>
        <v>13.5</v>
      </c>
      <c r="L76" s="399">
        <f t="shared" si="45"/>
        <v>20.399999999999999</v>
      </c>
      <c r="M76" s="399">
        <f t="shared" si="45"/>
        <v>11.4</v>
      </c>
      <c r="U76" s="367" t="s">
        <v>446</v>
      </c>
      <c r="V76" s="368">
        <v>30</v>
      </c>
      <c r="W76" s="368">
        <v>30</v>
      </c>
      <c r="X76" s="368">
        <v>30</v>
      </c>
      <c r="Y76" s="368">
        <v>30</v>
      </c>
      <c r="Z76" s="368">
        <v>30</v>
      </c>
    </row>
    <row r="77" spans="1:26" customFormat="1" x14ac:dyDescent="0.25">
      <c r="A77" s="465" t="s">
        <v>428</v>
      </c>
      <c r="B77" s="466"/>
      <c r="C77" s="342">
        <v>22</v>
      </c>
      <c r="D77" s="342">
        <v>22</v>
      </c>
      <c r="E77" s="342">
        <v>31</v>
      </c>
      <c r="F77" s="342">
        <v>22</v>
      </c>
      <c r="G77" s="347">
        <v>22</v>
      </c>
      <c r="H77" s="398">
        <v>0.3</v>
      </c>
      <c r="I77" s="399">
        <f>C77*$H$77</f>
        <v>6.6</v>
      </c>
      <c r="J77" s="399">
        <f t="shared" ref="J77:M77" si="46">D77*$H$77</f>
        <v>6.6</v>
      </c>
      <c r="K77" s="399">
        <f t="shared" si="46"/>
        <v>9.2999999999999989</v>
      </c>
      <c r="L77" s="399">
        <f t="shared" si="46"/>
        <v>6.6</v>
      </c>
      <c r="M77" s="399">
        <f t="shared" si="46"/>
        <v>6.6</v>
      </c>
      <c r="U77" s="367" t="s">
        <v>442</v>
      </c>
      <c r="V77" s="368">
        <v>0.44</v>
      </c>
      <c r="W77" s="368">
        <v>0.44</v>
      </c>
      <c r="X77" s="368">
        <v>0.44</v>
      </c>
      <c r="Y77" s="368">
        <v>0.44</v>
      </c>
      <c r="Z77" s="368">
        <v>0.44</v>
      </c>
    </row>
    <row r="78" spans="1:26" customFormat="1" x14ac:dyDescent="0.25">
      <c r="A78" s="459" t="s">
        <v>411</v>
      </c>
      <c r="B78" s="460"/>
      <c r="C78" s="344">
        <v>262</v>
      </c>
      <c r="D78" s="344">
        <v>279</v>
      </c>
      <c r="E78" s="344">
        <v>326</v>
      </c>
      <c r="F78" s="344">
        <v>352</v>
      </c>
      <c r="G78" s="344">
        <v>250</v>
      </c>
      <c r="H78" s="398"/>
      <c r="I78" s="400">
        <f t="shared" ref="I78:M78" si="47">SUM(I70:I77)</f>
        <v>135.19999999999999</v>
      </c>
      <c r="J78" s="400">
        <f t="shared" si="47"/>
        <v>140.69999999999999</v>
      </c>
      <c r="K78" s="400">
        <f t="shared" si="47"/>
        <v>179.60000000000002</v>
      </c>
      <c r="L78" s="400">
        <f t="shared" si="47"/>
        <v>196.6</v>
      </c>
      <c r="M78" s="400">
        <f t="shared" si="47"/>
        <v>141.6</v>
      </c>
      <c r="U78" s="369" t="s">
        <v>447</v>
      </c>
      <c r="V78" s="370">
        <f t="shared" ref="V78:Z78" si="48">V76*V77</f>
        <v>13.2</v>
      </c>
      <c r="W78" s="370">
        <f t="shared" si="48"/>
        <v>13.2</v>
      </c>
      <c r="X78" s="370">
        <f t="shared" si="48"/>
        <v>13.2</v>
      </c>
      <c r="Y78" s="370">
        <f t="shared" si="48"/>
        <v>13.2</v>
      </c>
      <c r="Z78" s="370">
        <f t="shared" si="48"/>
        <v>13.2</v>
      </c>
    </row>
    <row r="79" spans="1:26" customFormat="1" x14ac:dyDescent="0.25">
      <c r="A79" s="459" t="s">
        <v>412</v>
      </c>
      <c r="B79" s="460"/>
      <c r="C79" s="345">
        <f>I78</f>
        <v>135.19999999999999</v>
      </c>
      <c r="D79" s="345">
        <f t="shared" ref="D79:G79" si="49">J78</f>
        <v>140.69999999999999</v>
      </c>
      <c r="E79" s="345">
        <f t="shared" si="49"/>
        <v>179.60000000000002</v>
      </c>
      <c r="F79" s="345">
        <f t="shared" si="49"/>
        <v>196.6</v>
      </c>
      <c r="G79" s="345">
        <f t="shared" si="49"/>
        <v>141.6</v>
      </c>
      <c r="H79" s="392"/>
      <c r="I79" s="392"/>
      <c r="J79" s="392"/>
      <c r="K79" s="392"/>
      <c r="L79" s="392"/>
      <c r="M79" s="392"/>
      <c r="U79" s="371" t="s">
        <v>448</v>
      </c>
      <c r="V79" s="368">
        <v>0</v>
      </c>
      <c r="W79" s="368">
        <v>0</v>
      </c>
      <c r="X79" s="368">
        <v>0</v>
      </c>
      <c r="Y79" s="368">
        <v>0</v>
      </c>
      <c r="Z79" s="368">
        <v>0</v>
      </c>
    </row>
    <row r="80" spans="1:26" customFormat="1" x14ac:dyDescent="0.25">
      <c r="A80" s="459" t="s">
        <v>413</v>
      </c>
      <c r="B80" s="460"/>
      <c r="C80" s="345">
        <v>0.4</v>
      </c>
      <c r="D80" s="345">
        <v>0.4</v>
      </c>
      <c r="E80" s="345">
        <v>0.4</v>
      </c>
      <c r="F80" s="345">
        <v>0.4</v>
      </c>
      <c r="G80" s="345">
        <v>0.4</v>
      </c>
      <c r="H80" s="392"/>
      <c r="I80" s="392"/>
      <c r="J80" s="392"/>
      <c r="K80" s="392"/>
      <c r="L80" s="392"/>
      <c r="M80" s="392"/>
      <c r="U80" s="371" t="s">
        <v>449</v>
      </c>
      <c r="V80" s="368">
        <v>0</v>
      </c>
      <c r="W80" s="368">
        <v>0</v>
      </c>
      <c r="X80" s="368">
        <v>0</v>
      </c>
      <c r="Y80" s="368">
        <v>0</v>
      </c>
      <c r="Z80" s="368">
        <v>0</v>
      </c>
    </row>
    <row r="81" spans="1:26" customFormat="1" x14ac:dyDescent="0.25">
      <c r="A81" s="461" t="s">
        <v>414</v>
      </c>
      <c r="B81" s="462"/>
      <c r="C81" s="346">
        <f t="shared" ref="C81:G81" si="50">C79*C80</f>
        <v>54.08</v>
      </c>
      <c r="D81" s="346">
        <f t="shared" si="50"/>
        <v>56.28</v>
      </c>
      <c r="E81" s="346">
        <f t="shared" si="50"/>
        <v>71.840000000000018</v>
      </c>
      <c r="F81" s="346">
        <f t="shared" si="50"/>
        <v>78.64</v>
      </c>
      <c r="G81" s="346">
        <f t="shared" si="50"/>
        <v>56.64</v>
      </c>
      <c r="H81" s="393"/>
      <c r="I81" s="393"/>
      <c r="J81" s="393"/>
      <c r="K81" s="393"/>
      <c r="L81" s="393"/>
      <c r="M81" s="393"/>
      <c r="U81" s="369" t="s">
        <v>450</v>
      </c>
      <c r="V81" s="370">
        <f t="shared" ref="V81:Z81" si="51">V79*V80</f>
        <v>0</v>
      </c>
      <c r="W81" s="370">
        <f t="shared" si="51"/>
        <v>0</v>
      </c>
      <c r="X81" s="370">
        <f t="shared" si="51"/>
        <v>0</v>
      </c>
      <c r="Y81" s="370">
        <f t="shared" si="51"/>
        <v>0</v>
      </c>
      <c r="Z81" s="370">
        <f t="shared" si="51"/>
        <v>0</v>
      </c>
    </row>
    <row r="82" spans="1:26" customFormat="1" x14ac:dyDescent="0.25">
      <c r="A82" s="348"/>
      <c r="B82" s="349"/>
      <c r="C82" s="350"/>
      <c r="D82" s="350"/>
      <c r="E82" s="350"/>
      <c r="F82" s="350"/>
      <c r="G82" s="351"/>
      <c r="H82" s="348"/>
      <c r="I82" s="348"/>
      <c r="J82" s="348"/>
      <c r="K82" s="348"/>
      <c r="L82" s="348"/>
      <c r="M82" s="348"/>
      <c r="U82" s="372" t="s">
        <v>451</v>
      </c>
      <c r="V82" s="373">
        <f t="shared" ref="V82:Z82" si="52">V72+V75+V78+V81</f>
        <v>178.2</v>
      </c>
      <c r="W82" s="373">
        <f t="shared" si="52"/>
        <v>178.2</v>
      </c>
      <c r="X82" s="373">
        <f t="shared" si="52"/>
        <v>211.20000000000002</v>
      </c>
      <c r="Y82" s="373">
        <f t="shared" si="52"/>
        <v>211.20000000000002</v>
      </c>
      <c r="Z82" s="373">
        <f t="shared" si="52"/>
        <v>178.2</v>
      </c>
    </row>
    <row r="83" spans="1:26" customFormat="1" ht="15" customHeight="1" x14ac:dyDescent="0.25">
      <c r="A83" s="385" t="s">
        <v>429</v>
      </c>
      <c r="B83" s="352" t="s">
        <v>430</v>
      </c>
      <c r="C83" s="353">
        <f>C50+C60+C68+C81</f>
        <v>623.10000000000014</v>
      </c>
      <c r="D83" s="353">
        <f t="shared" ref="D83:G83" si="53">D50+D60+D68+D81</f>
        <v>619.5200000000001</v>
      </c>
      <c r="E83" s="353">
        <f t="shared" si="53"/>
        <v>777.26000000000022</v>
      </c>
      <c r="F83" s="353">
        <f t="shared" si="53"/>
        <v>669.58</v>
      </c>
      <c r="G83" s="353">
        <f t="shared" si="53"/>
        <v>578.20000000000005</v>
      </c>
      <c r="H83" s="394"/>
      <c r="I83" s="394"/>
      <c r="J83" s="394"/>
      <c r="K83" s="394"/>
      <c r="L83" s="394"/>
      <c r="M83" s="394"/>
      <c r="U83" s="384">
        <f>'P&amp;L'!$R$10</f>
        <v>0.13</v>
      </c>
      <c r="V83" s="383">
        <f>V82*(1+$U$53)</f>
        <v>201.36599999999996</v>
      </c>
      <c r="W83" s="383">
        <f t="shared" ref="W83:Z83" si="54">W82*(1+$U$53)</f>
        <v>201.36599999999996</v>
      </c>
      <c r="X83" s="383">
        <f t="shared" si="54"/>
        <v>238.65600000000001</v>
      </c>
      <c r="Y83" s="383">
        <f t="shared" si="54"/>
        <v>238.65600000000001</v>
      </c>
      <c r="Z83" s="383">
        <f t="shared" si="54"/>
        <v>201.36599999999996</v>
      </c>
    </row>
    <row r="84" spans="1:26" customFormat="1" x14ac:dyDescent="0.25">
      <c r="B84" s="384">
        <f>'P&amp;L'!$R$10</f>
        <v>0.13</v>
      </c>
      <c r="C84" s="386">
        <f>C83*(1+$U$53)</f>
        <v>704.10300000000007</v>
      </c>
      <c r="D84" s="386">
        <f>D83*(1+$U$53)</f>
        <v>700.05760000000009</v>
      </c>
      <c r="E84" s="386">
        <f>E83*(1+$U$53)</f>
        <v>878.30380000000014</v>
      </c>
      <c r="F84" s="386">
        <f>F83*(1+$U$53)</f>
        <v>756.62540000000001</v>
      </c>
      <c r="G84" s="386">
        <f>G83*(1+$U$53)</f>
        <v>653.36599999999999</v>
      </c>
      <c r="H84" s="395"/>
      <c r="I84" s="395"/>
      <c r="J84" s="395"/>
      <c r="K84" s="395"/>
      <c r="L84" s="395"/>
      <c r="M84" s="395"/>
      <c r="U84" s="364" t="s">
        <v>454</v>
      </c>
      <c r="V84" s="365"/>
      <c r="W84" s="365"/>
      <c r="X84" s="365"/>
      <c r="Y84" s="365"/>
      <c r="Z84" s="366"/>
    </row>
    <row r="85" spans="1:26" customFormat="1" x14ac:dyDescent="0.25">
      <c r="U85" s="374" t="s">
        <v>455</v>
      </c>
      <c r="V85" s="375">
        <v>215</v>
      </c>
      <c r="W85" s="375">
        <v>215</v>
      </c>
      <c r="X85" s="375">
        <v>215</v>
      </c>
      <c r="Y85" s="375">
        <v>215</v>
      </c>
      <c r="Z85" s="375">
        <v>215</v>
      </c>
    </row>
    <row r="86" spans="1:26" customFormat="1" x14ac:dyDescent="0.25">
      <c r="U86" s="374" t="s">
        <v>456</v>
      </c>
      <c r="V86" s="375">
        <v>215</v>
      </c>
      <c r="W86" s="375">
        <v>215</v>
      </c>
      <c r="X86" s="375">
        <v>215</v>
      </c>
      <c r="Y86" s="375">
        <v>215</v>
      </c>
      <c r="Z86" s="375">
        <v>215</v>
      </c>
    </row>
    <row r="87" spans="1:26" customFormat="1" x14ac:dyDescent="0.25">
      <c r="U87" s="374" t="s">
        <v>457</v>
      </c>
      <c r="V87" s="375">
        <v>50</v>
      </c>
      <c r="W87" s="375">
        <v>50</v>
      </c>
      <c r="X87" s="375">
        <v>50</v>
      </c>
      <c r="Y87" s="375">
        <v>50</v>
      </c>
      <c r="Z87" s="375">
        <v>50</v>
      </c>
    </row>
    <row r="88" spans="1:26" customFormat="1" x14ac:dyDescent="0.25">
      <c r="U88" s="374" t="s">
        <v>458</v>
      </c>
      <c r="V88" s="375">
        <v>350</v>
      </c>
      <c r="W88" s="375">
        <v>350</v>
      </c>
      <c r="X88" s="375">
        <v>350</v>
      </c>
      <c r="Y88" s="375">
        <v>350</v>
      </c>
      <c r="Z88" s="375">
        <v>350</v>
      </c>
    </row>
    <row r="89" spans="1:26" customFormat="1" ht="16.5" x14ac:dyDescent="0.3">
      <c r="U89" s="341"/>
      <c r="V89" s="341"/>
      <c r="W89" s="376"/>
      <c r="X89" s="376"/>
      <c r="Y89" s="377"/>
      <c r="Z89" s="376"/>
    </row>
    <row r="90" spans="1:26" customFormat="1" ht="16.5" x14ac:dyDescent="0.3">
      <c r="U90" s="378" t="s">
        <v>459</v>
      </c>
      <c r="V90" s="377"/>
      <c r="W90" s="377"/>
      <c r="X90" s="377"/>
      <c r="Y90" s="377"/>
      <c r="Z90" s="377"/>
    </row>
    <row r="91" spans="1:26" customFormat="1" ht="16.5" x14ac:dyDescent="0.3">
      <c r="U91" s="379"/>
      <c r="V91" s="380"/>
      <c r="W91" s="380"/>
      <c r="X91" s="380"/>
      <c r="Y91" s="380"/>
      <c r="Z91" s="380"/>
    </row>
    <row r="92" spans="1:26" customFormat="1" ht="16.5" x14ac:dyDescent="0.3">
      <c r="U92" s="379"/>
      <c r="V92" s="380"/>
      <c r="W92" s="380"/>
      <c r="X92" s="380"/>
      <c r="Y92" s="380"/>
      <c r="Z92" s="380"/>
    </row>
    <row r="93" spans="1:26" customFormat="1" ht="16.5" x14ac:dyDescent="0.3">
      <c r="U93" s="379"/>
      <c r="V93" s="380"/>
      <c r="W93" s="380"/>
      <c r="X93" s="380"/>
      <c r="Y93" s="380"/>
      <c r="Z93" s="380"/>
    </row>
    <row r="94" spans="1:26" customFormat="1" ht="16.5" x14ac:dyDescent="0.3">
      <c r="U94" s="379"/>
      <c r="V94" s="380"/>
      <c r="W94" s="380"/>
      <c r="X94" s="380"/>
      <c r="Y94" s="380"/>
      <c r="Z94" s="380"/>
    </row>
    <row r="95" spans="1:26" customFormat="1" ht="16.5" x14ac:dyDescent="0.3">
      <c r="U95" s="379"/>
      <c r="V95" s="380"/>
      <c r="W95" s="380"/>
      <c r="X95" s="380"/>
      <c r="Y95" s="380"/>
      <c r="Z95" s="380"/>
    </row>
    <row r="96" spans="1:26" customFormat="1" ht="16.5" x14ac:dyDescent="0.3">
      <c r="U96" s="379"/>
      <c r="V96" s="380"/>
      <c r="W96" s="380"/>
      <c r="X96" s="380"/>
      <c r="Y96" s="380"/>
      <c r="Z96" s="380"/>
    </row>
    <row r="97" spans="21:27" customFormat="1" x14ac:dyDescent="0.25"/>
    <row r="98" spans="21:27" customFormat="1" x14ac:dyDescent="0.25"/>
    <row r="99" spans="21:27" customFormat="1" x14ac:dyDescent="0.25"/>
    <row r="100" spans="21:27" customFormat="1" x14ac:dyDescent="0.25"/>
    <row r="101" spans="21:27" customFormat="1" x14ac:dyDescent="0.25"/>
    <row r="102" spans="21:27" customFormat="1" x14ac:dyDescent="0.25">
      <c r="AA102" s="35"/>
    </row>
    <row r="103" spans="21:27" customFormat="1" x14ac:dyDescent="0.25">
      <c r="U103" s="35"/>
      <c r="V103" s="35"/>
      <c r="W103" s="35"/>
      <c r="X103" s="35"/>
      <c r="Y103" s="35"/>
      <c r="Z103" s="35"/>
      <c r="AA103" s="35"/>
    </row>
    <row r="104" spans="21:27" customFormat="1" x14ac:dyDescent="0.25">
      <c r="U104" s="35"/>
      <c r="V104" s="35"/>
      <c r="W104" s="35"/>
      <c r="X104" s="35"/>
      <c r="Y104" s="35"/>
      <c r="Z104" s="35"/>
      <c r="AA104" s="35"/>
    </row>
  </sheetData>
  <mergeCells count="60"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65:B65"/>
    <mergeCell ref="A66:B66"/>
    <mergeCell ref="A67:B67"/>
    <mergeCell ref="A68:B68"/>
    <mergeCell ref="A60:B60"/>
    <mergeCell ref="A61:B61"/>
    <mergeCell ref="A62:B62"/>
    <mergeCell ref="A63:B63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H39" sqref="H39"/>
    </sheetView>
  </sheetViews>
  <sheetFormatPr defaultColWidth="9.5703125" defaultRowHeight="15" x14ac:dyDescent="0.2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 x14ac:dyDescent="0.3">
      <c r="A1" s="6" t="s">
        <v>170</v>
      </c>
      <c r="B1" s="6">
        <v>350</v>
      </c>
      <c r="C1" s="7"/>
      <c r="D1" s="7"/>
      <c r="E1" s="7"/>
      <c r="F1" s="7"/>
      <c r="G1" s="7"/>
      <c r="H1" s="8"/>
      <c r="I1" s="8"/>
      <c r="J1" s="9" t="s">
        <v>226</v>
      </c>
      <c r="K1" s="10"/>
      <c r="N1" s="163"/>
      <c r="O1" s="163"/>
      <c r="P1" s="8"/>
      <c r="Q1" s="8"/>
      <c r="R1" s="8"/>
      <c r="S1" s="8"/>
      <c r="T1" s="8"/>
      <c r="U1" s="8"/>
    </row>
    <row r="2" spans="1:23" ht="15.75" thickBot="1" x14ac:dyDescent="0.3">
      <c r="A2" s="11" t="s">
        <v>227</v>
      </c>
      <c r="B2" s="12" t="s">
        <v>31</v>
      </c>
      <c r="C2" s="12" t="s">
        <v>32</v>
      </c>
      <c r="D2" s="12" t="s">
        <v>173</v>
      </c>
      <c r="E2" s="12" t="s">
        <v>34</v>
      </c>
      <c r="F2" s="12" t="s">
        <v>35</v>
      </c>
      <c r="G2" s="12" t="s">
        <v>36</v>
      </c>
      <c r="H2" s="12" t="s">
        <v>128</v>
      </c>
      <c r="I2" s="8"/>
      <c r="J2" s="9" t="s">
        <v>228</v>
      </c>
      <c r="K2" s="10"/>
      <c r="N2" s="164"/>
      <c r="O2" s="165"/>
      <c r="P2" s="165"/>
      <c r="Q2" s="165"/>
      <c r="R2" s="165"/>
      <c r="S2" s="165"/>
      <c r="T2" s="165"/>
      <c r="U2" s="165"/>
      <c r="V2" s="165"/>
    </row>
    <row r="3" spans="1:23" ht="15.75" thickBot="1" x14ac:dyDescent="0.3">
      <c r="A3" s="14" t="s">
        <v>130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229</v>
      </c>
      <c r="K3" s="10"/>
      <c r="N3" s="166"/>
      <c r="O3" s="8"/>
      <c r="P3" s="8"/>
      <c r="Q3" s="8"/>
      <c r="R3" s="8"/>
      <c r="S3" s="8"/>
      <c r="T3" s="8"/>
      <c r="U3" s="8"/>
      <c r="V3" s="8"/>
      <c r="W3" s="8"/>
    </row>
    <row r="4" spans="1:23" ht="15.75" thickBot="1" x14ac:dyDescent="0.3">
      <c r="A4" s="14" t="s">
        <v>230</v>
      </c>
      <c r="B4" s="16">
        <f>+'P&amp;L'!$R$4</f>
        <v>0.85</v>
      </c>
      <c r="C4" s="16">
        <f>+'P&amp;L'!$R$4</f>
        <v>0.85</v>
      </c>
      <c r="D4" s="16">
        <f>+'P&amp;L'!$R$4</f>
        <v>0.85</v>
      </c>
      <c r="E4" s="16">
        <f>+'P&amp;L'!$R$4</f>
        <v>0.85</v>
      </c>
      <c r="F4" s="16">
        <f>+'P&amp;L'!$R$4</f>
        <v>0.85</v>
      </c>
      <c r="G4" s="16">
        <f>+'P&amp;L'!$R$4</f>
        <v>0.85</v>
      </c>
      <c r="H4" s="16"/>
      <c r="I4" s="8"/>
      <c r="J4" s="9" t="s">
        <v>231</v>
      </c>
      <c r="K4" s="10"/>
      <c r="N4" s="166"/>
      <c r="O4" s="168"/>
      <c r="P4" s="168"/>
      <c r="Q4" s="168"/>
      <c r="R4" s="168"/>
      <c r="S4" s="168"/>
      <c r="T4" s="168"/>
      <c r="U4" s="168"/>
    </row>
    <row r="5" spans="1:23" ht="15.75" thickBot="1" x14ac:dyDescent="0.3">
      <c r="A5" s="17" t="s">
        <v>232</v>
      </c>
      <c r="B5" s="18">
        <f t="shared" ref="B5:G5" si="1">ROUNDUP(B3*B4,0)</f>
        <v>0</v>
      </c>
      <c r="C5" s="18">
        <f t="shared" si="1"/>
        <v>29</v>
      </c>
      <c r="D5" s="18">
        <f t="shared" si="1"/>
        <v>41</v>
      </c>
      <c r="E5" s="18">
        <f t="shared" si="1"/>
        <v>169</v>
      </c>
      <c r="F5" s="18">
        <f t="shared" si="1"/>
        <v>0</v>
      </c>
      <c r="G5" s="18">
        <f t="shared" si="1"/>
        <v>6</v>
      </c>
      <c r="H5" s="18">
        <f>SUM(B5:G5)</f>
        <v>245</v>
      </c>
      <c r="I5" s="15"/>
      <c r="J5" s="19" t="s">
        <v>233</v>
      </c>
      <c r="K5" s="13"/>
      <c r="N5" s="166"/>
      <c r="O5" s="15"/>
      <c r="P5" s="15"/>
      <c r="Q5" s="15"/>
      <c r="R5" s="15"/>
      <c r="S5" s="15"/>
      <c r="T5" s="15"/>
      <c r="U5" s="15"/>
    </row>
    <row r="8" spans="1:23" ht="4.1500000000000004" customHeight="1" x14ac:dyDescent="0.25"/>
    <row r="9" spans="1:23" ht="13.9" hidden="1" customHeight="1" thickBot="1" x14ac:dyDescent="0.3">
      <c r="A9" s="6" t="s">
        <v>170</v>
      </c>
      <c r="B9" s="6">
        <v>787</v>
      </c>
      <c r="C9" s="7"/>
      <c r="D9" s="7"/>
      <c r="E9" s="7"/>
      <c r="F9" s="7"/>
      <c r="G9" s="7"/>
      <c r="H9" s="8"/>
      <c r="I9" s="8"/>
      <c r="J9" s="9" t="s">
        <v>226</v>
      </c>
      <c r="K9" s="10">
        <v>52</v>
      </c>
      <c r="N9" s="163"/>
      <c r="O9" s="163"/>
      <c r="P9" s="8"/>
      <c r="Q9" s="8"/>
      <c r="R9" s="8"/>
      <c r="S9" s="8"/>
      <c r="T9" s="8"/>
      <c r="U9" s="8"/>
    </row>
    <row r="10" spans="1:23" ht="13.9" hidden="1" customHeight="1" thickBot="1" x14ac:dyDescent="0.3">
      <c r="A10" s="11" t="s">
        <v>227</v>
      </c>
      <c r="B10" s="12" t="s">
        <v>31</v>
      </c>
      <c r="C10" s="12" t="s">
        <v>32</v>
      </c>
      <c r="D10" s="12" t="s">
        <v>173</v>
      </c>
      <c r="E10" s="12" t="s">
        <v>34</v>
      </c>
      <c r="F10" s="12" t="s">
        <v>35</v>
      </c>
      <c r="G10" s="12" t="s">
        <v>36</v>
      </c>
      <c r="H10" s="12" t="s">
        <v>128</v>
      </c>
      <c r="I10" s="8"/>
      <c r="J10" s="9" t="s">
        <v>228</v>
      </c>
      <c r="K10" s="13">
        <v>5</v>
      </c>
      <c r="N10" s="164"/>
      <c r="O10" s="165"/>
      <c r="P10" s="165"/>
      <c r="Q10" s="165"/>
      <c r="R10" s="165"/>
      <c r="S10" s="165"/>
      <c r="T10" s="165"/>
      <c r="U10" s="165"/>
    </row>
    <row r="11" spans="1:23" ht="13.9" hidden="1" customHeight="1" thickBot="1" x14ac:dyDescent="0.3">
      <c r="A11" s="14" t="s">
        <v>130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3">
        <v>10</v>
      </c>
      <c r="H11" s="10">
        <f>SUM(B11:G11)</f>
        <v>370</v>
      </c>
      <c r="I11" s="15"/>
      <c r="J11" s="9" t="s">
        <v>229</v>
      </c>
      <c r="K11" s="13">
        <f>K9*K10</f>
        <v>260</v>
      </c>
      <c r="N11" s="166"/>
      <c r="O11" s="8"/>
      <c r="P11" s="8"/>
      <c r="Q11" s="8"/>
      <c r="R11" s="8"/>
      <c r="S11" s="8"/>
      <c r="T11" s="167"/>
      <c r="U11" s="8"/>
    </row>
    <row r="12" spans="1:23" ht="13.9" hidden="1" customHeight="1" thickBot="1" x14ac:dyDescent="0.3">
      <c r="A12" s="14" t="s">
        <v>230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231</v>
      </c>
      <c r="K12" s="10">
        <v>1</v>
      </c>
      <c r="N12" s="166"/>
      <c r="O12" s="168"/>
      <c r="P12" s="168"/>
      <c r="Q12" s="168"/>
      <c r="R12" s="168"/>
      <c r="S12" s="168"/>
      <c r="T12" s="168"/>
      <c r="U12" s="168"/>
    </row>
    <row r="13" spans="1:23" ht="13.9" hidden="1" customHeight="1" thickBot="1" x14ac:dyDescent="0.3">
      <c r="A13" s="17" t="s">
        <v>232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233</v>
      </c>
      <c r="K13" s="20">
        <f>K11/K12</f>
        <v>260</v>
      </c>
      <c r="N13" s="166"/>
      <c r="O13" s="15"/>
      <c r="P13" s="15"/>
      <c r="Q13" s="15"/>
      <c r="R13" s="15"/>
      <c r="S13" s="15"/>
      <c r="T13" s="15"/>
      <c r="U13" s="15"/>
    </row>
    <row r="14" spans="1:23" ht="13.9" customHeight="1" thickBot="1" x14ac:dyDescent="0.3">
      <c r="A14" s="281">
        <v>0</v>
      </c>
    </row>
    <row r="15" spans="1:23" ht="15.75" thickBot="1" x14ac:dyDescent="0.3">
      <c r="A15" s="6" t="s">
        <v>170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226</v>
      </c>
      <c r="K15" s="10">
        <v>52</v>
      </c>
    </row>
    <row r="16" spans="1:23" ht="15.75" thickBot="1" x14ac:dyDescent="0.3">
      <c r="A16" s="11" t="s">
        <v>227</v>
      </c>
      <c r="B16" s="12" t="s">
        <v>31</v>
      </c>
      <c r="C16" s="12" t="s">
        <v>32</v>
      </c>
      <c r="D16" s="12" t="s">
        <v>173</v>
      </c>
      <c r="E16" s="12" t="s">
        <v>34</v>
      </c>
      <c r="F16" s="12" t="s">
        <v>35</v>
      </c>
      <c r="G16" s="12" t="s">
        <v>36</v>
      </c>
      <c r="H16" s="12" t="s">
        <v>128</v>
      </c>
      <c r="I16" s="8"/>
      <c r="J16" s="9" t="s">
        <v>228</v>
      </c>
      <c r="K16" s="13">
        <v>7</v>
      </c>
    </row>
    <row r="17" spans="1:11" ht="15.75" thickBot="1" x14ac:dyDescent="0.3">
      <c r="A17" s="14" t="s">
        <v>130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38">
        <f t="shared" si="3"/>
        <v>6</v>
      </c>
      <c r="H17" s="10">
        <f>SUM(B17:G17)</f>
        <v>286</v>
      </c>
      <c r="I17" s="15"/>
      <c r="J17" s="9" t="s">
        <v>229</v>
      </c>
      <c r="K17" s="13">
        <f>K15*K16</f>
        <v>364</v>
      </c>
    </row>
    <row r="18" spans="1:11" ht="15.75" thickBot="1" x14ac:dyDescent="0.3">
      <c r="A18" s="14" t="s">
        <v>230</v>
      </c>
      <c r="B18" s="16">
        <f>+'P&amp;L'!$R$4</f>
        <v>0.85</v>
      </c>
      <c r="C18" s="16">
        <f>+'P&amp;L'!$R$4</f>
        <v>0.85</v>
      </c>
      <c r="D18" s="16">
        <f>+'P&amp;L'!$R$4</f>
        <v>0.85</v>
      </c>
      <c r="E18" s="16">
        <f>+'P&amp;L'!$R$4</f>
        <v>0.85</v>
      </c>
      <c r="F18" s="16">
        <f>+'P&amp;L'!$R$4</f>
        <v>0.85</v>
      </c>
      <c r="G18" s="16">
        <f>+'P&amp;L'!$R$4</f>
        <v>0.85</v>
      </c>
      <c r="H18" s="16"/>
      <c r="I18" s="8"/>
      <c r="J18" s="9" t="s">
        <v>231</v>
      </c>
      <c r="K18" s="10">
        <v>1</v>
      </c>
    </row>
    <row r="19" spans="1:11" ht="15.75" thickBot="1" x14ac:dyDescent="0.3">
      <c r="A19" s="17" t="s">
        <v>232</v>
      </c>
      <c r="B19" s="18">
        <f t="shared" ref="B19:G19" si="4">ROUNDUP(B17*B18,0)</f>
        <v>0</v>
      </c>
      <c r="C19" s="18">
        <f t="shared" si="4"/>
        <v>29</v>
      </c>
      <c r="D19" s="18">
        <f t="shared" si="4"/>
        <v>41</v>
      </c>
      <c r="E19" s="18">
        <f t="shared" si="4"/>
        <v>169</v>
      </c>
      <c r="F19" s="18">
        <f t="shared" si="4"/>
        <v>0</v>
      </c>
      <c r="G19" s="18">
        <f t="shared" si="4"/>
        <v>6</v>
      </c>
      <c r="H19" s="18">
        <f>SUM(B19:G19)</f>
        <v>245</v>
      </c>
      <c r="I19" s="15"/>
      <c r="J19" s="19" t="s">
        <v>233</v>
      </c>
      <c r="K19" s="20">
        <v>365</v>
      </c>
    </row>
    <row r="20" spans="1:11" ht="15.75" thickBot="1" x14ac:dyDescent="0.3"/>
    <row r="21" spans="1:11" ht="15.75" thickBot="1" x14ac:dyDescent="0.3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226</v>
      </c>
      <c r="K21" s="10">
        <v>52</v>
      </c>
    </row>
    <row r="22" spans="1:11" ht="15.75" thickBot="1" x14ac:dyDescent="0.3">
      <c r="A22" s="11" t="s">
        <v>227</v>
      </c>
      <c r="B22" s="12" t="s">
        <v>31</v>
      </c>
      <c r="C22" s="12" t="s">
        <v>32</v>
      </c>
      <c r="D22" s="12" t="s">
        <v>173</v>
      </c>
      <c r="E22" s="12" t="s">
        <v>34</v>
      </c>
      <c r="F22" s="12" t="s">
        <v>35</v>
      </c>
      <c r="G22" s="12" t="s">
        <v>36</v>
      </c>
      <c r="H22" s="12" t="s">
        <v>128</v>
      </c>
      <c r="I22" s="8"/>
      <c r="J22" s="9" t="s">
        <v>228</v>
      </c>
      <c r="K22" s="13">
        <v>7</v>
      </c>
    </row>
    <row r="23" spans="1:11" ht="15.75" thickBot="1" x14ac:dyDescent="0.3">
      <c r="A23" s="14" t="s">
        <v>130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229</v>
      </c>
      <c r="K23" s="13">
        <f>K21*K22</f>
        <v>364</v>
      </c>
    </row>
    <row r="24" spans="1:11" ht="15.75" thickBot="1" x14ac:dyDescent="0.3">
      <c r="A24" s="14" t="s">
        <v>230</v>
      </c>
      <c r="B24" s="16">
        <f>+'P&amp;L'!$R$4</f>
        <v>0.85</v>
      </c>
      <c r="C24" s="16">
        <f>+'P&amp;L'!$R$4</f>
        <v>0.85</v>
      </c>
      <c r="D24" s="16">
        <f>+'P&amp;L'!$R$4</f>
        <v>0.85</v>
      </c>
      <c r="E24" s="16">
        <f>+'P&amp;L'!$R$4</f>
        <v>0.85</v>
      </c>
      <c r="F24" s="16">
        <f>+'P&amp;L'!$R$4</f>
        <v>0.85</v>
      </c>
      <c r="G24" s="16">
        <f>+'P&amp;L'!$R$4</f>
        <v>0.85</v>
      </c>
      <c r="H24" s="16"/>
      <c r="I24" s="8"/>
      <c r="J24" s="9" t="s">
        <v>231</v>
      </c>
      <c r="K24" s="10">
        <v>1</v>
      </c>
    </row>
    <row r="25" spans="1:11" ht="15.75" thickBot="1" x14ac:dyDescent="0.3">
      <c r="A25" s="17" t="s">
        <v>232</v>
      </c>
      <c r="B25" s="18">
        <f t="shared" ref="B25:G25" si="6">ROUNDUP(B23*B24,0)</f>
        <v>0</v>
      </c>
      <c r="C25" s="18">
        <f t="shared" si="6"/>
        <v>26</v>
      </c>
      <c r="D25" s="18">
        <f t="shared" si="6"/>
        <v>38</v>
      </c>
      <c r="E25" s="18">
        <f t="shared" si="6"/>
        <v>157</v>
      </c>
      <c r="F25" s="18">
        <f t="shared" si="6"/>
        <v>0</v>
      </c>
      <c r="G25" s="18">
        <f t="shared" si="6"/>
        <v>6</v>
      </c>
      <c r="H25" s="18">
        <f>SUM(B25:G25)</f>
        <v>227</v>
      </c>
      <c r="I25" s="15"/>
      <c r="J25" s="19" t="s">
        <v>233</v>
      </c>
      <c r="K25" s="20">
        <v>365</v>
      </c>
    </row>
    <row r="28" spans="1:11" ht="45" x14ac:dyDescent="0.25">
      <c r="A28" s="339" t="s">
        <v>391</v>
      </c>
      <c r="B28" s="120" t="s">
        <v>132</v>
      </c>
      <c r="C28" s="120" t="s">
        <v>133</v>
      </c>
      <c r="D28" s="120" t="s">
        <v>134</v>
      </c>
      <c r="E28" s="120" t="s">
        <v>135</v>
      </c>
      <c r="F28" s="120" t="s">
        <v>136</v>
      </c>
      <c r="G28" s="120" t="s">
        <v>234</v>
      </c>
    </row>
    <row r="29" spans="1:11" x14ac:dyDescent="0.25">
      <c r="B29" s="250">
        <v>0</v>
      </c>
      <c r="C29" s="250">
        <v>34</v>
      </c>
      <c r="D29" s="250">
        <v>48</v>
      </c>
      <c r="E29" s="250">
        <v>198</v>
      </c>
      <c r="F29" s="250"/>
      <c r="G29" s="250">
        <v>6</v>
      </c>
    </row>
    <row r="34" spans="1:7" ht="45" x14ac:dyDescent="0.25">
      <c r="A34" s="339" t="s">
        <v>392</v>
      </c>
      <c r="B34" s="120" t="s">
        <v>132</v>
      </c>
      <c r="C34" s="120" t="s">
        <v>133</v>
      </c>
      <c r="D34" s="120" t="s">
        <v>134</v>
      </c>
      <c r="E34" s="120" t="s">
        <v>135</v>
      </c>
      <c r="F34" s="120" t="s">
        <v>136</v>
      </c>
      <c r="G34" s="120" t="s">
        <v>234</v>
      </c>
    </row>
    <row r="35" spans="1:7" x14ac:dyDescent="0.25">
      <c r="B35" s="250">
        <v>0</v>
      </c>
      <c r="C35" s="250">
        <v>30</v>
      </c>
      <c r="D35" s="250">
        <v>44</v>
      </c>
      <c r="E35" s="250">
        <v>184</v>
      </c>
      <c r="F35" s="250"/>
      <c r="G35" s="250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K346"/>
  <sheetViews>
    <sheetView tabSelected="1" topLeftCell="A156" zoomScale="115" zoomScaleNormal="115" workbookViewId="0">
      <selection activeCell="T171" sqref="T171"/>
    </sheetView>
  </sheetViews>
  <sheetFormatPr defaultRowHeight="15" x14ac:dyDescent="0.25"/>
  <cols>
    <col min="1" max="1" width="18" customWidth="1"/>
    <col min="2" max="2" width="5.7109375" bestFit="1" customWidth="1"/>
    <col min="3" max="3" width="23.42578125" customWidth="1"/>
    <col min="4" max="4" width="8.7109375" customWidth="1"/>
    <col min="5" max="5" width="10.7109375" style="304" bestFit="1" customWidth="1"/>
    <col min="6" max="6" width="11.28515625" style="35" bestFit="1" customWidth="1"/>
    <col min="7" max="7" width="46.28515625" customWidth="1"/>
    <col min="8" max="8" width="8" style="287" customWidth="1"/>
    <col min="9" max="9" width="9.5703125" bestFit="1" customWidth="1"/>
    <col min="10" max="10" width="8.42578125" style="291" customWidth="1"/>
    <col min="11" max="11" width="9.5703125" style="127" bestFit="1" customWidth="1"/>
    <col min="12" max="12" width="6.28515625" style="188" customWidth="1"/>
    <col min="13" max="13" width="8.42578125" style="127" bestFit="1" customWidth="1"/>
    <col min="14" max="14" width="8.42578125" bestFit="1" customWidth="1"/>
    <col min="15" max="15" width="8.28515625" bestFit="1" customWidth="1"/>
    <col min="16" max="16" width="10.28515625" customWidth="1"/>
    <col min="17" max="20" width="8.5703125" customWidth="1"/>
    <col min="21" max="21" width="9.28515625" bestFit="1" customWidth="1"/>
    <col min="24" max="24" width="11" bestFit="1" customWidth="1"/>
    <col min="25" max="25" width="11" customWidth="1"/>
    <col min="26" max="26" width="8.42578125" bestFit="1" customWidth="1"/>
    <col min="27" max="27" width="7.7109375" bestFit="1" customWidth="1"/>
    <col min="28" max="29" width="7.7109375" customWidth="1"/>
    <col min="30" max="30" width="12.5703125" bestFit="1" customWidth="1"/>
    <col min="32" max="32" width="13.42578125" bestFit="1" customWidth="1"/>
    <col min="33" max="36" width="11.7109375" bestFit="1" customWidth="1"/>
    <col min="37" max="37" width="13.42578125" bestFit="1" customWidth="1"/>
  </cols>
  <sheetData>
    <row r="1" spans="1:37" ht="15.75" thickBot="1" x14ac:dyDescent="0.3">
      <c r="A1" s="28"/>
      <c r="B1" s="29"/>
      <c r="C1" s="29"/>
      <c r="D1" s="29"/>
      <c r="E1" s="301"/>
      <c r="F1" s="307"/>
      <c r="G1" s="29"/>
      <c r="H1" s="282"/>
      <c r="I1" s="29"/>
      <c r="J1" s="288"/>
      <c r="K1" s="245"/>
      <c r="L1" s="245"/>
      <c r="M1" s="124"/>
      <c r="N1" s="29"/>
      <c r="O1" s="29"/>
      <c r="P1" s="319"/>
      <c r="Q1" s="320"/>
      <c r="R1" s="320"/>
      <c r="S1" s="320"/>
      <c r="T1" s="320"/>
      <c r="U1" s="181"/>
      <c r="X1" s="467" t="s">
        <v>138</v>
      </c>
      <c r="Y1" s="468"/>
      <c r="Z1" s="468"/>
      <c r="AA1" s="468"/>
      <c r="AB1" s="468"/>
      <c r="AC1" s="468"/>
      <c r="AD1" s="469"/>
      <c r="AG1" s="470" t="s">
        <v>235</v>
      </c>
      <c r="AH1" s="471"/>
      <c r="AI1" s="471"/>
      <c r="AJ1" s="471"/>
      <c r="AK1" s="472"/>
    </row>
    <row r="2" spans="1:37" ht="15.75" thickBot="1" x14ac:dyDescent="0.3">
      <c r="A2" s="30"/>
      <c r="B2" s="31"/>
      <c r="C2" s="31"/>
      <c r="D2" s="31"/>
      <c r="E2" s="302"/>
      <c r="F2" s="308"/>
      <c r="G2" s="31"/>
      <c r="H2" s="283"/>
      <c r="I2" s="31"/>
      <c r="J2" s="289"/>
      <c r="K2" s="125"/>
      <c r="L2" s="242"/>
      <c r="M2" s="128">
        <v>0.4</v>
      </c>
      <c r="N2" s="129"/>
      <c r="O2" s="178">
        <f>'P&amp;L'!R8</f>
        <v>0.15</v>
      </c>
      <c r="P2" s="180">
        <f>'P&amp;L'!R9</f>
        <v>0.15</v>
      </c>
      <c r="Q2" s="179"/>
      <c r="R2" s="179"/>
      <c r="S2" s="179"/>
      <c r="T2" s="179"/>
      <c r="U2" s="32"/>
      <c r="X2" s="21"/>
      <c r="Y2" s="22"/>
      <c r="Z2" s="22"/>
      <c r="AA2" s="22"/>
      <c r="AB2" s="22"/>
      <c r="AC2" s="22"/>
      <c r="AD2" s="23"/>
      <c r="AG2" s="24"/>
      <c r="AH2" s="25"/>
      <c r="AI2" s="25"/>
      <c r="AJ2" s="25"/>
      <c r="AK2" s="26"/>
    </row>
    <row r="3" spans="1:37" ht="60" x14ac:dyDescent="0.25">
      <c r="A3" s="27" t="s">
        <v>236</v>
      </c>
      <c r="B3" s="27" t="s">
        <v>159</v>
      </c>
      <c r="C3" s="27"/>
      <c r="D3" s="27" t="s">
        <v>237</v>
      </c>
      <c r="E3" s="303" t="s">
        <v>238</v>
      </c>
      <c r="F3" s="309"/>
      <c r="G3" s="27" t="s">
        <v>4</v>
      </c>
      <c r="H3" s="284" t="s">
        <v>239</v>
      </c>
      <c r="I3" s="2" t="s">
        <v>240</v>
      </c>
      <c r="J3" s="290" t="s">
        <v>241</v>
      </c>
      <c r="K3" s="126" t="s">
        <v>242</v>
      </c>
      <c r="L3" s="27" t="s">
        <v>243</v>
      </c>
      <c r="M3" s="126" t="s">
        <v>244</v>
      </c>
      <c r="N3" s="3" t="s">
        <v>206</v>
      </c>
      <c r="O3" s="3" t="s">
        <v>81</v>
      </c>
      <c r="P3" s="3" t="s">
        <v>245</v>
      </c>
      <c r="Q3" s="3" t="s">
        <v>246</v>
      </c>
      <c r="R3" s="3" t="s">
        <v>475</v>
      </c>
      <c r="S3" s="3" t="s">
        <v>476</v>
      </c>
      <c r="T3" s="3" t="s">
        <v>196</v>
      </c>
      <c r="U3" s="182"/>
      <c r="W3" s="1" t="s">
        <v>247</v>
      </c>
      <c r="X3" s="1" t="s">
        <v>248</v>
      </c>
      <c r="Y3" s="3" t="s">
        <v>249</v>
      </c>
      <c r="Z3" s="3" t="s">
        <v>250</v>
      </c>
      <c r="AA3" s="3" t="s">
        <v>251</v>
      </c>
      <c r="AB3" s="3" t="s">
        <v>252</v>
      </c>
      <c r="AC3" s="3" t="s">
        <v>253</v>
      </c>
      <c r="AD3" s="1" t="s">
        <v>254</v>
      </c>
      <c r="AF3" s="3" t="s">
        <v>255</v>
      </c>
      <c r="AG3" s="3" t="s">
        <v>256</v>
      </c>
      <c r="AH3" s="3" t="s">
        <v>257</v>
      </c>
      <c r="AI3" s="3" t="s">
        <v>258</v>
      </c>
      <c r="AJ3" s="4" t="s">
        <v>259</v>
      </c>
      <c r="AK3" s="5" t="s">
        <v>260</v>
      </c>
    </row>
    <row r="4" spans="1:37" x14ac:dyDescent="0.25">
      <c r="A4" s="122"/>
      <c r="B4" s="123"/>
      <c r="C4" s="123"/>
      <c r="D4" s="122"/>
      <c r="F4" s="310"/>
      <c r="G4" s="122"/>
      <c r="H4" s="285"/>
      <c r="I4" s="122"/>
    </row>
    <row r="5" spans="1:37" x14ac:dyDescent="0.25">
      <c r="A5" t="s">
        <v>133</v>
      </c>
      <c r="B5" s="171">
        <v>1</v>
      </c>
      <c r="C5" s="176" t="str">
        <f>CONCATENATE(A5&amp;B5&amp;F5)</f>
        <v>BUSINESS CLASS1</v>
      </c>
      <c r="D5" s="172"/>
      <c r="E5" s="305">
        <v>1001</v>
      </c>
      <c r="F5" s="311"/>
      <c r="G5" t="str">
        <f>VLOOKUP(E5,'FG MASTER'!$A$10:$AB$218,2,0)</f>
        <v xml:space="preserve">BC C1 DINNER GEORGIA PEACH CHILI WHIPPED BUTTER </v>
      </c>
      <c r="H5" s="286">
        <v>1</v>
      </c>
      <c r="I5" s="173">
        <v>1</v>
      </c>
      <c r="J5" s="292">
        <f>IFERROR(IF(I5="std",H5,HLOOKUP(A5,'FlightConfig '!$B$28:$G$29,2,0)*I5),"")</f>
        <v>34</v>
      </c>
      <c r="K5" s="245">
        <f>VLOOKUP(Food!E5,'FG MASTER'!$A$1:$AC$536,16,0)</f>
        <v>0.47</v>
      </c>
      <c r="L5" s="246">
        <f>VLOOKUP(Food!E5,'FG MASTER'!$A$10:$AC$536,17,0)</f>
        <v>0.5</v>
      </c>
      <c r="M5" s="132">
        <f t="shared" ref="M5:M27" si="0">IFERROR(L5*$M$2,"")</f>
        <v>0.2</v>
      </c>
      <c r="N5" s="132">
        <f t="shared" ref="N5:N27" si="1">IFERROR((K5)+M5,"")</f>
        <v>0.66999999999999993</v>
      </c>
      <c r="O5" s="132">
        <f>IFERROR($K5*(1+$O$2)-$K5,0)</f>
        <v>7.0500000000000007E-2</v>
      </c>
      <c r="P5" s="132">
        <f>IFERROR($M5*(1+$P$2)-$M5,0)</f>
        <v>2.9999999999999971E-2</v>
      </c>
      <c r="Q5" s="132">
        <f>SUM(N5:P5)</f>
        <v>0.77049999999999996</v>
      </c>
      <c r="R5" s="405">
        <f>K5*(1+$O$2)</f>
        <v>0.54049999999999998</v>
      </c>
      <c r="S5" s="405">
        <f>M5*(1+$P$2)</f>
        <v>0.22999999999999998</v>
      </c>
      <c r="T5" s="405">
        <f>R5+S5</f>
        <v>0.77049999999999996</v>
      </c>
      <c r="U5" s="127"/>
      <c r="V5" s="127"/>
      <c r="W5" t="str">
        <f>IFERROR(#REF!*J5,"")</f>
        <v/>
      </c>
      <c r="X5">
        <f>IFERROR(K5*J5,"")</f>
        <v>15.979999999999999</v>
      </c>
      <c r="Y5">
        <f>IFERROR(+L5*J5,"")</f>
        <v>17</v>
      </c>
      <c r="Z5" s="127">
        <f>IFERROR(+M5*J5,"")</f>
        <v>6.8000000000000007</v>
      </c>
      <c r="AA5" s="127">
        <f>IFERROR(+N5*J5,"")</f>
        <v>22.779999999999998</v>
      </c>
      <c r="AB5" s="127">
        <f>IFERROR(O5*$J5,"")</f>
        <v>2.3970000000000002</v>
      </c>
      <c r="AC5" s="127">
        <f t="shared" ref="AC5" si="2">IFERROR(P5*$J5,"")</f>
        <v>1.0199999999999991</v>
      </c>
      <c r="AD5" s="127">
        <f t="shared" ref="AD5" si="3">IFERROR(+Q5*J5,"")</f>
        <v>26.196999999999999</v>
      </c>
      <c r="AF5" s="127" t="str">
        <f>IFERROR(W5*'FlightConfig '!$K$3,"")</f>
        <v/>
      </c>
      <c r="AG5" s="127">
        <f>IFERROR(X5*'FlightConfig '!$K$17,"")</f>
        <v>5816.7199999999993</v>
      </c>
      <c r="AH5" s="127">
        <f>IFERROR(Y5*'FlightConfig '!$K$17,"")</f>
        <v>6188</v>
      </c>
      <c r="AI5" s="127">
        <f>IFERROR(Z5*'FlightConfig '!$K$17,"")</f>
        <v>2475.2000000000003</v>
      </c>
      <c r="AJ5" s="127">
        <f>IFERROR(AA5*'FlightConfig '!$K$17,"")</f>
        <v>8291.9199999999983</v>
      </c>
      <c r="AK5" s="127">
        <f>IFERROR(AB5*'FlightConfig '!$K$17,"")</f>
        <v>872.50800000000004</v>
      </c>
    </row>
    <row r="6" spans="1:37" x14ac:dyDescent="0.25">
      <c r="A6" t="s">
        <v>133</v>
      </c>
      <c r="B6" s="171">
        <v>1</v>
      </c>
      <c r="C6" s="176" t="str">
        <f t="shared" ref="C6:C24" si="4">CONCATENATE(A6&amp;B6&amp;F6)</f>
        <v>BUSINESS CLASS1</v>
      </c>
      <c r="D6" s="172"/>
      <c r="E6" s="305">
        <v>1002</v>
      </c>
      <c r="F6" s="311"/>
      <c r="G6" t="str">
        <f>VLOOKUP(E6,'FG MASTER'!$A$10:$AB$218,2,0)</f>
        <v xml:space="preserve">BC C1 DINNER SWEETWATER BEET AND CHEESE ROLL </v>
      </c>
      <c r="H6" s="286">
        <v>1</v>
      </c>
      <c r="I6" s="173">
        <v>0.5</v>
      </c>
      <c r="J6" s="292">
        <f>IFERROR(IF(I6="std",H6,HLOOKUP(A6,'FlightConfig '!$B$28:$G$29,2,0)*I6),"")</f>
        <v>17</v>
      </c>
      <c r="K6" s="245">
        <f>VLOOKUP(Food!E6,'FG MASTER'!$A$1:$AC$536,16,0)</f>
        <v>0.3</v>
      </c>
      <c r="L6" s="246">
        <f>VLOOKUP(Food!E6,'FG MASTER'!$A$10:$AC$536,17,0)</f>
        <v>0.25</v>
      </c>
      <c r="M6" s="132">
        <f t="shared" si="0"/>
        <v>0.1</v>
      </c>
      <c r="N6" s="132">
        <f t="shared" si="1"/>
        <v>0.4</v>
      </c>
      <c r="O6" s="132">
        <f t="shared" ref="O6:O69" si="5">IFERROR($K6*(1+$O$2)-$K6,0)</f>
        <v>4.4999999999999984E-2</v>
      </c>
      <c r="P6" s="132">
        <f t="shared" ref="P6:P69" si="6">IFERROR($M6*(1+$P$2)-$M6,0)</f>
        <v>1.4999999999999986E-2</v>
      </c>
      <c r="Q6" s="132">
        <f t="shared" ref="Q6:Q13" si="7">SUM(N6:P6)</f>
        <v>0.45999999999999996</v>
      </c>
      <c r="R6" s="405">
        <f t="shared" ref="R6:R69" si="8">K6*(1+$O$2)</f>
        <v>0.34499999999999997</v>
      </c>
      <c r="S6" s="405">
        <f t="shared" ref="S6:S69" si="9">M6*(1+$P$2)</f>
        <v>0.11499999999999999</v>
      </c>
      <c r="T6" s="405">
        <f t="shared" ref="T6:T69" si="10">R6+S6</f>
        <v>0.45999999999999996</v>
      </c>
      <c r="U6" s="127"/>
      <c r="V6" s="127"/>
      <c r="W6" t="str">
        <f>IFERROR(#REF!*J6,"")</f>
        <v/>
      </c>
      <c r="X6">
        <f t="shared" ref="X6:X69" si="11">IFERROR(K6*J6,"")</f>
        <v>5.0999999999999996</v>
      </c>
      <c r="Y6">
        <f t="shared" ref="Y6:Y69" si="12">IFERROR(+L6*J6,"")</f>
        <v>4.25</v>
      </c>
      <c r="Z6" s="127">
        <f t="shared" ref="Z6:Z69" si="13">IFERROR(+M6*J6,"")</f>
        <v>1.7000000000000002</v>
      </c>
      <c r="AA6" s="127">
        <f t="shared" ref="AA6:AA69" si="14">IFERROR(+N6*J6,"")</f>
        <v>6.8000000000000007</v>
      </c>
      <c r="AB6" s="127">
        <f t="shared" ref="AB6:AB69" si="15">IFERROR(O6*$J6,"")</f>
        <v>0.76499999999999968</v>
      </c>
      <c r="AC6" s="127">
        <f t="shared" ref="AC6:AC69" si="16">IFERROR(P6*$J6,"")</f>
        <v>0.25499999999999978</v>
      </c>
      <c r="AD6" s="127">
        <f t="shared" ref="AD6:AD69" si="17">IFERROR(+Q6*J6,"")</f>
        <v>7.8199999999999994</v>
      </c>
      <c r="AF6" s="127" t="str">
        <f>IFERROR(W6*'FlightConfig '!$K$3,"")</f>
        <v/>
      </c>
      <c r="AG6" s="127">
        <f>IFERROR(X6*'FlightConfig '!$K$17,"")</f>
        <v>1856.3999999999999</v>
      </c>
      <c r="AH6" s="127">
        <f>IFERROR(Y6*'FlightConfig '!$K$17,"")</f>
        <v>1547</v>
      </c>
      <c r="AI6" s="127">
        <f>IFERROR(Z6*'FlightConfig '!$K$17,"")</f>
        <v>618.80000000000007</v>
      </c>
      <c r="AJ6" s="127">
        <f>IFERROR(AA6*'FlightConfig '!$K$17,"")</f>
        <v>2475.2000000000003</v>
      </c>
      <c r="AK6" s="127">
        <f>IFERROR(AB6*'FlightConfig '!$K$17,"")</f>
        <v>278.45999999999987</v>
      </c>
    </row>
    <row r="7" spans="1:37" x14ac:dyDescent="0.25">
      <c r="A7" t="s">
        <v>133</v>
      </c>
      <c r="B7" s="171">
        <v>1</v>
      </c>
      <c r="C7" s="176" t="str">
        <f t="shared" si="4"/>
        <v>BUSINESS CLASS1</v>
      </c>
      <c r="D7" s="172"/>
      <c r="E7" s="305">
        <v>1003</v>
      </c>
      <c r="F7" s="311"/>
      <c r="G7" t="str">
        <f>VLOOKUP(E7,'FG MASTER'!$A$10:$AB$218,2,0)</f>
        <v xml:space="preserve">BC C1 DINNER HERB FOCACCIA ROLL </v>
      </c>
      <c r="H7" s="286">
        <v>1</v>
      </c>
      <c r="I7" s="173">
        <v>0.5</v>
      </c>
      <c r="J7" s="292">
        <f>IFERROR(IF(I7="std",H7,HLOOKUP(A7,'FlightConfig '!$B$28:$G$29,2,0)*I7),"")</f>
        <v>17</v>
      </c>
      <c r="K7" s="245">
        <f>VLOOKUP(Food!E7,'FG MASTER'!$A$1:$AC$536,16,0)</f>
        <v>0.14000000000000001</v>
      </c>
      <c r="L7" s="246">
        <f>VLOOKUP(Food!E7,'FG MASTER'!$A$10:$AC$536,17,0)</f>
        <v>0.25</v>
      </c>
      <c r="M7" s="132">
        <f t="shared" si="0"/>
        <v>0.1</v>
      </c>
      <c r="N7" s="132">
        <f t="shared" si="1"/>
        <v>0.24000000000000002</v>
      </c>
      <c r="O7" s="132">
        <f t="shared" si="5"/>
        <v>2.0999999999999991E-2</v>
      </c>
      <c r="P7" s="132">
        <f t="shared" si="6"/>
        <v>1.4999999999999986E-2</v>
      </c>
      <c r="Q7" s="132">
        <f t="shared" si="7"/>
        <v>0.27600000000000002</v>
      </c>
      <c r="R7" s="405">
        <f t="shared" si="8"/>
        <v>0.161</v>
      </c>
      <c r="S7" s="405">
        <f t="shared" si="9"/>
        <v>0.11499999999999999</v>
      </c>
      <c r="T7" s="405">
        <f t="shared" si="10"/>
        <v>0.27600000000000002</v>
      </c>
      <c r="U7" s="127"/>
      <c r="V7" s="127"/>
      <c r="W7" t="str">
        <f>IFERROR(#REF!*J7,"")</f>
        <v/>
      </c>
      <c r="X7">
        <f t="shared" si="11"/>
        <v>2.3800000000000003</v>
      </c>
      <c r="Y7">
        <f t="shared" si="12"/>
        <v>4.25</v>
      </c>
      <c r="Z7" s="127">
        <f t="shared" si="13"/>
        <v>1.7000000000000002</v>
      </c>
      <c r="AA7" s="127">
        <f t="shared" si="14"/>
        <v>4.08</v>
      </c>
      <c r="AB7" s="127">
        <f t="shared" si="15"/>
        <v>0.35699999999999987</v>
      </c>
      <c r="AC7" s="127">
        <f t="shared" si="16"/>
        <v>0.25499999999999978</v>
      </c>
      <c r="AD7" s="127">
        <f t="shared" si="17"/>
        <v>4.6920000000000002</v>
      </c>
      <c r="AF7" s="127" t="str">
        <f>IFERROR(W7*'FlightConfig '!$K$3,"")</f>
        <v/>
      </c>
      <c r="AG7" s="127">
        <f>IFERROR(X7*'FlightConfig '!$K$17,"")</f>
        <v>866.32000000000016</v>
      </c>
      <c r="AH7" s="127">
        <f>IFERROR(Y7*'FlightConfig '!$K$17,"")</f>
        <v>1547</v>
      </c>
      <c r="AI7" s="127">
        <f>IFERROR(Z7*'FlightConfig '!$K$17,"")</f>
        <v>618.80000000000007</v>
      </c>
      <c r="AJ7" s="127">
        <f>IFERROR(AA7*'FlightConfig '!$K$17,"")</f>
        <v>1485.1200000000001</v>
      </c>
      <c r="AK7" s="127">
        <f>IFERROR(AB7*'FlightConfig '!$K$17,"")</f>
        <v>129.94799999999995</v>
      </c>
    </row>
    <row r="8" spans="1:37" x14ac:dyDescent="0.25">
      <c r="A8" t="s">
        <v>133</v>
      </c>
      <c r="B8" s="171">
        <v>1</v>
      </c>
      <c r="C8" s="176" t="str">
        <f t="shared" si="4"/>
        <v>BUSINESS CLASS1</v>
      </c>
      <c r="D8" s="172"/>
      <c r="E8" s="305">
        <v>1004</v>
      </c>
      <c r="F8" s="311"/>
      <c r="G8" t="str">
        <f>VLOOKUP(E8,'FG MASTER'!$A$10:$AB$218,2,0)</f>
        <v xml:space="preserve">BC C1 DINNER HHAWAIIAN ROLL </v>
      </c>
      <c r="H8" s="286">
        <v>1</v>
      </c>
      <c r="I8" s="173">
        <v>0.5</v>
      </c>
      <c r="J8" s="292">
        <f>IFERROR(IF(I8="std",H8,HLOOKUP(A8,'FlightConfig '!$B$28:$G$29,2,0)*I8),"")</f>
        <v>17</v>
      </c>
      <c r="K8" s="245">
        <f>VLOOKUP(Food!E8,'FG MASTER'!$A$1:$AC$536,16,0)</f>
        <v>0.25</v>
      </c>
      <c r="L8" s="246">
        <f>VLOOKUP(Food!E8,'FG MASTER'!$A$10:$AC$536,17,0)</f>
        <v>0.25</v>
      </c>
      <c r="M8" s="132">
        <f t="shared" si="0"/>
        <v>0.1</v>
      </c>
      <c r="N8" s="132">
        <f t="shared" si="1"/>
        <v>0.35</v>
      </c>
      <c r="O8" s="132">
        <f t="shared" si="5"/>
        <v>3.7499999999999978E-2</v>
      </c>
      <c r="P8" s="132">
        <f t="shared" si="6"/>
        <v>1.4999999999999986E-2</v>
      </c>
      <c r="Q8" s="132">
        <f t="shared" si="7"/>
        <v>0.40249999999999997</v>
      </c>
      <c r="R8" s="405">
        <f t="shared" si="8"/>
        <v>0.28749999999999998</v>
      </c>
      <c r="S8" s="405">
        <f t="shared" si="9"/>
        <v>0.11499999999999999</v>
      </c>
      <c r="T8" s="405">
        <f t="shared" si="10"/>
        <v>0.40249999999999997</v>
      </c>
      <c r="U8" s="127"/>
      <c r="V8" s="127"/>
      <c r="W8" t="str">
        <f>IFERROR(#REF!*J8,"")</f>
        <v/>
      </c>
      <c r="X8">
        <f t="shared" si="11"/>
        <v>4.25</v>
      </c>
      <c r="Y8">
        <f t="shared" si="12"/>
        <v>4.25</v>
      </c>
      <c r="Z8" s="127">
        <f t="shared" si="13"/>
        <v>1.7000000000000002</v>
      </c>
      <c r="AA8" s="127">
        <f t="shared" si="14"/>
        <v>5.9499999999999993</v>
      </c>
      <c r="AB8" s="127">
        <f t="shared" si="15"/>
        <v>0.63749999999999962</v>
      </c>
      <c r="AC8" s="127">
        <f t="shared" si="16"/>
        <v>0.25499999999999978</v>
      </c>
      <c r="AD8" s="127">
        <f t="shared" si="17"/>
        <v>6.8424999999999994</v>
      </c>
      <c r="AF8" s="127" t="str">
        <f>IFERROR(W8*'FlightConfig '!$K$3,"")</f>
        <v/>
      </c>
      <c r="AG8" s="127">
        <f>IFERROR(X8*'FlightConfig '!$K$17,"")</f>
        <v>1547</v>
      </c>
      <c r="AH8" s="127">
        <f>IFERROR(Y8*'FlightConfig '!$K$17,"")</f>
        <v>1547</v>
      </c>
      <c r="AI8" s="127">
        <f>IFERROR(Z8*'FlightConfig '!$K$17,"")</f>
        <v>618.80000000000007</v>
      </c>
      <c r="AJ8" s="127">
        <f>IFERROR(AA8*'FlightConfig '!$K$17,"")</f>
        <v>2165.7999999999997</v>
      </c>
      <c r="AK8" s="127">
        <f>IFERROR(AB8*'FlightConfig '!$K$17,"")</f>
        <v>232.04999999999987</v>
      </c>
    </row>
    <row r="9" spans="1:37" ht="18" customHeight="1" x14ac:dyDescent="0.25">
      <c r="A9" t="s">
        <v>133</v>
      </c>
      <c r="B9" s="171">
        <v>1</v>
      </c>
      <c r="C9" s="176" t="str">
        <f t="shared" si="4"/>
        <v>BUSINESS CLASS1</v>
      </c>
      <c r="D9" s="172"/>
      <c r="E9" s="305">
        <v>1005</v>
      </c>
      <c r="F9" s="311"/>
      <c r="G9" t="str">
        <f>VLOOKUP(E9,'FG MASTER'!$A$10:$AB$218,2,0)</f>
        <v xml:space="preserve">BC C1 DINNER STARTER 1 NON VEG ROTATION 1 GRILLED PRAWN U10, MANGO CURRY AIOLI, LEMON HERB SLAW, MICRO CILANTRO, MANGO RELISH </v>
      </c>
      <c r="H9" s="286">
        <v>1</v>
      </c>
      <c r="I9" s="173">
        <v>0.55000000000000004</v>
      </c>
      <c r="J9" s="292">
        <f>IFERROR(IF(I9="std",H9,HLOOKUP(A9,'FlightConfig '!$B$28:$G$29,2,0)*I9),"")</f>
        <v>18.700000000000003</v>
      </c>
      <c r="K9" s="245">
        <f>VLOOKUP(Food!E9,'FG MASTER'!$A$1:$AC$536,16,0)</f>
        <v>2.87</v>
      </c>
      <c r="L9" s="246">
        <f>VLOOKUP(Food!E9,'FG MASTER'!$A$10:$AC$536,17,0)</f>
        <v>4.25</v>
      </c>
      <c r="M9" s="132">
        <f t="shared" si="0"/>
        <v>1.7000000000000002</v>
      </c>
      <c r="N9" s="132">
        <f t="shared" si="1"/>
        <v>4.57</v>
      </c>
      <c r="O9" s="132">
        <f t="shared" si="5"/>
        <v>0.43049999999999988</v>
      </c>
      <c r="P9" s="132">
        <f t="shared" si="6"/>
        <v>0.25499999999999989</v>
      </c>
      <c r="Q9" s="132">
        <f t="shared" si="7"/>
        <v>5.2555000000000005</v>
      </c>
      <c r="R9" s="405">
        <f t="shared" si="8"/>
        <v>3.3005</v>
      </c>
      <c r="S9" s="405">
        <f t="shared" si="9"/>
        <v>1.9550000000000001</v>
      </c>
      <c r="T9" s="405">
        <f t="shared" si="10"/>
        <v>5.2554999999999996</v>
      </c>
      <c r="U9" s="127"/>
      <c r="V9" s="127"/>
      <c r="W9" t="str">
        <f>IFERROR(#REF!*J9,"")</f>
        <v/>
      </c>
      <c r="X9">
        <f t="shared" si="11"/>
        <v>53.669000000000011</v>
      </c>
      <c r="Y9">
        <f t="shared" si="12"/>
        <v>79.475000000000009</v>
      </c>
      <c r="Z9" s="127">
        <f t="shared" si="13"/>
        <v>31.79000000000001</v>
      </c>
      <c r="AA9" s="127">
        <f t="shared" si="14"/>
        <v>85.459000000000017</v>
      </c>
      <c r="AB9" s="127">
        <f t="shared" si="15"/>
        <v>8.0503499999999999</v>
      </c>
      <c r="AC9" s="127">
        <f t="shared" si="16"/>
        <v>4.7684999999999986</v>
      </c>
      <c r="AD9" s="127">
        <f t="shared" si="17"/>
        <v>98.277850000000029</v>
      </c>
      <c r="AF9" s="127" t="str">
        <f>IFERROR(W9*'FlightConfig '!$K$3,"")</f>
        <v/>
      </c>
      <c r="AG9" s="127">
        <f>IFERROR(X9*'FlightConfig '!$K$17,"")</f>
        <v>19535.516000000003</v>
      </c>
      <c r="AH9" s="127">
        <f>IFERROR(Y9*'FlightConfig '!$K$17,"")</f>
        <v>28928.9</v>
      </c>
      <c r="AI9" s="127">
        <f>IFERROR(Z9*'FlightConfig '!$K$17,"")</f>
        <v>11571.560000000003</v>
      </c>
      <c r="AJ9" s="127">
        <f>IFERROR(AA9*'FlightConfig '!$K$17,"")</f>
        <v>31107.076000000005</v>
      </c>
      <c r="AK9" s="127">
        <f>IFERROR(AB9*'FlightConfig '!$K$17,"")</f>
        <v>2930.3274000000001</v>
      </c>
    </row>
    <row r="10" spans="1:37" ht="18" customHeight="1" x14ac:dyDescent="0.25">
      <c r="A10" t="s">
        <v>133</v>
      </c>
      <c r="B10" s="171">
        <v>1</v>
      </c>
      <c r="C10" s="176" t="str">
        <f t="shared" si="4"/>
        <v>BUSINESS CLASS1</v>
      </c>
      <c r="D10" s="172"/>
      <c r="E10" s="305">
        <v>1006</v>
      </c>
      <c r="F10" s="311"/>
      <c r="G10" t="str">
        <f>VLOOKUP(E10,'FG MASTER'!$A$10:$AB$218,2,0)</f>
        <v>BC C1 DINNER STARTER 2 VEG ROTATION 1 BURRATA CHEESE, MARINATED TOMATO, BASIL OIL, MICRO BASIL. BALSAMIC REDUCTION</v>
      </c>
      <c r="H10" s="286">
        <v>1</v>
      </c>
      <c r="I10" s="173">
        <v>0.55000000000000004</v>
      </c>
      <c r="J10" s="292">
        <f>IFERROR(IF(I10="std",H10,HLOOKUP(A10,'FlightConfig '!$B$28:$G$29,2,0)*I10),"")</f>
        <v>18.700000000000003</v>
      </c>
      <c r="K10" s="245">
        <f>VLOOKUP(Food!E10,'FG MASTER'!$A$1:$AC$536,16,0)</f>
        <v>5.0599999999999996</v>
      </c>
      <c r="L10" s="246">
        <f>VLOOKUP(Food!E10,'FG MASTER'!$A$10:$AC$536,17,0)</f>
        <v>2.7</v>
      </c>
      <c r="M10" s="132">
        <f t="shared" si="0"/>
        <v>1.08</v>
      </c>
      <c r="N10" s="132">
        <f t="shared" si="1"/>
        <v>6.14</v>
      </c>
      <c r="O10" s="132">
        <f t="shared" si="5"/>
        <v>0.75899999999999945</v>
      </c>
      <c r="P10" s="132">
        <f t="shared" si="6"/>
        <v>0.16199999999999992</v>
      </c>
      <c r="Q10" s="132">
        <f t="shared" si="7"/>
        <v>7.0609999999999991</v>
      </c>
      <c r="R10" s="405">
        <f t="shared" si="8"/>
        <v>5.8189999999999991</v>
      </c>
      <c r="S10" s="405">
        <f t="shared" si="9"/>
        <v>1.242</v>
      </c>
      <c r="T10" s="405">
        <f t="shared" si="10"/>
        <v>7.0609999999999991</v>
      </c>
      <c r="U10" s="127"/>
      <c r="V10" s="127"/>
      <c r="W10" t="str">
        <f>IFERROR(#REF!*J10,"")</f>
        <v/>
      </c>
      <c r="X10">
        <f t="shared" si="11"/>
        <v>94.622000000000014</v>
      </c>
      <c r="Y10">
        <f t="shared" si="12"/>
        <v>50.490000000000009</v>
      </c>
      <c r="Z10" s="127">
        <f t="shared" si="13"/>
        <v>20.196000000000005</v>
      </c>
      <c r="AA10" s="127">
        <f t="shared" si="14"/>
        <v>114.81800000000001</v>
      </c>
      <c r="AB10" s="127">
        <f t="shared" si="15"/>
        <v>14.193299999999992</v>
      </c>
      <c r="AC10" s="127">
        <f t="shared" si="16"/>
        <v>3.029399999999999</v>
      </c>
      <c r="AD10" s="127">
        <f t="shared" si="17"/>
        <v>132.04070000000002</v>
      </c>
      <c r="AF10" s="127" t="str">
        <f>IFERROR(W10*'FlightConfig '!$K$3,"")</f>
        <v/>
      </c>
      <c r="AG10" s="127">
        <f>IFERROR(X10*'FlightConfig '!$K$17,"")</f>
        <v>34442.408000000003</v>
      </c>
      <c r="AH10" s="127">
        <f>IFERROR(Y10*'FlightConfig '!$K$17,"")</f>
        <v>18378.360000000004</v>
      </c>
      <c r="AI10" s="127">
        <f>IFERROR(Z10*'FlightConfig '!$K$17,"")</f>
        <v>7351.3440000000019</v>
      </c>
      <c r="AJ10" s="127">
        <f>IFERROR(AA10*'FlightConfig '!$K$17,"")</f>
        <v>41793.752000000008</v>
      </c>
      <c r="AK10" s="127">
        <f>IFERROR(AB10*'FlightConfig '!$K$17,"")</f>
        <v>5166.3611999999966</v>
      </c>
    </row>
    <row r="11" spans="1:37" ht="18" customHeight="1" x14ac:dyDescent="0.25">
      <c r="A11" t="s">
        <v>133</v>
      </c>
      <c r="B11" s="171">
        <v>1</v>
      </c>
      <c r="C11" s="176" t="str">
        <f t="shared" si="4"/>
        <v>BUSINESS CLASS1</v>
      </c>
      <c r="D11" s="172"/>
      <c r="E11" s="305">
        <v>1007</v>
      </c>
      <c r="F11" s="311"/>
      <c r="G11" t="str">
        <f>VLOOKUP(E11,'FG MASTER'!$A$10:$AB$218,2,0)</f>
        <v>BC C1 DINNER STARTER 1 NON VEG ROTATION 2 PROSCUTTIO WRAPPED PEACHES, FRISEE LETTUCE, WATERMELON, FETA CHEESE MINT LIME VINAIGRETTE</v>
      </c>
      <c r="H11" s="286">
        <v>1</v>
      </c>
      <c r="I11" s="173">
        <v>0</v>
      </c>
      <c r="J11" s="292">
        <f>IFERROR(IF(I11="std",H11,HLOOKUP(A11,'FlightConfig '!$B$28:$G$29,2,0)*I11),"")</f>
        <v>0</v>
      </c>
      <c r="K11" s="245">
        <f>VLOOKUP(Food!E11,'FG MASTER'!$A$1:$AC$536,16,0)</f>
        <v>2.95</v>
      </c>
      <c r="L11" s="246">
        <f>VLOOKUP(Food!E11,'FG MASTER'!$A$10:$AC$536,17,0)</f>
        <v>3.75</v>
      </c>
      <c r="M11" s="132">
        <f t="shared" si="0"/>
        <v>1.5</v>
      </c>
      <c r="N11" s="132">
        <f t="shared" si="1"/>
        <v>4.45</v>
      </c>
      <c r="O11" s="132">
        <f t="shared" si="5"/>
        <v>0.44249999999999989</v>
      </c>
      <c r="P11" s="132">
        <f t="shared" si="6"/>
        <v>0.22499999999999987</v>
      </c>
      <c r="Q11" s="132">
        <f t="shared" si="7"/>
        <v>5.1174999999999997</v>
      </c>
      <c r="R11" s="405">
        <f t="shared" si="8"/>
        <v>3.3925000000000001</v>
      </c>
      <c r="S11" s="405">
        <f t="shared" si="9"/>
        <v>1.7249999999999999</v>
      </c>
      <c r="T11" s="405">
        <f t="shared" si="10"/>
        <v>5.1174999999999997</v>
      </c>
      <c r="U11" s="127"/>
      <c r="V11" s="127"/>
      <c r="W11" t="str">
        <f>IFERROR(#REF!*J11,"")</f>
        <v/>
      </c>
      <c r="X11">
        <f t="shared" si="11"/>
        <v>0</v>
      </c>
      <c r="Y11">
        <f t="shared" si="12"/>
        <v>0</v>
      </c>
      <c r="Z11" s="127">
        <f t="shared" si="13"/>
        <v>0</v>
      </c>
      <c r="AA11" s="127">
        <f t="shared" si="14"/>
        <v>0</v>
      </c>
      <c r="AB11" s="127">
        <f t="shared" si="15"/>
        <v>0</v>
      </c>
      <c r="AC11" s="127">
        <f t="shared" si="16"/>
        <v>0</v>
      </c>
      <c r="AD11" s="127">
        <f t="shared" si="17"/>
        <v>0</v>
      </c>
      <c r="AF11" s="127" t="str">
        <f>IFERROR(W11*'FlightConfig '!$K$3,"")</f>
        <v/>
      </c>
      <c r="AG11" s="127">
        <f>IFERROR(X11*'FlightConfig '!$K$17,"")</f>
        <v>0</v>
      </c>
      <c r="AH11" s="127">
        <f>IFERROR(Y11*'FlightConfig '!$K$17,"")</f>
        <v>0</v>
      </c>
      <c r="AI11" s="127">
        <f>IFERROR(Z11*'FlightConfig '!$K$17,"")</f>
        <v>0</v>
      </c>
      <c r="AJ11" s="127">
        <f>IFERROR(AA11*'FlightConfig '!$K$17,"")</f>
        <v>0</v>
      </c>
      <c r="AK11" s="127">
        <f>IFERROR(AB11*'FlightConfig '!$K$17,"")</f>
        <v>0</v>
      </c>
    </row>
    <row r="12" spans="1:37" ht="18" customHeight="1" x14ac:dyDescent="0.25">
      <c r="A12" t="s">
        <v>133</v>
      </c>
      <c r="B12" s="171">
        <v>1</v>
      </c>
      <c r="C12" s="176" t="str">
        <f t="shared" si="4"/>
        <v>BUSINESS CLASS1</v>
      </c>
      <c r="D12" s="172"/>
      <c r="E12" s="305">
        <v>1008</v>
      </c>
      <c r="F12" s="311"/>
      <c r="G12" t="str">
        <f>VLOOKUP(E12,'FG MASTER'!$A$10:$AB$218,2,0)</f>
        <v>BC C1 DINNER STARTER 2 VEG ROTATION 2 POMENTO CHEESE STUFFED PEPPADEW PEPPER, ARUGULA, OLIVE OIL</v>
      </c>
      <c r="H12" s="286">
        <v>1</v>
      </c>
      <c r="I12" s="173">
        <v>0</v>
      </c>
      <c r="J12" s="292">
        <f>IFERROR(IF(I12="std",H12,HLOOKUP(A12,'FlightConfig '!$B$28:$G$29,2,0)*I12),"")</f>
        <v>0</v>
      </c>
      <c r="K12" s="245">
        <f>VLOOKUP(Food!E12,'FG MASTER'!$A$1:$AC$536,16,0)</f>
        <v>1.59</v>
      </c>
      <c r="L12" s="246">
        <f>VLOOKUP(Food!E12,'FG MASTER'!$A$10:$AC$536,17,0)</f>
        <v>4</v>
      </c>
      <c r="M12" s="132">
        <f t="shared" si="0"/>
        <v>1.6</v>
      </c>
      <c r="N12" s="132">
        <f t="shared" si="1"/>
        <v>3.1900000000000004</v>
      </c>
      <c r="O12" s="132">
        <f t="shared" si="5"/>
        <v>0.23849999999999993</v>
      </c>
      <c r="P12" s="132">
        <f t="shared" si="6"/>
        <v>0.23999999999999977</v>
      </c>
      <c r="Q12" s="132">
        <f t="shared" si="7"/>
        <v>3.6685000000000003</v>
      </c>
      <c r="R12" s="405">
        <f t="shared" si="8"/>
        <v>1.8285</v>
      </c>
      <c r="S12" s="405">
        <f t="shared" si="9"/>
        <v>1.8399999999999999</v>
      </c>
      <c r="T12" s="405">
        <f t="shared" si="10"/>
        <v>3.6684999999999999</v>
      </c>
      <c r="U12" s="127"/>
      <c r="V12" s="127"/>
      <c r="W12" t="str">
        <f>IFERROR(#REF!*J12,"")</f>
        <v/>
      </c>
      <c r="X12">
        <f t="shared" si="11"/>
        <v>0</v>
      </c>
      <c r="Y12">
        <f t="shared" si="12"/>
        <v>0</v>
      </c>
      <c r="Z12" s="127">
        <f t="shared" si="13"/>
        <v>0</v>
      </c>
      <c r="AA12" s="127">
        <f t="shared" si="14"/>
        <v>0</v>
      </c>
      <c r="AB12" s="127">
        <f t="shared" si="15"/>
        <v>0</v>
      </c>
      <c r="AC12" s="127">
        <f t="shared" si="16"/>
        <v>0</v>
      </c>
      <c r="AD12" s="127">
        <f t="shared" si="17"/>
        <v>0</v>
      </c>
      <c r="AF12" s="127" t="str">
        <f>IFERROR(W12*'FlightConfig '!$K$3,"")</f>
        <v/>
      </c>
      <c r="AG12" s="127">
        <f>IFERROR(X12*'FlightConfig '!$K$17,"")</f>
        <v>0</v>
      </c>
      <c r="AH12" s="127">
        <f>IFERROR(Y12*'FlightConfig '!$K$17,"")</f>
        <v>0</v>
      </c>
      <c r="AI12" s="127">
        <f>IFERROR(Z12*'FlightConfig '!$K$17,"")</f>
        <v>0</v>
      </c>
      <c r="AJ12" s="127">
        <f>IFERROR(AA12*'FlightConfig '!$K$17,"")</f>
        <v>0</v>
      </c>
      <c r="AK12" s="127">
        <f>IFERROR(AB12*'FlightConfig '!$K$17,"")</f>
        <v>0</v>
      </c>
    </row>
    <row r="13" spans="1:37" ht="18" customHeight="1" x14ac:dyDescent="0.25">
      <c r="A13" t="s">
        <v>133</v>
      </c>
      <c r="B13" s="171">
        <v>1</v>
      </c>
      <c r="C13" s="176" t="str">
        <f t="shared" si="4"/>
        <v>BUSINESS CLASS1</v>
      </c>
      <c r="D13" s="172"/>
      <c r="E13" s="305">
        <v>1009</v>
      </c>
      <c r="F13" s="311"/>
      <c r="G13" t="str">
        <f>VLOOKUP(E13,'FG MASTER'!$A$10:$AB$218,2,0)</f>
        <v xml:space="preserve">BC C1 DINNER ENTRÉE 1 LEMON CONFIT CHICKEN LEG, LEMON CHICKIEN JUS, MASHED POTATOES, HARICOT VERT, LEMON AGRUMATO </v>
      </c>
      <c r="H13" s="286">
        <v>1</v>
      </c>
      <c r="I13" s="173">
        <v>0.6</v>
      </c>
      <c r="J13" s="292">
        <f>IFERROR(IF(I13="std",H13,HLOOKUP(A13,'FlightConfig '!$B$28:$G$29,2,0)*I13),"")</f>
        <v>20.399999999999999</v>
      </c>
      <c r="K13" s="245">
        <f>VLOOKUP(Food!E13,'FG MASTER'!$A$1:$AC$536,16,0)</f>
        <v>4.28</v>
      </c>
      <c r="L13" s="246">
        <f>VLOOKUP(Food!E13,'FG MASTER'!$A$10:$AC$536,17,0)</f>
        <v>4.25</v>
      </c>
      <c r="M13" s="132">
        <f t="shared" si="0"/>
        <v>1.7000000000000002</v>
      </c>
      <c r="N13" s="132">
        <f t="shared" si="1"/>
        <v>5.98</v>
      </c>
      <c r="O13" s="132">
        <f t="shared" si="5"/>
        <v>0.64199999999999946</v>
      </c>
      <c r="P13" s="132">
        <f t="shared" si="6"/>
        <v>0.25499999999999989</v>
      </c>
      <c r="Q13" s="132">
        <f t="shared" si="7"/>
        <v>6.8769999999999998</v>
      </c>
      <c r="R13" s="405">
        <f t="shared" si="8"/>
        <v>4.9219999999999997</v>
      </c>
      <c r="S13" s="405">
        <f t="shared" si="9"/>
        <v>1.9550000000000001</v>
      </c>
      <c r="T13" s="405">
        <f t="shared" si="10"/>
        <v>6.8769999999999998</v>
      </c>
      <c r="U13" s="127"/>
      <c r="V13" s="127"/>
      <c r="W13" t="str">
        <f>IFERROR(#REF!*J13,"")</f>
        <v/>
      </c>
      <c r="X13">
        <f t="shared" si="11"/>
        <v>87.311999999999998</v>
      </c>
      <c r="Y13">
        <f t="shared" si="12"/>
        <v>86.699999999999989</v>
      </c>
      <c r="Z13" s="127">
        <f t="shared" si="13"/>
        <v>34.68</v>
      </c>
      <c r="AA13" s="127">
        <f t="shared" si="14"/>
        <v>121.992</v>
      </c>
      <c r="AB13" s="127">
        <f t="shared" si="15"/>
        <v>13.096799999999988</v>
      </c>
      <c r="AC13" s="127">
        <f t="shared" si="16"/>
        <v>5.2019999999999973</v>
      </c>
      <c r="AD13" s="127">
        <f t="shared" si="17"/>
        <v>140.29079999999999</v>
      </c>
      <c r="AF13" s="127" t="str">
        <f>IFERROR(W13*'FlightConfig '!$K$3,"")</f>
        <v/>
      </c>
      <c r="AG13" s="127">
        <f>IFERROR(X13*'FlightConfig '!$K$17,"")</f>
        <v>31781.567999999999</v>
      </c>
      <c r="AH13" s="127">
        <f>IFERROR(Y13*'FlightConfig '!$K$17,"")</f>
        <v>31558.799999999996</v>
      </c>
      <c r="AI13" s="127">
        <f>IFERROR(Z13*'FlightConfig '!$K$17,"")</f>
        <v>12623.52</v>
      </c>
      <c r="AJ13" s="127">
        <f>IFERROR(AA13*'FlightConfig '!$K$17,"")</f>
        <v>44405.088000000003</v>
      </c>
      <c r="AK13" s="127">
        <f>IFERROR(AB13*'FlightConfig '!$K$17,"")</f>
        <v>4767.2351999999955</v>
      </c>
    </row>
    <row r="14" spans="1:37" ht="18" customHeight="1" x14ac:dyDescent="0.25">
      <c r="A14" t="s">
        <v>133</v>
      </c>
      <c r="B14" s="171">
        <v>1</v>
      </c>
      <c r="C14" s="176" t="str">
        <f t="shared" si="4"/>
        <v>BUSINESS CLASS1</v>
      </c>
      <c r="D14" s="172"/>
      <c r="E14" s="305">
        <v>1010</v>
      </c>
      <c r="F14" s="311"/>
      <c r="G14" t="str">
        <f>VLOOKUP(E14,'FG MASTER'!$A$10:$AB$218,2,0)</f>
        <v>BC C1 DINNER ENTRÉE 2 FOX BROCHTERS SMOKED PRESSED LAMB SHOULDER, BABY CARROT , PEARL ONION, PEA PUREE, MASHED POTATOES, THYME DEMI GLACE</v>
      </c>
      <c r="H14" s="286">
        <v>1</v>
      </c>
      <c r="I14" s="173">
        <v>0.4</v>
      </c>
      <c r="J14" s="292">
        <f>IFERROR(IF(I14="std",H14,HLOOKUP(A14,'FlightConfig '!$B$28:$G$29,2,0)*I14),"")</f>
        <v>13.600000000000001</v>
      </c>
      <c r="K14" s="245">
        <f>VLOOKUP(Food!E14,'FG MASTER'!$A$1:$AC$536,16,0)</f>
        <v>9.3000000000000007</v>
      </c>
      <c r="L14" s="246">
        <f>VLOOKUP(Food!E14,'FG MASTER'!$A$10:$AC$536,17,0)</f>
        <v>7.5</v>
      </c>
      <c r="M14" s="132">
        <f t="shared" si="0"/>
        <v>3</v>
      </c>
      <c r="N14" s="132">
        <f t="shared" si="1"/>
        <v>12.3</v>
      </c>
      <c r="O14" s="132">
        <f t="shared" si="5"/>
        <v>1.3949999999999996</v>
      </c>
      <c r="P14" s="132">
        <f t="shared" si="6"/>
        <v>0.44999999999999973</v>
      </c>
      <c r="Q14" s="132">
        <f>SUM(N14:P14)</f>
        <v>14.145</v>
      </c>
      <c r="R14" s="405">
        <f t="shared" si="8"/>
        <v>10.695</v>
      </c>
      <c r="S14" s="405">
        <f t="shared" si="9"/>
        <v>3.4499999999999997</v>
      </c>
      <c r="T14" s="405">
        <f t="shared" si="10"/>
        <v>14.145</v>
      </c>
      <c r="U14" s="127"/>
      <c r="V14" s="127"/>
      <c r="W14" t="str">
        <f>IFERROR(#REF!*J14,"")</f>
        <v/>
      </c>
      <c r="X14">
        <f t="shared" si="11"/>
        <v>126.48000000000002</v>
      </c>
      <c r="Y14">
        <f t="shared" si="12"/>
        <v>102.00000000000001</v>
      </c>
      <c r="Z14" s="127">
        <f t="shared" si="13"/>
        <v>40.800000000000004</v>
      </c>
      <c r="AA14" s="127">
        <f t="shared" si="14"/>
        <v>167.28000000000003</v>
      </c>
      <c r="AB14" s="127">
        <f t="shared" si="15"/>
        <v>18.971999999999998</v>
      </c>
      <c r="AC14" s="127">
        <f t="shared" si="16"/>
        <v>6.1199999999999974</v>
      </c>
      <c r="AD14" s="127">
        <f t="shared" si="17"/>
        <v>192.37200000000001</v>
      </c>
      <c r="AF14" s="127" t="str">
        <f>IFERROR(W14*'FlightConfig '!$K$3,"")</f>
        <v/>
      </c>
      <c r="AG14" s="127">
        <f>IFERROR(X14*'FlightConfig '!$K$17,"")</f>
        <v>46038.720000000008</v>
      </c>
      <c r="AH14" s="127">
        <f>IFERROR(Y14*'FlightConfig '!$K$17,"")</f>
        <v>37128.000000000007</v>
      </c>
      <c r="AI14" s="127">
        <f>IFERROR(Z14*'FlightConfig '!$K$17,"")</f>
        <v>14851.2</v>
      </c>
      <c r="AJ14" s="127">
        <f>IFERROR(AA14*'FlightConfig '!$K$17,"")</f>
        <v>60889.920000000013</v>
      </c>
      <c r="AK14" s="127">
        <f>IFERROR(AB14*'FlightConfig '!$K$17,"")</f>
        <v>6905.8079999999991</v>
      </c>
    </row>
    <row r="15" spans="1:37" ht="18" customHeight="1" x14ac:dyDescent="0.25">
      <c r="A15" t="s">
        <v>133</v>
      </c>
      <c r="B15" s="171">
        <v>1</v>
      </c>
      <c r="C15" s="176" t="str">
        <f t="shared" si="4"/>
        <v>BUSINESS CLASS1</v>
      </c>
      <c r="D15" s="172"/>
      <c r="E15" s="305">
        <v>1011</v>
      </c>
      <c r="F15" s="311"/>
      <c r="G15" t="str">
        <f>VLOOKUP(E15,'FG MASTER'!$A$10:$AB$218,2,0)</f>
        <v xml:space="preserve">BC C1 DINNER ENTRÉE 3 TRUFFLE PARMESAN RISOTTO, BABY ZUCCHINI, WILD MUSHROOM CONSERVA, ASPARAGUS, RAITA SAUCE </v>
      </c>
      <c r="H15" s="286">
        <v>1</v>
      </c>
      <c r="I15" s="173">
        <v>0.2</v>
      </c>
      <c r="J15" s="292">
        <f>IFERROR(IF(I15="std",H15,HLOOKUP(A15,'FlightConfig '!$B$28:$G$29,2,0)*I15),"")</f>
        <v>6.8000000000000007</v>
      </c>
      <c r="K15" s="245">
        <f>VLOOKUP(Food!E15,'FG MASTER'!$A$1:$AC$536,16,0)</f>
        <v>3.41</v>
      </c>
      <c r="L15" s="246">
        <f>VLOOKUP(Food!E15,'FG MASTER'!$A$10:$AC$536,17,0)</f>
        <v>4.25</v>
      </c>
      <c r="M15" s="132">
        <f t="shared" si="0"/>
        <v>1.7000000000000002</v>
      </c>
      <c r="N15" s="132">
        <f t="shared" si="1"/>
        <v>5.1100000000000003</v>
      </c>
      <c r="O15" s="132">
        <f t="shared" si="5"/>
        <v>0.51149999999999984</v>
      </c>
      <c r="P15" s="132">
        <f t="shared" si="6"/>
        <v>0.25499999999999989</v>
      </c>
      <c r="Q15" s="132">
        <f t="shared" ref="Q15:Q17" si="18">SUM(N15:P15)</f>
        <v>5.8765000000000001</v>
      </c>
      <c r="R15" s="405">
        <f t="shared" si="8"/>
        <v>3.9215</v>
      </c>
      <c r="S15" s="405">
        <f t="shared" si="9"/>
        <v>1.9550000000000001</v>
      </c>
      <c r="T15" s="405">
        <f t="shared" si="10"/>
        <v>5.8765000000000001</v>
      </c>
      <c r="U15" s="127"/>
      <c r="V15" s="127"/>
      <c r="W15" t="str">
        <f>IFERROR(#REF!*J15,"")</f>
        <v/>
      </c>
      <c r="X15">
        <f t="shared" si="11"/>
        <v>23.188000000000002</v>
      </c>
      <c r="Y15">
        <f t="shared" si="12"/>
        <v>28.900000000000002</v>
      </c>
      <c r="Z15" s="127">
        <f t="shared" si="13"/>
        <v>11.560000000000002</v>
      </c>
      <c r="AA15" s="127">
        <f t="shared" si="14"/>
        <v>34.748000000000005</v>
      </c>
      <c r="AB15" s="127">
        <f t="shared" si="15"/>
        <v>3.4781999999999993</v>
      </c>
      <c r="AC15" s="127">
        <f t="shared" si="16"/>
        <v>1.7339999999999995</v>
      </c>
      <c r="AD15" s="127">
        <f t="shared" si="17"/>
        <v>39.960200000000007</v>
      </c>
      <c r="AF15" s="127" t="str">
        <f>IFERROR(W15*'FlightConfig '!$K$3,"")</f>
        <v/>
      </c>
      <c r="AG15" s="127">
        <f>IFERROR(X15*'FlightConfig '!$K$17,"")</f>
        <v>8440.4320000000007</v>
      </c>
      <c r="AH15" s="127">
        <f>IFERROR(Y15*'FlightConfig '!$K$17,"")</f>
        <v>10519.6</v>
      </c>
      <c r="AI15" s="127">
        <f>IFERROR(Z15*'FlightConfig '!$K$17,"")</f>
        <v>4207.8400000000011</v>
      </c>
      <c r="AJ15" s="127">
        <f>IFERROR(AA15*'FlightConfig '!$K$17,"")</f>
        <v>12648.272000000001</v>
      </c>
      <c r="AK15" s="127">
        <f>IFERROR(AB15*'FlightConfig '!$K$17,"")</f>
        <v>1266.0647999999997</v>
      </c>
    </row>
    <row r="16" spans="1:37" ht="18" customHeight="1" x14ac:dyDescent="0.25">
      <c r="A16" t="s">
        <v>133</v>
      </c>
      <c r="B16" s="171">
        <v>1</v>
      </c>
      <c r="C16" s="176" t="str">
        <f t="shared" si="4"/>
        <v>BUSINESS CLASS1</v>
      </c>
      <c r="D16" s="172"/>
      <c r="E16" s="306">
        <v>1012</v>
      </c>
      <c r="F16" s="311"/>
      <c r="G16" t="str">
        <f>VLOOKUP(E16,'FG MASTER'!$A$10:$AB$218,2,0)</f>
        <v xml:space="preserve">BC C1 DINNER DESSERT COLD ROTATION 1 BANANA PUDDING CHEESECAKE, STREUSEL CRUMBLES, BLUEBERRIES </v>
      </c>
      <c r="H16" s="286">
        <v>1</v>
      </c>
      <c r="I16" s="173">
        <v>0.5</v>
      </c>
      <c r="J16" s="292">
        <f>IFERROR(IF(I16="std",H16,HLOOKUP(A16,'FlightConfig '!$B$28:$G$29,2,0)*I16),"")</f>
        <v>17</v>
      </c>
      <c r="K16" s="245">
        <f>VLOOKUP(Food!E16,'FG MASTER'!$A$1:$AC$536,16,0)</f>
        <v>0.98</v>
      </c>
      <c r="L16" s="246">
        <f>VLOOKUP(Food!E16,'FG MASTER'!$A$10:$AC$536,17,0)</f>
        <v>2</v>
      </c>
      <c r="M16" s="132">
        <f t="shared" si="0"/>
        <v>0.8</v>
      </c>
      <c r="N16" s="132">
        <f t="shared" si="1"/>
        <v>1.78</v>
      </c>
      <c r="O16" s="132">
        <f t="shared" si="5"/>
        <v>0.14700000000000002</v>
      </c>
      <c r="P16" s="132">
        <f t="shared" si="6"/>
        <v>0.11999999999999988</v>
      </c>
      <c r="Q16" s="132">
        <f t="shared" si="18"/>
        <v>2.0469999999999997</v>
      </c>
      <c r="R16" s="405">
        <f t="shared" si="8"/>
        <v>1.127</v>
      </c>
      <c r="S16" s="405">
        <f t="shared" si="9"/>
        <v>0.91999999999999993</v>
      </c>
      <c r="T16" s="405">
        <f t="shared" si="10"/>
        <v>2.0469999999999997</v>
      </c>
      <c r="U16" s="127"/>
      <c r="V16" s="127"/>
      <c r="W16" t="str">
        <f>IFERROR(#REF!*J16,"")</f>
        <v/>
      </c>
      <c r="X16">
        <f t="shared" si="11"/>
        <v>16.66</v>
      </c>
      <c r="Y16">
        <f t="shared" si="12"/>
        <v>34</v>
      </c>
      <c r="Z16" s="127">
        <f t="shared" si="13"/>
        <v>13.600000000000001</v>
      </c>
      <c r="AA16" s="127">
        <f t="shared" si="14"/>
        <v>30.26</v>
      </c>
      <c r="AB16" s="127">
        <f t="shared" si="15"/>
        <v>2.4990000000000006</v>
      </c>
      <c r="AC16" s="127">
        <f t="shared" si="16"/>
        <v>2.0399999999999983</v>
      </c>
      <c r="AD16" s="127">
        <f t="shared" si="17"/>
        <v>34.798999999999992</v>
      </c>
      <c r="AF16" s="127" t="str">
        <f>IFERROR(W16*'FlightConfig '!$K$3,"")</f>
        <v/>
      </c>
      <c r="AG16" s="127">
        <f>IFERROR(X16*'FlightConfig '!$K$17,"")</f>
        <v>6064.24</v>
      </c>
      <c r="AH16" s="127">
        <f>IFERROR(Y16*'FlightConfig '!$K$17,"")</f>
        <v>12376</v>
      </c>
      <c r="AI16" s="127">
        <f>IFERROR(Z16*'FlightConfig '!$K$17,"")</f>
        <v>4950.4000000000005</v>
      </c>
      <c r="AJ16" s="127">
        <f>IFERROR(AA16*'FlightConfig '!$K$17,"")</f>
        <v>11014.640000000001</v>
      </c>
      <c r="AK16" s="127">
        <f>IFERROR(AB16*'FlightConfig '!$K$17,"")</f>
        <v>909.63600000000019</v>
      </c>
    </row>
    <row r="17" spans="1:37" ht="18" customHeight="1" x14ac:dyDescent="0.25">
      <c r="A17" t="s">
        <v>133</v>
      </c>
      <c r="B17" s="171">
        <v>1</v>
      </c>
      <c r="C17" s="176" t="str">
        <f t="shared" si="4"/>
        <v>BUSINESS CLASS1</v>
      </c>
      <c r="D17" s="172"/>
      <c r="E17" s="306">
        <v>1013</v>
      </c>
      <c r="F17" s="311"/>
      <c r="G17" t="str">
        <f>VLOOKUP(E17,'FG MASTER'!$A$10:$AB$218,2,0)</f>
        <v>BC C1 DINNER DESSERT COLD ROTATION 2 FLOURLESS CHOCOLOOATE MOUSSE CAKE STRAWBERRY COULIS, WHITE CHOCOLATE PEARLS</v>
      </c>
      <c r="H17" s="286">
        <v>1</v>
      </c>
      <c r="I17" s="173">
        <v>0</v>
      </c>
      <c r="J17" s="292">
        <f>IFERROR(IF(I17="std",H17,HLOOKUP(A17,'FlightConfig '!$B$28:$G$29,2,0)*I17),"")</f>
        <v>0</v>
      </c>
      <c r="K17" s="245">
        <f>VLOOKUP(Food!E17,'FG MASTER'!$A$1:$AC$536,16,0)</f>
        <v>1.1599999999999999</v>
      </c>
      <c r="L17" s="246">
        <f>VLOOKUP(Food!E17,'FG MASTER'!$A$10:$AC$536,17,0)</f>
        <v>1.5</v>
      </c>
      <c r="M17" s="132">
        <f t="shared" si="0"/>
        <v>0.60000000000000009</v>
      </c>
      <c r="N17" s="132">
        <f t="shared" si="1"/>
        <v>1.76</v>
      </c>
      <c r="O17" s="132">
        <f t="shared" si="5"/>
        <v>0.17399999999999993</v>
      </c>
      <c r="P17" s="132">
        <f t="shared" si="6"/>
        <v>8.9999999999999969E-2</v>
      </c>
      <c r="Q17" s="132">
        <f t="shared" si="18"/>
        <v>2.024</v>
      </c>
      <c r="R17" s="405">
        <f t="shared" si="8"/>
        <v>1.3339999999999999</v>
      </c>
      <c r="S17" s="405">
        <f t="shared" si="9"/>
        <v>0.69000000000000006</v>
      </c>
      <c r="T17" s="405">
        <f t="shared" si="10"/>
        <v>2.024</v>
      </c>
      <c r="U17" s="127"/>
      <c r="V17" s="127"/>
      <c r="W17" t="str">
        <f>IFERROR(#REF!*J17,"")</f>
        <v/>
      </c>
      <c r="X17">
        <f t="shared" si="11"/>
        <v>0</v>
      </c>
      <c r="Y17">
        <f t="shared" si="12"/>
        <v>0</v>
      </c>
      <c r="Z17" s="127">
        <f t="shared" si="13"/>
        <v>0</v>
      </c>
      <c r="AA17" s="127">
        <f t="shared" si="14"/>
        <v>0</v>
      </c>
      <c r="AB17" s="127">
        <f t="shared" si="15"/>
        <v>0</v>
      </c>
      <c r="AC17" s="127">
        <f t="shared" si="16"/>
        <v>0</v>
      </c>
      <c r="AD17" s="127">
        <f t="shared" si="17"/>
        <v>0</v>
      </c>
      <c r="AF17" s="127" t="str">
        <f>IFERROR(W17*'FlightConfig '!$K$3,"")</f>
        <v/>
      </c>
      <c r="AG17" s="127">
        <f>IFERROR(X17*'FlightConfig '!$K$17,"")</f>
        <v>0</v>
      </c>
      <c r="AH17" s="127">
        <f>IFERROR(Y17*'FlightConfig '!$K$17,"")</f>
        <v>0</v>
      </c>
      <c r="AI17" s="127">
        <f>IFERROR(Z17*'FlightConfig '!$K$17,"")</f>
        <v>0</v>
      </c>
      <c r="AJ17" s="127">
        <f>IFERROR(AA17*'FlightConfig '!$K$17,"")</f>
        <v>0</v>
      </c>
      <c r="AK17" s="127">
        <f>IFERROR(AB17*'FlightConfig '!$K$17,"")</f>
        <v>0</v>
      </c>
    </row>
    <row r="18" spans="1:37" ht="18" customHeight="1" x14ac:dyDescent="0.25">
      <c r="A18" t="s">
        <v>133</v>
      </c>
      <c r="B18" s="171">
        <v>1</v>
      </c>
      <c r="C18" s="176" t="str">
        <f t="shared" si="4"/>
        <v>BUSINESS CLASS1</v>
      </c>
      <c r="D18" s="172"/>
      <c r="E18" s="304">
        <v>1014</v>
      </c>
      <c r="F18" s="311"/>
      <c r="G18" t="str">
        <f>VLOOKUP(E18,'FG MASTER'!$A$10:$AB$218,2,0)</f>
        <v xml:space="preserve">BC C1 DINNER DESSERT HOT ROTATION 1 GEORGIA PEACH COBBLER, WARM PECAN PRALINE SAUCE </v>
      </c>
      <c r="H18" s="286">
        <v>1</v>
      </c>
      <c r="I18" s="173">
        <v>0</v>
      </c>
      <c r="J18" s="292">
        <f>IFERROR(IF(I18="std",H18,HLOOKUP(A18,'FlightConfig '!$B$28:$G$29,2,0)*I18),"")</f>
        <v>0</v>
      </c>
      <c r="K18" s="245">
        <f>VLOOKUP(Food!E18,'FG MASTER'!$A$1:$AC$536,16,0)</f>
        <v>0.88</v>
      </c>
      <c r="L18" s="246">
        <f>VLOOKUP(Food!E18,'FG MASTER'!$A$10:$AC$536,17,0)</f>
        <v>1.5</v>
      </c>
      <c r="M18" s="132">
        <f t="shared" si="0"/>
        <v>0.60000000000000009</v>
      </c>
      <c r="N18" s="132">
        <f t="shared" si="1"/>
        <v>1.48</v>
      </c>
      <c r="O18" s="132">
        <f t="shared" si="5"/>
        <v>0.13200000000000001</v>
      </c>
      <c r="P18" s="132">
        <f t="shared" si="6"/>
        <v>8.9999999999999969E-2</v>
      </c>
      <c r="Q18" s="132">
        <f>SUM(N18:P18)</f>
        <v>1.702</v>
      </c>
      <c r="R18" s="405">
        <f t="shared" si="8"/>
        <v>1.012</v>
      </c>
      <c r="S18" s="405">
        <f t="shared" si="9"/>
        <v>0.69000000000000006</v>
      </c>
      <c r="T18" s="405">
        <f t="shared" si="10"/>
        <v>1.702</v>
      </c>
      <c r="U18" s="127"/>
      <c r="W18" t="str">
        <f>IFERROR(#REF!*J18,"")</f>
        <v/>
      </c>
      <c r="X18">
        <f t="shared" si="11"/>
        <v>0</v>
      </c>
      <c r="Y18">
        <f t="shared" si="12"/>
        <v>0</v>
      </c>
      <c r="Z18" s="127">
        <f t="shared" si="13"/>
        <v>0</v>
      </c>
      <c r="AA18" s="127">
        <f t="shared" si="14"/>
        <v>0</v>
      </c>
      <c r="AB18" s="127">
        <f t="shared" si="15"/>
        <v>0</v>
      </c>
      <c r="AC18" s="127">
        <f t="shared" si="16"/>
        <v>0</v>
      </c>
      <c r="AD18" s="127">
        <f t="shared" si="17"/>
        <v>0</v>
      </c>
      <c r="AF18" s="127" t="str">
        <f>IFERROR(W18*'FlightConfig '!$K$3,"")</f>
        <v/>
      </c>
      <c r="AG18" s="127">
        <f>IFERROR(X18*'FlightConfig '!$K$17,"")</f>
        <v>0</v>
      </c>
      <c r="AH18" s="127">
        <f>IFERROR(Y18*'FlightConfig '!$K$17,"")</f>
        <v>0</v>
      </c>
      <c r="AI18" s="127">
        <f>IFERROR(Z18*'FlightConfig '!$K$17,"")</f>
        <v>0</v>
      </c>
      <c r="AJ18" s="127">
        <f>IFERROR(AA18*'FlightConfig '!$K$17,"")</f>
        <v>0</v>
      </c>
      <c r="AK18" s="127">
        <f>IFERROR(AB18*'FlightConfig '!$K$17,"")</f>
        <v>0</v>
      </c>
    </row>
    <row r="19" spans="1:37" ht="18" customHeight="1" x14ac:dyDescent="0.25">
      <c r="A19" t="s">
        <v>133</v>
      </c>
      <c r="B19" s="171">
        <v>1</v>
      </c>
      <c r="C19" s="176" t="str">
        <f t="shared" si="4"/>
        <v>BUSINESS CLASS1</v>
      </c>
      <c r="D19" s="172"/>
      <c r="E19" s="304">
        <v>1015</v>
      </c>
      <c r="F19" s="311"/>
      <c r="G19" t="str">
        <f>VLOOKUP(E19,'FG MASTER'!$A$10:$AB$218,2,0)</f>
        <v xml:space="preserve">BC C1 DINNER DESSERT HOT ROTATION 2 STICKY TOFFEE PUDDING, CHANTILLY CREAM, CROQUANT, TOFEE SAUCE </v>
      </c>
      <c r="H19" s="286">
        <v>1</v>
      </c>
      <c r="I19" s="173">
        <v>0.5</v>
      </c>
      <c r="J19" s="292">
        <f>IFERROR(IF(I19="std",H19,HLOOKUP(A19,'FlightConfig '!$B$28:$G$29,2,0)*I19),"")</f>
        <v>17</v>
      </c>
      <c r="K19" s="245">
        <f>VLOOKUP(Food!E19,'FG MASTER'!$A$1:$AC$536,16,0)</f>
        <v>2.56</v>
      </c>
      <c r="L19" s="246">
        <f>VLOOKUP(Food!E19,'FG MASTER'!$A$10:$AC$536,17,0)</f>
        <v>1.25</v>
      </c>
      <c r="M19" s="132">
        <f t="shared" si="0"/>
        <v>0.5</v>
      </c>
      <c r="N19" s="132">
        <f t="shared" si="1"/>
        <v>3.06</v>
      </c>
      <c r="O19" s="132">
        <f t="shared" si="5"/>
        <v>0.3839999999999999</v>
      </c>
      <c r="P19" s="132">
        <f t="shared" si="6"/>
        <v>7.4999999999999956E-2</v>
      </c>
      <c r="Q19" s="132">
        <f t="shared" ref="Q19:Q23" si="19">SUM(N19:P19)</f>
        <v>3.5190000000000001</v>
      </c>
      <c r="R19" s="405">
        <f t="shared" si="8"/>
        <v>2.944</v>
      </c>
      <c r="S19" s="405">
        <f t="shared" si="9"/>
        <v>0.57499999999999996</v>
      </c>
      <c r="T19" s="405">
        <f t="shared" si="10"/>
        <v>3.5190000000000001</v>
      </c>
      <c r="U19" s="127"/>
      <c r="V19" s="127"/>
      <c r="W19" t="str">
        <f>IFERROR(#REF!*J19,"")</f>
        <v/>
      </c>
      <c r="X19">
        <f t="shared" si="11"/>
        <v>43.52</v>
      </c>
      <c r="Y19">
        <f t="shared" si="12"/>
        <v>21.25</v>
      </c>
      <c r="Z19" s="127">
        <f t="shared" si="13"/>
        <v>8.5</v>
      </c>
      <c r="AA19" s="127">
        <f t="shared" si="14"/>
        <v>52.02</v>
      </c>
      <c r="AB19" s="127">
        <f t="shared" si="15"/>
        <v>6.5279999999999987</v>
      </c>
      <c r="AC19" s="127">
        <f t="shared" si="16"/>
        <v>1.2749999999999992</v>
      </c>
      <c r="AD19" s="127">
        <f t="shared" si="17"/>
        <v>59.823</v>
      </c>
      <c r="AF19" s="127" t="str">
        <f>IFERROR(W19*'FlightConfig '!$K$3,"")</f>
        <v/>
      </c>
      <c r="AG19" s="127">
        <f>IFERROR(X19*'FlightConfig '!$K$17,"")</f>
        <v>15841.28</v>
      </c>
      <c r="AH19" s="127">
        <f>IFERROR(Y19*'FlightConfig '!$K$17,"")</f>
        <v>7735</v>
      </c>
      <c r="AI19" s="127">
        <f>IFERROR(Z19*'FlightConfig '!$K$17,"")</f>
        <v>3094</v>
      </c>
      <c r="AJ19" s="127">
        <f>IFERROR(AA19*'FlightConfig '!$K$17,"")</f>
        <v>18935.280000000002</v>
      </c>
      <c r="AK19" s="127">
        <f>IFERROR(AB19*'FlightConfig '!$K$17,"")</f>
        <v>2376.1919999999996</v>
      </c>
    </row>
    <row r="20" spans="1:37" ht="18" customHeight="1" x14ac:dyDescent="0.25">
      <c r="A20" t="s">
        <v>133</v>
      </c>
      <c r="B20" s="171">
        <v>1</v>
      </c>
      <c r="C20" s="176" t="str">
        <f t="shared" si="4"/>
        <v>BUSINESS CLASS1</v>
      </c>
      <c r="D20" s="172"/>
      <c r="E20" s="304">
        <v>1016</v>
      </c>
      <c r="F20" s="311"/>
      <c r="G20" t="str">
        <f>VLOOKUP(E20,'FG MASTER'!$A$10:$AB$218,2,0)</f>
        <v>BC C1 DINNER CHEESE PLATE DAIRY GRIFFIN, ASHER BLUE, GREEN HILL BRIE, ANGRY CUKES, MUSCADINE JELLY</v>
      </c>
      <c r="H20" s="286">
        <v>1</v>
      </c>
      <c r="I20" s="173">
        <v>0.6</v>
      </c>
      <c r="J20" s="292">
        <f>IFERROR(IF(I20="std",H20,HLOOKUP(A20,'FlightConfig '!$B$28:$G$29,2,0)*I20),"")</f>
        <v>20.399999999999999</v>
      </c>
      <c r="K20" s="245">
        <v>0</v>
      </c>
      <c r="L20" s="246">
        <v>0</v>
      </c>
      <c r="M20" s="132">
        <f t="shared" si="0"/>
        <v>0</v>
      </c>
      <c r="N20" s="132">
        <f t="shared" si="1"/>
        <v>0</v>
      </c>
      <c r="O20" s="132">
        <f t="shared" si="5"/>
        <v>0</v>
      </c>
      <c r="P20" s="132">
        <f t="shared" si="6"/>
        <v>0</v>
      </c>
      <c r="Q20" s="132">
        <f t="shared" si="19"/>
        <v>0</v>
      </c>
      <c r="R20" s="405">
        <f t="shared" si="8"/>
        <v>0</v>
      </c>
      <c r="S20" s="405">
        <f t="shared" si="9"/>
        <v>0</v>
      </c>
      <c r="T20" s="405">
        <f t="shared" si="10"/>
        <v>0</v>
      </c>
      <c r="U20" s="127"/>
      <c r="V20" s="127"/>
      <c r="W20" t="str">
        <f>IFERROR(#REF!*J20,"")</f>
        <v/>
      </c>
      <c r="X20">
        <f t="shared" si="11"/>
        <v>0</v>
      </c>
      <c r="Y20">
        <f t="shared" si="12"/>
        <v>0</v>
      </c>
      <c r="Z20" s="127">
        <f t="shared" si="13"/>
        <v>0</v>
      </c>
      <c r="AA20" s="127">
        <f t="shared" si="14"/>
        <v>0</v>
      </c>
      <c r="AB20" s="127">
        <f t="shared" si="15"/>
        <v>0</v>
      </c>
      <c r="AC20" s="127">
        <f t="shared" si="16"/>
        <v>0</v>
      </c>
      <c r="AD20" s="127">
        <f t="shared" si="17"/>
        <v>0</v>
      </c>
      <c r="AF20" s="127" t="str">
        <f>IFERROR(W20*'FlightConfig '!$K$3,"")</f>
        <v/>
      </c>
      <c r="AG20" s="127">
        <f>IFERROR(X20*'FlightConfig '!$K$17,"")</f>
        <v>0</v>
      </c>
      <c r="AH20" s="127">
        <f>IFERROR(Y20*'FlightConfig '!$K$17,"")</f>
        <v>0</v>
      </c>
      <c r="AI20" s="127">
        <f>IFERROR(Z20*'FlightConfig '!$K$17,"")</f>
        <v>0</v>
      </c>
      <c r="AJ20" s="127">
        <f>IFERROR(AA20*'FlightConfig '!$K$17,"")</f>
        <v>0</v>
      </c>
      <c r="AK20" s="127">
        <f>IFERROR(AB20*'FlightConfig '!$K$17,"")</f>
        <v>0</v>
      </c>
    </row>
    <row r="21" spans="1:37" ht="18" customHeight="1" x14ac:dyDescent="0.25">
      <c r="A21" t="s">
        <v>133</v>
      </c>
      <c r="B21" s="171">
        <v>1</v>
      </c>
      <c r="C21" s="176" t="str">
        <f t="shared" si="4"/>
        <v>BUSINESS CLASS1</v>
      </c>
      <c r="D21" s="172"/>
      <c r="E21" s="304">
        <v>1017</v>
      </c>
      <c r="F21" s="311"/>
      <c r="G21" t="str">
        <f>VLOOKUP(E21,'FG MASTER'!$A$10:$AB$218,2,0)</f>
        <v>BC C1 BREAKFAST ENTRÉE 1 SAVORY PECAN BELGIAN WAFFLE, FRIED CHICKEN, MAPLE SAUSAGE GRAVY, SCRAMBLE EGG</v>
      </c>
      <c r="H21" s="286">
        <v>1</v>
      </c>
      <c r="I21" s="173">
        <v>0.5</v>
      </c>
      <c r="J21" s="292">
        <f>IFERROR(IF(I21="std",H21,HLOOKUP(A21,'FlightConfig '!$B$28:$G$29,2,0)*I21),"")</f>
        <v>17</v>
      </c>
      <c r="K21" s="245">
        <f>VLOOKUP(Food!E21,'FG MASTER'!$A$1:$AC$536,16,0)</f>
        <v>4.71</v>
      </c>
      <c r="L21" s="246">
        <f>VLOOKUP(Food!E21,'FG MASTER'!$A$10:$AC$536,17,0)</f>
        <v>4.25</v>
      </c>
      <c r="M21" s="132">
        <f t="shared" si="0"/>
        <v>1.7000000000000002</v>
      </c>
      <c r="N21" s="132">
        <f t="shared" si="1"/>
        <v>6.41</v>
      </c>
      <c r="O21" s="132">
        <f t="shared" si="5"/>
        <v>0.70649999999999924</v>
      </c>
      <c r="P21" s="132">
        <f t="shared" si="6"/>
        <v>0.25499999999999989</v>
      </c>
      <c r="Q21" s="132">
        <f t="shared" si="19"/>
        <v>7.3714999999999993</v>
      </c>
      <c r="R21" s="405">
        <f t="shared" si="8"/>
        <v>5.4164999999999992</v>
      </c>
      <c r="S21" s="405">
        <f t="shared" si="9"/>
        <v>1.9550000000000001</v>
      </c>
      <c r="T21" s="405">
        <f t="shared" si="10"/>
        <v>7.3714999999999993</v>
      </c>
      <c r="U21" s="127"/>
      <c r="V21" s="127"/>
      <c r="W21" t="str">
        <f>IFERROR(#REF!*J21,"")</f>
        <v/>
      </c>
      <c r="X21">
        <f t="shared" si="11"/>
        <v>80.069999999999993</v>
      </c>
      <c r="Y21">
        <f t="shared" si="12"/>
        <v>72.25</v>
      </c>
      <c r="Z21" s="127">
        <f t="shared" si="13"/>
        <v>28.900000000000002</v>
      </c>
      <c r="AA21" s="127">
        <f t="shared" si="14"/>
        <v>108.97</v>
      </c>
      <c r="AB21" s="127">
        <f t="shared" si="15"/>
        <v>12.010499999999986</v>
      </c>
      <c r="AC21" s="127">
        <f t="shared" si="16"/>
        <v>4.3349999999999982</v>
      </c>
      <c r="AD21" s="127">
        <f t="shared" si="17"/>
        <v>125.31549999999999</v>
      </c>
      <c r="AF21" s="127" t="str">
        <f>IFERROR(W21*'FlightConfig '!$K$3,"")</f>
        <v/>
      </c>
      <c r="AG21" s="127">
        <f>IFERROR(X21*'FlightConfig '!$K$17,"")</f>
        <v>29145.479999999996</v>
      </c>
      <c r="AH21" s="127">
        <f>IFERROR(Y21*'FlightConfig '!$K$17,"")</f>
        <v>26299</v>
      </c>
      <c r="AI21" s="127">
        <f>IFERROR(Z21*'FlightConfig '!$K$17,"")</f>
        <v>10519.6</v>
      </c>
      <c r="AJ21" s="127">
        <f>IFERROR(AA21*'FlightConfig '!$K$17,"")</f>
        <v>39665.08</v>
      </c>
      <c r="AK21" s="127">
        <f>IFERROR(AB21*'FlightConfig '!$K$17,"")</f>
        <v>4371.8219999999947</v>
      </c>
    </row>
    <row r="22" spans="1:37" ht="18" customHeight="1" x14ac:dyDescent="0.25">
      <c r="A22" t="s">
        <v>133</v>
      </c>
      <c r="B22" s="171">
        <v>1</v>
      </c>
      <c r="C22" s="176" t="str">
        <f t="shared" si="4"/>
        <v>BUSINESS CLASS1</v>
      </c>
      <c r="D22" s="172"/>
      <c r="E22" s="304">
        <v>1018</v>
      </c>
      <c r="F22" s="311"/>
      <c r="G22" t="str">
        <f>VLOOKUP(E22,'FG MASTER'!$A$10:$AB$218,2,0)</f>
        <v>BC C1 BREAKFAST ENTRÉE 2 SAVORY FRITTATA, MARINATED TOMATO, HASHBROWN, GREEN ONION MORNAY</v>
      </c>
      <c r="H22" s="286">
        <v>1</v>
      </c>
      <c r="I22" s="173">
        <v>0.2</v>
      </c>
      <c r="J22" s="292">
        <f>IFERROR(IF(I22="std",H22,HLOOKUP(A22,'FlightConfig '!$B$28:$G$29,2,0)*I22),"")</f>
        <v>6.8000000000000007</v>
      </c>
      <c r="K22" s="245">
        <f>VLOOKUP(Food!E22,'FG MASTER'!$A$1:$AC$536,16,0)</f>
        <v>2.29</v>
      </c>
      <c r="L22" s="246">
        <f>VLOOKUP(Food!E22,'FG MASTER'!$A$10:$AC$536,17,0)</f>
        <v>4.5</v>
      </c>
      <c r="M22" s="132">
        <f t="shared" si="0"/>
        <v>1.8</v>
      </c>
      <c r="N22" s="132">
        <f t="shared" si="1"/>
        <v>4.09</v>
      </c>
      <c r="O22" s="132">
        <f t="shared" si="5"/>
        <v>0.34349999999999969</v>
      </c>
      <c r="P22" s="132">
        <f t="shared" si="6"/>
        <v>0.2699999999999998</v>
      </c>
      <c r="Q22" s="132">
        <f t="shared" si="19"/>
        <v>4.7034999999999991</v>
      </c>
      <c r="R22" s="405">
        <f t="shared" si="8"/>
        <v>2.6334999999999997</v>
      </c>
      <c r="S22" s="405">
        <f t="shared" si="9"/>
        <v>2.0699999999999998</v>
      </c>
      <c r="T22" s="405">
        <f t="shared" si="10"/>
        <v>4.7035</v>
      </c>
      <c r="U22" s="127"/>
      <c r="V22" s="127"/>
      <c r="W22" t="str">
        <f>IFERROR(#REF!*J22,"")</f>
        <v/>
      </c>
      <c r="X22">
        <f t="shared" si="11"/>
        <v>15.572000000000003</v>
      </c>
      <c r="Y22">
        <f t="shared" si="12"/>
        <v>30.6</v>
      </c>
      <c r="Z22" s="127">
        <f t="shared" si="13"/>
        <v>12.240000000000002</v>
      </c>
      <c r="AA22" s="127">
        <f t="shared" si="14"/>
        <v>27.812000000000001</v>
      </c>
      <c r="AB22" s="127">
        <f t="shared" si="15"/>
        <v>2.3357999999999981</v>
      </c>
      <c r="AC22" s="127">
        <f t="shared" si="16"/>
        <v>1.8359999999999987</v>
      </c>
      <c r="AD22" s="127">
        <f t="shared" si="17"/>
        <v>31.983799999999999</v>
      </c>
      <c r="AF22" s="127" t="str">
        <f>IFERROR(W22*'FlightConfig '!$K$3,"")</f>
        <v/>
      </c>
      <c r="AG22" s="127">
        <f>IFERROR(X22*'FlightConfig '!$K$17,"")</f>
        <v>5668.2080000000005</v>
      </c>
      <c r="AH22" s="127">
        <f>IFERROR(Y22*'FlightConfig '!$K$17,"")</f>
        <v>11138.4</v>
      </c>
      <c r="AI22" s="127">
        <f>IFERROR(Z22*'FlightConfig '!$K$17,"")</f>
        <v>4455.3600000000006</v>
      </c>
      <c r="AJ22" s="127">
        <f>IFERROR(AA22*'FlightConfig '!$K$17,"")</f>
        <v>10123.568000000001</v>
      </c>
      <c r="AK22" s="127">
        <f>IFERROR(AB22*'FlightConfig '!$K$17,"")</f>
        <v>850.23119999999926</v>
      </c>
    </row>
    <row r="23" spans="1:37" ht="18" customHeight="1" x14ac:dyDescent="0.25">
      <c r="A23" t="s">
        <v>133</v>
      </c>
      <c r="B23" s="171">
        <v>1</v>
      </c>
      <c r="C23" s="176" t="str">
        <f t="shared" si="4"/>
        <v>BUSINESS CLASS1</v>
      </c>
      <c r="D23" s="172"/>
      <c r="E23" s="304">
        <v>1019</v>
      </c>
      <c r="F23" s="311"/>
      <c r="G23" t="str">
        <f>VLOOKUP(E23,'FG MASTER'!$A$10:$AB$218,2,0)</f>
        <v>BC C1 BREAKFAST ENTRÉE 3 SWEET GREEK YOGURT PARFAIT, MANGO PINEAPPLE CHUTNEY, BLUSBERRY, COCONUT AND OAT GRANOLA</v>
      </c>
      <c r="H23" s="286">
        <v>1</v>
      </c>
      <c r="I23" s="173">
        <v>0.3</v>
      </c>
      <c r="J23" s="292">
        <f>IFERROR(IF(I23="std",H23,HLOOKUP(A23,'FlightConfig '!$B$28:$G$29,2,0)*I23),"")</f>
        <v>10.199999999999999</v>
      </c>
      <c r="K23" s="245">
        <f>VLOOKUP(Food!E23,'FG MASTER'!$A$1:$AC$536,16,0)</f>
        <v>2.15</v>
      </c>
      <c r="L23" s="246">
        <f>VLOOKUP(Food!E23,'FG MASTER'!$A$10:$AC$536,17,0)</f>
        <v>3.25</v>
      </c>
      <c r="M23" s="132">
        <f t="shared" si="0"/>
        <v>1.3</v>
      </c>
      <c r="N23" s="132">
        <f t="shared" si="1"/>
        <v>3.45</v>
      </c>
      <c r="O23" s="132">
        <f t="shared" si="5"/>
        <v>0.32249999999999979</v>
      </c>
      <c r="P23" s="132">
        <f t="shared" si="6"/>
        <v>0.19499999999999984</v>
      </c>
      <c r="Q23" s="132">
        <f t="shared" si="19"/>
        <v>3.9674999999999998</v>
      </c>
      <c r="R23" s="405">
        <f t="shared" si="8"/>
        <v>2.4724999999999997</v>
      </c>
      <c r="S23" s="405">
        <f t="shared" si="9"/>
        <v>1.4949999999999999</v>
      </c>
      <c r="T23" s="405">
        <f t="shared" si="10"/>
        <v>3.9674999999999994</v>
      </c>
      <c r="U23" s="127"/>
      <c r="V23" s="127"/>
      <c r="W23" t="str">
        <f>IFERROR(#REF!*J23,"")</f>
        <v/>
      </c>
      <c r="X23">
        <f t="shared" si="11"/>
        <v>21.929999999999996</v>
      </c>
      <c r="Y23">
        <f t="shared" si="12"/>
        <v>33.15</v>
      </c>
      <c r="Z23" s="127">
        <f t="shared" si="13"/>
        <v>13.26</v>
      </c>
      <c r="AA23" s="127">
        <f t="shared" si="14"/>
        <v>35.19</v>
      </c>
      <c r="AB23" s="127">
        <f t="shared" si="15"/>
        <v>3.2894999999999976</v>
      </c>
      <c r="AC23" s="127">
        <f t="shared" si="16"/>
        <v>1.9889999999999983</v>
      </c>
      <c r="AD23" s="127">
        <f t="shared" si="17"/>
        <v>40.468499999999992</v>
      </c>
      <c r="AF23" s="127" t="str">
        <f>IFERROR(W23*'FlightConfig '!$K$3,"")</f>
        <v/>
      </c>
      <c r="AG23" s="127">
        <f>IFERROR(X23*'FlightConfig '!$K$17,"")</f>
        <v>7982.5199999999986</v>
      </c>
      <c r="AH23" s="127">
        <f>IFERROR(Y23*'FlightConfig '!$K$17,"")</f>
        <v>12066.6</v>
      </c>
      <c r="AI23" s="127">
        <f>IFERROR(Z23*'FlightConfig '!$K$17,"")</f>
        <v>4826.6400000000003</v>
      </c>
      <c r="AJ23" s="127">
        <f>IFERROR(AA23*'FlightConfig '!$K$17,"")</f>
        <v>12809.16</v>
      </c>
      <c r="AK23" s="127">
        <f>IFERROR(AB23*'FlightConfig '!$K$17,"")</f>
        <v>1197.3779999999992</v>
      </c>
    </row>
    <row r="24" spans="1:37" ht="18" customHeight="1" x14ac:dyDescent="0.25">
      <c r="A24" t="s">
        <v>133</v>
      </c>
      <c r="B24" s="171">
        <v>1</v>
      </c>
      <c r="C24" s="176" t="str">
        <f t="shared" si="4"/>
        <v>BUSINESS CLASS1</v>
      </c>
      <c r="D24" s="172"/>
      <c r="E24" s="304">
        <v>1020</v>
      </c>
      <c r="F24" s="311"/>
      <c r="G24" t="str">
        <f>VLOOKUP(E24,'FG MASTER'!$A$10:$AB$218,2,0)</f>
        <v>BC C1 BREAKFAST SIDE 1 FRUIT SEASONAL 4 TYPES 130G</v>
      </c>
      <c r="H24" s="286">
        <v>1</v>
      </c>
      <c r="I24" s="173">
        <v>0.5</v>
      </c>
      <c r="J24" s="292">
        <f>IFERROR(IF(I24="std",H24,HLOOKUP(A24,'FlightConfig '!$B$28:$G$29,2,0)*I24),"")</f>
        <v>17</v>
      </c>
      <c r="K24" s="245">
        <f>VLOOKUP(Food!E24,'FG MASTER'!$A$1:$AC$536,16,0)</f>
        <v>2</v>
      </c>
      <c r="L24" s="246">
        <f>VLOOKUP(Food!E24,'FG MASTER'!$A$10:$AC$536,17,0)</f>
        <v>1.5</v>
      </c>
      <c r="M24" s="132">
        <f t="shared" si="0"/>
        <v>0.60000000000000009</v>
      </c>
      <c r="N24" s="132">
        <f t="shared" si="1"/>
        <v>2.6</v>
      </c>
      <c r="O24" s="132">
        <f t="shared" si="5"/>
        <v>0.29999999999999982</v>
      </c>
      <c r="P24" s="132">
        <f t="shared" si="6"/>
        <v>8.9999999999999969E-2</v>
      </c>
      <c r="Q24" s="132">
        <f>SUM(N24:P24)</f>
        <v>2.9899999999999998</v>
      </c>
      <c r="R24" s="405">
        <f t="shared" si="8"/>
        <v>2.2999999999999998</v>
      </c>
      <c r="S24" s="405">
        <f t="shared" si="9"/>
        <v>0.69000000000000006</v>
      </c>
      <c r="T24" s="405">
        <f t="shared" si="10"/>
        <v>2.9899999999999998</v>
      </c>
      <c r="U24" s="127"/>
      <c r="V24" s="127"/>
      <c r="W24" t="str">
        <f>IFERROR(#REF!*J24,"")</f>
        <v/>
      </c>
      <c r="X24">
        <f t="shared" si="11"/>
        <v>34</v>
      </c>
      <c r="Y24">
        <f t="shared" si="12"/>
        <v>25.5</v>
      </c>
      <c r="Z24" s="127">
        <f t="shared" si="13"/>
        <v>10.200000000000001</v>
      </c>
      <c r="AA24" s="127">
        <f t="shared" si="14"/>
        <v>44.2</v>
      </c>
      <c r="AB24" s="127">
        <f t="shared" si="15"/>
        <v>5.099999999999997</v>
      </c>
      <c r="AC24" s="127">
        <f t="shared" si="16"/>
        <v>1.5299999999999994</v>
      </c>
      <c r="AD24" s="127">
        <f t="shared" si="17"/>
        <v>50.83</v>
      </c>
      <c r="AF24" s="127" t="str">
        <f>IFERROR(W24*'FlightConfig '!$K$3,"")</f>
        <v/>
      </c>
      <c r="AG24" s="127">
        <f>IFERROR(X24*'FlightConfig '!$K$17,"")</f>
        <v>12376</v>
      </c>
      <c r="AH24" s="127">
        <f>IFERROR(Y24*'FlightConfig '!$K$17,"")</f>
        <v>9282</v>
      </c>
      <c r="AI24" s="127">
        <f>IFERROR(Z24*'FlightConfig '!$K$17,"")</f>
        <v>3712.8</v>
      </c>
      <c r="AJ24" s="127">
        <f>IFERROR(AA24*'FlightConfig '!$K$17,"")</f>
        <v>16088.800000000001</v>
      </c>
      <c r="AK24" s="127">
        <f>IFERROR(AB24*'FlightConfig '!$K$17,"")</f>
        <v>1856.399999999999</v>
      </c>
    </row>
    <row r="25" spans="1:37" ht="18" customHeight="1" x14ac:dyDescent="0.25">
      <c r="A25" t="s">
        <v>133</v>
      </c>
      <c r="B25" s="171">
        <v>1</v>
      </c>
      <c r="C25" s="176" t="str">
        <f>CONCATENATE(A25&amp;B25&amp;F25)</f>
        <v>BUSINESS CLASS1</v>
      </c>
      <c r="D25" s="172"/>
      <c r="E25" s="304">
        <v>1021</v>
      </c>
      <c r="F25" s="311"/>
      <c r="G25" t="str">
        <f>VLOOKUP(E25,'FG MASTER'!$A$10:$AB$218,2,0)</f>
        <v>BC C1 BREAKFAST SIDE 2 PEACH AND PECAN SCONE</v>
      </c>
      <c r="H25" s="286">
        <v>1</v>
      </c>
      <c r="I25" s="173">
        <v>0.5</v>
      </c>
      <c r="J25" s="292">
        <f>IFERROR(IF(I25="std",H25,HLOOKUP(A25,'FlightConfig '!$B$28:$G$29,2,0)*I25),"")</f>
        <v>17</v>
      </c>
      <c r="K25" s="245">
        <f>VLOOKUP(Food!E25,'FG MASTER'!$A$1:$AC$536,16,0)</f>
        <v>1.18</v>
      </c>
      <c r="L25" s="246">
        <f>VLOOKUP(Food!E25,'FG MASTER'!$A$10:$AC$536,17,0)</f>
        <v>2</v>
      </c>
      <c r="M25" s="132">
        <f t="shared" si="0"/>
        <v>0.8</v>
      </c>
      <c r="N25" s="132">
        <f t="shared" si="1"/>
        <v>1.98</v>
      </c>
      <c r="O25" s="132">
        <f t="shared" si="5"/>
        <v>0.17699999999999982</v>
      </c>
      <c r="P25" s="132">
        <f t="shared" si="6"/>
        <v>0.11999999999999988</v>
      </c>
      <c r="Q25" s="132">
        <f>SUM(N25:P25)</f>
        <v>2.2770000000000001</v>
      </c>
      <c r="R25" s="405">
        <f t="shared" si="8"/>
        <v>1.3569999999999998</v>
      </c>
      <c r="S25" s="405">
        <f t="shared" si="9"/>
        <v>0.91999999999999993</v>
      </c>
      <c r="T25" s="405">
        <f t="shared" si="10"/>
        <v>2.2769999999999997</v>
      </c>
      <c r="U25" s="127"/>
      <c r="V25" s="127"/>
      <c r="W25" t="str">
        <f>IFERROR(#REF!*J25,"")</f>
        <v/>
      </c>
      <c r="X25">
        <f t="shared" si="11"/>
        <v>20.059999999999999</v>
      </c>
      <c r="Y25">
        <f t="shared" si="12"/>
        <v>34</v>
      </c>
      <c r="Z25" s="127">
        <f t="shared" si="13"/>
        <v>13.600000000000001</v>
      </c>
      <c r="AA25" s="127">
        <f t="shared" si="14"/>
        <v>33.659999999999997</v>
      </c>
      <c r="AB25" s="127">
        <f t="shared" si="15"/>
        <v>3.0089999999999968</v>
      </c>
      <c r="AC25" s="127">
        <f t="shared" si="16"/>
        <v>2.0399999999999983</v>
      </c>
      <c r="AD25" s="127">
        <f t="shared" si="17"/>
        <v>38.709000000000003</v>
      </c>
      <c r="AF25" s="127" t="str">
        <f>IFERROR(W25*'FlightConfig '!$K$3,"")</f>
        <v/>
      </c>
      <c r="AG25" s="127">
        <f>IFERROR(X25*'FlightConfig '!$K$17,"")</f>
        <v>7301.8399999999992</v>
      </c>
      <c r="AH25" s="127">
        <f>IFERROR(Y25*'FlightConfig '!$K$17,"")</f>
        <v>12376</v>
      </c>
      <c r="AI25" s="127">
        <f>IFERROR(Z25*'FlightConfig '!$K$17,"")</f>
        <v>4950.4000000000005</v>
      </c>
      <c r="AJ25" s="127">
        <f>IFERROR(AA25*'FlightConfig '!$K$17,"")</f>
        <v>12252.239999999998</v>
      </c>
      <c r="AK25" s="127">
        <f>IFERROR(AB25*'FlightConfig '!$K$17,"")</f>
        <v>1095.2759999999989</v>
      </c>
    </row>
    <row r="26" spans="1:37" ht="18" customHeight="1" x14ac:dyDescent="0.25">
      <c r="A26" t="s">
        <v>133</v>
      </c>
      <c r="B26" s="171">
        <v>1</v>
      </c>
      <c r="C26" s="176" t="str">
        <f t="shared" ref="C26:C27" si="20">CONCATENATE(A26&amp;B26&amp;F26)</f>
        <v>BUSINESS CLASS1</v>
      </c>
      <c r="D26" s="172"/>
      <c r="E26" s="304">
        <v>1022</v>
      </c>
      <c r="F26" s="311"/>
      <c r="G26" t="str">
        <f>VLOOKUP(E26,'FG MASTER'!$A$10:$AB$218,2,0)</f>
        <v xml:space="preserve">BC C1 BREAKFAST SIDE 3 YOGURT </v>
      </c>
      <c r="H26" s="286">
        <v>1</v>
      </c>
      <c r="I26" s="173">
        <v>0</v>
      </c>
      <c r="J26" s="292">
        <f>IFERROR(IF(I26="std",H26,HLOOKUP(A26,'FlightConfig '!$B$28:$G$29,2,0)*I26),"")</f>
        <v>0</v>
      </c>
      <c r="K26" s="245">
        <f>VLOOKUP(Food!E26,'FG MASTER'!$A$1:$AC$536,16,0)</f>
        <v>0.44</v>
      </c>
      <c r="L26" s="246">
        <f>VLOOKUP(Food!E26,'FG MASTER'!$A$10:$AC$536,17,0)</f>
        <v>0.5</v>
      </c>
      <c r="M26" s="132">
        <f t="shared" si="0"/>
        <v>0.2</v>
      </c>
      <c r="N26" s="132">
        <f t="shared" si="1"/>
        <v>0.64</v>
      </c>
      <c r="O26" s="132">
        <f t="shared" si="5"/>
        <v>6.6000000000000003E-2</v>
      </c>
      <c r="P26" s="132">
        <f t="shared" si="6"/>
        <v>2.9999999999999971E-2</v>
      </c>
      <c r="Q26" s="132">
        <f t="shared" ref="Q26:Q27" si="21">SUM(N26:P26)</f>
        <v>0.73599999999999999</v>
      </c>
      <c r="R26" s="405">
        <f t="shared" si="8"/>
        <v>0.50600000000000001</v>
      </c>
      <c r="S26" s="405">
        <f t="shared" si="9"/>
        <v>0.22999999999999998</v>
      </c>
      <c r="T26" s="405">
        <f t="shared" si="10"/>
        <v>0.73599999999999999</v>
      </c>
      <c r="U26" s="127"/>
      <c r="V26" s="127"/>
      <c r="W26" t="str">
        <f>IFERROR(#REF!*J26,"")</f>
        <v/>
      </c>
      <c r="X26">
        <f t="shared" si="11"/>
        <v>0</v>
      </c>
      <c r="Y26">
        <f t="shared" si="12"/>
        <v>0</v>
      </c>
      <c r="Z26" s="127">
        <f t="shared" si="13"/>
        <v>0</v>
      </c>
      <c r="AA26" s="127">
        <f t="shared" si="14"/>
        <v>0</v>
      </c>
      <c r="AB26" s="127">
        <f t="shared" si="15"/>
        <v>0</v>
      </c>
      <c r="AC26" s="127">
        <f t="shared" si="16"/>
        <v>0</v>
      </c>
      <c r="AD26" s="127">
        <f t="shared" si="17"/>
        <v>0</v>
      </c>
      <c r="AF26" s="127" t="str">
        <f>IFERROR(W26*'FlightConfig '!$K$3,"")</f>
        <v/>
      </c>
      <c r="AG26" s="127">
        <f>IFERROR(X26*'FlightConfig '!$K$17,"")</f>
        <v>0</v>
      </c>
      <c r="AH26" s="127">
        <f>IFERROR(Y26*'FlightConfig '!$K$17,"")</f>
        <v>0</v>
      </c>
      <c r="AI26" s="127">
        <f>IFERROR(Z26*'FlightConfig '!$K$17,"")</f>
        <v>0</v>
      </c>
      <c r="AJ26" s="127">
        <f>IFERROR(AA26*'FlightConfig '!$K$17,"")</f>
        <v>0</v>
      </c>
      <c r="AK26" s="127">
        <f>IFERROR(AB26*'FlightConfig '!$K$17,"")</f>
        <v>0</v>
      </c>
    </row>
    <row r="27" spans="1:37" ht="18" customHeight="1" x14ac:dyDescent="0.25">
      <c r="A27" t="s">
        <v>133</v>
      </c>
      <c r="B27" s="171">
        <v>1</v>
      </c>
      <c r="C27" s="176" t="str">
        <f t="shared" si="20"/>
        <v>BUSINESS CLASS1</v>
      </c>
      <c r="D27" s="172"/>
      <c r="E27" s="304">
        <v>1023</v>
      </c>
      <c r="F27" s="311"/>
      <c r="G27" t="str">
        <f>VLOOKUP(E27,'FG MASTER'!$A$10:$AB$218,2,0)</f>
        <v xml:space="preserve">BC C1 BREAKFAST SIDE 4 HOMEMADE GRANOLA </v>
      </c>
      <c r="H27" s="286">
        <v>1</v>
      </c>
      <c r="I27" s="173">
        <v>0</v>
      </c>
      <c r="J27" s="292">
        <f>IFERROR(IF(I27="std",H27,HLOOKUP(A27,'FlightConfig '!$B$28:$G$29,2,0)*I27),"")</f>
        <v>0</v>
      </c>
      <c r="K27" s="245">
        <f>VLOOKUP(Food!E27,'FG MASTER'!$A$1:$AC$536,16,0)</f>
        <v>0.78</v>
      </c>
      <c r="L27" s="246">
        <f>VLOOKUP(Food!E27,'FG MASTER'!$A$10:$AC$536,17,0)</f>
        <v>0.75</v>
      </c>
      <c r="M27" s="132">
        <f t="shared" si="0"/>
        <v>0.30000000000000004</v>
      </c>
      <c r="N27" s="132">
        <f t="shared" si="1"/>
        <v>1.08</v>
      </c>
      <c r="O27" s="132">
        <f t="shared" si="5"/>
        <v>0.11699999999999988</v>
      </c>
      <c r="P27" s="132">
        <f t="shared" si="6"/>
        <v>4.4999999999999984E-2</v>
      </c>
      <c r="Q27" s="132">
        <f t="shared" si="21"/>
        <v>1.242</v>
      </c>
      <c r="R27" s="405">
        <f t="shared" si="8"/>
        <v>0.89699999999999991</v>
      </c>
      <c r="S27" s="405">
        <f t="shared" si="9"/>
        <v>0.34500000000000003</v>
      </c>
      <c r="T27" s="405">
        <f t="shared" si="10"/>
        <v>1.242</v>
      </c>
      <c r="U27" s="127"/>
      <c r="V27" s="127"/>
      <c r="W27" t="str">
        <f>IFERROR(#REF!*J27,"")</f>
        <v/>
      </c>
      <c r="X27">
        <f t="shared" si="11"/>
        <v>0</v>
      </c>
      <c r="Y27">
        <f t="shared" si="12"/>
        <v>0</v>
      </c>
      <c r="Z27" s="127">
        <f t="shared" si="13"/>
        <v>0</v>
      </c>
      <c r="AA27" s="127">
        <f t="shared" si="14"/>
        <v>0</v>
      </c>
      <c r="AB27" s="127">
        <f t="shared" si="15"/>
        <v>0</v>
      </c>
      <c r="AC27" s="127">
        <f t="shared" si="16"/>
        <v>0</v>
      </c>
      <c r="AD27" s="127">
        <f t="shared" si="17"/>
        <v>0</v>
      </c>
      <c r="AF27" s="127" t="str">
        <f>IFERROR(W27*'FlightConfig '!$K$3,"")</f>
        <v/>
      </c>
      <c r="AG27" s="127">
        <f>IFERROR(X27*'FlightConfig '!$K$17,"")</f>
        <v>0</v>
      </c>
      <c r="AH27" s="127">
        <f>IFERROR(Y27*'FlightConfig '!$K$17,"")</f>
        <v>0</v>
      </c>
      <c r="AI27" s="127">
        <f>IFERROR(Z27*'FlightConfig '!$K$17,"")</f>
        <v>0</v>
      </c>
      <c r="AJ27" s="127">
        <f>IFERROR(AA27*'FlightConfig '!$K$17,"")</f>
        <v>0</v>
      </c>
      <c r="AK27" s="127">
        <f>IFERROR(AB27*'FlightConfig '!$K$17,"")</f>
        <v>0</v>
      </c>
    </row>
    <row r="28" spans="1:37" ht="18" customHeight="1" x14ac:dyDescent="0.25">
      <c r="A28" t="s">
        <v>133</v>
      </c>
      <c r="B28" s="171">
        <v>1</v>
      </c>
      <c r="C28" s="176" t="str">
        <f>CONCATENATE(A28&amp;B28&amp;F28)</f>
        <v>BUSINESS CLASS1</v>
      </c>
      <c r="D28" s="172"/>
      <c r="E28" s="304">
        <v>1024</v>
      </c>
      <c r="F28" s="311"/>
      <c r="G28" t="str">
        <f>VLOOKUP(E28,'FG MASTER'!$A$10:$AB$218,2,0)</f>
        <v>BC C1 BREAKFAST SIDE 5 MAPLE CINNAMON BIRCHER MUESLI</v>
      </c>
      <c r="H28" s="286">
        <v>1</v>
      </c>
      <c r="I28" s="173">
        <v>0</v>
      </c>
      <c r="J28" s="292">
        <f>IFERROR(IF(I28="std",H28,HLOOKUP(A28,'FlightConfig '!$B$28:$G$29,2,0)*I28),"")</f>
        <v>0</v>
      </c>
      <c r="K28" s="245">
        <f>VLOOKUP(Food!E28,'FG MASTER'!$A$1:$AC$536,16,0)</f>
        <v>0.85</v>
      </c>
      <c r="L28" s="246">
        <f>VLOOKUP(Food!E28,'FG MASTER'!$A$10:$AC$536,17,0)</f>
        <v>1</v>
      </c>
      <c r="M28" s="132">
        <f>IFERROR(L28*$M$2,"")</f>
        <v>0.4</v>
      </c>
      <c r="N28" s="132">
        <f>IFERROR((K28)+M28,"")</f>
        <v>1.25</v>
      </c>
      <c r="O28" s="132">
        <f t="shared" si="5"/>
        <v>0.12749999999999995</v>
      </c>
      <c r="P28" s="132">
        <f t="shared" si="6"/>
        <v>5.9999999999999942E-2</v>
      </c>
      <c r="Q28" s="132">
        <f>SUM(N28:P28)</f>
        <v>1.4375</v>
      </c>
      <c r="R28" s="405">
        <f t="shared" si="8"/>
        <v>0.97749999999999992</v>
      </c>
      <c r="S28" s="405">
        <f t="shared" si="9"/>
        <v>0.45999999999999996</v>
      </c>
      <c r="T28" s="405">
        <f t="shared" si="10"/>
        <v>1.4375</v>
      </c>
      <c r="U28" s="127"/>
      <c r="V28" s="127"/>
      <c r="W28" t="str">
        <f>IFERROR(#REF!*J28,"")</f>
        <v/>
      </c>
      <c r="X28">
        <f t="shared" si="11"/>
        <v>0</v>
      </c>
      <c r="Y28">
        <f t="shared" si="12"/>
        <v>0</v>
      </c>
      <c r="Z28" s="127">
        <f t="shared" si="13"/>
        <v>0</v>
      </c>
      <c r="AA28" s="127">
        <f t="shared" si="14"/>
        <v>0</v>
      </c>
      <c r="AB28" s="127">
        <f t="shared" si="15"/>
        <v>0</v>
      </c>
      <c r="AC28" s="127">
        <f t="shared" si="16"/>
        <v>0</v>
      </c>
      <c r="AD28" s="127">
        <f t="shared" si="17"/>
        <v>0</v>
      </c>
      <c r="AF28" s="127" t="str">
        <f>IFERROR(W28*'FlightConfig '!$K$3,"")</f>
        <v/>
      </c>
      <c r="AG28" s="127">
        <f>IFERROR(X28*'FlightConfig '!$K$17,"")</f>
        <v>0</v>
      </c>
      <c r="AH28" s="127">
        <f>IFERROR(Y28*'FlightConfig '!$K$17,"")</f>
        <v>0</v>
      </c>
      <c r="AI28" s="127">
        <f>IFERROR(Z28*'FlightConfig '!$K$17,"")</f>
        <v>0</v>
      </c>
      <c r="AJ28" s="127">
        <f>IFERROR(AA28*'FlightConfig '!$K$17,"")</f>
        <v>0</v>
      </c>
      <c r="AK28" s="127">
        <f>IFERROR(AB28*'FlightConfig '!$K$17,"")</f>
        <v>0</v>
      </c>
    </row>
    <row r="29" spans="1:37" ht="18" customHeight="1" x14ac:dyDescent="0.25">
      <c r="A29" t="s">
        <v>133</v>
      </c>
      <c r="B29" s="171">
        <v>1</v>
      </c>
      <c r="C29" s="176" t="str">
        <f t="shared" ref="C29:C47" si="22">CONCATENATE(A29&amp;B29&amp;F29)</f>
        <v>BUSINESS CLASS1</v>
      </c>
      <c r="D29" s="172"/>
      <c r="E29" s="304">
        <v>1025</v>
      </c>
      <c r="F29" s="311"/>
      <c r="G29" t="str">
        <f>VLOOKUP(E29,'FG MASTER'!$A$10:$AB$218,2,0)</f>
        <v>BC C1 BREAKFAST SIDE 6 CORN FLAKES</v>
      </c>
      <c r="H29" s="286">
        <v>1</v>
      </c>
      <c r="I29" s="173">
        <v>0</v>
      </c>
      <c r="J29" s="292">
        <f>IFERROR(IF(I29="std",H29,HLOOKUP(A29,'FlightConfig '!$B$28:$G$29,2,0)*I29),"")</f>
        <v>0</v>
      </c>
      <c r="K29" s="245">
        <f>VLOOKUP(Food!E29,'FG MASTER'!$A$1:$AC$536,16,0)</f>
        <v>0.69</v>
      </c>
      <c r="L29" s="246">
        <f>VLOOKUP(Food!E29,'FG MASTER'!$A$10:$AC$536,17,0)</f>
        <v>0.25</v>
      </c>
      <c r="M29" s="132">
        <f t="shared" ref="M29:M45" si="23">IFERROR(L29*$M$2,"")</f>
        <v>0.1</v>
      </c>
      <c r="N29" s="132">
        <f t="shared" ref="N29:N47" si="24">IFERROR((K29)+M29,"")</f>
        <v>0.78999999999999992</v>
      </c>
      <c r="O29" s="132">
        <f t="shared" si="5"/>
        <v>0.10349999999999993</v>
      </c>
      <c r="P29" s="132">
        <f t="shared" si="6"/>
        <v>1.4999999999999986E-2</v>
      </c>
      <c r="Q29" s="132">
        <f t="shared" ref="Q29:Q32" si="25">SUM(N29:P29)</f>
        <v>0.90849999999999986</v>
      </c>
      <c r="R29" s="405">
        <f t="shared" si="8"/>
        <v>0.79349999999999987</v>
      </c>
      <c r="S29" s="405">
        <f t="shared" si="9"/>
        <v>0.11499999999999999</v>
      </c>
      <c r="T29" s="405">
        <f t="shared" si="10"/>
        <v>0.90849999999999986</v>
      </c>
      <c r="U29" s="127"/>
      <c r="V29" s="127"/>
      <c r="W29" t="str">
        <f>IFERROR(#REF!*J29,"")</f>
        <v/>
      </c>
      <c r="X29">
        <f t="shared" si="11"/>
        <v>0</v>
      </c>
      <c r="Y29">
        <f t="shared" si="12"/>
        <v>0</v>
      </c>
      <c r="Z29" s="127">
        <f t="shared" si="13"/>
        <v>0</v>
      </c>
      <c r="AA29" s="127">
        <f t="shared" si="14"/>
        <v>0</v>
      </c>
      <c r="AB29" s="127">
        <f t="shared" si="15"/>
        <v>0</v>
      </c>
      <c r="AC29" s="127">
        <f t="shared" si="16"/>
        <v>0</v>
      </c>
      <c r="AD29" s="127">
        <f t="shared" si="17"/>
        <v>0</v>
      </c>
      <c r="AF29" s="127" t="str">
        <f>IFERROR(W29*'FlightConfig '!$K$3,"")</f>
        <v/>
      </c>
      <c r="AG29" s="127">
        <f>IFERROR(X29*'FlightConfig '!$K$17,"")</f>
        <v>0</v>
      </c>
      <c r="AH29" s="127">
        <f>IFERROR(Y29*'FlightConfig '!$K$17,"")</f>
        <v>0</v>
      </c>
      <c r="AI29" s="127">
        <f>IFERROR(Z29*'FlightConfig '!$K$17,"")</f>
        <v>0</v>
      </c>
      <c r="AJ29" s="127">
        <f>IFERROR(AA29*'FlightConfig '!$K$17,"")</f>
        <v>0</v>
      </c>
      <c r="AK29" s="127">
        <f>IFERROR(AB29*'FlightConfig '!$K$17,"")</f>
        <v>0</v>
      </c>
    </row>
    <row r="30" spans="1:37" ht="18" customHeight="1" x14ac:dyDescent="0.25">
      <c r="A30" t="s">
        <v>133</v>
      </c>
      <c r="B30" s="171">
        <v>1</v>
      </c>
      <c r="C30" s="176" t="str">
        <f t="shared" si="22"/>
        <v>BUSINESS CLASS1</v>
      </c>
      <c r="D30" s="172"/>
      <c r="E30" s="304">
        <v>1026</v>
      </c>
      <c r="F30" s="311"/>
      <c r="G30" t="str">
        <f>VLOOKUP(E30,'FG MASTER'!$A$10:$AB$218,2,0)</f>
        <v>BC C1 BREAKFAST SIDE OPTION 1 FIRED CHICKEN BISCUIT WITH TOMATO JAM</v>
      </c>
      <c r="H30" s="286">
        <v>1</v>
      </c>
      <c r="I30" s="173">
        <v>0</v>
      </c>
      <c r="J30" s="292">
        <f>IFERROR(IF(I30="std",H30,HLOOKUP(A30,'FlightConfig '!$B$28:$G$29,2,0)*I30),"")</f>
        <v>0</v>
      </c>
      <c r="K30" s="245">
        <f>VLOOKUP(Food!E30,'FG MASTER'!$A$1:$AC$536,16,0)</f>
        <v>1.1399999999999999</v>
      </c>
      <c r="L30" s="246">
        <f>VLOOKUP(Food!E30,'FG MASTER'!$A$10:$AC$536,17,0)</f>
        <v>2</v>
      </c>
      <c r="M30" s="132">
        <f t="shared" si="23"/>
        <v>0.8</v>
      </c>
      <c r="N30" s="132">
        <f t="shared" si="24"/>
        <v>1.94</v>
      </c>
      <c r="O30" s="132">
        <f t="shared" si="5"/>
        <v>0.17099999999999982</v>
      </c>
      <c r="P30" s="132">
        <f t="shared" si="6"/>
        <v>0.11999999999999988</v>
      </c>
      <c r="Q30" s="132">
        <f t="shared" si="25"/>
        <v>2.2309999999999999</v>
      </c>
      <c r="R30" s="405">
        <f t="shared" si="8"/>
        <v>1.3109999999999997</v>
      </c>
      <c r="S30" s="405">
        <f t="shared" si="9"/>
        <v>0.91999999999999993</v>
      </c>
      <c r="T30" s="405">
        <f t="shared" si="10"/>
        <v>2.2309999999999999</v>
      </c>
      <c r="U30" s="127"/>
      <c r="V30" s="127"/>
      <c r="W30" t="str">
        <f>IFERROR(#REF!*J30,"")</f>
        <v/>
      </c>
      <c r="X30">
        <f t="shared" si="11"/>
        <v>0</v>
      </c>
      <c r="Y30">
        <f t="shared" si="12"/>
        <v>0</v>
      </c>
      <c r="Z30" s="127">
        <f t="shared" si="13"/>
        <v>0</v>
      </c>
      <c r="AA30" s="127">
        <f t="shared" si="14"/>
        <v>0</v>
      </c>
      <c r="AB30" s="127">
        <f t="shared" si="15"/>
        <v>0</v>
      </c>
      <c r="AC30" s="127">
        <f t="shared" si="16"/>
        <v>0</v>
      </c>
      <c r="AD30" s="127">
        <f t="shared" si="17"/>
        <v>0</v>
      </c>
      <c r="AF30" s="127" t="str">
        <f>IFERROR(W30*'FlightConfig '!$K$3,"")</f>
        <v/>
      </c>
      <c r="AG30" s="127">
        <f>IFERROR(X30*'FlightConfig '!$K$17,"")</f>
        <v>0</v>
      </c>
      <c r="AH30" s="127">
        <f>IFERROR(Y30*'FlightConfig '!$K$17,"")</f>
        <v>0</v>
      </c>
      <c r="AI30" s="127">
        <f>IFERROR(Z30*'FlightConfig '!$K$17,"")</f>
        <v>0</v>
      </c>
      <c r="AJ30" s="127">
        <f>IFERROR(AA30*'FlightConfig '!$K$17,"")</f>
        <v>0</v>
      </c>
      <c r="AK30" s="127">
        <f>IFERROR(AB30*'FlightConfig '!$K$17,"")</f>
        <v>0</v>
      </c>
    </row>
    <row r="31" spans="1:37" ht="18" customHeight="1" x14ac:dyDescent="0.25">
      <c r="A31" t="s">
        <v>133</v>
      </c>
      <c r="B31" s="171">
        <v>1</v>
      </c>
      <c r="C31" s="176" t="str">
        <f t="shared" si="22"/>
        <v>BUSINESS CLASS1</v>
      </c>
      <c r="D31" s="172"/>
      <c r="E31" s="305">
        <v>1027</v>
      </c>
      <c r="F31" s="311"/>
      <c r="G31" t="str">
        <f>VLOOKUP(E31,'FG MASTER'!$A$10:$AB$218,2,0)</f>
        <v xml:space="preserve">BC C1 BREAKFAST SIDE OPTION 2 CHOCOLATE CROISSANT </v>
      </c>
      <c r="H31" s="286">
        <v>1</v>
      </c>
      <c r="I31" s="173">
        <v>0</v>
      </c>
      <c r="J31" s="292">
        <f>IFERROR(IF(I31="std",H31,HLOOKUP(A31,'FlightConfig '!$B$28:$G$29,2,0)*I31),"")</f>
        <v>0</v>
      </c>
      <c r="K31" s="245">
        <f>VLOOKUP(Food!E31,'FG MASTER'!$A$1:$AC$536,16,0)</f>
        <v>1.1599999999999999</v>
      </c>
      <c r="L31" s="246">
        <f>VLOOKUP(Food!E31,'FG MASTER'!$A$10:$AC$536,17,0)</f>
        <v>0.5</v>
      </c>
      <c r="M31" s="132">
        <f t="shared" si="23"/>
        <v>0.2</v>
      </c>
      <c r="N31" s="132">
        <f t="shared" si="24"/>
        <v>1.3599999999999999</v>
      </c>
      <c r="O31" s="132">
        <f t="shared" si="5"/>
        <v>0.17399999999999993</v>
      </c>
      <c r="P31" s="132">
        <f t="shared" si="6"/>
        <v>2.9999999999999971E-2</v>
      </c>
      <c r="Q31" s="132">
        <f t="shared" si="25"/>
        <v>1.5639999999999998</v>
      </c>
      <c r="R31" s="405">
        <f t="shared" si="8"/>
        <v>1.3339999999999999</v>
      </c>
      <c r="S31" s="405">
        <f t="shared" si="9"/>
        <v>0.22999999999999998</v>
      </c>
      <c r="T31" s="405">
        <f t="shared" si="10"/>
        <v>1.5639999999999998</v>
      </c>
      <c r="U31" s="127"/>
      <c r="V31" s="127"/>
      <c r="W31" t="str">
        <f>IFERROR(#REF!*J31,"")</f>
        <v/>
      </c>
      <c r="X31">
        <f t="shared" si="11"/>
        <v>0</v>
      </c>
      <c r="Y31">
        <f t="shared" si="12"/>
        <v>0</v>
      </c>
      <c r="Z31" s="127">
        <f t="shared" si="13"/>
        <v>0</v>
      </c>
      <c r="AA31" s="127">
        <f t="shared" si="14"/>
        <v>0</v>
      </c>
      <c r="AB31" s="127">
        <f t="shared" si="15"/>
        <v>0</v>
      </c>
      <c r="AC31" s="127">
        <f t="shared" si="16"/>
        <v>0</v>
      </c>
      <c r="AD31" s="127">
        <f t="shared" si="17"/>
        <v>0</v>
      </c>
      <c r="AF31" s="127" t="str">
        <f>IFERROR(W31*'FlightConfig '!$K$3,"")</f>
        <v/>
      </c>
      <c r="AG31" s="127">
        <f>IFERROR(X31*'FlightConfig '!$K$17,"")</f>
        <v>0</v>
      </c>
      <c r="AH31" s="127">
        <f>IFERROR(Y31*'FlightConfig '!$K$17,"")</f>
        <v>0</v>
      </c>
      <c r="AI31" s="127">
        <f>IFERROR(Z31*'FlightConfig '!$K$17,"")</f>
        <v>0</v>
      </c>
      <c r="AJ31" s="127">
        <f>IFERROR(AA31*'FlightConfig '!$K$17,"")</f>
        <v>0</v>
      </c>
      <c r="AK31" s="127">
        <f>IFERROR(AB31*'FlightConfig '!$K$17,"")</f>
        <v>0</v>
      </c>
    </row>
    <row r="32" spans="1:37" ht="18" customHeight="1" x14ac:dyDescent="0.25">
      <c r="A32" t="s">
        <v>134</v>
      </c>
      <c r="B32" s="171">
        <v>1</v>
      </c>
      <c r="C32" s="176" t="str">
        <f t="shared" si="22"/>
        <v>PREMIUM ECONOMY CLASS1</v>
      </c>
      <c r="D32" s="312"/>
      <c r="E32" s="305">
        <v>1028</v>
      </c>
      <c r="F32" s="311"/>
      <c r="G32" t="str">
        <f>VLOOKUP(E32,'FG MASTER'!$A$10:$AB$218,2,0)</f>
        <v xml:space="preserve">PY C1 DINNER GEORGIA PEACH CHILI WHIPPED BUTTER </v>
      </c>
      <c r="H32" s="286">
        <v>1</v>
      </c>
      <c r="I32" s="173">
        <v>1</v>
      </c>
      <c r="J32" s="292">
        <f>IFERROR(IF(I32="std",H32,HLOOKUP(A32,'FlightConfig '!$B$28:$G$29,2,0)*I32),"")</f>
        <v>48</v>
      </c>
      <c r="K32" s="245">
        <f>VLOOKUP(Food!E32,'FG MASTER'!$A$1:$AC$536,16,0)</f>
        <v>0.47</v>
      </c>
      <c r="L32" s="246">
        <f>VLOOKUP(Food!E32,'FG MASTER'!$A$10:$AC$536,17,0)</f>
        <v>0.5</v>
      </c>
      <c r="M32" s="132">
        <f t="shared" si="23"/>
        <v>0.2</v>
      </c>
      <c r="N32" s="132">
        <f t="shared" si="24"/>
        <v>0.66999999999999993</v>
      </c>
      <c r="O32" s="132">
        <f t="shared" si="5"/>
        <v>7.0500000000000007E-2</v>
      </c>
      <c r="P32" s="132">
        <f t="shared" si="6"/>
        <v>2.9999999999999971E-2</v>
      </c>
      <c r="Q32" s="132">
        <f t="shared" si="25"/>
        <v>0.77049999999999996</v>
      </c>
      <c r="R32" s="405">
        <f t="shared" si="8"/>
        <v>0.54049999999999998</v>
      </c>
      <c r="S32" s="405">
        <f t="shared" si="9"/>
        <v>0.22999999999999998</v>
      </c>
      <c r="T32" s="405">
        <f t="shared" si="10"/>
        <v>0.77049999999999996</v>
      </c>
      <c r="U32" s="127"/>
      <c r="V32" s="127"/>
      <c r="W32" t="str">
        <f>IFERROR(#REF!*J32,"")</f>
        <v/>
      </c>
      <c r="X32">
        <f t="shared" si="11"/>
        <v>22.56</v>
      </c>
      <c r="Y32">
        <f t="shared" si="12"/>
        <v>24</v>
      </c>
      <c r="Z32" s="127">
        <f t="shared" si="13"/>
        <v>9.6000000000000014</v>
      </c>
      <c r="AA32" s="127">
        <f t="shared" si="14"/>
        <v>32.159999999999997</v>
      </c>
      <c r="AB32" s="127">
        <f t="shared" si="15"/>
        <v>3.3840000000000003</v>
      </c>
      <c r="AC32" s="127">
        <f t="shared" si="16"/>
        <v>1.4399999999999986</v>
      </c>
      <c r="AD32" s="127">
        <f t="shared" si="17"/>
        <v>36.983999999999995</v>
      </c>
      <c r="AF32" s="127" t="str">
        <f>IFERROR(W32*'FlightConfig '!$K$3,"")</f>
        <v/>
      </c>
      <c r="AG32" s="127">
        <f>IFERROR(X32*'FlightConfig '!$K$17,"")</f>
        <v>8211.84</v>
      </c>
      <c r="AH32" s="127">
        <f>IFERROR(Y32*'FlightConfig '!$K$17,"")</f>
        <v>8736</v>
      </c>
      <c r="AI32" s="127">
        <f>IFERROR(Z32*'FlightConfig '!$K$17,"")</f>
        <v>3494.4000000000005</v>
      </c>
      <c r="AJ32" s="127">
        <f>IFERROR(AA32*'FlightConfig '!$K$17,"")</f>
        <v>11706.239999999998</v>
      </c>
      <c r="AK32" s="127">
        <f>IFERROR(AB32*'FlightConfig '!$K$17,"")</f>
        <v>1231.7760000000001</v>
      </c>
    </row>
    <row r="33" spans="1:37" ht="18" customHeight="1" x14ac:dyDescent="0.25">
      <c r="A33" t="s">
        <v>134</v>
      </c>
      <c r="B33" s="171">
        <v>1</v>
      </c>
      <c r="C33" s="176" t="str">
        <f t="shared" si="22"/>
        <v>PREMIUM ECONOMY CLASS1</v>
      </c>
      <c r="D33" s="312"/>
      <c r="E33" s="305">
        <v>1029</v>
      </c>
      <c r="F33" s="311"/>
      <c r="G33" t="str">
        <f>VLOOKUP(E33,'FG MASTER'!$A$10:$AB$218,2,0)</f>
        <v xml:space="preserve">PY C1 DINNER SWEETWATER BEET AND CHEESE ROLL </v>
      </c>
      <c r="H33" s="286">
        <v>1</v>
      </c>
      <c r="I33" s="173">
        <v>1</v>
      </c>
      <c r="J33" s="292">
        <f>IFERROR(IF(I33="std",H33,HLOOKUP(A33,'FlightConfig '!$B$28:$G$29,2,0)*I33),"")</f>
        <v>48</v>
      </c>
      <c r="K33" s="245">
        <f>VLOOKUP(Food!E33,'FG MASTER'!$A$1:$AC$536,16,0)</f>
        <v>0.3</v>
      </c>
      <c r="L33" s="246">
        <f>VLOOKUP(Food!E33,'FG MASTER'!$A$10:$AC$536,17,0)</f>
        <v>0.25</v>
      </c>
      <c r="M33" s="132">
        <f t="shared" si="23"/>
        <v>0.1</v>
      </c>
      <c r="N33" s="132">
        <f t="shared" si="24"/>
        <v>0.4</v>
      </c>
      <c r="O33" s="132">
        <f t="shared" si="5"/>
        <v>4.4999999999999984E-2</v>
      </c>
      <c r="P33" s="132">
        <f t="shared" si="6"/>
        <v>1.4999999999999986E-2</v>
      </c>
      <c r="Q33" s="132">
        <f t="shared" ref="Q33:Q69" si="26">SUM(N33:P33)</f>
        <v>0.45999999999999996</v>
      </c>
      <c r="R33" s="405">
        <f t="shared" si="8"/>
        <v>0.34499999999999997</v>
      </c>
      <c r="S33" s="405">
        <f t="shared" si="9"/>
        <v>0.11499999999999999</v>
      </c>
      <c r="T33" s="405">
        <f t="shared" si="10"/>
        <v>0.45999999999999996</v>
      </c>
      <c r="U33" s="127"/>
      <c r="V33" s="127"/>
      <c r="W33" t="str">
        <f>IFERROR(#REF!*J33,"")</f>
        <v/>
      </c>
      <c r="X33">
        <f t="shared" si="11"/>
        <v>14.399999999999999</v>
      </c>
      <c r="Y33">
        <f t="shared" si="12"/>
        <v>12</v>
      </c>
      <c r="Z33" s="127">
        <f t="shared" si="13"/>
        <v>4.8000000000000007</v>
      </c>
      <c r="AA33" s="127">
        <f t="shared" si="14"/>
        <v>19.200000000000003</v>
      </c>
      <c r="AB33" s="127">
        <f t="shared" si="15"/>
        <v>2.1599999999999993</v>
      </c>
      <c r="AC33" s="127">
        <f t="shared" si="16"/>
        <v>0.71999999999999931</v>
      </c>
      <c r="AD33" s="127">
        <f t="shared" si="17"/>
        <v>22.08</v>
      </c>
      <c r="AF33" s="127" t="str">
        <f>IFERROR(W33*'FlightConfig '!$K$3,"")</f>
        <v/>
      </c>
      <c r="AG33" s="127">
        <f>IFERROR(X33*'FlightConfig '!$K$17,"")</f>
        <v>5241.5999999999995</v>
      </c>
      <c r="AH33" s="127">
        <f>IFERROR(Y33*'FlightConfig '!$K$17,"")</f>
        <v>4368</v>
      </c>
      <c r="AI33" s="127">
        <f>IFERROR(Z33*'FlightConfig '!$K$17,"")</f>
        <v>1747.2000000000003</v>
      </c>
      <c r="AJ33" s="127">
        <f>IFERROR(AA33*'FlightConfig '!$K$17,"")</f>
        <v>6988.8000000000011</v>
      </c>
      <c r="AK33" s="127">
        <f>IFERROR(AB33*'FlightConfig '!$K$17,"")</f>
        <v>786.23999999999978</v>
      </c>
    </row>
    <row r="34" spans="1:37" ht="18" customHeight="1" x14ac:dyDescent="0.25">
      <c r="A34" t="s">
        <v>134</v>
      </c>
      <c r="B34" s="171">
        <v>1</v>
      </c>
      <c r="C34" s="176" t="str">
        <f t="shared" si="22"/>
        <v>PREMIUM ECONOMY CLASS1</v>
      </c>
      <c r="D34" s="312"/>
      <c r="E34" s="305">
        <v>1030</v>
      </c>
      <c r="F34" s="311"/>
      <c r="G34" t="str">
        <f>VLOOKUP(E34,'FG MASTER'!$A$10:$AB$218,2,0)</f>
        <v xml:space="preserve">PY C1 DINNER STARTER MESCLUN MIX WITH CUCUMBER, CARROT AND BOCCONCINI MOZAZARELLA BALL </v>
      </c>
      <c r="H34" s="286">
        <v>1</v>
      </c>
      <c r="I34" s="173">
        <v>1</v>
      </c>
      <c r="J34" s="292">
        <f>IFERROR(IF(I34="std",H34,HLOOKUP(A34,'FlightConfig '!$B$28:$G$29,2,0)*I34),"")</f>
        <v>48</v>
      </c>
      <c r="K34" s="245">
        <f>VLOOKUP(Food!E34,'FG MASTER'!$A$1:$AC$536,16,0)</f>
        <v>0.56000000000000005</v>
      </c>
      <c r="L34" s="246">
        <f>VLOOKUP(Food!E34,'FG MASTER'!$A$10:$AC$536,17,0)</f>
        <v>1.25</v>
      </c>
      <c r="M34" s="132">
        <f t="shared" si="23"/>
        <v>0.5</v>
      </c>
      <c r="N34" s="132">
        <f t="shared" si="24"/>
        <v>1.06</v>
      </c>
      <c r="O34" s="132">
        <f t="shared" si="5"/>
        <v>8.3999999999999964E-2</v>
      </c>
      <c r="P34" s="132">
        <f t="shared" si="6"/>
        <v>7.4999999999999956E-2</v>
      </c>
      <c r="Q34" s="132">
        <f t="shared" si="26"/>
        <v>1.2190000000000001</v>
      </c>
      <c r="R34" s="405">
        <f t="shared" si="8"/>
        <v>0.64400000000000002</v>
      </c>
      <c r="S34" s="405">
        <f t="shared" si="9"/>
        <v>0.57499999999999996</v>
      </c>
      <c r="T34" s="405">
        <f t="shared" si="10"/>
        <v>1.2189999999999999</v>
      </c>
      <c r="U34" s="127"/>
      <c r="V34" s="127"/>
      <c r="W34" t="str">
        <f>IFERROR(#REF!*J34,"")</f>
        <v/>
      </c>
      <c r="X34">
        <f t="shared" si="11"/>
        <v>26.880000000000003</v>
      </c>
      <c r="Y34">
        <f t="shared" si="12"/>
        <v>60</v>
      </c>
      <c r="Z34" s="127">
        <f t="shared" si="13"/>
        <v>24</v>
      </c>
      <c r="AA34" s="127">
        <f t="shared" si="14"/>
        <v>50.88</v>
      </c>
      <c r="AB34" s="127">
        <f t="shared" si="15"/>
        <v>4.0319999999999983</v>
      </c>
      <c r="AC34" s="127">
        <f t="shared" si="16"/>
        <v>3.5999999999999979</v>
      </c>
      <c r="AD34" s="127">
        <f t="shared" si="17"/>
        <v>58.512</v>
      </c>
      <c r="AF34" s="127" t="str">
        <f>IFERROR(W34*'FlightConfig '!$K$3,"")</f>
        <v/>
      </c>
      <c r="AG34" s="127">
        <f>IFERROR(X34*'FlightConfig '!$K$17,"")</f>
        <v>9784.3200000000015</v>
      </c>
      <c r="AH34" s="127">
        <f>IFERROR(Y34*'FlightConfig '!$K$17,"")</f>
        <v>21840</v>
      </c>
      <c r="AI34" s="127">
        <f>IFERROR(Z34*'FlightConfig '!$K$17,"")</f>
        <v>8736</v>
      </c>
      <c r="AJ34" s="127">
        <f>IFERROR(AA34*'FlightConfig '!$K$17,"")</f>
        <v>18520.32</v>
      </c>
      <c r="AK34" s="127">
        <f>IFERROR(AB34*'FlightConfig '!$K$17,"")</f>
        <v>1467.6479999999995</v>
      </c>
    </row>
    <row r="35" spans="1:37" ht="18" customHeight="1" x14ac:dyDescent="0.25">
      <c r="A35" t="s">
        <v>134</v>
      </c>
      <c r="B35" s="171">
        <v>1</v>
      </c>
      <c r="C35" s="176" t="str">
        <f t="shared" si="22"/>
        <v>PREMIUM ECONOMY CLASS1</v>
      </c>
      <c r="D35" s="312"/>
      <c r="E35" s="305">
        <v>1031</v>
      </c>
      <c r="F35" s="311"/>
      <c r="G35" t="str">
        <f>VLOOKUP(E35,'FG MASTER'!$A$10:$AB$218,2,0)</f>
        <v>PY C1 DINNER ENTRÉE 1 MARYLAND STULE CRAB CAKE, ARTOCHOKE RISOTTA, ASPARAGUS, LEMON DILL BEURRE BLANC</v>
      </c>
      <c r="H35" s="286">
        <v>1</v>
      </c>
      <c r="I35" s="173">
        <v>0.5</v>
      </c>
      <c r="J35" s="292">
        <f>IFERROR(IF(I35="std",H35,HLOOKUP(A35,'FlightConfig '!$B$28:$G$29,2,0)*I35),"")</f>
        <v>24</v>
      </c>
      <c r="K35" s="245">
        <f>VLOOKUP(Food!E35,'FG MASTER'!$A$1:$AC$536,16,0)</f>
        <v>10.43</v>
      </c>
      <c r="L35" s="246">
        <f>VLOOKUP(Food!E35,'FG MASTER'!$A$10:$AC$536,17,0)</f>
        <v>5.5</v>
      </c>
      <c r="M35" s="132">
        <f t="shared" si="23"/>
        <v>2.2000000000000002</v>
      </c>
      <c r="N35" s="132">
        <f t="shared" si="24"/>
        <v>12.629999999999999</v>
      </c>
      <c r="O35" s="132">
        <f t="shared" si="5"/>
        <v>1.5644999999999989</v>
      </c>
      <c r="P35" s="132">
        <f t="shared" si="6"/>
        <v>0.32999999999999963</v>
      </c>
      <c r="Q35" s="132">
        <f t="shared" si="26"/>
        <v>14.524499999999998</v>
      </c>
      <c r="R35" s="405">
        <f t="shared" si="8"/>
        <v>11.994499999999999</v>
      </c>
      <c r="S35" s="405">
        <f t="shared" si="9"/>
        <v>2.5299999999999998</v>
      </c>
      <c r="T35" s="405">
        <f t="shared" si="10"/>
        <v>14.524499999999998</v>
      </c>
      <c r="U35" s="127"/>
      <c r="V35" s="127"/>
      <c r="W35" t="str">
        <f>IFERROR(#REF!*J35,"")</f>
        <v/>
      </c>
      <c r="X35">
        <f t="shared" si="11"/>
        <v>250.32</v>
      </c>
      <c r="Y35">
        <f t="shared" si="12"/>
        <v>132</v>
      </c>
      <c r="Z35" s="127">
        <f t="shared" si="13"/>
        <v>52.800000000000004</v>
      </c>
      <c r="AA35" s="127">
        <f t="shared" si="14"/>
        <v>303.12</v>
      </c>
      <c r="AB35" s="127">
        <f t="shared" si="15"/>
        <v>37.547999999999973</v>
      </c>
      <c r="AC35" s="127">
        <f t="shared" si="16"/>
        <v>7.919999999999991</v>
      </c>
      <c r="AD35" s="127">
        <f t="shared" si="17"/>
        <v>348.58799999999997</v>
      </c>
      <c r="AF35" s="127" t="str">
        <f>IFERROR(W35*'FlightConfig '!$K$3,"")</f>
        <v/>
      </c>
      <c r="AG35" s="127">
        <f>IFERROR(X35*'FlightConfig '!$K$17,"")</f>
        <v>91116.479999999996</v>
      </c>
      <c r="AH35" s="127">
        <f>IFERROR(Y35*'FlightConfig '!$K$17,"")</f>
        <v>48048</v>
      </c>
      <c r="AI35" s="127">
        <f>IFERROR(Z35*'FlightConfig '!$K$17,"")</f>
        <v>19219.2</v>
      </c>
      <c r="AJ35" s="127">
        <f>IFERROR(AA35*'FlightConfig '!$K$17,"")</f>
        <v>110335.68000000001</v>
      </c>
      <c r="AK35" s="127">
        <f>IFERROR(AB35*'FlightConfig '!$K$17,"")</f>
        <v>13667.471999999991</v>
      </c>
    </row>
    <row r="36" spans="1:37" ht="18" customHeight="1" x14ac:dyDescent="0.25">
      <c r="A36" t="s">
        <v>134</v>
      </c>
      <c r="B36" s="171">
        <v>1</v>
      </c>
      <c r="C36" s="176" t="str">
        <f t="shared" si="22"/>
        <v>PREMIUM ECONOMY CLASS1</v>
      </c>
      <c r="D36" s="312"/>
      <c r="E36" s="305">
        <v>1032</v>
      </c>
      <c r="F36" s="311"/>
      <c r="G36" t="str">
        <f>VLOOKUP(E36,'FG MASTER'!$A$10:$AB$218,2,0)</f>
        <v>PY C1 DINNER ENTRÉE 2 GRILLED CHICKEN KEBAB, HONEY HARISSA GLAZE, ROASTED RED PEPPER, LEMON HERB RICE, FETA CHEESE</v>
      </c>
      <c r="H36" s="286">
        <v>1</v>
      </c>
      <c r="I36" s="173">
        <v>0.35</v>
      </c>
      <c r="J36" s="292">
        <f>IFERROR(IF(I36="std",H36,HLOOKUP(A36,'FlightConfig '!$B$28:$G$29,2,0)*I36),"")</f>
        <v>16.799999999999997</v>
      </c>
      <c r="K36" s="245">
        <f>VLOOKUP(Food!E36,'FG MASTER'!$A$1:$AC$536,16,0)</f>
        <v>2.19</v>
      </c>
      <c r="L36" s="246">
        <f>VLOOKUP(Food!E36,'FG MASTER'!$A$10:$AC$536,17,0)</f>
        <v>5.5</v>
      </c>
      <c r="M36" s="132">
        <f t="shared" si="23"/>
        <v>2.2000000000000002</v>
      </c>
      <c r="N36" s="132">
        <f t="shared" si="24"/>
        <v>4.3900000000000006</v>
      </c>
      <c r="O36" s="132">
        <f t="shared" si="5"/>
        <v>0.32850000000000001</v>
      </c>
      <c r="P36" s="132">
        <f t="shared" si="6"/>
        <v>0.32999999999999963</v>
      </c>
      <c r="Q36" s="132">
        <f t="shared" si="26"/>
        <v>5.0485000000000007</v>
      </c>
      <c r="R36" s="405">
        <f t="shared" si="8"/>
        <v>2.5185</v>
      </c>
      <c r="S36" s="405">
        <f t="shared" si="9"/>
        <v>2.5299999999999998</v>
      </c>
      <c r="T36" s="405">
        <f t="shared" si="10"/>
        <v>5.0484999999999998</v>
      </c>
      <c r="U36" s="127"/>
      <c r="V36" s="127"/>
      <c r="W36" t="str">
        <f>IFERROR(#REF!*J36,"")</f>
        <v/>
      </c>
      <c r="X36">
        <f t="shared" si="11"/>
        <v>36.791999999999994</v>
      </c>
      <c r="Y36">
        <f t="shared" si="12"/>
        <v>92.399999999999977</v>
      </c>
      <c r="Z36" s="127">
        <f t="shared" si="13"/>
        <v>36.959999999999994</v>
      </c>
      <c r="AA36" s="127">
        <f t="shared" si="14"/>
        <v>73.751999999999995</v>
      </c>
      <c r="AB36" s="127">
        <f t="shared" si="15"/>
        <v>5.5187999999999997</v>
      </c>
      <c r="AC36" s="127">
        <f t="shared" si="16"/>
        <v>5.5439999999999925</v>
      </c>
      <c r="AD36" s="127">
        <f t="shared" si="17"/>
        <v>84.814799999999991</v>
      </c>
      <c r="AF36" s="127" t="str">
        <f>IFERROR(W36*'FlightConfig '!$K$3,"")</f>
        <v/>
      </c>
      <c r="AG36" s="127">
        <f>IFERROR(X36*'FlightConfig '!$K$17,"")</f>
        <v>13392.287999999999</v>
      </c>
      <c r="AH36" s="127">
        <f>IFERROR(Y36*'FlightConfig '!$K$17,"")</f>
        <v>33633.599999999991</v>
      </c>
      <c r="AI36" s="127">
        <f>IFERROR(Z36*'FlightConfig '!$K$17,"")</f>
        <v>13453.439999999997</v>
      </c>
      <c r="AJ36" s="127">
        <f>IFERROR(AA36*'FlightConfig '!$K$17,"")</f>
        <v>26845.727999999999</v>
      </c>
      <c r="AK36" s="127">
        <f>IFERROR(AB36*'FlightConfig '!$K$17,"")</f>
        <v>2008.8431999999998</v>
      </c>
    </row>
    <row r="37" spans="1:37" ht="18" customHeight="1" x14ac:dyDescent="0.25">
      <c r="A37" t="s">
        <v>134</v>
      </c>
      <c r="B37" s="171">
        <v>1</v>
      </c>
      <c r="C37" s="176" t="str">
        <f t="shared" si="22"/>
        <v>PREMIUM ECONOMY CLASS1</v>
      </c>
      <c r="D37" s="312"/>
      <c r="E37" s="305">
        <v>1033</v>
      </c>
      <c r="F37" s="311"/>
      <c r="G37" t="str">
        <f>VLOOKUP(E37,'FG MASTER'!$A$10:$AB$218,2,0)</f>
        <v xml:space="preserve">PY C1 DINNER ENTRÉE 3 SMOKED MOZZARELLA RAVIOLI, MARINARA SAUCE, PESTO MARINATED BOCCONCINI MOZZARELLA, SHREDDED, PARMESAN, SPINACH </v>
      </c>
      <c r="H37" s="286">
        <v>1</v>
      </c>
      <c r="I37" s="173">
        <v>0.2</v>
      </c>
      <c r="J37" s="292">
        <f>IFERROR(IF(I37="std",H37,HLOOKUP(A37,'FlightConfig '!$B$28:$G$29,2,0)*I37),"")</f>
        <v>9.6000000000000014</v>
      </c>
      <c r="K37" s="245">
        <f>VLOOKUP(Food!E37,'FG MASTER'!$A$1:$AC$536,16,0)</f>
        <v>4.2</v>
      </c>
      <c r="L37" s="246">
        <f>VLOOKUP(Food!E37,'FG MASTER'!$A$10:$AC$536,17,0)</f>
        <v>3.25</v>
      </c>
      <c r="M37" s="132">
        <f t="shared" si="23"/>
        <v>1.3</v>
      </c>
      <c r="N37" s="132">
        <f t="shared" si="24"/>
        <v>5.5</v>
      </c>
      <c r="O37" s="132">
        <f t="shared" si="5"/>
        <v>0.62999999999999989</v>
      </c>
      <c r="P37" s="132">
        <f t="shared" si="6"/>
        <v>0.19499999999999984</v>
      </c>
      <c r="Q37" s="132">
        <f t="shared" si="26"/>
        <v>6.3249999999999993</v>
      </c>
      <c r="R37" s="405">
        <f t="shared" si="8"/>
        <v>4.83</v>
      </c>
      <c r="S37" s="405">
        <f t="shared" si="9"/>
        <v>1.4949999999999999</v>
      </c>
      <c r="T37" s="405">
        <f t="shared" si="10"/>
        <v>6.3250000000000002</v>
      </c>
      <c r="U37" s="127"/>
      <c r="V37" s="127"/>
      <c r="W37" t="str">
        <f>IFERROR(#REF!*J37,"")</f>
        <v/>
      </c>
      <c r="X37">
        <f t="shared" si="11"/>
        <v>40.320000000000007</v>
      </c>
      <c r="Y37">
        <f t="shared" si="12"/>
        <v>31.200000000000003</v>
      </c>
      <c r="Z37" s="127">
        <f t="shared" si="13"/>
        <v>12.480000000000002</v>
      </c>
      <c r="AA37" s="127">
        <f t="shared" si="14"/>
        <v>52.800000000000011</v>
      </c>
      <c r="AB37" s="127">
        <f t="shared" si="15"/>
        <v>6.048</v>
      </c>
      <c r="AC37" s="127">
        <f t="shared" si="16"/>
        <v>1.8719999999999988</v>
      </c>
      <c r="AD37" s="127">
        <f t="shared" si="17"/>
        <v>60.72</v>
      </c>
      <c r="AF37" s="127" t="str">
        <f>IFERROR(W37*'FlightConfig '!$K$3,"")</f>
        <v/>
      </c>
      <c r="AG37" s="127">
        <f>IFERROR(X37*'FlightConfig '!$K$17,"")</f>
        <v>14676.480000000003</v>
      </c>
      <c r="AH37" s="127">
        <f>IFERROR(Y37*'FlightConfig '!$K$17,"")</f>
        <v>11356.800000000001</v>
      </c>
      <c r="AI37" s="127">
        <f>IFERROR(Z37*'FlightConfig '!$K$17,"")</f>
        <v>4542.7200000000012</v>
      </c>
      <c r="AJ37" s="127">
        <f>IFERROR(AA37*'FlightConfig '!$K$17,"")</f>
        <v>19219.200000000004</v>
      </c>
      <c r="AK37" s="127">
        <f>IFERROR(AB37*'FlightConfig '!$K$17,"")</f>
        <v>2201.4720000000002</v>
      </c>
    </row>
    <row r="38" spans="1:37" ht="18" customHeight="1" x14ac:dyDescent="0.25">
      <c r="A38" t="s">
        <v>134</v>
      </c>
      <c r="B38" s="171">
        <v>1</v>
      </c>
      <c r="C38" s="176" t="str">
        <f t="shared" si="22"/>
        <v>PREMIUM ECONOMY CLASS1</v>
      </c>
      <c r="D38" s="312"/>
      <c r="E38" s="305">
        <v>1034</v>
      </c>
      <c r="F38" s="311"/>
      <c r="G38" t="str">
        <f>VLOOKUP(E38,'FG MASTER'!$A$10:$AB$218,2,0)</f>
        <v xml:space="preserve">PY C1 DINNER DESSERT BLACKBERRY PEACH COBBLER TART, CRÈME GRAICHE </v>
      </c>
      <c r="H38" s="286">
        <v>1</v>
      </c>
      <c r="I38" s="173">
        <v>1</v>
      </c>
      <c r="J38" s="292">
        <f>IFERROR(IF(I38="std",H38,HLOOKUP(A38,'FlightConfig '!$B$28:$G$29,2,0)*I38),"")</f>
        <v>48</v>
      </c>
      <c r="K38" s="245">
        <f>VLOOKUP(Food!E38,'FG MASTER'!$A$1:$AC$536,16,0)</f>
        <v>0.83</v>
      </c>
      <c r="L38" s="246">
        <f>VLOOKUP(Food!E38,'FG MASTER'!$A$10:$AC$536,17,0)</f>
        <v>1.25</v>
      </c>
      <c r="M38" s="132">
        <f t="shared" si="23"/>
        <v>0.5</v>
      </c>
      <c r="N38" s="132">
        <f t="shared" si="24"/>
        <v>1.33</v>
      </c>
      <c r="O38" s="132">
        <f t="shared" si="5"/>
        <v>0.12449999999999994</v>
      </c>
      <c r="P38" s="132">
        <f t="shared" si="6"/>
        <v>7.4999999999999956E-2</v>
      </c>
      <c r="Q38" s="132">
        <f t="shared" si="26"/>
        <v>1.5294999999999999</v>
      </c>
      <c r="R38" s="405">
        <f t="shared" si="8"/>
        <v>0.9544999999999999</v>
      </c>
      <c r="S38" s="405">
        <f t="shared" si="9"/>
        <v>0.57499999999999996</v>
      </c>
      <c r="T38" s="405">
        <f t="shared" si="10"/>
        <v>1.5294999999999999</v>
      </c>
      <c r="U38" s="127"/>
      <c r="V38" s="127"/>
      <c r="W38" t="str">
        <f>IFERROR(#REF!*J38,"")</f>
        <v/>
      </c>
      <c r="X38">
        <f t="shared" si="11"/>
        <v>39.839999999999996</v>
      </c>
      <c r="Y38">
        <f t="shared" si="12"/>
        <v>60</v>
      </c>
      <c r="Z38" s="127">
        <f t="shared" si="13"/>
        <v>24</v>
      </c>
      <c r="AA38" s="127">
        <f t="shared" si="14"/>
        <v>63.84</v>
      </c>
      <c r="AB38" s="127">
        <f t="shared" si="15"/>
        <v>5.9759999999999973</v>
      </c>
      <c r="AC38" s="127">
        <f t="shared" si="16"/>
        <v>3.5999999999999979</v>
      </c>
      <c r="AD38" s="127">
        <f t="shared" si="17"/>
        <v>73.415999999999997</v>
      </c>
      <c r="AF38" s="127" t="str">
        <f>IFERROR(W38*'FlightConfig '!$K$3,"")</f>
        <v/>
      </c>
      <c r="AG38" s="127">
        <f>IFERROR(X38*'FlightConfig '!$K$17,"")</f>
        <v>14501.759999999998</v>
      </c>
      <c r="AH38" s="127">
        <f>IFERROR(Y38*'FlightConfig '!$K$17,"")</f>
        <v>21840</v>
      </c>
      <c r="AI38" s="127">
        <f>IFERROR(Z38*'FlightConfig '!$K$17,"")</f>
        <v>8736</v>
      </c>
      <c r="AJ38" s="127">
        <f>IFERROR(AA38*'FlightConfig '!$K$17,"")</f>
        <v>23237.760000000002</v>
      </c>
      <c r="AK38" s="127">
        <f>IFERROR(AB38*'FlightConfig '!$K$17,"")</f>
        <v>2175.2639999999992</v>
      </c>
    </row>
    <row r="39" spans="1:37" ht="18" customHeight="1" x14ac:dyDescent="0.25">
      <c r="A39" t="s">
        <v>134</v>
      </c>
      <c r="B39" s="171">
        <v>1</v>
      </c>
      <c r="C39" s="176" t="str">
        <f t="shared" si="22"/>
        <v>PREMIUM ECONOMY CLASS1</v>
      </c>
      <c r="D39" s="312"/>
      <c r="E39" s="305">
        <v>1035</v>
      </c>
      <c r="F39" s="311"/>
      <c r="G39" t="str">
        <f>VLOOKUP(E39,'FG MASTER'!$A$10:$AB$218,2,0)</f>
        <v xml:space="preserve">PY C1 DINNER CHEESE, THOMASVILLE TOMME, ASHER BLUE, ANGRY CUKES, MESCADINE JELLY </v>
      </c>
      <c r="H39" s="286">
        <v>1</v>
      </c>
      <c r="I39" s="173">
        <v>1</v>
      </c>
      <c r="J39" s="292">
        <f>IFERROR(IF(I39="std",H39,HLOOKUP(A39,'FlightConfig '!$B$28:$G$29,2,0)*I39),"")</f>
        <v>48</v>
      </c>
      <c r="K39" s="245">
        <f>VLOOKUP(Food!E39,'FG MASTER'!$A$1:$AC$536,16,0)</f>
        <v>1.9</v>
      </c>
      <c r="L39" s="246">
        <f>VLOOKUP(Food!E39,'FG MASTER'!$A$10:$AC$536,17,0)</f>
        <v>2</v>
      </c>
      <c r="M39" s="132">
        <f t="shared" si="23"/>
        <v>0.8</v>
      </c>
      <c r="N39" s="132">
        <f t="shared" si="24"/>
        <v>2.7</v>
      </c>
      <c r="O39" s="132">
        <f t="shared" si="5"/>
        <v>0.2849999999999997</v>
      </c>
      <c r="P39" s="132">
        <f t="shared" si="6"/>
        <v>0.11999999999999988</v>
      </c>
      <c r="Q39" s="132">
        <f t="shared" si="26"/>
        <v>3.1049999999999995</v>
      </c>
      <c r="R39" s="405">
        <f t="shared" si="8"/>
        <v>2.1849999999999996</v>
      </c>
      <c r="S39" s="405">
        <f t="shared" si="9"/>
        <v>0.91999999999999993</v>
      </c>
      <c r="T39" s="405">
        <f t="shared" si="10"/>
        <v>3.1049999999999995</v>
      </c>
      <c r="U39" s="127"/>
      <c r="V39" s="127"/>
      <c r="W39" t="str">
        <f>IFERROR(#REF!*J39,"")</f>
        <v/>
      </c>
      <c r="X39">
        <f t="shared" si="11"/>
        <v>91.199999999999989</v>
      </c>
      <c r="Y39">
        <f t="shared" si="12"/>
        <v>96</v>
      </c>
      <c r="Z39" s="127">
        <f t="shared" si="13"/>
        <v>38.400000000000006</v>
      </c>
      <c r="AA39" s="127">
        <f t="shared" si="14"/>
        <v>129.60000000000002</v>
      </c>
      <c r="AB39" s="127">
        <f t="shared" si="15"/>
        <v>13.679999999999986</v>
      </c>
      <c r="AC39" s="127">
        <f t="shared" si="16"/>
        <v>5.7599999999999945</v>
      </c>
      <c r="AD39" s="127">
        <f t="shared" si="17"/>
        <v>149.03999999999996</v>
      </c>
      <c r="AF39" s="127" t="str">
        <f>IFERROR(W39*'FlightConfig '!$K$3,"")</f>
        <v/>
      </c>
      <c r="AG39" s="127">
        <f>IFERROR(X39*'FlightConfig '!$K$17,"")</f>
        <v>33196.799999999996</v>
      </c>
      <c r="AH39" s="127">
        <f>IFERROR(Y39*'FlightConfig '!$K$17,"")</f>
        <v>34944</v>
      </c>
      <c r="AI39" s="127">
        <f>IFERROR(Z39*'FlightConfig '!$K$17,"")</f>
        <v>13977.600000000002</v>
      </c>
      <c r="AJ39" s="127">
        <f>IFERROR(AA39*'FlightConfig '!$K$17,"")</f>
        <v>47174.400000000009</v>
      </c>
      <c r="AK39" s="127">
        <f>IFERROR(AB39*'FlightConfig '!$K$17,"")</f>
        <v>4979.519999999995</v>
      </c>
    </row>
    <row r="40" spans="1:37" ht="18" customHeight="1" x14ac:dyDescent="0.25">
      <c r="A40" t="s">
        <v>134</v>
      </c>
      <c r="B40" s="171">
        <v>1</v>
      </c>
      <c r="C40" s="176" t="str">
        <f t="shared" si="22"/>
        <v>PREMIUM ECONOMY CLASS1</v>
      </c>
      <c r="D40" s="312"/>
      <c r="E40" s="305">
        <v>1036</v>
      </c>
      <c r="F40" s="311"/>
      <c r="G40" t="str">
        <f>VLOOKUP(E40,'FG MASTER'!$A$10:$AB$218,2,0)</f>
        <v>PY C1 BREAKFAST BUTTERMILK BISCUIT, SCRAMBLE EGG, MAPLE SAUISAGE GRAVY, CHICKEN SAUSAGE PATTY, ,SCALLIOM</v>
      </c>
      <c r="H40" s="286">
        <v>1</v>
      </c>
      <c r="I40" s="173">
        <v>0.5</v>
      </c>
      <c r="J40" s="292">
        <f>IFERROR(IF(I40="std",H40,HLOOKUP(A40,'FlightConfig '!$B$28:$G$29,2,0)*I40),"")</f>
        <v>24</v>
      </c>
      <c r="K40" s="245">
        <f>VLOOKUP(Food!E40,'FG MASTER'!$A$1:$AC$536,16,0)</f>
        <v>1.77</v>
      </c>
      <c r="L40" s="246">
        <f>VLOOKUP(Food!E40,'FG MASTER'!$A$10:$AC$536,17,0)</f>
        <v>3.25</v>
      </c>
      <c r="M40" s="132">
        <f t="shared" si="23"/>
        <v>1.3</v>
      </c>
      <c r="N40" s="132">
        <f t="shared" si="24"/>
        <v>3.0700000000000003</v>
      </c>
      <c r="O40" s="132">
        <f t="shared" si="5"/>
        <v>0.26549999999999985</v>
      </c>
      <c r="P40" s="132">
        <f t="shared" si="6"/>
        <v>0.19499999999999984</v>
      </c>
      <c r="Q40" s="132">
        <f t="shared" si="26"/>
        <v>3.5305</v>
      </c>
      <c r="R40" s="405">
        <f t="shared" si="8"/>
        <v>2.0354999999999999</v>
      </c>
      <c r="S40" s="405">
        <f t="shared" si="9"/>
        <v>1.4949999999999999</v>
      </c>
      <c r="T40" s="405">
        <f t="shared" si="10"/>
        <v>3.5305</v>
      </c>
      <c r="U40" s="127"/>
      <c r="V40" s="127"/>
      <c r="W40" t="str">
        <f>IFERROR(#REF!*J40,"")</f>
        <v/>
      </c>
      <c r="X40">
        <f t="shared" si="11"/>
        <v>42.480000000000004</v>
      </c>
      <c r="Y40">
        <f t="shared" si="12"/>
        <v>78</v>
      </c>
      <c r="Z40" s="127">
        <f t="shared" si="13"/>
        <v>31.200000000000003</v>
      </c>
      <c r="AA40" s="127">
        <f t="shared" si="14"/>
        <v>73.680000000000007</v>
      </c>
      <c r="AB40" s="127">
        <f t="shared" si="15"/>
        <v>6.3719999999999963</v>
      </c>
      <c r="AC40" s="127">
        <f t="shared" si="16"/>
        <v>4.6799999999999962</v>
      </c>
      <c r="AD40" s="127">
        <f t="shared" si="17"/>
        <v>84.731999999999999</v>
      </c>
      <c r="AF40" s="127" t="str">
        <f>IFERROR(W40*'FlightConfig '!$K$3,"")</f>
        <v/>
      </c>
      <c r="AG40" s="127">
        <f>IFERROR(X40*'FlightConfig '!$K$17,"")</f>
        <v>15462.720000000001</v>
      </c>
      <c r="AH40" s="127">
        <f>IFERROR(Y40*'FlightConfig '!$K$17,"")</f>
        <v>28392</v>
      </c>
      <c r="AI40" s="127">
        <f>IFERROR(Z40*'FlightConfig '!$K$17,"")</f>
        <v>11356.800000000001</v>
      </c>
      <c r="AJ40" s="127">
        <f>IFERROR(AA40*'FlightConfig '!$K$17,"")</f>
        <v>26819.520000000004</v>
      </c>
      <c r="AK40" s="127">
        <f>IFERROR(AB40*'FlightConfig '!$K$17,"")</f>
        <v>2319.4079999999985</v>
      </c>
    </row>
    <row r="41" spans="1:37" ht="18" customHeight="1" x14ac:dyDescent="0.25">
      <c r="A41" t="s">
        <v>134</v>
      </c>
      <c r="B41" s="171">
        <v>1</v>
      </c>
      <c r="C41" s="176" t="str">
        <f t="shared" si="22"/>
        <v>PREMIUM ECONOMY CLASS1</v>
      </c>
      <c r="D41" s="312"/>
      <c r="E41" s="305">
        <v>1037</v>
      </c>
      <c r="F41" s="311"/>
      <c r="G41" t="str">
        <f>VLOOKUP(E41,'FG MASTER'!$A$10:$AB$218,2,0)</f>
        <v>PY C1 BREAKFAST SCRAMBLE EGG, GINGERLING POTATOES, ASPARAGUS, CHERRY TOMATOES</v>
      </c>
      <c r="H41" s="286">
        <v>1</v>
      </c>
      <c r="I41" s="173">
        <v>0.3</v>
      </c>
      <c r="J41" s="292">
        <f>IFERROR(IF(I41="std",H41,HLOOKUP(A41,'FlightConfig '!$B$28:$G$29,2,0)*I41),"")</f>
        <v>14.399999999999999</v>
      </c>
      <c r="K41" s="245">
        <f>VLOOKUP(Food!E41,'FG MASTER'!$A$1:$AC$536,16,0)</f>
        <v>1.77</v>
      </c>
      <c r="L41" s="246">
        <f>VLOOKUP(Food!E41,'FG MASTER'!$A$10:$AC$536,17,0)</f>
        <v>4</v>
      </c>
      <c r="M41" s="132">
        <f t="shared" si="23"/>
        <v>1.6</v>
      </c>
      <c r="N41" s="132">
        <f t="shared" si="24"/>
        <v>3.37</v>
      </c>
      <c r="O41" s="132">
        <f t="shared" si="5"/>
        <v>0.26549999999999985</v>
      </c>
      <c r="P41" s="132">
        <f t="shared" si="6"/>
        <v>0.23999999999999977</v>
      </c>
      <c r="Q41" s="132">
        <f t="shared" si="26"/>
        <v>3.8754999999999997</v>
      </c>
      <c r="R41" s="405">
        <f t="shared" si="8"/>
        <v>2.0354999999999999</v>
      </c>
      <c r="S41" s="405">
        <f t="shared" si="9"/>
        <v>1.8399999999999999</v>
      </c>
      <c r="T41" s="405">
        <f t="shared" si="10"/>
        <v>3.8754999999999997</v>
      </c>
      <c r="U41" s="127"/>
      <c r="V41" s="127"/>
      <c r="W41" t="str">
        <f>IFERROR(#REF!*J41,"")</f>
        <v/>
      </c>
      <c r="X41">
        <f t="shared" si="11"/>
        <v>25.487999999999996</v>
      </c>
      <c r="Y41">
        <f t="shared" si="12"/>
        <v>57.599999999999994</v>
      </c>
      <c r="Z41" s="127">
        <f t="shared" si="13"/>
        <v>23.04</v>
      </c>
      <c r="AA41" s="127">
        <f t="shared" si="14"/>
        <v>48.527999999999999</v>
      </c>
      <c r="AB41" s="127">
        <f t="shared" si="15"/>
        <v>3.8231999999999973</v>
      </c>
      <c r="AC41" s="127">
        <f t="shared" si="16"/>
        <v>3.4559999999999964</v>
      </c>
      <c r="AD41" s="127">
        <f t="shared" si="17"/>
        <v>55.807199999999987</v>
      </c>
      <c r="AF41" s="127" t="str">
        <f>IFERROR(W41*'FlightConfig '!$K$3,"")</f>
        <v/>
      </c>
      <c r="AG41" s="127">
        <f>IFERROR(X41*'FlightConfig '!$K$17,"")</f>
        <v>9277.6319999999978</v>
      </c>
      <c r="AH41" s="127">
        <f>IFERROR(Y41*'FlightConfig '!$K$17,"")</f>
        <v>20966.399999999998</v>
      </c>
      <c r="AI41" s="127">
        <f>IFERROR(Z41*'FlightConfig '!$K$17,"")</f>
        <v>8386.56</v>
      </c>
      <c r="AJ41" s="127">
        <f>IFERROR(AA41*'FlightConfig '!$K$17,"")</f>
        <v>17664.191999999999</v>
      </c>
      <c r="AK41" s="127">
        <f>IFERROR(AB41*'FlightConfig '!$K$17,"")</f>
        <v>1391.6447999999989</v>
      </c>
    </row>
    <row r="42" spans="1:37" ht="18" customHeight="1" x14ac:dyDescent="0.25">
      <c r="A42" t="s">
        <v>134</v>
      </c>
      <c r="B42" s="171">
        <v>1</v>
      </c>
      <c r="C42" s="176" t="str">
        <f t="shared" si="22"/>
        <v>PREMIUM ECONOMY CLASS1</v>
      </c>
      <c r="D42" s="312"/>
      <c r="E42" s="305">
        <v>1038</v>
      </c>
      <c r="F42" s="311"/>
      <c r="G42" t="str">
        <f>VLOOKUP(E42,'FG MASTER'!$A$10:$AB$218,2,0)</f>
        <v>PY C1 BREAKFAST CHALLAH FRENCH TOAST CASSEROLE, ORANGE WHIPPED RICOTTA, CHERRY COMPOTE</v>
      </c>
      <c r="H42" s="286">
        <v>1</v>
      </c>
      <c r="I42" s="173">
        <v>0.2</v>
      </c>
      <c r="J42" s="292">
        <f>IFERROR(IF(I42="std",H42,HLOOKUP(A42,'FlightConfig '!$B$28:$G$29,2,0)*I42),"")</f>
        <v>9.6000000000000014</v>
      </c>
      <c r="K42" s="245">
        <f>VLOOKUP(Food!E42,'FG MASTER'!$A$1:$AC$536,16,0)</f>
        <v>1.1100000000000001</v>
      </c>
      <c r="L42" s="246">
        <f>VLOOKUP(Food!E42,'FG MASTER'!$A$10:$AC$536,17,0)</f>
        <v>2.5</v>
      </c>
      <c r="M42" s="132">
        <f t="shared" si="23"/>
        <v>1</v>
      </c>
      <c r="N42" s="132">
        <f t="shared" si="24"/>
        <v>2.1100000000000003</v>
      </c>
      <c r="O42" s="132">
        <f t="shared" si="5"/>
        <v>0.16649999999999987</v>
      </c>
      <c r="P42" s="132">
        <f t="shared" si="6"/>
        <v>0.14999999999999991</v>
      </c>
      <c r="Q42" s="132">
        <f t="shared" si="26"/>
        <v>2.4265000000000003</v>
      </c>
      <c r="R42" s="405">
        <f t="shared" si="8"/>
        <v>1.2765</v>
      </c>
      <c r="S42" s="405">
        <f t="shared" si="9"/>
        <v>1.1499999999999999</v>
      </c>
      <c r="T42" s="405">
        <f t="shared" si="10"/>
        <v>2.4264999999999999</v>
      </c>
      <c r="U42" s="127"/>
      <c r="V42" s="127"/>
      <c r="W42" t="str">
        <f>IFERROR(#REF!*J42,"")</f>
        <v/>
      </c>
      <c r="X42">
        <f t="shared" si="11"/>
        <v>10.656000000000002</v>
      </c>
      <c r="Y42">
        <f t="shared" si="12"/>
        <v>24.000000000000004</v>
      </c>
      <c r="Z42" s="127">
        <f t="shared" si="13"/>
        <v>9.6000000000000014</v>
      </c>
      <c r="AA42" s="127">
        <f t="shared" si="14"/>
        <v>20.256000000000007</v>
      </c>
      <c r="AB42" s="127">
        <f t="shared" si="15"/>
        <v>1.5983999999999989</v>
      </c>
      <c r="AC42" s="127">
        <f t="shared" si="16"/>
        <v>1.4399999999999993</v>
      </c>
      <c r="AD42" s="127">
        <f t="shared" si="17"/>
        <v>23.294400000000007</v>
      </c>
      <c r="AF42" s="127" t="str">
        <f>IFERROR(W42*'FlightConfig '!$K$3,"")</f>
        <v/>
      </c>
      <c r="AG42" s="127">
        <f>IFERROR(X42*'FlightConfig '!$K$17,"")</f>
        <v>3878.784000000001</v>
      </c>
      <c r="AH42" s="127">
        <f>IFERROR(Y42*'FlightConfig '!$K$17,"")</f>
        <v>8736.0000000000018</v>
      </c>
      <c r="AI42" s="127">
        <f>IFERROR(Z42*'FlightConfig '!$K$17,"")</f>
        <v>3494.4000000000005</v>
      </c>
      <c r="AJ42" s="127">
        <f>IFERROR(AA42*'FlightConfig '!$K$17,"")</f>
        <v>7373.1840000000029</v>
      </c>
      <c r="AK42" s="127">
        <f>IFERROR(AB42*'FlightConfig '!$K$17,"")</f>
        <v>581.81759999999963</v>
      </c>
    </row>
    <row r="43" spans="1:37" ht="18" customHeight="1" x14ac:dyDescent="0.25">
      <c r="A43" t="s">
        <v>134</v>
      </c>
      <c r="B43" s="171">
        <v>1</v>
      </c>
      <c r="C43" s="176" t="str">
        <f t="shared" si="22"/>
        <v>PREMIUM ECONOMY CLASS1</v>
      </c>
      <c r="D43" s="312"/>
      <c r="E43" s="305">
        <v>1039</v>
      </c>
      <c r="F43" s="311"/>
      <c r="G43" t="str">
        <f>VLOOKUP(E43,'FG MASTER'!$A$10:$AB$218,2,0)</f>
        <v>PY C1 BREAKFAST SIDE 1 FRUIT PLATE SESONAL FRUIT 100G</v>
      </c>
      <c r="H43" s="286">
        <v>1</v>
      </c>
      <c r="I43" s="173">
        <v>1</v>
      </c>
      <c r="J43" s="292">
        <f>IFERROR(IF(I43="std",H43,HLOOKUP(A43,'FlightConfig '!$B$28:$G$29,2,0)*I43),"")</f>
        <v>48</v>
      </c>
      <c r="K43" s="245">
        <f>VLOOKUP(Food!E43,'FG MASTER'!$A$1:$AC$536,16,0)</f>
        <v>0.61</v>
      </c>
      <c r="L43" s="246">
        <f>VLOOKUP(Food!E43,'FG MASTER'!$A$10:$AC$536,17,0)</f>
        <v>1.5</v>
      </c>
      <c r="M43" s="132">
        <f t="shared" si="23"/>
        <v>0.60000000000000009</v>
      </c>
      <c r="N43" s="132">
        <f t="shared" si="24"/>
        <v>1.21</v>
      </c>
      <c r="O43" s="132">
        <f t="shared" si="5"/>
        <v>9.1499999999999915E-2</v>
      </c>
      <c r="P43" s="132">
        <f t="shared" si="6"/>
        <v>8.9999999999999969E-2</v>
      </c>
      <c r="Q43" s="132">
        <f t="shared" si="26"/>
        <v>1.3914999999999997</v>
      </c>
      <c r="R43" s="405">
        <f t="shared" si="8"/>
        <v>0.7014999999999999</v>
      </c>
      <c r="S43" s="405">
        <f t="shared" si="9"/>
        <v>0.69000000000000006</v>
      </c>
      <c r="T43" s="405">
        <f t="shared" si="10"/>
        <v>1.3915</v>
      </c>
      <c r="U43" s="127"/>
      <c r="V43" s="127"/>
      <c r="W43" t="str">
        <f>IFERROR(#REF!*J43,"")</f>
        <v/>
      </c>
      <c r="X43">
        <f t="shared" si="11"/>
        <v>29.28</v>
      </c>
      <c r="Y43">
        <f t="shared" si="12"/>
        <v>72</v>
      </c>
      <c r="Z43" s="127">
        <f t="shared" si="13"/>
        <v>28.800000000000004</v>
      </c>
      <c r="AA43" s="127">
        <f t="shared" si="14"/>
        <v>58.08</v>
      </c>
      <c r="AB43" s="127">
        <f t="shared" si="15"/>
        <v>4.3919999999999959</v>
      </c>
      <c r="AC43" s="127">
        <f t="shared" si="16"/>
        <v>4.3199999999999985</v>
      </c>
      <c r="AD43" s="127">
        <f t="shared" si="17"/>
        <v>66.791999999999987</v>
      </c>
      <c r="AF43" s="127" t="str">
        <f>IFERROR(W43*'FlightConfig '!$K$3,"")</f>
        <v/>
      </c>
      <c r="AG43" s="127">
        <f>IFERROR(X43*'FlightConfig '!$K$17,"")</f>
        <v>10657.92</v>
      </c>
      <c r="AH43" s="127">
        <f>IFERROR(Y43*'FlightConfig '!$K$17,"")</f>
        <v>26208</v>
      </c>
      <c r="AI43" s="127">
        <f>IFERROR(Z43*'FlightConfig '!$K$17,"")</f>
        <v>10483.200000000001</v>
      </c>
      <c r="AJ43" s="127">
        <f>IFERROR(AA43*'FlightConfig '!$K$17,"")</f>
        <v>21141.119999999999</v>
      </c>
      <c r="AK43" s="127">
        <f>IFERROR(AB43*'FlightConfig '!$K$17,"")</f>
        <v>1598.6879999999985</v>
      </c>
    </row>
    <row r="44" spans="1:37" ht="18" customHeight="1" x14ac:dyDescent="0.25">
      <c r="A44" t="s">
        <v>134</v>
      </c>
      <c r="B44" s="171">
        <v>1</v>
      </c>
      <c r="C44" s="176" t="str">
        <f t="shared" si="22"/>
        <v>PREMIUM ECONOMY CLASS1</v>
      </c>
      <c r="D44" s="312"/>
      <c r="E44" s="305">
        <v>1040</v>
      </c>
      <c r="F44" s="311"/>
      <c r="G44" t="str">
        <f>VLOOKUP(E44,'FG MASTER'!$A$10:$AB$218,2,0)</f>
        <v xml:space="preserve">PY C1 BREAKFAST SIDE 2 GREEK YOGURT 100G </v>
      </c>
      <c r="H44" s="286">
        <v>1</v>
      </c>
      <c r="I44" s="173">
        <v>0</v>
      </c>
      <c r="J44" s="292">
        <f>IFERROR(IF(I44="std",H44,HLOOKUP(A44,'FlightConfig '!$B$28:$G$29,2,0)*I44),"")</f>
        <v>0</v>
      </c>
      <c r="K44" s="245">
        <f>VLOOKUP(Food!E44,'FG MASTER'!$A$1:$AC$536,16,0)</f>
        <v>0.48</v>
      </c>
      <c r="L44" s="246">
        <f>VLOOKUP(Food!E44,'FG MASTER'!$A$10:$AC$536,17,0)</f>
        <v>0.5</v>
      </c>
      <c r="M44" s="132">
        <f t="shared" si="23"/>
        <v>0.2</v>
      </c>
      <c r="N44" s="132">
        <f t="shared" si="24"/>
        <v>0.67999999999999994</v>
      </c>
      <c r="O44" s="132">
        <f t="shared" si="5"/>
        <v>7.1999999999999953E-2</v>
      </c>
      <c r="P44" s="132">
        <f t="shared" si="6"/>
        <v>2.9999999999999971E-2</v>
      </c>
      <c r="Q44" s="132">
        <f t="shared" si="26"/>
        <v>0.78199999999999981</v>
      </c>
      <c r="R44" s="405">
        <f t="shared" si="8"/>
        <v>0.55199999999999994</v>
      </c>
      <c r="S44" s="405">
        <f t="shared" si="9"/>
        <v>0.22999999999999998</v>
      </c>
      <c r="T44" s="405">
        <f t="shared" si="10"/>
        <v>0.78199999999999992</v>
      </c>
      <c r="U44" s="127"/>
      <c r="V44" s="127"/>
      <c r="W44" t="str">
        <f>IFERROR(#REF!*J44,"")</f>
        <v/>
      </c>
      <c r="X44">
        <f t="shared" si="11"/>
        <v>0</v>
      </c>
      <c r="Y44">
        <f t="shared" si="12"/>
        <v>0</v>
      </c>
      <c r="Z44" s="127">
        <f t="shared" si="13"/>
        <v>0</v>
      </c>
      <c r="AA44" s="127">
        <f t="shared" si="14"/>
        <v>0</v>
      </c>
      <c r="AB44" s="127">
        <f t="shared" si="15"/>
        <v>0</v>
      </c>
      <c r="AC44" s="127">
        <f t="shared" si="16"/>
        <v>0</v>
      </c>
      <c r="AD44" s="127">
        <f t="shared" si="17"/>
        <v>0</v>
      </c>
      <c r="AF44" s="127" t="str">
        <f>IFERROR(W44*'FlightConfig '!$K$3,"")</f>
        <v/>
      </c>
      <c r="AG44" s="127">
        <f>IFERROR(X44*'FlightConfig '!$K$17,"")</f>
        <v>0</v>
      </c>
      <c r="AH44" s="127">
        <f>IFERROR(Y44*'FlightConfig '!$K$17,"")</f>
        <v>0</v>
      </c>
      <c r="AI44" s="127">
        <f>IFERROR(Z44*'FlightConfig '!$K$17,"")</f>
        <v>0</v>
      </c>
      <c r="AJ44" s="127">
        <f>IFERROR(AA44*'FlightConfig '!$K$17,"")</f>
        <v>0</v>
      </c>
      <c r="AK44" s="127">
        <f>IFERROR(AB44*'FlightConfig '!$K$17,"")</f>
        <v>0</v>
      </c>
    </row>
    <row r="45" spans="1:37" ht="18" customHeight="1" x14ac:dyDescent="0.25">
      <c r="A45" t="s">
        <v>134</v>
      </c>
      <c r="B45" s="171">
        <v>1</v>
      </c>
      <c r="C45" s="176" t="str">
        <f t="shared" si="22"/>
        <v>PREMIUM ECONOMY CLASS1</v>
      </c>
      <c r="D45" s="312"/>
      <c r="E45" s="305">
        <v>1041</v>
      </c>
      <c r="F45" s="311"/>
      <c r="G45" t="str">
        <f>VLOOKUP(E45,'FG MASTER'!$A$10:$AB$218,2,0)</f>
        <v>PY C1 BREAKFAST SIDE 3 PEACH AND PECAN SCONE</v>
      </c>
      <c r="H45" s="286">
        <v>1</v>
      </c>
      <c r="I45" s="173">
        <v>0</v>
      </c>
      <c r="J45" s="292">
        <f>IFERROR(IF(I45="std",H45,HLOOKUP(A45,'FlightConfig '!$B$28:$G$29,2,0)*I45),"")</f>
        <v>0</v>
      </c>
      <c r="K45" s="245">
        <f>VLOOKUP(Food!E45,'FG MASTER'!$A$1:$AC$536,16,0)</f>
        <v>0.55000000000000004</v>
      </c>
      <c r="L45" s="246">
        <f>VLOOKUP(Food!E45,'FG MASTER'!$A$10:$AC$536,17,0)</f>
        <v>2.5</v>
      </c>
      <c r="M45" s="132">
        <f t="shared" si="23"/>
        <v>1</v>
      </c>
      <c r="N45" s="132">
        <f t="shared" si="24"/>
        <v>1.55</v>
      </c>
      <c r="O45" s="132">
        <f t="shared" si="5"/>
        <v>8.2499999999999907E-2</v>
      </c>
      <c r="P45" s="132">
        <f t="shared" si="6"/>
        <v>0.14999999999999991</v>
      </c>
      <c r="Q45" s="132">
        <f t="shared" si="26"/>
        <v>1.7824999999999998</v>
      </c>
      <c r="R45" s="405">
        <f t="shared" si="8"/>
        <v>0.63249999999999995</v>
      </c>
      <c r="S45" s="405">
        <f t="shared" si="9"/>
        <v>1.1499999999999999</v>
      </c>
      <c r="T45" s="405">
        <f t="shared" si="10"/>
        <v>1.7824999999999998</v>
      </c>
      <c r="U45" s="127"/>
      <c r="V45" s="127"/>
      <c r="W45" t="str">
        <f>IFERROR(#REF!*J45,"")</f>
        <v/>
      </c>
      <c r="X45">
        <f t="shared" si="11"/>
        <v>0</v>
      </c>
      <c r="Y45">
        <f t="shared" si="12"/>
        <v>0</v>
      </c>
      <c r="Z45" s="127">
        <f t="shared" si="13"/>
        <v>0</v>
      </c>
      <c r="AA45" s="127">
        <f t="shared" si="14"/>
        <v>0</v>
      </c>
      <c r="AB45" s="127">
        <f t="shared" si="15"/>
        <v>0</v>
      </c>
      <c r="AC45" s="127">
        <f t="shared" si="16"/>
        <v>0</v>
      </c>
      <c r="AD45" s="127">
        <f t="shared" si="17"/>
        <v>0</v>
      </c>
      <c r="AF45" s="127" t="str">
        <f>IFERROR(W45*'FlightConfig '!$K$3,"")</f>
        <v/>
      </c>
      <c r="AG45" s="127">
        <f>IFERROR(X45*'FlightConfig '!$K$17,"")</f>
        <v>0</v>
      </c>
      <c r="AH45" s="127">
        <f>IFERROR(Y45*'FlightConfig '!$K$17,"")</f>
        <v>0</v>
      </c>
      <c r="AI45" s="127">
        <f>IFERROR(Z45*'FlightConfig '!$K$17,"")</f>
        <v>0</v>
      </c>
      <c r="AJ45" s="127">
        <f>IFERROR(AA45*'FlightConfig '!$K$17,"")</f>
        <v>0</v>
      </c>
      <c r="AK45" s="127">
        <f>IFERROR(AB45*'FlightConfig '!$K$17,"")</f>
        <v>0</v>
      </c>
    </row>
    <row r="46" spans="1:37" ht="18" customHeight="1" x14ac:dyDescent="0.25">
      <c r="A46" t="s">
        <v>135</v>
      </c>
      <c r="B46" s="171">
        <v>1</v>
      </c>
      <c r="C46" s="176" t="str">
        <f t="shared" si="22"/>
        <v>ECONOMY CLASS1</v>
      </c>
      <c r="D46" s="312"/>
      <c r="E46" s="305">
        <v>1042</v>
      </c>
      <c r="F46" s="311"/>
      <c r="G46" t="str">
        <f>VLOOKUP(E46,'FG MASTER'!$A$10:$AB$218,2,0)</f>
        <v xml:space="preserve">YC C1 DINNER SWEETWATER BEET AND CHEESE ROLL </v>
      </c>
      <c r="H46" s="286">
        <v>1</v>
      </c>
      <c r="I46" s="173">
        <v>1</v>
      </c>
      <c r="J46" s="292">
        <f>IFERROR(IF(I46="std",H46,HLOOKUP(A46,'FlightConfig '!$B$28:$G$29,2,0)*I46),"")</f>
        <v>198</v>
      </c>
      <c r="K46" s="245">
        <f>VLOOKUP(Food!E46,'FG MASTER'!$A$1:$AC$536,16,0)</f>
        <v>0.3</v>
      </c>
      <c r="L46" s="246">
        <f>VLOOKUP(Food!E46,'FG MASTER'!$A$10:$AC$536,17,0)</f>
        <v>0.25</v>
      </c>
      <c r="M46" s="132">
        <f>IFERROR(L46*$M$2,"")</f>
        <v>0.1</v>
      </c>
      <c r="N46" s="132">
        <f t="shared" si="24"/>
        <v>0.4</v>
      </c>
      <c r="O46" s="132">
        <f t="shared" si="5"/>
        <v>4.4999999999999984E-2</v>
      </c>
      <c r="P46" s="132">
        <f t="shared" si="6"/>
        <v>1.4999999999999986E-2</v>
      </c>
      <c r="Q46" s="132">
        <f t="shared" si="26"/>
        <v>0.45999999999999996</v>
      </c>
      <c r="R46" s="405">
        <f t="shared" si="8"/>
        <v>0.34499999999999997</v>
      </c>
      <c r="S46" s="405">
        <f t="shared" si="9"/>
        <v>0.11499999999999999</v>
      </c>
      <c r="T46" s="405">
        <f t="shared" si="10"/>
        <v>0.45999999999999996</v>
      </c>
      <c r="U46" s="127"/>
      <c r="V46" s="127"/>
      <c r="W46" t="str">
        <f>IFERROR(#REF!*J46,"")</f>
        <v/>
      </c>
      <c r="X46">
        <f t="shared" si="11"/>
        <v>59.4</v>
      </c>
      <c r="Y46">
        <f t="shared" si="12"/>
        <v>49.5</v>
      </c>
      <c r="Z46" s="127">
        <f t="shared" si="13"/>
        <v>19.8</v>
      </c>
      <c r="AA46" s="127">
        <f t="shared" si="14"/>
        <v>79.2</v>
      </c>
      <c r="AB46" s="127">
        <f t="shared" si="15"/>
        <v>8.9099999999999966</v>
      </c>
      <c r="AC46" s="127">
        <f t="shared" si="16"/>
        <v>2.9699999999999971</v>
      </c>
      <c r="AD46" s="127">
        <f t="shared" si="17"/>
        <v>91.08</v>
      </c>
      <c r="AF46" s="127" t="str">
        <f>IFERROR(W46*'FlightConfig '!$K$3,"")</f>
        <v/>
      </c>
      <c r="AG46" s="127">
        <f>IFERROR(X46*'FlightConfig '!$K$17,"")</f>
        <v>21621.599999999999</v>
      </c>
      <c r="AH46" s="127">
        <f>IFERROR(Y46*'FlightConfig '!$K$17,"")</f>
        <v>18018</v>
      </c>
      <c r="AI46" s="127">
        <f>IFERROR(Z46*'FlightConfig '!$K$17,"")</f>
        <v>7207.2</v>
      </c>
      <c r="AJ46" s="127">
        <f>IFERROR(AA46*'FlightConfig '!$K$17,"")</f>
        <v>28828.799999999999</v>
      </c>
      <c r="AK46" s="127">
        <f>IFERROR(AB46*'FlightConfig '!$K$17,"")</f>
        <v>3243.2399999999989</v>
      </c>
    </row>
    <row r="47" spans="1:37" ht="18" customHeight="1" x14ac:dyDescent="0.25">
      <c r="A47" t="s">
        <v>135</v>
      </c>
      <c r="B47" s="171">
        <v>1</v>
      </c>
      <c r="C47" s="176" t="str">
        <f t="shared" si="22"/>
        <v>ECONOMY CLASS1</v>
      </c>
      <c r="D47" s="312"/>
      <c r="E47" s="305">
        <v>1043</v>
      </c>
      <c r="F47" s="311"/>
      <c r="G47" t="str">
        <f>VLOOKUP(E47,'FG MASTER'!$A$10:$AB$218,2,0)</f>
        <v>YC C1 DINNER BUTTER CHIP 10G</v>
      </c>
      <c r="H47" s="286">
        <v>1</v>
      </c>
      <c r="I47" s="173">
        <v>1</v>
      </c>
      <c r="J47" s="292">
        <f>IFERROR(IF(I47="std",H47,HLOOKUP(A47,'FlightConfig '!$B$28:$G$29,2,0)*I47),"")</f>
        <v>198</v>
      </c>
      <c r="K47" s="245">
        <f>VLOOKUP(Food!E47,'FG MASTER'!$A$1:$AC$536,16,0)</f>
        <v>0.14000000000000001</v>
      </c>
      <c r="L47" s="246">
        <f>VLOOKUP(Food!E47,'FG MASTER'!$A$10:$AC$536,17,0)</f>
        <v>0.25</v>
      </c>
      <c r="M47" s="132">
        <f t="shared" ref="M47:M59" si="27">IFERROR(L47*$M$2,"")</f>
        <v>0.1</v>
      </c>
      <c r="N47" s="132">
        <f t="shared" si="24"/>
        <v>0.24000000000000002</v>
      </c>
      <c r="O47" s="132">
        <f t="shared" si="5"/>
        <v>2.0999999999999991E-2</v>
      </c>
      <c r="P47" s="132">
        <f t="shared" si="6"/>
        <v>1.4999999999999986E-2</v>
      </c>
      <c r="Q47" s="132">
        <f t="shared" si="26"/>
        <v>0.27600000000000002</v>
      </c>
      <c r="R47" s="405">
        <f t="shared" si="8"/>
        <v>0.161</v>
      </c>
      <c r="S47" s="405">
        <f t="shared" si="9"/>
        <v>0.11499999999999999</v>
      </c>
      <c r="T47" s="405">
        <f t="shared" si="10"/>
        <v>0.27600000000000002</v>
      </c>
      <c r="U47" s="127"/>
      <c r="V47" s="127"/>
      <c r="W47" t="str">
        <f>IFERROR(#REF!*J47,"")</f>
        <v/>
      </c>
      <c r="X47">
        <f t="shared" si="11"/>
        <v>27.720000000000002</v>
      </c>
      <c r="Y47">
        <f t="shared" si="12"/>
        <v>49.5</v>
      </c>
      <c r="Z47" s="127">
        <f t="shared" si="13"/>
        <v>19.8</v>
      </c>
      <c r="AA47" s="127">
        <f t="shared" si="14"/>
        <v>47.52</v>
      </c>
      <c r="AB47" s="127">
        <f t="shared" si="15"/>
        <v>4.1579999999999986</v>
      </c>
      <c r="AC47" s="127">
        <f t="shared" si="16"/>
        <v>2.9699999999999971</v>
      </c>
      <c r="AD47" s="127">
        <f t="shared" si="17"/>
        <v>54.648000000000003</v>
      </c>
      <c r="AF47" s="127" t="str">
        <f>IFERROR(W47*'FlightConfig '!$K$3,"")</f>
        <v/>
      </c>
      <c r="AG47" s="127">
        <f>IFERROR(X47*'FlightConfig '!$K$17,"")</f>
        <v>10090.080000000002</v>
      </c>
      <c r="AH47" s="127">
        <f>IFERROR(Y47*'FlightConfig '!$K$17,"")</f>
        <v>18018</v>
      </c>
      <c r="AI47" s="127">
        <f>IFERROR(Z47*'FlightConfig '!$K$17,"")</f>
        <v>7207.2</v>
      </c>
      <c r="AJ47" s="127">
        <f>IFERROR(AA47*'FlightConfig '!$K$17,"")</f>
        <v>17297.280000000002</v>
      </c>
      <c r="AK47" s="127">
        <f>IFERROR(AB47*'FlightConfig '!$K$17,"")</f>
        <v>1513.5119999999995</v>
      </c>
    </row>
    <row r="48" spans="1:37" ht="18" customHeight="1" x14ac:dyDescent="0.25">
      <c r="A48" t="s">
        <v>135</v>
      </c>
      <c r="B48" s="171">
        <v>1</v>
      </c>
      <c r="C48" s="176" t="str">
        <f>CONCATENATE(A48&amp;B48&amp;F48)</f>
        <v>ECONOMY CLASS1</v>
      </c>
      <c r="D48" s="312"/>
      <c r="E48" s="305">
        <v>1044</v>
      </c>
      <c r="F48" s="311"/>
      <c r="G48" t="str">
        <f>VLOOKUP(E48,'FG MASTER'!$A$10:$AB$218,2,0)</f>
        <v>YC C1 DINNER STARTER 1 MESCLUN MIX, CUCUMBER, CARROT, CHERRY TOMATO</v>
      </c>
      <c r="H48" s="286">
        <v>1</v>
      </c>
      <c r="I48" s="173">
        <v>1</v>
      </c>
      <c r="J48" s="292">
        <f>IFERROR(IF(I48="std",H48,HLOOKUP(A48,'FlightConfig '!$B$28:$G$29,2,0)*I48),"")</f>
        <v>198</v>
      </c>
      <c r="K48" s="245">
        <f>VLOOKUP(Food!E48,'FG MASTER'!$A$1:$AC$536,16,0)</f>
        <v>0.28999999999999998</v>
      </c>
      <c r="L48" s="246">
        <f>VLOOKUP(Food!E48,'FG MASTER'!$A$10:$AC$536,17,0)</f>
        <v>1.25</v>
      </c>
      <c r="M48" s="132">
        <f t="shared" si="27"/>
        <v>0.5</v>
      </c>
      <c r="N48" s="132">
        <f>IFERROR((K48)+M48,"")</f>
        <v>0.79</v>
      </c>
      <c r="O48" s="132">
        <f t="shared" si="5"/>
        <v>4.3499999999999983E-2</v>
      </c>
      <c r="P48" s="132">
        <f t="shared" si="6"/>
        <v>7.4999999999999956E-2</v>
      </c>
      <c r="Q48" s="132">
        <f t="shared" si="26"/>
        <v>0.90849999999999997</v>
      </c>
      <c r="R48" s="405">
        <f t="shared" si="8"/>
        <v>0.33349999999999996</v>
      </c>
      <c r="S48" s="405">
        <f t="shared" si="9"/>
        <v>0.57499999999999996</v>
      </c>
      <c r="T48" s="405">
        <f t="shared" si="10"/>
        <v>0.90849999999999986</v>
      </c>
      <c r="U48" s="127"/>
      <c r="V48" s="127"/>
      <c r="W48" t="str">
        <f>IFERROR(#REF!*J48,"")</f>
        <v/>
      </c>
      <c r="X48">
        <f t="shared" si="11"/>
        <v>57.419999999999995</v>
      </c>
      <c r="Y48">
        <f t="shared" si="12"/>
        <v>247.5</v>
      </c>
      <c r="Z48" s="127">
        <f t="shared" si="13"/>
        <v>99</v>
      </c>
      <c r="AA48" s="127">
        <f t="shared" si="14"/>
        <v>156.42000000000002</v>
      </c>
      <c r="AB48" s="127">
        <f t="shared" si="15"/>
        <v>8.612999999999996</v>
      </c>
      <c r="AC48" s="127">
        <f t="shared" si="16"/>
        <v>14.849999999999991</v>
      </c>
      <c r="AD48" s="127">
        <f t="shared" si="17"/>
        <v>179.88299999999998</v>
      </c>
      <c r="AF48" s="127" t="str">
        <f>IFERROR(W48*'FlightConfig '!$K$3,"")</f>
        <v/>
      </c>
      <c r="AG48" s="127">
        <f>IFERROR(X48*'FlightConfig '!$K$17,"")</f>
        <v>20900.879999999997</v>
      </c>
      <c r="AH48" s="127">
        <f>IFERROR(Y48*'FlightConfig '!$K$17,"")</f>
        <v>90090</v>
      </c>
      <c r="AI48" s="127">
        <f>IFERROR(Z48*'FlightConfig '!$K$17,"")</f>
        <v>36036</v>
      </c>
      <c r="AJ48" s="127">
        <f>IFERROR(AA48*'FlightConfig '!$K$17,"")</f>
        <v>56936.880000000005</v>
      </c>
      <c r="AK48" s="127">
        <f>IFERROR(AB48*'FlightConfig '!$K$17,"")</f>
        <v>3135.1319999999987</v>
      </c>
    </row>
    <row r="49" spans="1:37" ht="18" customHeight="1" x14ac:dyDescent="0.25">
      <c r="A49" t="s">
        <v>135</v>
      </c>
      <c r="B49" s="171">
        <v>1</v>
      </c>
      <c r="C49" s="176" t="str">
        <f>CONCATENATE(A49&amp;B49&amp;F49)</f>
        <v>ECONOMY CLASS1</v>
      </c>
      <c r="D49" s="312"/>
      <c r="E49" s="305">
        <v>1045</v>
      </c>
      <c r="F49" s="311"/>
      <c r="G49" t="str">
        <f>VLOOKUP(E49,'FG MASTER'!$A$10:$AB$218,2,0)</f>
        <v>YC C1 DINNER STARTER 2 RED QUINOA, CORN CAVIAR, SUNFLOWER SEED</v>
      </c>
      <c r="H49" s="286">
        <v>1</v>
      </c>
      <c r="I49" s="173">
        <v>0</v>
      </c>
      <c r="J49" s="292">
        <f>IFERROR(IF(I49="std",H49,HLOOKUP(A49,'FlightConfig '!$B$28:$G$29,2,0)*I49),"")</f>
        <v>0</v>
      </c>
      <c r="K49" s="245">
        <f>VLOOKUP(Food!E49,'FG MASTER'!$A$1:$AC$536,16,0)</f>
        <v>0.43</v>
      </c>
      <c r="L49" s="246">
        <f>VLOOKUP(Food!E49,'FG MASTER'!$A$10:$AC$536,17,0)</f>
        <v>1.25</v>
      </c>
      <c r="M49" s="132">
        <f t="shared" ref="M49" si="28">IFERROR(L49*$M$2,"")</f>
        <v>0.5</v>
      </c>
      <c r="N49" s="132">
        <f>IFERROR((K49)+M49,"")</f>
        <v>0.92999999999999994</v>
      </c>
      <c r="O49" s="132">
        <f t="shared" si="5"/>
        <v>6.4499999999999946E-2</v>
      </c>
      <c r="P49" s="132">
        <f t="shared" si="6"/>
        <v>7.4999999999999956E-2</v>
      </c>
      <c r="Q49" s="132">
        <f t="shared" ref="Q49" si="29">SUM(N49:P49)</f>
        <v>1.0694999999999999</v>
      </c>
      <c r="R49" s="405">
        <f t="shared" si="8"/>
        <v>0.49449999999999994</v>
      </c>
      <c r="S49" s="405">
        <f t="shared" si="9"/>
        <v>0.57499999999999996</v>
      </c>
      <c r="T49" s="405">
        <f t="shared" si="10"/>
        <v>1.0694999999999999</v>
      </c>
      <c r="U49" s="127"/>
      <c r="V49" s="127"/>
      <c r="W49" t="str">
        <f>IFERROR(#REF!*J49,"")</f>
        <v/>
      </c>
      <c r="X49">
        <f t="shared" si="11"/>
        <v>0</v>
      </c>
      <c r="Y49">
        <f t="shared" si="12"/>
        <v>0</v>
      </c>
      <c r="Z49" s="127">
        <f t="shared" si="13"/>
        <v>0</v>
      </c>
      <c r="AA49" s="127">
        <f t="shared" si="14"/>
        <v>0</v>
      </c>
      <c r="AB49" s="127">
        <f t="shared" si="15"/>
        <v>0</v>
      </c>
      <c r="AC49" s="127">
        <f t="shared" si="16"/>
        <v>0</v>
      </c>
      <c r="AD49" s="127">
        <f t="shared" si="17"/>
        <v>0</v>
      </c>
      <c r="AF49" s="127" t="str">
        <f>IFERROR(W49*'FlightConfig '!$K$3,"")</f>
        <v/>
      </c>
      <c r="AG49" s="127">
        <f>IFERROR(X49*'FlightConfig '!$K$17,"")</f>
        <v>0</v>
      </c>
      <c r="AH49" s="127">
        <f>IFERROR(Y49*'FlightConfig '!$K$17,"")</f>
        <v>0</v>
      </c>
      <c r="AI49" s="127">
        <f>IFERROR(Z49*'FlightConfig '!$K$17,"")</f>
        <v>0</v>
      </c>
      <c r="AJ49" s="127">
        <f>IFERROR(AA49*'FlightConfig '!$K$17,"")</f>
        <v>0</v>
      </c>
      <c r="AK49" s="127">
        <f>IFERROR(AB49*'FlightConfig '!$K$17,"")</f>
        <v>0</v>
      </c>
    </row>
    <row r="50" spans="1:37" ht="18" customHeight="1" x14ac:dyDescent="0.25">
      <c r="A50" t="s">
        <v>135</v>
      </c>
      <c r="B50" s="171">
        <v>1</v>
      </c>
      <c r="C50" s="176" t="str">
        <f>CONCATENATE(A50&amp;B50&amp;F50)</f>
        <v>ECONOMY CLASS1</v>
      </c>
      <c r="D50" s="312"/>
      <c r="E50" s="305">
        <v>1046</v>
      </c>
      <c r="F50" s="311"/>
      <c r="G50" t="str">
        <f>VLOOKUP(E50,'FG MASTER'!$A$10:$AB$218,2,0)</f>
        <v>YC C1 DINNER ENTRÉE 1 BUTTER CHICKEN, CILANTRO LIME RICE, MIXED VEGETABLE</v>
      </c>
      <c r="H50" s="286">
        <v>1</v>
      </c>
      <c r="I50" s="173">
        <v>0.7</v>
      </c>
      <c r="J50" s="292">
        <f>IFERROR(IF(I50="std",H50,HLOOKUP(A50,'FlightConfig '!$B$28:$G$29,2,0)*I50),"")</f>
        <v>138.6</v>
      </c>
      <c r="K50" s="245">
        <f>VLOOKUP(Food!E50,'FG MASTER'!$A$1:$AC$536,16,0)</f>
        <v>1.54</v>
      </c>
      <c r="L50" s="246">
        <f>VLOOKUP(Food!E50,'FG MASTER'!$A$10:$AC$536,17,0)</f>
        <v>4.75</v>
      </c>
      <c r="M50" s="132">
        <f t="shared" si="27"/>
        <v>1.9000000000000001</v>
      </c>
      <c r="N50" s="132">
        <f>IFERROR((K50)+M50,"")</f>
        <v>3.4400000000000004</v>
      </c>
      <c r="O50" s="132">
        <f t="shared" si="5"/>
        <v>0.23099999999999987</v>
      </c>
      <c r="P50" s="132">
        <f t="shared" si="6"/>
        <v>0.28499999999999992</v>
      </c>
      <c r="Q50" s="132">
        <f t="shared" si="26"/>
        <v>3.9560000000000004</v>
      </c>
      <c r="R50" s="405">
        <f t="shared" si="8"/>
        <v>1.7709999999999999</v>
      </c>
      <c r="S50" s="405">
        <f t="shared" si="9"/>
        <v>2.1850000000000001</v>
      </c>
      <c r="T50" s="405">
        <f t="shared" si="10"/>
        <v>3.956</v>
      </c>
      <c r="U50" s="127"/>
      <c r="V50" s="127"/>
      <c r="W50" t="str">
        <f>IFERROR(#REF!*J50,"")</f>
        <v/>
      </c>
      <c r="X50">
        <f t="shared" si="11"/>
        <v>213.44399999999999</v>
      </c>
      <c r="Y50">
        <f t="shared" si="12"/>
        <v>658.35</v>
      </c>
      <c r="Z50" s="127">
        <f t="shared" si="13"/>
        <v>263.34000000000003</v>
      </c>
      <c r="AA50" s="127">
        <f t="shared" si="14"/>
        <v>476.78400000000005</v>
      </c>
      <c r="AB50" s="127">
        <f t="shared" si="15"/>
        <v>32.016599999999983</v>
      </c>
      <c r="AC50" s="127">
        <f t="shared" si="16"/>
        <v>39.500999999999991</v>
      </c>
      <c r="AD50" s="127">
        <f t="shared" si="17"/>
        <v>548.30160000000001</v>
      </c>
      <c r="AF50" s="127" t="str">
        <f>IFERROR(W50*'FlightConfig '!$K$3,"")</f>
        <v/>
      </c>
      <c r="AG50" s="127">
        <f>IFERROR(X50*'FlightConfig '!$K$17,"")</f>
        <v>77693.615999999995</v>
      </c>
      <c r="AH50" s="127">
        <f>IFERROR(Y50*'FlightConfig '!$K$17,"")</f>
        <v>239639.4</v>
      </c>
      <c r="AI50" s="127">
        <f>IFERROR(Z50*'FlightConfig '!$K$17,"")</f>
        <v>95855.760000000009</v>
      </c>
      <c r="AJ50" s="127">
        <f>IFERROR(AA50*'FlightConfig '!$K$17,"")</f>
        <v>173549.37600000002</v>
      </c>
      <c r="AK50" s="127">
        <f>IFERROR(AB50*'FlightConfig '!$K$17,"")</f>
        <v>11654.042399999993</v>
      </c>
    </row>
    <row r="51" spans="1:37" ht="18" customHeight="1" x14ac:dyDescent="0.25">
      <c r="A51" t="s">
        <v>135</v>
      </c>
      <c r="B51" s="171">
        <v>1</v>
      </c>
      <c r="C51" s="176" t="str">
        <f>CONCATENATE(A51&amp;B51&amp;F51)</f>
        <v>ECONOMY CLASS1</v>
      </c>
      <c r="D51" s="312"/>
      <c r="E51" s="305">
        <v>1047</v>
      </c>
      <c r="F51" s="311"/>
      <c r="G51" t="str">
        <f>VLOOKUP(E51,'FG MASTER'!$A$10:$AB$218,2,0)</f>
        <v>YC C1 DINNER ENTRÉE 2 RIGATONI PASTA, POMODORINI SAUCE, WHIPPED RICOTTA, RED PEPPER</v>
      </c>
      <c r="H51" s="286">
        <v>1</v>
      </c>
      <c r="I51" s="173">
        <v>0.3</v>
      </c>
      <c r="J51" s="292">
        <f>IFERROR(IF(I51="std",H51,HLOOKUP(A51,'FlightConfig '!$B$28:$G$29,2,0)*I51),"")</f>
        <v>59.4</v>
      </c>
      <c r="K51" s="245">
        <f>VLOOKUP(Food!E51,'FG MASTER'!$A$1:$AC$536,16,0)</f>
        <v>1.51</v>
      </c>
      <c r="L51" s="246">
        <f>VLOOKUP(Food!E51,'FG MASTER'!$A$10:$AC$536,17,0)</f>
        <v>4</v>
      </c>
      <c r="M51" s="132">
        <f t="shared" si="27"/>
        <v>1.6</v>
      </c>
      <c r="N51" s="132">
        <f>IFERROR((K51)+M51,"")</f>
        <v>3.1100000000000003</v>
      </c>
      <c r="O51" s="132">
        <f t="shared" si="5"/>
        <v>0.22649999999999992</v>
      </c>
      <c r="P51" s="132">
        <f t="shared" si="6"/>
        <v>0.23999999999999977</v>
      </c>
      <c r="Q51" s="132">
        <f t="shared" si="26"/>
        <v>3.5764999999999998</v>
      </c>
      <c r="R51" s="405">
        <f t="shared" si="8"/>
        <v>1.7364999999999999</v>
      </c>
      <c r="S51" s="405">
        <f t="shared" si="9"/>
        <v>1.8399999999999999</v>
      </c>
      <c r="T51" s="405">
        <f t="shared" si="10"/>
        <v>3.5764999999999998</v>
      </c>
      <c r="U51" s="127"/>
      <c r="V51" s="127"/>
      <c r="W51" t="str">
        <f>IFERROR(#REF!*J51,"")</f>
        <v/>
      </c>
      <c r="X51">
        <f t="shared" si="11"/>
        <v>89.694000000000003</v>
      </c>
      <c r="Y51">
        <f t="shared" si="12"/>
        <v>237.6</v>
      </c>
      <c r="Z51" s="127">
        <f t="shared" si="13"/>
        <v>95.04</v>
      </c>
      <c r="AA51" s="127">
        <f t="shared" si="14"/>
        <v>184.73400000000001</v>
      </c>
      <c r="AB51" s="127">
        <f t="shared" si="15"/>
        <v>13.454099999999995</v>
      </c>
      <c r="AC51" s="127">
        <f t="shared" si="16"/>
        <v>14.255999999999986</v>
      </c>
      <c r="AD51" s="127">
        <f t="shared" si="17"/>
        <v>212.44409999999999</v>
      </c>
      <c r="AF51" s="127" t="str">
        <f>IFERROR(W51*'FlightConfig '!$K$3,"")</f>
        <v/>
      </c>
      <c r="AG51" s="127">
        <f>IFERROR(X51*'FlightConfig '!$K$17,"")</f>
        <v>32648.616000000002</v>
      </c>
      <c r="AH51" s="127">
        <f>IFERROR(Y51*'FlightConfig '!$K$17,"")</f>
        <v>86486.399999999994</v>
      </c>
      <c r="AI51" s="127">
        <f>IFERROR(Z51*'FlightConfig '!$K$17,"")</f>
        <v>34594.560000000005</v>
      </c>
      <c r="AJ51" s="127">
        <f>IFERROR(AA51*'FlightConfig '!$K$17,"")</f>
        <v>67243.176000000007</v>
      </c>
      <c r="AK51" s="127">
        <f>IFERROR(AB51*'FlightConfig '!$K$17,"")</f>
        <v>4897.2923999999985</v>
      </c>
    </row>
    <row r="52" spans="1:37" ht="18" customHeight="1" x14ac:dyDescent="0.25">
      <c r="A52" t="s">
        <v>135</v>
      </c>
      <c r="B52" s="171">
        <v>1</v>
      </c>
      <c r="C52" s="176" t="str">
        <f>CONCATENATE(A52&amp;B52&amp;F52)</f>
        <v>ECONOMY CLASS1</v>
      </c>
      <c r="D52" s="312"/>
      <c r="E52" s="305">
        <v>1048</v>
      </c>
      <c r="F52" s="311"/>
      <c r="G52" t="str">
        <f>VLOOKUP(E52,'FG MASTER'!$A$10:$AB$218,2,0)</f>
        <v>YC C1 DINNER SIDE 1 TOMATO KACHUMBER SAQLAD</v>
      </c>
      <c r="H52" s="286">
        <v>1</v>
      </c>
      <c r="I52" s="173">
        <v>0</v>
      </c>
      <c r="J52" s="292">
        <f>IFERROR(IF(I52="std",H52,HLOOKUP(A52,'FlightConfig '!$B$28:$G$29,2,0)*I52),"")</f>
        <v>0</v>
      </c>
      <c r="K52" s="245">
        <f>VLOOKUP(Food!E52,'FG MASTER'!$A$1:$AC$536,16,0)</f>
        <v>0.05</v>
      </c>
      <c r="L52" s="246">
        <f>VLOOKUP(Food!E52,'FG MASTER'!$A$10:$AC$536,17,0)</f>
        <v>1</v>
      </c>
      <c r="M52" s="132">
        <f t="shared" si="27"/>
        <v>0.4</v>
      </c>
      <c r="N52" s="132">
        <f>IFERROR((K52)+M52,"")</f>
        <v>0.45</v>
      </c>
      <c r="O52" s="132">
        <f t="shared" si="5"/>
        <v>7.4999999999999928E-3</v>
      </c>
      <c r="P52" s="132">
        <f t="shared" si="6"/>
        <v>5.9999999999999942E-2</v>
      </c>
      <c r="Q52" s="132">
        <f t="shared" si="26"/>
        <v>0.51749999999999996</v>
      </c>
      <c r="R52" s="405">
        <f t="shared" si="8"/>
        <v>5.7499999999999996E-2</v>
      </c>
      <c r="S52" s="405">
        <f t="shared" si="9"/>
        <v>0.45999999999999996</v>
      </c>
      <c r="T52" s="405">
        <f t="shared" si="10"/>
        <v>0.51749999999999996</v>
      </c>
      <c r="U52" s="127"/>
      <c r="V52" s="127"/>
      <c r="W52" t="str">
        <f>IFERROR(#REF!*J52,"")</f>
        <v/>
      </c>
      <c r="X52">
        <f t="shared" si="11"/>
        <v>0</v>
      </c>
      <c r="Y52">
        <f t="shared" si="12"/>
        <v>0</v>
      </c>
      <c r="Z52" s="127">
        <f t="shared" si="13"/>
        <v>0</v>
      </c>
      <c r="AA52" s="127">
        <f t="shared" si="14"/>
        <v>0</v>
      </c>
      <c r="AB52" s="127">
        <f t="shared" si="15"/>
        <v>0</v>
      </c>
      <c r="AC52" s="127">
        <f t="shared" si="16"/>
        <v>0</v>
      </c>
      <c r="AD52" s="127">
        <f t="shared" si="17"/>
        <v>0</v>
      </c>
      <c r="AF52" s="127" t="str">
        <f>IFERROR(W52*'FlightConfig '!$K$3,"")</f>
        <v/>
      </c>
      <c r="AG52" s="127">
        <f>IFERROR(X52*'FlightConfig '!$K$17,"")</f>
        <v>0</v>
      </c>
      <c r="AH52" s="127">
        <f>IFERROR(Y52*'FlightConfig '!$K$17,"")</f>
        <v>0</v>
      </c>
      <c r="AI52" s="127">
        <f>IFERROR(Z52*'FlightConfig '!$K$17,"")</f>
        <v>0</v>
      </c>
      <c r="AJ52" s="127">
        <f>IFERROR(AA52*'FlightConfig '!$K$17,"")</f>
        <v>0</v>
      </c>
      <c r="AK52" s="127">
        <f>IFERROR(AB52*'FlightConfig '!$K$17,"")</f>
        <v>0</v>
      </c>
    </row>
    <row r="53" spans="1:37" ht="18" customHeight="1" x14ac:dyDescent="0.25">
      <c r="A53" t="s">
        <v>135</v>
      </c>
      <c r="B53" s="171">
        <v>1</v>
      </c>
      <c r="C53" s="176" t="str">
        <f t="shared" ref="C53:C69" si="30">CONCATENATE(A53&amp;B53&amp;F53)</f>
        <v>ECONOMY CLASS1</v>
      </c>
      <c r="D53" s="312"/>
      <c r="E53" s="305">
        <v>1049</v>
      </c>
      <c r="F53" s="311"/>
      <c r="G53" t="str">
        <f>VLOOKUP(E53,'FG MASTER'!$A$10:$AB$218,2,0)</f>
        <v>YC C1 DINNER DESSERT BANANA PUDDING, BISCOFF CUMBLE, BUTTERSCOTCH</v>
      </c>
      <c r="H53" s="286">
        <v>1</v>
      </c>
      <c r="I53" s="173">
        <v>1</v>
      </c>
      <c r="J53" s="292">
        <f>IFERROR(IF(I53="std",H53,HLOOKUP(A53,'FlightConfig '!$B$28:$G$29,2,0)*I53),"")</f>
        <v>198</v>
      </c>
      <c r="K53" s="245">
        <f>VLOOKUP(Food!E53,'FG MASTER'!$A$1:$AC$536,16,0)</f>
        <v>0.63</v>
      </c>
      <c r="L53" s="246">
        <f>VLOOKUP(Food!E53,'FG MASTER'!$A$10:$AC$536,17,0)</f>
        <v>1.5</v>
      </c>
      <c r="M53" s="132">
        <f t="shared" si="27"/>
        <v>0.60000000000000009</v>
      </c>
      <c r="N53" s="132">
        <f t="shared" ref="N53:N65" si="31">IFERROR((K53)+M53,"")</f>
        <v>1.23</v>
      </c>
      <c r="O53" s="132">
        <f t="shared" si="5"/>
        <v>9.4499999999999917E-2</v>
      </c>
      <c r="P53" s="132">
        <f t="shared" si="6"/>
        <v>8.9999999999999969E-2</v>
      </c>
      <c r="Q53" s="132">
        <f t="shared" si="26"/>
        <v>1.4144999999999999</v>
      </c>
      <c r="R53" s="405">
        <f t="shared" si="8"/>
        <v>0.72449999999999992</v>
      </c>
      <c r="S53" s="405">
        <f t="shared" si="9"/>
        <v>0.69000000000000006</v>
      </c>
      <c r="T53" s="405">
        <f t="shared" si="10"/>
        <v>1.4144999999999999</v>
      </c>
      <c r="U53" s="127"/>
      <c r="V53" s="127"/>
      <c r="W53" t="str">
        <f>IFERROR(#REF!*J53,"")</f>
        <v/>
      </c>
      <c r="X53">
        <f t="shared" si="11"/>
        <v>124.74</v>
      </c>
      <c r="Y53">
        <f t="shared" si="12"/>
        <v>297</v>
      </c>
      <c r="Z53" s="127">
        <f t="shared" si="13"/>
        <v>118.80000000000001</v>
      </c>
      <c r="AA53" s="127">
        <f t="shared" si="14"/>
        <v>243.54</v>
      </c>
      <c r="AB53" s="127">
        <f t="shared" si="15"/>
        <v>18.710999999999984</v>
      </c>
      <c r="AC53" s="127">
        <f t="shared" si="16"/>
        <v>17.819999999999993</v>
      </c>
      <c r="AD53" s="127">
        <f t="shared" si="17"/>
        <v>280.07099999999997</v>
      </c>
      <c r="AF53" s="127" t="str">
        <f>IFERROR(W53*'FlightConfig '!$K$3,"")</f>
        <v/>
      </c>
      <c r="AG53" s="127">
        <f>IFERROR(X53*'FlightConfig '!$K$17,"")</f>
        <v>45405.36</v>
      </c>
      <c r="AH53" s="127">
        <f>IFERROR(Y53*'FlightConfig '!$K$17,"")</f>
        <v>108108</v>
      </c>
      <c r="AI53" s="127">
        <f>IFERROR(Z53*'FlightConfig '!$K$17,"")</f>
        <v>43243.200000000004</v>
      </c>
      <c r="AJ53" s="127">
        <f>IFERROR(AA53*'FlightConfig '!$K$17,"")</f>
        <v>88648.56</v>
      </c>
      <c r="AK53" s="127">
        <f>IFERROR(AB53*'FlightConfig '!$K$17,"")</f>
        <v>6810.8039999999946</v>
      </c>
    </row>
    <row r="54" spans="1:37" ht="18" customHeight="1" x14ac:dyDescent="0.25">
      <c r="A54" t="s">
        <v>135</v>
      </c>
      <c r="B54" s="171">
        <v>1</v>
      </c>
      <c r="C54" s="176" t="str">
        <f t="shared" si="30"/>
        <v>ECONOMY CLASS1</v>
      </c>
      <c r="D54" s="312"/>
      <c r="E54" s="305">
        <v>1050</v>
      </c>
      <c r="F54" s="311"/>
      <c r="G54" t="str">
        <f>VLOOKUP(E54,'FG MASTER'!$A$10:$AB$218,2,0)</f>
        <v>YC C1 BREAKFAST SANDWICH 1 FARM EGG BREAKFAST BURROTTO, SALSA ROJA</v>
      </c>
      <c r="H54" s="286">
        <v>1</v>
      </c>
      <c r="I54" s="173">
        <v>0.4</v>
      </c>
      <c r="J54" s="292">
        <f>IFERROR(IF(I54="std",H54,HLOOKUP(A54,'FlightConfig '!$B$28:$G$29,2,0)*I54),"")</f>
        <v>79.2</v>
      </c>
      <c r="K54" s="245">
        <f>VLOOKUP(Food!E54,'FG MASTER'!$A$1:$AC$536,16,0)</f>
        <v>1.3</v>
      </c>
      <c r="L54" s="246">
        <f>VLOOKUP(Food!E54,'FG MASTER'!$A$10:$AC$536,17,0)</f>
        <v>1.25</v>
      </c>
      <c r="M54" s="132">
        <f t="shared" si="27"/>
        <v>0.5</v>
      </c>
      <c r="N54" s="132">
        <f t="shared" si="31"/>
        <v>1.8</v>
      </c>
      <c r="O54" s="132">
        <f t="shared" si="5"/>
        <v>0.19499999999999984</v>
      </c>
      <c r="P54" s="132">
        <f t="shared" si="6"/>
        <v>7.4999999999999956E-2</v>
      </c>
      <c r="Q54" s="132">
        <f t="shared" si="26"/>
        <v>2.0699999999999998</v>
      </c>
      <c r="R54" s="405">
        <f t="shared" si="8"/>
        <v>1.4949999999999999</v>
      </c>
      <c r="S54" s="405">
        <f t="shared" si="9"/>
        <v>0.57499999999999996</v>
      </c>
      <c r="T54" s="405">
        <f t="shared" si="10"/>
        <v>2.0699999999999998</v>
      </c>
      <c r="U54" s="127"/>
      <c r="V54" s="127"/>
      <c r="W54" t="str">
        <f>IFERROR(#REF!*J54,"")</f>
        <v/>
      </c>
      <c r="X54">
        <f t="shared" si="11"/>
        <v>102.96000000000001</v>
      </c>
      <c r="Y54">
        <f t="shared" si="12"/>
        <v>99</v>
      </c>
      <c r="Z54" s="127">
        <f t="shared" si="13"/>
        <v>39.6</v>
      </c>
      <c r="AA54" s="127">
        <f t="shared" si="14"/>
        <v>142.56</v>
      </c>
      <c r="AB54" s="127">
        <f t="shared" si="15"/>
        <v>15.443999999999988</v>
      </c>
      <c r="AC54" s="127">
        <f t="shared" si="16"/>
        <v>5.9399999999999968</v>
      </c>
      <c r="AD54" s="127">
        <f t="shared" si="17"/>
        <v>163.94399999999999</v>
      </c>
      <c r="AF54" s="127" t="str">
        <f>IFERROR(W54*'FlightConfig '!$K$3,"")</f>
        <v/>
      </c>
      <c r="AG54" s="127">
        <f>IFERROR(X54*'FlightConfig '!$K$17,"")</f>
        <v>37477.440000000002</v>
      </c>
      <c r="AH54" s="127">
        <f>IFERROR(Y54*'FlightConfig '!$K$17,"")</f>
        <v>36036</v>
      </c>
      <c r="AI54" s="127">
        <f>IFERROR(Z54*'FlightConfig '!$K$17,"")</f>
        <v>14414.4</v>
      </c>
      <c r="AJ54" s="127">
        <f>IFERROR(AA54*'FlightConfig '!$K$17,"")</f>
        <v>51891.840000000004</v>
      </c>
      <c r="AK54" s="127">
        <f>IFERROR(AB54*'FlightConfig '!$K$17,"")</f>
        <v>5621.6159999999954</v>
      </c>
    </row>
    <row r="55" spans="1:37" ht="18" customHeight="1" x14ac:dyDescent="0.25">
      <c r="A55" t="s">
        <v>135</v>
      </c>
      <c r="B55" s="171">
        <v>1</v>
      </c>
      <c r="C55" s="176" t="str">
        <f t="shared" si="30"/>
        <v>ECONOMY CLASS1</v>
      </c>
      <c r="D55" s="312"/>
      <c r="E55" s="305">
        <v>1051</v>
      </c>
      <c r="F55" s="311"/>
      <c r="G55" t="str">
        <f>VLOOKUP(E55,'FG MASTER'!$A$10:$AB$218,2,0)</f>
        <v>YC C1 BREAKFAST SANDWICH 2 BACON, EGG AND CHEESE HAND PIE WITH HASH BROWNS, SUNDRIED TOMATO AIOLI</v>
      </c>
      <c r="H55" s="286">
        <v>1</v>
      </c>
      <c r="I55" s="173">
        <v>0.6</v>
      </c>
      <c r="J55" s="292">
        <f>IFERROR(IF(I55="std",H55,HLOOKUP(A55,'FlightConfig '!$B$28:$G$29,2,0)*I55),"")</f>
        <v>118.8</v>
      </c>
      <c r="K55" s="245">
        <f>VLOOKUP(Food!E55,'FG MASTER'!$A$1:$AC$536,16,0)</f>
        <v>1.94</v>
      </c>
      <c r="L55" s="246">
        <f>VLOOKUP(Food!E55,'FG MASTER'!$A$10:$AC$536,17,0)</f>
        <v>1.25</v>
      </c>
      <c r="M55" s="132">
        <f t="shared" si="27"/>
        <v>0.5</v>
      </c>
      <c r="N55" s="132">
        <f t="shared" si="31"/>
        <v>2.44</v>
      </c>
      <c r="O55" s="132">
        <f t="shared" si="5"/>
        <v>0.29099999999999993</v>
      </c>
      <c r="P55" s="132">
        <f t="shared" si="6"/>
        <v>7.4999999999999956E-2</v>
      </c>
      <c r="Q55" s="132">
        <f t="shared" si="26"/>
        <v>2.806</v>
      </c>
      <c r="R55" s="405">
        <f t="shared" si="8"/>
        <v>2.2309999999999999</v>
      </c>
      <c r="S55" s="405">
        <f t="shared" si="9"/>
        <v>0.57499999999999996</v>
      </c>
      <c r="T55" s="405">
        <f t="shared" si="10"/>
        <v>2.806</v>
      </c>
      <c r="U55" s="127"/>
      <c r="V55" s="127"/>
      <c r="W55" t="str">
        <f>IFERROR(#REF!*J55,"")</f>
        <v/>
      </c>
      <c r="X55">
        <f t="shared" si="11"/>
        <v>230.47199999999998</v>
      </c>
      <c r="Y55">
        <f t="shared" si="12"/>
        <v>148.5</v>
      </c>
      <c r="Z55" s="127">
        <f t="shared" si="13"/>
        <v>59.4</v>
      </c>
      <c r="AA55" s="127">
        <f t="shared" si="14"/>
        <v>289.87200000000001</v>
      </c>
      <c r="AB55" s="127">
        <f t="shared" si="15"/>
        <v>34.570799999999991</v>
      </c>
      <c r="AC55" s="127">
        <f t="shared" si="16"/>
        <v>8.9099999999999948</v>
      </c>
      <c r="AD55" s="127">
        <f t="shared" si="17"/>
        <v>333.3528</v>
      </c>
      <c r="AF55" s="127" t="str">
        <f>IFERROR(W55*'FlightConfig '!$K$3,"")</f>
        <v/>
      </c>
      <c r="AG55" s="127">
        <f>IFERROR(X55*'FlightConfig '!$K$17,"")</f>
        <v>83891.80799999999</v>
      </c>
      <c r="AH55" s="127">
        <f>IFERROR(Y55*'FlightConfig '!$K$17,"")</f>
        <v>54054</v>
      </c>
      <c r="AI55" s="127">
        <f>IFERROR(Z55*'FlightConfig '!$K$17,"")</f>
        <v>21621.599999999999</v>
      </c>
      <c r="AJ55" s="127">
        <f>IFERROR(AA55*'FlightConfig '!$K$17,"")</f>
        <v>105513.40800000001</v>
      </c>
      <c r="AK55" s="127">
        <f>IFERROR(AB55*'FlightConfig '!$K$17,"")</f>
        <v>12583.771199999997</v>
      </c>
    </row>
    <row r="56" spans="1:37" ht="18" customHeight="1" x14ac:dyDescent="0.25">
      <c r="A56" t="s">
        <v>135</v>
      </c>
      <c r="B56" s="171">
        <v>1</v>
      </c>
      <c r="C56" s="176" t="str">
        <f t="shared" si="30"/>
        <v>ECONOMY CLASS1</v>
      </c>
      <c r="D56" s="312"/>
      <c r="E56" s="305">
        <v>1052</v>
      </c>
      <c r="F56" s="311"/>
      <c r="G56" t="str">
        <f>VLOOKUP(E56,'FG MASTER'!$A$10:$AB$218,2,0)</f>
        <v>YC C1 BREAKFAST SIDE 1 COCONUT CHIA OVERNIGHT OATS</v>
      </c>
      <c r="H56" s="286">
        <v>1</v>
      </c>
      <c r="I56" s="173">
        <v>0</v>
      </c>
      <c r="J56" s="292">
        <f>IFERROR(IF(I56="std",H56,HLOOKUP(A56,'FlightConfig '!$B$28:$G$29,2,0)*I56),"")</f>
        <v>0</v>
      </c>
      <c r="K56" s="245">
        <f>VLOOKUP(Food!E56,'FG MASTER'!$A$1:$AC$536,16,0)</f>
        <v>0.59</v>
      </c>
      <c r="L56" s="246">
        <f>VLOOKUP(Food!E56,'FG MASTER'!$A$10:$AC$536,17,0)</f>
        <v>1.5</v>
      </c>
      <c r="M56" s="132">
        <f t="shared" si="27"/>
        <v>0.60000000000000009</v>
      </c>
      <c r="N56" s="132">
        <f t="shared" si="31"/>
        <v>1.19</v>
      </c>
      <c r="O56" s="132">
        <f t="shared" si="5"/>
        <v>8.8499999999999912E-2</v>
      </c>
      <c r="P56" s="132">
        <f t="shared" si="6"/>
        <v>8.9999999999999969E-2</v>
      </c>
      <c r="Q56" s="132">
        <f t="shared" si="26"/>
        <v>1.3684999999999996</v>
      </c>
      <c r="R56" s="405">
        <f t="shared" si="8"/>
        <v>0.67849999999999988</v>
      </c>
      <c r="S56" s="405">
        <f t="shared" si="9"/>
        <v>0.69000000000000006</v>
      </c>
      <c r="T56" s="405">
        <f t="shared" si="10"/>
        <v>1.3685</v>
      </c>
      <c r="U56" s="127"/>
      <c r="V56" s="127"/>
      <c r="W56" t="str">
        <f>IFERROR(#REF!*J56,"")</f>
        <v/>
      </c>
      <c r="X56">
        <f t="shared" si="11"/>
        <v>0</v>
      </c>
      <c r="Y56">
        <f t="shared" si="12"/>
        <v>0</v>
      </c>
      <c r="Z56" s="127">
        <f t="shared" si="13"/>
        <v>0</v>
      </c>
      <c r="AA56" s="127">
        <f t="shared" si="14"/>
        <v>0</v>
      </c>
      <c r="AB56" s="127">
        <f t="shared" si="15"/>
        <v>0</v>
      </c>
      <c r="AC56" s="127">
        <f t="shared" si="16"/>
        <v>0</v>
      </c>
      <c r="AD56" s="127">
        <f t="shared" si="17"/>
        <v>0</v>
      </c>
      <c r="AF56" s="127" t="str">
        <f>IFERROR(W56*'FlightConfig '!$K$3,"")</f>
        <v/>
      </c>
      <c r="AG56" s="127">
        <f>IFERROR(X56*'FlightConfig '!$K$17,"")</f>
        <v>0</v>
      </c>
      <c r="AH56" s="127">
        <f>IFERROR(Y56*'FlightConfig '!$K$17,"")</f>
        <v>0</v>
      </c>
      <c r="AI56" s="127">
        <f>IFERROR(Z56*'FlightConfig '!$K$17,"")</f>
        <v>0</v>
      </c>
      <c r="AJ56" s="127">
        <f>IFERROR(AA56*'FlightConfig '!$K$17,"")</f>
        <v>0</v>
      </c>
      <c r="AK56" s="127">
        <f>IFERROR(AB56*'FlightConfig '!$K$17,"")</f>
        <v>0</v>
      </c>
    </row>
    <row r="57" spans="1:37" ht="18" customHeight="1" x14ac:dyDescent="0.25">
      <c r="A57" t="s">
        <v>135</v>
      </c>
      <c r="B57" s="171">
        <v>1</v>
      </c>
      <c r="C57" s="176" t="str">
        <f t="shared" si="30"/>
        <v>ECONOMY CLASS1</v>
      </c>
      <c r="D57" s="312"/>
      <c r="E57" s="305">
        <v>1053</v>
      </c>
      <c r="F57" s="311"/>
      <c r="G57" t="str">
        <f>VLOOKUP(E57,'FG MASTER'!$A$10:$AB$218,2,0)</f>
        <v>YC C1 BREAKFAST SIDE 2 HOMEMADE BANANA BREAD</v>
      </c>
      <c r="H57" s="286">
        <v>1</v>
      </c>
      <c r="I57" s="173">
        <v>0</v>
      </c>
      <c r="J57" s="292">
        <f>IFERROR(IF(I57="std",H57,HLOOKUP(A57,'FlightConfig '!$B$28:$G$29,2,0)*I57),"")</f>
        <v>0</v>
      </c>
      <c r="K57" s="245">
        <f>VLOOKUP(Food!E57,'FG MASTER'!$A$1:$AC$536,16,0)</f>
        <v>0.28000000000000003</v>
      </c>
      <c r="L57" s="246">
        <f>VLOOKUP(Food!E57,'FG MASTER'!$A$10:$AC$536,17,0)</f>
        <v>1</v>
      </c>
      <c r="M57" s="132">
        <f t="shared" si="27"/>
        <v>0.4</v>
      </c>
      <c r="N57" s="132">
        <f t="shared" si="31"/>
        <v>0.68</v>
      </c>
      <c r="O57" s="132">
        <f t="shared" si="5"/>
        <v>4.1999999999999982E-2</v>
      </c>
      <c r="P57" s="132">
        <f t="shared" si="6"/>
        <v>5.9999999999999942E-2</v>
      </c>
      <c r="Q57" s="132">
        <f t="shared" si="26"/>
        <v>0.78199999999999992</v>
      </c>
      <c r="R57" s="405">
        <f t="shared" si="8"/>
        <v>0.32200000000000001</v>
      </c>
      <c r="S57" s="405">
        <f t="shared" si="9"/>
        <v>0.45999999999999996</v>
      </c>
      <c r="T57" s="405">
        <f t="shared" si="10"/>
        <v>0.78200000000000003</v>
      </c>
      <c r="U57" s="127"/>
      <c r="V57" s="127"/>
      <c r="W57" t="str">
        <f>IFERROR(#REF!*J57,"")</f>
        <v/>
      </c>
      <c r="X57">
        <f t="shared" si="11"/>
        <v>0</v>
      </c>
      <c r="Y57">
        <f t="shared" si="12"/>
        <v>0</v>
      </c>
      <c r="Z57" s="127">
        <f t="shared" si="13"/>
        <v>0</v>
      </c>
      <c r="AA57" s="127">
        <f t="shared" si="14"/>
        <v>0</v>
      </c>
      <c r="AB57" s="127">
        <f t="shared" si="15"/>
        <v>0</v>
      </c>
      <c r="AC57" s="127">
        <f t="shared" si="16"/>
        <v>0</v>
      </c>
      <c r="AD57" s="127">
        <f t="shared" si="17"/>
        <v>0</v>
      </c>
      <c r="AF57" s="127" t="str">
        <f>IFERROR(W57*'FlightConfig '!$K$3,"")</f>
        <v/>
      </c>
      <c r="AG57" s="127">
        <f>IFERROR(X57*'FlightConfig '!$K$17,"")</f>
        <v>0</v>
      </c>
      <c r="AH57" s="127">
        <f>IFERROR(Y57*'FlightConfig '!$K$17,"")</f>
        <v>0</v>
      </c>
      <c r="AI57" s="127">
        <f>IFERROR(Z57*'FlightConfig '!$K$17,"")</f>
        <v>0</v>
      </c>
      <c r="AJ57" s="127">
        <f>IFERROR(AA57*'FlightConfig '!$K$17,"")</f>
        <v>0</v>
      </c>
      <c r="AK57" s="127">
        <f>IFERROR(AB57*'FlightConfig '!$K$17,"")</f>
        <v>0</v>
      </c>
    </row>
    <row r="58" spans="1:37" ht="18" customHeight="1" x14ac:dyDescent="0.25">
      <c r="A58" t="s">
        <v>234</v>
      </c>
      <c r="B58" s="171">
        <v>1</v>
      </c>
      <c r="C58" s="176" t="str">
        <f t="shared" si="30"/>
        <v>CABIN CREW CLASS1</v>
      </c>
      <c r="D58" s="312"/>
      <c r="E58" s="305">
        <v>1054</v>
      </c>
      <c r="F58" s="311"/>
      <c r="G58" t="str">
        <f>VLOOKUP(E58,'FG MASTER'!$A$10:$AB$218,2,0)</f>
        <v>CREW C1 DINNER CHEESE &amp; CRACKER, CELERY STICK, CARROT, HUMMUS</v>
      </c>
      <c r="H58" s="286">
        <v>1</v>
      </c>
      <c r="I58" s="173">
        <v>1</v>
      </c>
      <c r="J58" s="292">
        <f>IFERROR(IF(I58="std",H58,HLOOKUP(A58,'FlightConfig '!$B$28:$G$29,2,0)*I58),"")</f>
        <v>6</v>
      </c>
      <c r="K58" s="245">
        <f>VLOOKUP(Food!E58,'FG MASTER'!$A$1:$AC$536,16,0)</f>
        <v>1.23</v>
      </c>
      <c r="L58" s="246">
        <f>VLOOKUP(Food!E58,'FG MASTER'!$A$10:$AC$536,17,0)</f>
        <v>1.5</v>
      </c>
      <c r="M58" s="132">
        <f t="shared" si="27"/>
        <v>0.60000000000000009</v>
      </c>
      <c r="N58" s="132">
        <f t="shared" si="31"/>
        <v>1.83</v>
      </c>
      <c r="O58" s="132">
        <f t="shared" si="5"/>
        <v>0.18449999999999989</v>
      </c>
      <c r="P58" s="132">
        <f t="shared" si="6"/>
        <v>8.9999999999999969E-2</v>
      </c>
      <c r="Q58" s="132">
        <f t="shared" si="26"/>
        <v>2.1044999999999998</v>
      </c>
      <c r="R58" s="405">
        <f t="shared" si="8"/>
        <v>1.4144999999999999</v>
      </c>
      <c r="S58" s="405">
        <f t="shared" si="9"/>
        <v>0.69000000000000006</v>
      </c>
      <c r="T58" s="405">
        <f t="shared" si="10"/>
        <v>2.1044999999999998</v>
      </c>
      <c r="U58" s="127"/>
      <c r="V58" s="127"/>
      <c r="W58" t="str">
        <f>IFERROR(#REF!*J58,"")</f>
        <v/>
      </c>
      <c r="X58">
        <f t="shared" si="11"/>
        <v>7.38</v>
      </c>
      <c r="Y58">
        <f t="shared" si="12"/>
        <v>9</v>
      </c>
      <c r="Z58" s="127">
        <f t="shared" si="13"/>
        <v>3.6000000000000005</v>
      </c>
      <c r="AA58" s="127">
        <f t="shared" si="14"/>
        <v>10.98</v>
      </c>
      <c r="AB58" s="127">
        <f t="shared" si="15"/>
        <v>1.1069999999999993</v>
      </c>
      <c r="AC58" s="127">
        <f t="shared" si="16"/>
        <v>0.53999999999999981</v>
      </c>
      <c r="AD58" s="127">
        <f t="shared" si="17"/>
        <v>12.626999999999999</v>
      </c>
      <c r="AF58" s="127" t="str">
        <f>IFERROR(W58*'FlightConfig '!$K$3,"")</f>
        <v/>
      </c>
      <c r="AG58" s="127">
        <f>IFERROR(X58*'FlightConfig '!$K$17,"")</f>
        <v>2686.32</v>
      </c>
      <c r="AH58" s="127">
        <f>IFERROR(Y58*'FlightConfig '!$K$17,"")</f>
        <v>3276</v>
      </c>
      <c r="AI58" s="127">
        <f>IFERROR(Z58*'FlightConfig '!$K$17,"")</f>
        <v>1310.4000000000001</v>
      </c>
      <c r="AJ58" s="127">
        <f>IFERROR(AA58*'FlightConfig '!$K$17,"")</f>
        <v>3996.7200000000003</v>
      </c>
      <c r="AK58" s="127">
        <f>IFERROR(AB58*'FlightConfig '!$K$17,"")</f>
        <v>402.94799999999975</v>
      </c>
    </row>
    <row r="59" spans="1:37" ht="18" customHeight="1" x14ac:dyDescent="0.25">
      <c r="A59" t="s">
        <v>234</v>
      </c>
      <c r="B59" s="171">
        <v>1</v>
      </c>
      <c r="C59" s="176" t="str">
        <f t="shared" si="30"/>
        <v>CABIN CREW CLASS1</v>
      </c>
      <c r="D59" s="312"/>
      <c r="E59" s="305">
        <v>1055</v>
      </c>
      <c r="F59" s="311"/>
      <c r="G59" t="str">
        <f>VLOOKUP(E59,'FG MASTER'!$A$10:$AB$218,2,0)</f>
        <v>CREW C1 DINNER HARD BOILED EGG WITH TURKEY CUBES AND CHEDDAR</v>
      </c>
      <c r="H59" s="286">
        <v>1</v>
      </c>
      <c r="I59" s="173">
        <v>1</v>
      </c>
      <c r="J59" s="292">
        <f>IFERROR(IF(I59="std",H59,HLOOKUP(A59,'FlightConfig '!$B$28:$G$29,2,0)*I59),"")</f>
        <v>6</v>
      </c>
      <c r="K59" s="245">
        <f>VLOOKUP(Food!E59,'FG MASTER'!$A$1:$AC$536,16,0)</f>
        <v>2.08</v>
      </c>
      <c r="L59" s="246">
        <f>VLOOKUP(Food!E59,'FG MASTER'!$A$10:$AC$536,17,0)</f>
        <v>1</v>
      </c>
      <c r="M59" s="132">
        <f t="shared" si="27"/>
        <v>0.4</v>
      </c>
      <c r="N59" s="132">
        <f t="shared" si="31"/>
        <v>2.48</v>
      </c>
      <c r="O59" s="132">
        <f t="shared" si="5"/>
        <v>0.31199999999999983</v>
      </c>
      <c r="P59" s="132">
        <f t="shared" si="6"/>
        <v>5.9999999999999942E-2</v>
      </c>
      <c r="Q59" s="132">
        <f t="shared" si="26"/>
        <v>2.8519999999999999</v>
      </c>
      <c r="R59" s="405">
        <f t="shared" si="8"/>
        <v>2.3919999999999999</v>
      </c>
      <c r="S59" s="405">
        <f t="shared" si="9"/>
        <v>0.45999999999999996</v>
      </c>
      <c r="T59" s="405">
        <f t="shared" si="10"/>
        <v>2.8519999999999999</v>
      </c>
      <c r="U59" s="127"/>
      <c r="V59" s="127"/>
      <c r="W59" t="str">
        <f>IFERROR(#REF!*J59,"")</f>
        <v/>
      </c>
      <c r="X59">
        <f t="shared" si="11"/>
        <v>12.48</v>
      </c>
      <c r="Y59">
        <f t="shared" si="12"/>
        <v>6</v>
      </c>
      <c r="Z59" s="127">
        <f t="shared" si="13"/>
        <v>2.4000000000000004</v>
      </c>
      <c r="AA59" s="127">
        <f t="shared" si="14"/>
        <v>14.879999999999999</v>
      </c>
      <c r="AB59" s="127">
        <f t="shared" si="15"/>
        <v>1.871999999999999</v>
      </c>
      <c r="AC59" s="127">
        <f t="shared" si="16"/>
        <v>0.35999999999999965</v>
      </c>
      <c r="AD59" s="127">
        <f t="shared" si="17"/>
        <v>17.111999999999998</v>
      </c>
      <c r="AF59" s="127" t="str">
        <f>IFERROR(W59*'FlightConfig '!$K$3,"")</f>
        <v/>
      </c>
      <c r="AG59" s="127">
        <f>IFERROR(X59*'FlightConfig '!$K$17,"")</f>
        <v>4542.72</v>
      </c>
      <c r="AH59" s="127">
        <f>IFERROR(Y59*'FlightConfig '!$K$17,"")</f>
        <v>2184</v>
      </c>
      <c r="AI59" s="127">
        <f>IFERROR(Z59*'FlightConfig '!$K$17,"")</f>
        <v>873.60000000000014</v>
      </c>
      <c r="AJ59" s="127">
        <f>IFERROR(AA59*'FlightConfig '!$K$17,"")</f>
        <v>5416.32</v>
      </c>
      <c r="AK59" s="127">
        <f>IFERROR(AB59*'FlightConfig '!$K$17,"")</f>
        <v>681.40799999999967</v>
      </c>
    </row>
    <row r="60" spans="1:37" ht="18" customHeight="1" x14ac:dyDescent="0.25">
      <c r="A60" t="s">
        <v>234</v>
      </c>
      <c r="B60" s="171">
        <v>1</v>
      </c>
      <c r="C60" s="176" t="str">
        <f t="shared" si="30"/>
        <v>CABIN CREW CLASS1</v>
      </c>
      <c r="D60" s="312"/>
      <c r="E60" s="305">
        <v>1056</v>
      </c>
      <c r="F60" s="311"/>
      <c r="G60" t="str">
        <f>VLOOKUP(E60,'FG MASTER'!$A$10:$AB$218,2,0)</f>
        <v>CREW C1 DINNER WHOLE FRUIT BANANA, APPLES AND ORANGE</v>
      </c>
      <c r="H60" s="286">
        <v>1</v>
      </c>
      <c r="I60" s="173">
        <v>1</v>
      </c>
      <c r="J60" s="292">
        <f>IFERROR(IF(I60="std",H60,HLOOKUP(A60,'FlightConfig '!$B$28:$G$29,2,0)*I60),"")</f>
        <v>6</v>
      </c>
      <c r="K60" s="245">
        <f>VLOOKUP(Food!E60,'FG MASTER'!$A$1:$AC$536,16,0)</f>
        <v>1.32</v>
      </c>
      <c r="L60" s="246">
        <f>VLOOKUP(Food!E60,'FG MASTER'!$A$10:$AC$536,17,0)</f>
        <v>1</v>
      </c>
      <c r="M60" s="132">
        <f>IFERROR(L60*$M$2,"")</f>
        <v>0.4</v>
      </c>
      <c r="N60" s="132">
        <f t="shared" si="31"/>
        <v>1.7200000000000002</v>
      </c>
      <c r="O60" s="132">
        <f t="shared" si="5"/>
        <v>0.19799999999999995</v>
      </c>
      <c r="P60" s="132">
        <f t="shared" si="6"/>
        <v>5.9999999999999942E-2</v>
      </c>
      <c r="Q60" s="132">
        <f t="shared" si="26"/>
        <v>1.9780000000000002</v>
      </c>
      <c r="R60" s="405">
        <f t="shared" si="8"/>
        <v>1.518</v>
      </c>
      <c r="S60" s="405">
        <f t="shared" si="9"/>
        <v>0.45999999999999996</v>
      </c>
      <c r="T60" s="405">
        <f t="shared" si="10"/>
        <v>1.978</v>
      </c>
      <c r="U60" s="127"/>
      <c r="V60" s="127"/>
      <c r="W60" t="str">
        <f>IFERROR(#REF!*J60,"")</f>
        <v/>
      </c>
      <c r="X60">
        <f t="shared" si="11"/>
        <v>7.92</v>
      </c>
      <c r="Y60">
        <f t="shared" si="12"/>
        <v>6</v>
      </c>
      <c r="Z60" s="127">
        <f t="shared" si="13"/>
        <v>2.4000000000000004</v>
      </c>
      <c r="AA60" s="127">
        <f t="shared" si="14"/>
        <v>10.32</v>
      </c>
      <c r="AB60" s="127">
        <f t="shared" si="15"/>
        <v>1.1879999999999997</v>
      </c>
      <c r="AC60" s="127">
        <f t="shared" si="16"/>
        <v>0.35999999999999965</v>
      </c>
      <c r="AD60" s="127">
        <f t="shared" si="17"/>
        <v>11.868000000000002</v>
      </c>
      <c r="AF60" s="127" t="str">
        <f>IFERROR(W60*'FlightConfig '!$K$3,"")</f>
        <v/>
      </c>
      <c r="AG60" s="127">
        <f>IFERROR(X60*'FlightConfig '!$K$17,"")</f>
        <v>2882.88</v>
      </c>
      <c r="AH60" s="127">
        <f>IFERROR(Y60*'FlightConfig '!$K$17,"")</f>
        <v>2184</v>
      </c>
      <c r="AI60" s="127">
        <f>IFERROR(Z60*'FlightConfig '!$K$17,"")</f>
        <v>873.60000000000014</v>
      </c>
      <c r="AJ60" s="127">
        <f>IFERROR(AA60*'FlightConfig '!$K$17,"")</f>
        <v>3756.48</v>
      </c>
      <c r="AK60" s="127">
        <f>IFERROR(AB60*'FlightConfig '!$K$17,"")</f>
        <v>432.4319999999999</v>
      </c>
    </row>
    <row r="61" spans="1:37" ht="18" customHeight="1" x14ac:dyDescent="0.25">
      <c r="A61" t="s">
        <v>234</v>
      </c>
      <c r="B61" s="171">
        <v>1</v>
      </c>
      <c r="C61" s="176" t="str">
        <f t="shared" si="30"/>
        <v>CABIN CREW CLASS1</v>
      </c>
      <c r="D61" s="294"/>
      <c r="E61" s="306">
        <v>1057</v>
      </c>
      <c r="F61" s="311"/>
      <c r="G61" t="str">
        <f>VLOOKUP(E61,'FG MASTER'!$A$10:$AB$218,2,0)</f>
        <v xml:space="preserve">CREW C1 DINNER ENTRÉE 1 VEGAN COCONUT CURRY WITH BASMATI RICE </v>
      </c>
      <c r="H61" s="286">
        <v>1</v>
      </c>
      <c r="I61" s="173">
        <v>1</v>
      </c>
      <c r="J61" s="292">
        <f>IFERROR(IF(I61="std",H61,HLOOKUP(A61,'FlightConfig '!$B$28:$G$29,2,0)*I61),"")</f>
        <v>6</v>
      </c>
      <c r="K61" s="245">
        <f>VLOOKUP(Food!E61,'FG MASTER'!$A$1:$AC$536,16,0)</f>
        <v>2.16</v>
      </c>
      <c r="L61" s="246">
        <f>VLOOKUP(Food!E61,'FG MASTER'!$A$10:$AC$536,17,0)</f>
        <v>3.5</v>
      </c>
      <c r="M61" s="132">
        <f t="shared" ref="M61:M69" si="32">IFERROR(L61*$M$2,"")</f>
        <v>1.4000000000000001</v>
      </c>
      <c r="N61" s="132">
        <f t="shared" si="31"/>
        <v>3.5600000000000005</v>
      </c>
      <c r="O61" s="132">
        <f t="shared" si="5"/>
        <v>0.32399999999999984</v>
      </c>
      <c r="P61" s="132">
        <f t="shared" si="6"/>
        <v>0.20999999999999996</v>
      </c>
      <c r="Q61" s="132">
        <f t="shared" si="26"/>
        <v>4.0940000000000003</v>
      </c>
      <c r="R61" s="405">
        <f t="shared" si="8"/>
        <v>2.484</v>
      </c>
      <c r="S61" s="405">
        <f t="shared" si="9"/>
        <v>1.61</v>
      </c>
      <c r="T61" s="405">
        <f t="shared" si="10"/>
        <v>4.0940000000000003</v>
      </c>
      <c r="U61" s="127"/>
      <c r="V61" s="127"/>
      <c r="W61" t="str">
        <f>IFERROR(#REF!*J61,"")</f>
        <v/>
      </c>
      <c r="X61">
        <f t="shared" si="11"/>
        <v>12.96</v>
      </c>
      <c r="Y61">
        <f t="shared" si="12"/>
        <v>21</v>
      </c>
      <c r="Z61" s="127">
        <f t="shared" si="13"/>
        <v>8.4</v>
      </c>
      <c r="AA61" s="127">
        <f t="shared" si="14"/>
        <v>21.360000000000003</v>
      </c>
      <c r="AB61" s="127">
        <f t="shared" si="15"/>
        <v>1.9439999999999991</v>
      </c>
      <c r="AC61" s="127">
        <f t="shared" si="16"/>
        <v>1.2599999999999998</v>
      </c>
      <c r="AD61" s="127">
        <f t="shared" si="17"/>
        <v>24.564</v>
      </c>
      <c r="AF61" s="127" t="str">
        <f>IFERROR(W61*'FlightConfig '!$K$3,"")</f>
        <v/>
      </c>
      <c r="AG61" s="127">
        <f>IFERROR(X61*'FlightConfig '!$K$17,"")</f>
        <v>4717.4400000000005</v>
      </c>
      <c r="AH61" s="127">
        <f>IFERROR(Y61*'FlightConfig '!$K$17,"")</f>
        <v>7644</v>
      </c>
      <c r="AI61" s="127">
        <f>IFERROR(Z61*'FlightConfig '!$K$17,"")</f>
        <v>3057.6</v>
      </c>
      <c r="AJ61" s="127">
        <f>IFERROR(AA61*'FlightConfig '!$K$17,"")</f>
        <v>7775.0400000000009</v>
      </c>
      <c r="AK61" s="127">
        <f>IFERROR(AB61*'FlightConfig '!$K$17,"")</f>
        <v>707.61599999999964</v>
      </c>
    </row>
    <row r="62" spans="1:37" ht="18" customHeight="1" x14ac:dyDescent="0.25">
      <c r="A62" t="s">
        <v>234</v>
      </c>
      <c r="B62" s="171">
        <v>1</v>
      </c>
      <c r="C62" s="176" t="str">
        <f t="shared" si="30"/>
        <v>CABIN CREW CLASS1</v>
      </c>
      <c r="D62" s="294"/>
      <c r="E62" s="306">
        <v>1058</v>
      </c>
      <c r="F62" s="311"/>
      <c r="G62" t="str">
        <f>VLOOKUP(E62,'FG MASTER'!$A$10:$AB$218,2,0)</f>
        <v>CREW C1 DINNER ENTRÉE 2 LEMON CONFIT CHICKEN LEG WITH FINGERING POTATOES, HARICOT VERT, CHICKEN JUS AND LEMON AGRUMATO</v>
      </c>
      <c r="H62" s="286">
        <v>1</v>
      </c>
      <c r="I62" s="173">
        <v>1</v>
      </c>
      <c r="J62" s="292">
        <f>IFERROR(IF(I62="std",H62,HLOOKUP(A62,'FlightConfig '!$B$28:$G$29,2,0)*I62),"")</f>
        <v>6</v>
      </c>
      <c r="K62" s="245">
        <f>VLOOKUP(Food!E62,'FG MASTER'!$A$1:$AC$536,16,0)</f>
        <v>4.28</v>
      </c>
      <c r="L62" s="246">
        <f>VLOOKUP(Food!E62,'FG MASTER'!$A$10:$AC$536,17,0)</f>
        <v>4.25</v>
      </c>
      <c r="M62" s="132">
        <f t="shared" si="32"/>
        <v>1.7000000000000002</v>
      </c>
      <c r="N62" s="132">
        <f t="shared" si="31"/>
        <v>5.98</v>
      </c>
      <c r="O62" s="132">
        <f t="shared" si="5"/>
        <v>0.64199999999999946</v>
      </c>
      <c r="P62" s="132">
        <f t="shared" si="6"/>
        <v>0.25499999999999989</v>
      </c>
      <c r="Q62" s="132">
        <f t="shared" si="26"/>
        <v>6.8769999999999998</v>
      </c>
      <c r="R62" s="405">
        <f t="shared" si="8"/>
        <v>4.9219999999999997</v>
      </c>
      <c r="S62" s="405">
        <f t="shared" si="9"/>
        <v>1.9550000000000001</v>
      </c>
      <c r="T62" s="405">
        <f t="shared" si="10"/>
        <v>6.8769999999999998</v>
      </c>
      <c r="U62" s="127"/>
      <c r="V62" s="127"/>
      <c r="W62" t="str">
        <f>IFERROR(#REF!*J62,"")</f>
        <v/>
      </c>
      <c r="X62">
        <f t="shared" si="11"/>
        <v>25.68</v>
      </c>
      <c r="Y62">
        <f t="shared" si="12"/>
        <v>25.5</v>
      </c>
      <c r="Z62" s="127">
        <f t="shared" si="13"/>
        <v>10.200000000000001</v>
      </c>
      <c r="AA62" s="127">
        <f t="shared" si="14"/>
        <v>35.880000000000003</v>
      </c>
      <c r="AB62" s="127">
        <f t="shared" si="15"/>
        <v>3.8519999999999968</v>
      </c>
      <c r="AC62" s="127">
        <f t="shared" si="16"/>
        <v>1.5299999999999994</v>
      </c>
      <c r="AD62" s="127">
        <f t="shared" si="17"/>
        <v>41.262</v>
      </c>
      <c r="AF62" s="127" t="str">
        <f>IFERROR(W62*'FlightConfig '!$K$3,"")</f>
        <v/>
      </c>
      <c r="AG62" s="127">
        <f>IFERROR(X62*'FlightConfig '!$K$17,"")</f>
        <v>9347.52</v>
      </c>
      <c r="AH62" s="127">
        <f>IFERROR(Y62*'FlightConfig '!$K$17,"")</f>
        <v>9282</v>
      </c>
      <c r="AI62" s="127">
        <f>IFERROR(Z62*'FlightConfig '!$K$17,"")</f>
        <v>3712.8</v>
      </c>
      <c r="AJ62" s="127">
        <f>IFERROR(AA62*'FlightConfig '!$K$17,"")</f>
        <v>13060.320000000002</v>
      </c>
      <c r="AK62" s="127">
        <f>IFERROR(AB62*'FlightConfig '!$K$17,"")</f>
        <v>1402.1279999999988</v>
      </c>
    </row>
    <row r="63" spans="1:37" ht="18" customHeight="1" x14ac:dyDescent="0.25">
      <c r="A63" t="s">
        <v>234</v>
      </c>
      <c r="B63" s="171">
        <v>1</v>
      </c>
      <c r="C63" s="176" t="str">
        <f t="shared" si="30"/>
        <v>CABIN CREW CLASS1</v>
      </c>
      <c r="D63" s="294"/>
      <c r="E63" s="304">
        <v>1059</v>
      </c>
      <c r="F63" s="311"/>
      <c r="G63" t="str">
        <f>VLOOKUP(E63,'FG MASTER'!$A$10:$AB$218,2,0)</f>
        <v>CREW C1 DINNER ENTRÉE 3 TRUFFLE PARMESAN RISOTTO WITH ZUCCHINI, WILD MUSHROOM CONSERVA, ASPARAGUS, BABAY ARTICHOKE</v>
      </c>
      <c r="H63" s="286">
        <v>1</v>
      </c>
      <c r="I63" s="173">
        <v>1</v>
      </c>
      <c r="J63" s="292">
        <f>IFERROR(IF(I63="std",H63,HLOOKUP(A63,'FlightConfig '!$B$28:$G$29,2,0)*I63),"")</f>
        <v>6</v>
      </c>
      <c r="K63" s="245">
        <f>VLOOKUP(Food!E63,'FG MASTER'!$A$1:$AC$536,16,0)</f>
        <v>3.41</v>
      </c>
      <c r="L63" s="246">
        <f>VLOOKUP(Food!E63,'FG MASTER'!$A$10:$AC$536,17,0)</f>
        <v>4.25</v>
      </c>
      <c r="M63" s="132">
        <f t="shared" si="32"/>
        <v>1.7000000000000002</v>
      </c>
      <c r="N63" s="132">
        <f t="shared" si="31"/>
        <v>5.1100000000000003</v>
      </c>
      <c r="O63" s="132">
        <f t="shared" si="5"/>
        <v>0.51149999999999984</v>
      </c>
      <c r="P63" s="132">
        <f t="shared" si="6"/>
        <v>0.25499999999999989</v>
      </c>
      <c r="Q63" s="132">
        <f t="shared" si="26"/>
        <v>5.8765000000000001</v>
      </c>
      <c r="R63" s="405">
        <f t="shared" si="8"/>
        <v>3.9215</v>
      </c>
      <c r="S63" s="405">
        <f t="shared" si="9"/>
        <v>1.9550000000000001</v>
      </c>
      <c r="T63" s="405">
        <f t="shared" si="10"/>
        <v>5.8765000000000001</v>
      </c>
      <c r="U63" s="127"/>
      <c r="V63" s="127"/>
      <c r="W63" t="str">
        <f>IFERROR(#REF!*J63,"")</f>
        <v/>
      </c>
      <c r="X63">
        <f t="shared" si="11"/>
        <v>20.46</v>
      </c>
      <c r="Y63">
        <f t="shared" si="12"/>
        <v>25.5</v>
      </c>
      <c r="Z63" s="127">
        <f t="shared" si="13"/>
        <v>10.200000000000001</v>
      </c>
      <c r="AA63" s="127">
        <f t="shared" si="14"/>
        <v>30.660000000000004</v>
      </c>
      <c r="AB63" s="127">
        <f t="shared" si="15"/>
        <v>3.0689999999999991</v>
      </c>
      <c r="AC63" s="127">
        <f t="shared" si="16"/>
        <v>1.5299999999999994</v>
      </c>
      <c r="AD63" s="127">
        <f t="shared" si="17"/>
        <v>35.259</v>
      </c>
      <c r="AF63" s="127" t="str">
        <f>IFERROR(W63*'FlightConfig '!$K$3,"")</f>
        <v/>
      </c>
      <c r="AG63" s="127">
        <f>IFERROR(X63*'FlightConfig '!$K$17,"")</f>
        <v>7447.4400000000005</v>
      </c>
      <c r="AH63" s="127">
        <f>IFERROR(Y63*'FlightConfig '!$K$17,"")</f>
        <v>9282</v>
      </c>
      <c r="AI63" s="127">
        <f>IFERROR(Z63*'FlightConfig '!$K$17,"")</f>
        <v>3712.8</v>
      </c>
      <c r="AJ63" s="127">
        <f>IFERROR(AA63*'FlightConfig '!$K$17,"")</f>
        <v>11160.240000000002</v>
      </c>
      <c r="AK63" s="127">
        <f>IFERROR(AB63*'FlightConfig '!$K$17,"")</f>
        <v>1117.1159999999998</v>
      </c>
    </row>
    <row r="64" spans="1:37" ht="18" customHeight="1" x14ac:dyDescent="0.25">
      <c r="A64" t="s">
        <v>234</v>
      </c>
      <c r="B64" s="171">
        <v>1</v>
      </c>
      <c r="C64" s="176" t="str">
        <f t="shared" si="30"/>
        <v>CABIN CREW CLASS1</v>
      </c>
      <c r="D64" s="294"/>
      <c r="E64" s="305">
        <v>1060</v>
      </c>
      <c r="F64" s="311"/>
      <c r="G64" t="str">
        <f>VLOOKUP(E64,'FG MASTER'!$A$10:$AB$218,2,0)</f>
        <v>CREW C1 DINNER ENTRÉE 4 BAKED RIGATONI WITH HERB WHIPPED RICCOTA</v>
      </c>
      <c r="H64" s="286">
        <v>1</v>
      </c>
      <c r="I64" s="173">
        <v>1</v>
      </c>
      <c r="J64" s="292">
        <f>IFERROR(IF(I64="std",H64,HLOOKUP(A64,'FlightConfig '!$B$28:$G$29,2,0)*I64),"")</f>
        <v>6</v>
      </c>
      <c r="K64" s="245">
        <f>VLOOKUP(Food!E64,'FG MASTER'!$A$1:$AC$536,16,0)</f>
        <v>1.51</v>
      </c>
      <c r="L64" s="246">
        <f>VLOOKUP(Food!E64,'FG MASTER'!$A$10:$AC$536,17,0)</f>
        <v>4</v>
      </c>
      <c r="M64" s="132">
        <f t="shared" si="32"/>
        <v>1.6</v>
      </c>
      <c r="N64" s="132">
        <f t="shared" si="31"/>
        <v>3.1100000000000003</v>
      </c>
      <c r="O64" s="132">
        <f t="shared" si="5"/>
        <v>0.22649999999999992</v>
      </c>
      <c r="P64" s="132">
        <f t="shared" si="6"/>
        <v>0.23999999999999977</v>
      </c>
      <c r="Q64" s="132">
        <f t="shared" si="26"/>
        <v>3.5764999999999998</v>
      </c>
      <c r="R64" s="405">
        <f t="shared" si="8"/>
        <v>1.7364999999999999</v>
      </c>
      <c r="S64" s="405">
        <f t="shared" si="9"/>
        <v>1.8399999999999999</v>
      </c>
      <c r="T64" s="405">
        <f t="shared" si="10"/>
        <v>3.5764999999999998</v>
      </c>
      <c r="U64" s="127"/>
      <c r="V64" s="127"/>
      <c r="W64" t="str">
        <f>IFERROR(#REF!*J64,"")</f>
        <v/>
      </c>
      <c r="X64">
        <f t="shared" si="11"/>
        <v>9.06</v>
      </c>
      <c r="Y64">
        <f t="shared" si="12"/>
        <v>24</v>
      </c>
      <c r="Z64" s="127">
        <f t="shared" si="13"/>
        <v>9.6000000000000014</v>
      </c>
      <c r="AA64" s="127">
        <f t="shared" si="14"/>
        <v>18.660000000000004</v>
      </c>
      <c r="AB64" s="127">
        <f t="shared" si="15"/>
        <v>1.3589999999999995</v>
      </c>
      <c r="AC64" s="127">
        <f t="shared" si="16"/>
        <v>1.4399999999999986</v>
      </c>
      <c r="AD64" s="127">
        <f t="shared" si="17"/>
        <v>21.459</v>
      </c>
      <c r="AF64" s="127" t="str">
        <f>IFERROR(W64*'FlightConfig '!$K$3,"")</f>
        <v/>
      </c>
      <c r="AG64" s="127">
        <f>IFERROR(X64*'FlightConfig '!$K$17,"")</f>
        <v>3297.84</v>
      </c>
      <c r="AH64" s="127">
        <f>IFERROR(Y64*'FlightConfig '!$K$17,"")</f>
        <v>8736</v>
      </c>
      <c r="AI64" s="127">
        <f>IFERROR(Z64*'FlightConfig '!$K$17,"")</f>
        <v>3494.4000000000005</v>
      </c>
      <c r="AJ64" s="127">
        <f>IFERROR(AA64*'FlightConfig '!$K$17,"")</f>
        <v>6792.2400000000016</v>
      </c>
      <c r="AK64" s="127">
        <f>IFERROR(AB64*'FlightConfig '!$K$17,"")</f>
        <v>494.67599999999982</v>
      </c>
    </row>
    <row r="65" spans="1:37" ht="18" customHeight="1" x14ac:dyDescent="0.25">
      <c r="A65" t="s">
        <v>234</v>
      </c>
      <c r="B65" s="171">
        <v>1</v>
      </c>
      <c r="C65" s="176" t="str">
        <f t="shared" si="30"/>
        <v>CABIN CREW CLASS1</v>
      </c>
      <c r="D65" s="294"/>
      <c r="E65" s="305">
        <v>1061</v>
      </c>
      <c r="F65" s="311"/>
      <c r="G65" t="str">
        <f>VLOOKUP(E65,'FG MASTER'!$A$10:$AB$218,2,0)</f>
        <v xml:space="preserve">CREW C1 DINNER ENTRÉE 5 </v>
      </c>
      <c r="H65" s="286">
        <v>1</v>
      </c>
      <c r="I65" s="173">
        <v>1</v>
      </c>
      <c r="J65" s="292">
        <f>IFERROR(IF(I65="std",H65,HLOOKUP(A65,'FlightConfig '!$B$28:$G$29,2,0)*I65),"")</f>
        <v>6</v>
      </c>
      <c r="K65" s="245">
        <f>VLOOKUP(Food!E65,'FG MASTER'!$A$1:$AC$536,16,0)</f>
        <v>0</v>
      </c>
      <c r="L65" s="246">
        <f>VLOOKUP(Food!E65,'FG MASTER'!$A$10:$AC$536,17,0)</f>
        <v>0</v>
      </c>
      <c r="M65" s="132">
        <f t="shared" si="32"/>
        <v>0</v>
      </c>
      <c r="N65" s="132">
        <f t="shared" si="31"/>
        <v>0</v>
      </c>
      <c r="O65" s="132">
        <f t="shared" si="5"/>
        <v>0</v>
      </c>
      <c r="P65" s="132">
        <f t="shared" si="6"/>
        <v>0</v>
      </c>
      <c r="Q65" s="132">
        <f t="shared" si="26"/>
        <v>0</v>
      </c>
      <c r="R65" s="405">
        <f t="shared" si="8"/>
        <v>0</v>
      </c>
      <c r="S65" s="405">
        <f t="shared" si="9"/>
        <v>0</v>
      </c>
      <c r="T65" s="405">
        <f t="shared" si="10"/>
        <v>0</v>
      </c>
      <c r="U65" s="127"/>
      <c r="V65" s="127"/>
      <c r="W65" t="str">
        <f>IFERROR(#REF!*J65,"")</f>
        <v/>
      </c>
      <c r="X65">
        <f t="shared" si="11"/>
        <v>0</v>
      </c>
      <c r="Y65">
        <f t="shared" si="12"/>
        <v>0</v>
      </c>
      <c r="Z65" s="127">
        <f t="shared" si="13"/>
        <v>0</v>
      </c>
      <c r="AA65" s="127">
        <f t="shared" si="14"/>
        <v>0</v>
      </c>
      <c r="AB65" s="127">
        <f t="shared" si="15"/>
        <v>0</v>
      </c>
      <c r="AC65" s="127">
        <f t="shared" si="16"/>
        <v>0</v>
      </c>
      <c r="AD65" s="127">
        <f t="shared" si="17"/>
        <v>0</v>
      </c>
      <c r="AF65" s="127" t="str">
        <f>IFERROR(W65*'FlightConfig '!$K$3,"")</f>
        <v/>
      </c>
      <c r="AG65" s="127">
        <f>IFERROR(X65*'FlightConfig '!$K$17,"")</f>
        <v>0</v>
      </c>
      <c r="AH65" s="127">
        <f>IFERROR(Y65*'FlightConfig '!$K$17,"")</f>
        <v>0</v>
      </c>
      <c r="AI65" s="127">
        <f>IFERROR(Z65*'FlightConfig '!$K$17,"")</f>
        <v>0</v>
      </c>
      <c r="AJ65" s="127">
        <f>IFERROR(AA65*'FlightConfig '!$K$17,"")</f>
        <v>0</v>
      </c>
      <c r="AK65" s="127">
        <f>IFERROR(AB65*'FlightConfig '!$K$17,"")</f>
        <v>0</v>
      </c>
    </row>
    <row r="66" spans="1:37" ht="18" customHeight="1" x14ac:dyDescent="0.25">
      <c r="A66" t="s">
        <v>234</v>
      </c>
      <c r="B66" s="171">
        <v>1</v>
      </c>
      <c r="C66" s="176" t="str">
        <f t="shared" si="30"/>
        <v>CABIN CREW CLASS1</v>
      </c>
      <c r="D66" s="294"/>
      <c r="E66" s="305">
        <v>1062</v>
      </c>
      <c r="F66" s="311"/>
      <c r="G66" t="str">
        <f>VLOOKUP(E66,'FG MASTER'!$A$10:$AB$218,2,0)</f>
        <v>CREW C1 SANDWICH 1 CAPRESE SANDWICH</v>
      </c>
      <c r="H66" s="286">
        <v>1</v>
      </c>
      <c r="I66" s="173">
        <v>1</v>
      </c>
      <c r="J66" s="292">
        <f>IFERROR(IF(I66="std",H66,HLOOKUP(A66,'FlightConfig '!$B$28:$G$29,2,0)*I66),"")</f>
        <v>6</v>
      </c>
      <c r="K66" s="245">
        <f>VLOOKUP(Food!E66,'FG MASTER'!$A$1:$AC$536,16,0)</f>
        <v>1.63</v>
      </c>
      <c r="L66" s="246">
        <f>VLOOKUP(Food!E66,'FG MASTER'!$A$10:$AC$536,17,0)</f>
        <v>1.5</v>
      </c>
      <c r="M66" s="132">
        <f t="shared" si="32"/>
        <v>0.60000000000000009</v>
      </c>
      <c r="N66" s="132">
        <f>IFERROR((K66)+M66,"")</f>
        <v>2.23</v>
      </c>
      <c r="O66" s="132">
        <f t="shared" si="5"/>
        <v>0.24449999999999994</v>
      </c>
      <c r="P66" s="132">
        <f t="shared" si="6"/>
        <v>8.9999999999999969E-2</v>
      </c>
      <c r="Q66" s="132">
        <f t="shared" si="26"/>
        <v>2.5644999999999998</v>
      </c>
      <c r="R66" s="405">
        <f t="shared" si="8"/>
        <v>1.8744999999999998</v>
      </c>
      <c r="S66" s="405">
        <f t="shared" si="9"/>
        <v>0.69000000000000006</v>
      </c>
      <c r="T66" s="405">
        <f t="shared" si="10"/>
        <v>2.5644999999999998</v>
      </c>
      <c r="U66" s="127"/>
      <c r="V66" s="127"/>
      <c r="W66" t="str">
        <f>IFERROR(#REF!*J66,"")</f>
        <v/>
      </c>
      <c r="X66">
        <f t="shared" si="11"/>
        <v>9.7799999999999994</v>
      </c>
      <c r="Y66">
        <f t="shared" si="12"/>
        <v>9</v>
      </c>
      <c r="Z66" s="127">
        <f t="shared" si="13"/>
        <v>3.6000000000000005</v>
      </c>
      <c r="AA66" s="127">
        <f t="shared" si="14"/>
        <v>13.379999999999999</v>
      </c>
      <c r="AB66" s="127">
        <f t="shared" si="15"/>
        <v>1.4669999999999996</v>
      </c>
      <c r="AC66" s="127">
        <f t="shared" si="16"/>
        <v>0.53999999999999981</v>
      </c>
      <c r="AD66" s="127">
        <f t="shared" si="17"/>
        <v>15.386999999999999</v>
      </c>
      <c r="AF66" s="127" t="str">
        <f>IFERROR(W66*'FlightConfig '!$K$3,"")</f>
        <v/>
      </c>
      <c r="AG66" s="127">
        <f>IFERROR(X66*'FlightConfig '!$K$17,"")</f>
        <v>3559.9199999999996</v>
      </c>
      <c r="AH66" s="127">
        <f>IFERROR(Y66*'FlightConfig '!$K$17,"")</f>
        <v>3276</v>
      </c>
      <c r="AI66" s="127">
        <f>IFERROR(Z66*'FlightConfig '!$K$17,"")</f>
        <v>1310.4000000000001</v>
      </c>
      <c r="AJ66" s="127">
        <f>IFERROR(AA66*'FlightConfig '!$K$17,"")</f>
        <v>4870.32</v>
      </c>
      <c r="AK66" s="127">
        <f>IFERROR(AB66*'FlightConfig '!$K$17,"")</f>
        <v>533.98799999999983</v>
      </c>
    </row>
    <row r="67" spans="1:37" ht="18" customHeight="1" x14ac:dyDescent="0.25">
      <c r="A67" t="s">
        <v>234</v>
      </c>
      <c r="B67" s="171">
        <v>1</v>
      </c>
      <c r="C67" s="176" t="str">
        <f t="shared" si="30"/>
        <v>CABIN CREW CLASS1</v>
      </c>
      <c r="D67" s="294"/>
      <c r="E67" s="305">
        <v>1063</v>
      </c>
      <c r="F67" s="311"/>
      <c r="G67" t="str">
        <f>VLOOKUP(E67,'FG MASTER'!$A$10:$AB$218,2,0)</f>
        <v>CREW C1 SANDWICH 2 TURKEY AND CHEESE</v>
      </c>
      <c r="H67" s="286">
        <v>1</v>
      </c>
      <c r="I67" s="173">
        <v>1</v>
      </c>
      <c r="J67" s="292">
        <f>IFERROR(IF(I67="std",H67,HLOOKUP(A67,'FlightConfig '!$B$28:$G$29,2,0)*I67),"")</f>
        <v>6</v>
      </c>
      <c r="K67" s="245">
        <f>VLOOKUP(Food!E67,'FG MASTER'!$A$1:$AC$536,16,0)</f>
        <v>1.63</v>
      </c>
      <c r="L67" s="246">
        <f>VLOOKUP(Food!E67,'FG MASTER'!$A$10:$AC$536,17,0)</f>
        <v>1.5</v>
      </c>
      <c r="M67" s="132">
        <f t="shared" si="32"/>
        <v>0.60000000000000009</v>
      </c>
      <c r="N67" s="132">
        <f t="shared" ref="N67:N69" si="33">IFERROR((K67)+M67,"")</f>
        <v>2.23</v>
      </c>
      <c r="O67" s="132">
        <f t="shared" si="5"/>
        <v>0.24449999999999994</v>
      </c>
      <c r="P67" s="132">
        <f t="shared" si="6"/>
        <v>8.9999999999999969E-2</v>
      </c>
      <c r="Q67" s="132">
        <f t="shared" si="26"/>
        <v>2.5644999999999998</v>
      </c>
      <c r="R67" s="405">
        <f t="shared" si="8"/>
        <v>1.8744999999999998</v>
      </c>
      <c r="S67" s="405">
        <f t="shared" si="9"/>
        <v>0.69000000000000006</v>
      </c>
      <c r="T67" s="405">
        <f t="shared" si="10"/>
        <v>2.5644999999999998</v>
      </c>
      <c r="U67" s="127"/>
      <c r="V67" s="127"/>
      <c r="W67" t="str">
        <f>IFERROR(#REF!*J67,"")</f>
        <v/>
      </c>
      <c r="X67">
        <f t="shared" si="11"/>
        <v>9.7799999999999994</v>
      </c>
      <c r="Y67">
        <f t="shared" si="12"/>
        <v>9</v>
      </c>
      <c r="Z67" s="127">
        <f t="shared" si="13"/>
        <v>3.6000000000000005</v>
      </c>
      <c r="AA67" s="127">
        <f t="shared" si="14"/>
        <v>13.379999999999999</v>
      </c>
      <c r="AB67" s="127">
        <f t="shared" si="15"/>
        <v>1.4669999999999996</v>
      </c>
      <c r="AC67" s="127">
        <f t="shared" si="16"/>
        <v>0.53999999999999981</v>
      </c>
      <c r="AD67" s="127">
        <f t="shared" si="17"/>
        <v>15.386999999999999</v>
      </c>
      <c r="AF67" s="127" t="str">
        <f>IFERROR(W67*'FlightConfig '!$K$3,"")</f>
        <v/>
      </c>
      <c r="AG67" s="127">
        <f>IFERROR(X67*'FlightConfig '!$K$17,"")</f>
        <v>3559.9199999999996</v>
      </c>
      <c r="AH67" s="127">
        <f>IFERROR(Y67*'FlightConfig '!$K$17,"")</f>
        <v>3276</v>
      </c>
      <c r="AI67" s="127">
        <f>IFERROR(Z67*'FlightConfig '!$K$17,"")</f>
        <v>1310.4000000000001</v>
      </c>
      <c r="AJ67" s="127">
        <f>IFERROR(AA67*'FlightConfig '!$K$17,"")</f>
        <v>4870.32</v>
      </c>
      <c r="AK67" s="127">
        <f>IFERROR(AB67*'FlightConfig '!$K$17,"")</f>
        <v>533.98799999999983</v>
      </c>
    </row>
    <row r="68" spans="1:37" ht="18" customHeight="1" x14ac:dyDescent="0.25">
      <c r="A68" t="s">
        <v>234</v>
      </c>
      <c r="B68" s="171">
        <v>1</v>
      </c>
      <c r="C68" s="176" t="str">
        <f t="shared" si="30"/>
        <v>CABIN CREW CLASS1</v>
      </c>
      <c r="D68" s="294"/>
      <c r="E68" s="305">
        <v>1064</v>
      </c>
      <c r="F68" s="311"/>
      <c r="G68" t="str">
        <f>VLOOKUP(E68,'FG MASTER'!$A$10:$AB$218,2,0)</f>
        <v xml:space="preserve">CREW C1 SANDWICH 3 PHILLY CHEESE STEAK SANDWICH </v>
      </c>
      <c r="H68" s="286">
        <v>1</v>
      </c>
      <c r="I68" s="173">
        <v>1</v>
      </c>
      <c r="J68" s="292">
        <f>IFERROR(IF(I68="std",H68,HLOOKUP(A68,'FlightConfig '!$B$28:$G$29,2,0)*I68),"")</f>
        <v>6</v>
      </c>
      <c r="K68" s="245">
        <f>VLOOKUP(Food!E68,'FG MASTER'!$A$1:$AC$536,16,0)</f>
        <v>2.2999999999999998</v>
      </c>
      <c r="L68" s="246">
        <f>VLOOKUP(Food!E68,'FG MASTER'!$A$10:$AC$536,17,0)</f>
        <v>1.5</v>
      </c>
      <c r="M68" s="132">
        <f t="shared" si="32"/>
        <v>0.60000000000000009</v>
      </c>
      <c r="N68" s="132">
        <f t="shared" si="33"/>
        <v>2.9</v>
      </c>
      <c r="O68" s="132">
        <f t="shared" si="5"/>
        <v>0.34499999999999975</v>
      </c>
      <c r="P68" s="132">
        <f t="shared" si="6"/>
        <v>8.9999999999999969E-2</v>
      </c>
      <c r="Q68" s="132">
        <f t="shared" si="26"/>
        <v>3.3349999999999995</v>
      </c>
      <c r="R68" s="405">
        <f t="shared" si="8"/>
        <v>2.6449999999999996</v>
      </c>
      <c r="S68" s="405">
        <f t="shared" si="9"/>
        <v>0.69000000000000006</v>
      </c>
      <c r="T68" s="405">
        <f t="shared" si="10"/>
        <v>3.3349999999999995</v>
      </c>
      <c r="U68" s="127"/>
      <c r="V68" s="127"/>
      <c r="W68" t="str">
        <f>IFERROR(#REF!*J68,"")</f>
        <v/>
      </c>
      <c r="X68">
        <f t="shared" si="11"/>
        <v>13.799999999999999</v>
      </c>
      <c r="Y68">
        <f t="shared" si="12"/>
        <v>9</v>
      </c>
      <c r="Z68" s="127">
        <f t="shared" si="13"/>
        <v>3.6000000000000005</v>
      </c>
      <c r="AA68" s="127">
        <f t="shared" si="14"/>
        <v>17.399999999999999</v>
      </c>
      <c r="AB68" s="127">
        <f t="shared" si="15"/>
        <v>2.0699999999999985</v>
      </c>
      <c r="AC68" s="127">
        <f t="shared" si="16"/>
        <v>0.53999999999999981</v>
      </c>
      <c r="AD68" s="127">
        <f t="shared" si="17"/>
        <v>20.009999999999998</v>
      </c>
      <c r="AF68" s="127" t="str">
        <f>IFERROR(W68*'FlightConfig '!$K$3,"")</f>
        <v/>
      </c>
      <c r="AG68" s="127">
        <f>IFERROR(X68*'FlightConfig '!$K$17,"")</f>
        <v>5023.2</v>
      </c>
      <c r="AH68" s="127">
        <f>IFERROR(Y68*'FlightConfig '!$K$17,"")</f>
        <v>3276</v>
      </c>
      <c r="AI68" s="127">
        <f>IFERROR(Z68*'FlightConfig '!$K$17,"")</f>
        <v>1310.4000000000001</v>
      </c>
      <c r="AJ68" s="127">
        <f>IFERROR(AA68*'FlightConfig '!$K$17,"")</f>
        <v>6333.5999999999995</v>
      </c>
      <c r="AK68" s="127">
        <f>IFERROR(AB68*'FlightConfig '!$K$17,"")</f>
        <v>753.47999999999945</v>
      </c>
    </row>
    <row r="69" spans="1:37" ht="18" customHeight="1" x14ac:dyDescent="0.25">
      <c r="A69" t="s">
        <v>234</v>
      </c>
      <c r="B69" s="171">
        <v>1</v>
      </c>
      <c r="C69" s="176" t="str">
        <f t="shared" si="30"/>
        <v>CABIN CREW CLASS1</v>
      </c>
      <c r="D69" s="294"/>
      <c r="E69" s="305">
        <v>1065</v>
      </c>
      <c r="F69" s="311"/>
      <c r="G69" t="str">
        <f>VLOOKUP(E69,'FG MASTER'!$A$10:$AB$218,2,0)</f>
        <v xml:space="preserve">CREW C1 SANDWICH 4 CHICKEN SALAD CROISSANT SANDWICH </v>
      </c>
      <c r="H69" s="286">
        <v>1</v>
      </c>
      <c r="I69" s="173">
        <v>1</v>
      </c>
      <c r="J69" s="292">
        <f>IFERROR(IF(I69="std",H69,HLOOKUP(A69,'FlightConfig '!$B$28:$G$29,2,0)*I69),"")</f>
        <v>6</v>
      </c>
      <c r="K69" s="245">
        <f>VLOOKUP(Food!E69,'FG MASTER'!$A$1:$AC$536,16,0)</f>
        <v>2.0499999999999998</v>
      </c>
      <c r="L69" s="246">
        <f>VLOOKUP(Food!E69,'FG MASTER'!$A$10:$AC$536,17,0)</f>
        <v>1.5</v>
      </c>
      <c r="M69" s="132">
        <f t="shared" si="32"/>
        <v>0.60000000000000009</v>
      </c>
      <c r="N69" s="132">
        <f t="shared" si="33"/>
        <v>2.65</v>
      </c>
      <c r="O69" s="132">
        <f t="shared" si="5"/>
        <v>0.30749999999999966</v>
      </c>
      <c r="P69" s="132">
        <f t="shared" si="6"/>
        <v>8.9999999999999969E-2</v>
      </c>
      <c r="Q69" s="132">
        <f t="shared" si="26"/>
        <v>3.0474999999999994</v>
      </c>
      <c r="R69" s="405">
        <f t="shared" si="8"/>
        <v>2.3574999999999995</v>
      </c>
      <c r="S69" s="405">
        <f t="shared" si="9"/>
        <v>0.69000000000000006</v>
      </c>
      <c r="T69" s="405">
        <f t="shared" si="10"/>
        <v>3.0474999999999994</v>
      </c>
      <c r="U69" s="127"/>
      <c r="V69" s="127"/>
      <c r="W69" t="str">
        <f>IFERROR(#REF!*J69,"")</f>
        <v/>
      </c>
      <c r="X69">
        <f t="shared" si="11"/>
        <v>12.299999999999999</v>
      </c>
      <c r="Y69">
        <f t="shared" si="12"/>
        <v>9</v>
      </c>
      <c r="Z69" s="127">
        <f t="shared" si="13"/>
        <v>3.6000000000000005</v>
      </c>
      <c r="AA69" s="127">
        <f t="shared" si="14"/>
        <v>15.899999999999999</v>
      </c>
      <c r="AB69" s="127">
        <f t="shared" si="15"/>
        <v>1.844999999999998</v>
      </c>
      <c r="AC69" s="127">
        <f t="shared" si="16"/>
        <v>0.53999999999999981</v>
      </c>
      <c r="AD69" s="127">
        <f t="shared" si="17"/>
        <v>18.284999999999997</v>
      </c>
      <c r="AF69" s="127" t="str">
        <f>IFERROR(W69*'FlightConfig '!$K$3,"")</f>
        <v/>
      </c>
      <c r="AG69" s="127">
        <f>IFERROR(X69*'FlightConfig '!$K$17,"")</f>
        <v>4477.2</v>
      </c>
      <c r="AH69" s="127">
        <f>IFERROR(Y69*'FlightConfig '!$K$17,"")</f>
        <v>3276</v>
      </c>
      <c r="AI69" s="127">
        <f>IFERROR(Z69*'FlightConfig '!$K$17,"")</f>
        <v>1310.4000000000001</v>
      </c>
      <c r="AJ69" s="127">
        <f>IFERROR(AA69*'FlightConfig '!$K$17,"")</f>
        <v>5787.5999999999995</v>
      </c>
      <c r="AK69" s="127">
        <f>IFERROR(AB69*'FlightConfig '!$K$17,"")</f>
        <v>671.57999999999925</v>
      </c>
    </row>
    <row r="70" spans="1:37" ht="18" customHeight="1" x14ac:dyDescent="0.25">
      <c r="A70" t="s">
        <v>234</v>
      </c>
      <c r="B70" s="171">
        <v>1</v>
      </c>
      <c r="C70" s="176" t="str">
        <f>CONCATENATE(A70&amp;B70&amp;F70)</f>
        <v>CABIN CREW CLASS1</v>
      </c>
      <c r="D70" s="294"/>
      <c r="E70" s="305">
        <v>1066</v>
      </c>
      <c r="F70" s="311"/>
      <c r="G70" t="str">
        <f>VLOOKUP(E70,'FG MASTER'!$A$10:$AB$218,2,0)</f>
        <v xml:space="preserve">CREW C1 SANDWICH 5 HAM AND CHEESE SANDWICH </v>
      </c>
      <c r="H70" s="286">
        <v>1</v>
      </c>
      <c r="I70" s="173">
        <v>1</v>
      </c>
      <c r="J70" s="292">
        <f>IFERROR(IF(I70="std",H70,HLOOKUP(A70,'FlightConfig '!$B$28:$G$29,2,0)*I70),"")</f>
        <v>6</v>
      </c>
      <c r="K70" s="245">
        <f>VLOOKUP(Food!E70,'FG MASTER'!$A$1:$AC$536,16,0)</f>
        <v>1.68</v>
      </c>
      <c r="L70" s="246">
        <f>VLOOKUP(Food!E70,'FG MASTER'!$A$10:$AC$536,17,0)</f>
        <v>1.5</v>
      </c>
      <c r="M70" s="132">
        <f t="shared" ref="M70:M97" si="34">IFERROR(L70*$M$2,"")</f>
        <v>0.60000000000000009</v>
      </c>
      <c r="N70" s="132">
        <f t="shared" ref="N70:N97" si="35">IFERROR((K70)+M70,"")</f>
        <v>2.2800000000000002</v>
      </c>
      <c r="O70" s="132">
        <f t="shared" ref="O70:O133" si="36">IFERROR($K70*(1+$O$2)-$K70,0)</f>
        <v>0.25199999999999978</v>
      </c>
      <c r="P70" s="132">
        <f t="shared" ref="P70:P133" si="37">IFERROR($M70*(1+$P$2)-$M70,0)</f>
        <v>8.9999999999999969E-2</v>
      </c>
      <c r="Q70" s="132">
        <f t="shared" ref="Q70:Q74" si="38">SUM(N70:P70)</f>
        <v>2.6219999999999999</v>
      </c>
      <c r="R70" s="405">
        <f t="shared" ref="R70:R133" si="39">K70*(1+$O$2)</f>
        <v>1.9319999999999997</v>
      </c>
      <c r="S70" s="405">
        <f t="shared" ref="S70:S133" si="40">M70*(1+$P$2)</f>
        <v>0.69000000000000006</v>
      </c>
      <c r="T70" s="405">
        <f t="shared" ref="T70:T133" si="41">R70+S70</f>
        <v>2.6219999999999999</v>
      </c>
      <c r="U70" s="127"/>
      <c r="V70" s="127"/>
      <c r="W70" t="str">
        <f>IFERROR(#REF!*J70,"")</f>
        <v/>
      </c>
      <c r="X70">
        <f t="shared" ref="X70:X133" si="42">IFERROR(K70*J70,"")</f>
        <v>10.08</v>
      </c>
      <c r="Y70">
        <f t="shared" ref="Y70:Y133" si="43">IFERROR(+L70*J70,"")</f>
        <v>9</v>
      </c>
      <c r="Z70" s="127">
        <f t="shared" ref="Z70:Z133" si="44">IFERROR(+M70*J70,"")</f>
        <v>3.6000000000000005</v>
      </c>
      <c r="AA70" s="127">
        <f t="shared" ref="AA70:AA133" si="45">IFERROR(+N70*J70,"")</f>
        <v>13.680000000000001</v>
      </c>
      <c r="AB70" s="127">
        <f t="shared" ref="AB70:AB133" si="46">IFERROR(O70*$J70,"")</f>
        <v>1.5119999999999987</v>
      </c>
      <c r="AC70" s="127">
        <f t="shared" ref="AC70:AC133" si="47">IFERROR(P70*$J70,"")</f>
        <v>0.53999999999999981</v>
      </c>
      <c r="AD70" s="127">
        <f t="shared" ref="AD70:AD133" si="48">IFERROR(+Q70*J70,"")</f>
        <v>15.731999999999999</v>
      </c>
      <c r="AF70" s="127" t="str">
        <f>IFERROR(W70*'FlightConfig '!$K$3,"")</f>
        <v/>
      </c>
      <c r="AG70" s="127">
        <f>IFERROR(X70*'FlightConfig '!$K$17,"")</f>
        <v>3669.12</v>
      </c>
      <c r="AH70" s="127">
        <f>IFERROR(Y70*'FlightConfig '!$K$17,"")</f>
        <v>3276</v>
      </c>
      <c r="AI70" s="127">
        <f>IFERROR(Z70*'FlightConfig '!$K$17,"")</f>
        <v>1310.4000000000001</v>
      </c>
      <c r="AJ70" s="127">
        <f>IFERROR(AA70*'FlightConfig '!$K$17,"")</f>
        <v>4979.5200000000004</v>
      </c>
      <c r="AK70" s="127">
        <f>IFERROR(AB70*'FlightConfig '!$K$17,"")</f>
        <v>550.36799999999948</v>
      </c>
    </row>
    <row r="71" spans="1:37" ht="18" customHeight="1" x14ac:dyDescent="0.25">
      <c r="A71" t="s">
        <v>234</v>
      </c>
      <c r="B71" s="171">
        <v>1</v>
      </c>
      <c r="C71" s="176" t="str">
        <f t="shared" ref="C71:C74" si="49">CONCATENATE(A71&amp;B71&amp;F71)</f>
        <v>CABIN CREW CLASS1</v>
      </c>
      <c r="D71" s="294"/>
      <c r="E71" s="305">
        <v>1067</v>
      </c>
      <c r="F71" s="311"/>
      <c r="G71" t="str">
        <f>VLOOKUP(E71,'FG MASTER'!$A$10:$AB$218,2,0)</f>
        <v>CREW C1 MIDNIGHT SNACK CHICKIEN TENDERS WITH FRIES</v>
      </c>
      <c r="H71" s="286">
        <v>1</v>
      </c>
      <c r="I71" s="173">
        <v>1</v>
      </c>
      <c r="J71" s="292">
        <f>IFERROR(IF(I71="std",H71,HLOOKUP(A71,'FlightConfig '!$B$28:$G$29,2,0)*I71),"")</f>
        <v>6</v>
      </c>
      <c r="K71" s="245">
        <f>VLOOKUP(Food!E71,'FG MASTER'!$A$1:$AC$536,16,0)</f>
        <v>1.8</v>
      </c>
      <c r="L71" s="246">
        <f>VLOOKUP(Food!E71,'FG MASTER'!$A$10:$AC$536,17,0)</f>
        <v>2</v>
      </c>
      <c r="M71" s="132">
        <f t="shared" si="34"/>
        <v>0.8</v>
      </c>
      <c r="N71" s="132">
        <f t="shared" si="35"/>
        <v>2.6</v>
      </c>
      <c r="O71" s="132">
        <f t="shared" si="36"/>
        <v>0.2699999999999998</v>
      </c>
      <c r="P71" s="132">
        <f t="shared" si="37"/>
        <v>0.11999999999999988</v>
      </c>
      <c r="Q71" s="132">
        <f t="shared" si="38"/>
        <v>2.99</v>
      </c>
      <c r="R71" s="405">
        <f t="shared" si="39"/>
        <v>2.0699999999999998</v>
      </c>
      <c r="S71" s="405">
        <f t="shared" si="40"/>
        <v>0.91999999999999993</v>
      </c>
      <c r="T71" s="405">
        <f t="shared" si="41"/>
        <v>2.9899999999999998</v>
      </c>
      <c r="U71" s="127"/>
      <c r="V71" s="127"/>
      <c r="W71" t="str">
        <f>IFERROR(#REF!*J71,"")</f>
        <v/>
      </c>
      <c r="X71">
        <f t="shared" si="42"/>
        <v>10.8</v>
      </c>
      <c r="Y71">
        <f t="shared" si="43"/>
        <v>12</v>
      </c>
      <c r="Z71" s="127">
        <f t="shared" si="44"/>
        <v>4.8000000000000007</v>
      </c>
      <c r="AA71" s="127">
        <f t="shared" si="45"/>
        <v>15.600000000000001</v>
      </c>
      <c r="AB71" s="127">
        <f t="shared" si="46"/>
        <v>1.6199999999999988</v>
      </c>
      <c r="AC71" s="127">
        <f t="shared" si="47"/>
        <v>0.71999999999999931</v>
      </c>
      <c r="AD71" s="127">
        <f t="shared" si="48"/>
        <v>17.940000000000001</v>
      </c>
      <c r="AF71" s="127" t="str">
        <f>IFERROR(W71*'FlightConfig '!$K$3,"")</f>
        <v/>
      </c>
      <c r="AG71" s="127">
        <f>IFERROR(X71*'FlightConfig '!$K$17,"")</f>
        <v>3931.2000000000003</v>
      </c>
      <c r="AH71" s="127">
        <f>IFERROR(Y71*'FlightConfig '!$K$17,"")</f>
        <v>4368</v>
      </c>
      <c r="AI71" s="127">
        <f>IFERROR(Z71*'FlightConfig '!$K$17,"")</f>
        <v>1747.2000000000003</v>
      </c>
      <c r="AJ71" s="127">
        <f>IFERROR(AA71*'FlightConfig '!$K$17,"")</f>
        <v>5678.4000000000005</v>
      </c>
      <c r="AK71" s="127">
        <f>IFERROR(AB71*'FlightConfig '!$K$17,"")</f>
        <v>589.67999999999961</v>
      </c>
    </row>
    <row r="72" spans="1:37" ht="18" customHeight="1" x14ac:dyDescent="0.25">
      <c r="A72" t="s">
        <v>234</v>
      </c>
      <c r="B72" s="171">
        <v>1</v>
      </c>
      <c r="C72" s="176" t="str">
        <f t="shared" si="49"/>
        <v>CABIN CREW CLASS1</v>
      </c>
      <c r="D72" s="294"/>
      <c r="E72" s="305">
        <v>1068</v>
      </c>
      <c r="F72" s="311"/>
      <c r="G72" t="str">
        <f>VLOOKUP(E72,'FG MASTER'!$A$10:$AB$218,2,0)</f>
        <v>CREW C1 BREAKFAST HOT SANDWICH 1 EGG AND CHEESE ENGLISH MUFFIN</v>
      </c>
      <c r="H72" s="286">
        <v>1</v>
      </c>
      <c r="I72" s="173">
        <v>1</v>
      </c>
      <c r="J72" s="292">
        <f>IFERROR(IF(I72="std",H72,HLOOKUP(A72,'FlightConfig '!$B$28:$G$29,2,0)*I72),"")</f>
        <v>6</v>
      </c>
      <c r="K72" s="245">
        <f>VLOOKUP(Food!E72,'FG MASTER'!$A$1:$AC$536,16,0)</f>
        <v>0.94</v>
      </c>
      <c r="L72" s="246">
        <f>VLOOKUP(Food!E72,'FG MASTER'!$A$10:$AC$536,17,0)</f>
        <v>1.5</v>
      </c>
      <c r="M72" s="132">
        <f t="shared" si="34"/>
        <v>0.60000000000000009</v>
      </c>
      <c r="N72" s="132">
        <f t="shared" si="35"/>
        <v>1.54</v>
      </c>
      <c r="O72" s="132">
        <f t="shared" si="36"/>
        <v>0.14100000000000001</v>
      </c>
      <c r="P72" s="132">
        <f t="shared" si="37"/>
        <v>8.9999999999999969E-2</v>
      </c>
      <c r="Q72" s="132">
        <f t="shared" si="38"/>
        <v>1.7709999999999999</v>
      </c>
      <c r="R72" s="405">
        <f t="shared" si="39"/>
        <v>1.081</v>
      </c>
      <c r="S72" s="405">
        <f t="shared" si="40"/>
        <v>0.69000000000000006</v>
      </c>
      <c r="T72" s="405">
        <f t="shared" si="41"/>
        <v>1.7709999999999999</v>
      </c>
      <c r="U72" s="127"/>
      <c r="V72" s="127"/>
      <c r="W72" t="str">
        <f>IFERROR(#REF!*J72,"")</f>
        <v/>
      </c>
      <c r="X72">
        <f t="shared" si="42"/>
        <v>5.64</v>
      </c>
      <c r="Y72">
        <f t="shared" si="43"/>
        <v>9</v>
      </c>
      <c r="Z72" s="127">
        <f t="shared" si="44"/>
        <v>3.6000000000000005</v>
      </c>
      <c r="AA72" s="127">
        <f t="shared" si="45"/>
        <v>9.24</v>
      </c>
      <c r="AB72" s="127">
        <f t="shared" si="46"/>
        <v>0.84600000000000009</v>
      </c>
      <c r="AC72" s="127">
        <f t="shared" si="47"/>
        <v>0.53999999999999981</v>
      </c>
      <c r="AD72" s="127">
        <f t="shared" si="48"/>
        <v>10.625999999999999</v>
      </c>
      <c r="AF72" s="127" t="str">
        <f>IFERROR(W72*'FlightConfig '!$K$3,"")</f>
        <v/>
      </c>
      <c r="AG72" s="127">
        <f>IFERROR(X72*'FlightConfig '!$K$17,"")</f>
        <v>2052.96</v>
      </c>
      <c r="AH72" s="127">
        <f>IFERROR(Y72*'FlightConfig '!$K$17,"")</f>
        <v>3276</v>
      </c>
      <c r="AI72" s="127">
        <f>IFERROR(Z72*'FlightConfig '!$K$17,"")</f>
        <v>1310.4000000000001</v>
      </c>
      <c r="AJ72" s="127">
        <f>IFERROR(AA72*'FlightConfig '!$K$17,"")</f>
        <v>3363.36</v>
      </c>
      <c r="AK72" s="127">
        <f>IFERROR(AB72*'FlightConfig '!$K$17,"")</f>
        <v>307.94400000000002</v>
      </c>
    </row>
    <row r="73" spans="1:37" ht="18" customHeight="1" x14ac:dyDescent="0.25">
      <c r="A73" t="s">
        <v>234</v>
      </c>
      <c r="B73" s="171">
        <v>1</v>
      </c>
      <c r="C73" s="176" t="str">
        <f t="shared" si="49"/>
        <v>CABIN CREW CLASS1</v>
      </c>
      <c r="D73" s="294"/>
      <c r="E73" s="305">
        <v>1069</v>
      </c>
      <c r="F73" s="311"/>
      <c r="G73" t="str">
        <f>VLOOKUP(E73,'FG MASTER'!$A$10:$AB$218,2,0)</f>
        <v>CREW C1 BREAKFAST HOT SANDWICH 2 BACON EGG AND CHEESE ENGLISH MUFFIN</v>
      </c>
      <c r="H73" s="286">
        <v>1</v>
      </c>
      <c r="I73" s="173">
        <v>1</v>
      </c>
      <c r="J73" s="292">
        <f>IFERROR(IF(I73="std",H73,HLOOKUP(A73,'FlightConfig '!$B$28:$G$29,2,0)*I73),"")</f>
        <v>6</v>
      </c>
      <c r="K73" s="245">
        <f>VLOOKUP(Food!E73,'FG MASTER'!$A$1:$AC$536,16,0)</f>
        <v>1.77</v>
      </c>
      <c r="L73" s="246">
        <f>VLOOKUP(Food!E73,'FG MASTER'!$A$10:$AC$536,17,0)</f>
        <v>2</v>
      </c>
      <c r="M73" s="132">
        <f t="shared" si="34"/>
        <v>0.8</v>
      </c>
      <c r="N73" s="132">
        <f t="shared" si="35"/>
        <v>2.5700000000000003</v>
      </c>
      <c r="O73" s="132">
        <f t="shared" si="36"/>
        <v>0.26549999999999985</v>
      </c>
      <c r="P73" s="132">
        <f t="shared" si="37"/>
        <v>0.11999999999999988</v>
      </c>
      <c r="Q73" s="132">
        <f t="shared" si="38"/>
        <v>2.9554999999999998</v>
      </c>
      <c r="R73" s="405">
        <f t="shared" si="39"/>
        <v>2.0354999999999999</v>
      </c>
      <c r="S73" s="405">
        <f t="shared" si="40"/>
        <v>0.91999999999999993</v>
      </c>
      <c r="T73" s="405">
        <f t="shared" si="41"/>
        <v>2.9554999999999998</v>
      </c>
      <c r="U73" s="127"/>
      <c r="V73" s="127"/>
      <c r="W73" t="str">
        <f>IFERROR(#REF!*J73,"")</f>
        <v/>
      </c>
      <c r="X73">
        <f t="shared" si="42"/>
        <v>10.620000000000001</v>
      </c>
      <c r="Y73">
        <f t="shared" si="43"/>
        <v>12</v>
      </c>
      <c r="Z73" s="127">
        <f t="shared" si="44"/>
        <v>4.8000000000000007</v>
      </c>
      <c r="AA73" s="127">
        <f t="shared" si="45"/>
        <v>15.420000000000002</v>
      </c>
      <c r="AB73" s="127">
        <f t="shared" si="46"/>
        <v>1.5929999999999991</v>
      </c>
      <c r="AC73" s="127">
        <f t="shared" si="47"/>
        <v>0.71999999999999931</v>
      </c>
      <c r="AD73" s="127">
        <f t="shared" si="48"/>
        <v>17.732999999999997</v>
      </c>
      <c r="AF73" s="127" t="str">
        <f>IFERROR(W73*'FlightConfig '!$K$3,"")</f>
        <v/>
      </c>
      <c r="AG73" s="127">
        <f>IFERROR(X73*'FlightConfig '!$K$17,"")</f>
        <v>3865.6800000000003</v>
      </c>
      <c r="AH73" s="127">
        <f>IFERROR(Y73*'FlightConfig '!$K$17,"")</f>
        <v>4368</v>
      </c>
      <c r="AI73" s="127">
        <f>IFERROR(Z73*'FlightConfig '!$K$17,"")</f>
        <v>1747.2000000000003</v>
      </c>
      <c r="AJ73" s="127">
        <f>IFERROR(AA73*'FlightConfig '!$K$17,"")</f>
        <v>5612.880000000001</v>
      </c>
      <c r="AK73" s="127">
        <f>IFERROR(AB73*'FlightConfig '!$K$17,"")</f>
        <v>579.85199999999963</v>
      </c>
    </row>
    <row r="74" spans="1:37" ht="18" customHeight="1" x14ac:dyDescent="0.25">
      <c r="A74" t="s">
        <v>234</v>
      </c>
      <c r="B74" s="171">
        <v>1</v>
      </c>
      <c r="C74" s="176" t="str">
        <f t="shared" si="49"/>
        <v>CABIN CREW CLASS1</v>
      </c>
      <c r="D74" s="294"/>
      <c r="E74" s="305">
        <v>1070</v>
      </c>
      <c r="F74" s="311"/>
      <c r="G74" t="str">
        <f>VLOOKUP(E74,'FG MASTER'!$A$10:$AB$218,2,0)</f>
        <v>CREW C1 BREAKFAST HOT SANDWICH 3 FRIED CHICKEN BISCUIT</v>
      </c>
      <c r="H74" s="286">
        <v>1</v>
      </c>
      <c r="I74" s="173">
        <v>1</v>
      </c>
      <c r="J74" s="292">
        <f>IFERROR(IF(I74="std",H74,HLOOKUP(A74,'FlightConfig '!$B$28:$G$29,2,0)*I74),"")</f>
        <v>6</v>
      </c>
      <c r="K74" s="245">
        <f>VLOOKUP(Food!E74,'FG MASTER'!$A$1:$AC$536,16,0)</f>
        <v>1.1399999999999999</v>
      </c>
      <c r="L74" s="246">
        <f>VLOOKUP(Food!E74,'FG MASTER'!$A$10:$AC$536,17,0)</f>
        <v>2</v>
      </c>
      <c r="M74" s="132">
        <f t="shared" si="34"/>
        <v>0.8</v>
      </c>
      <c r="N74" s="132">
        <f t="shared" si="35"/>
        <v>1.94</v>
      </c>
      <c r="O74" s="132">
        <f t="shared" si="36"/>
        <v>0.17099999999999982</v>
      </c>
      <c r="P74" s="132">
        <f t="shared" si="37"/>
        <v>0.11999999999999988</v>
      </c>
      <c r="Q74" s="132">
        <f t="shared" si="38"/>
        <v>2.2309999999999999</v>
      </c>
      <c r="R74" s="405">
        <f t="shared" si="39"/>
        <v>1.3109999999999997</v>
      </c>
      <c r="S74" s="405">
        <f t="shared" si="40"/>
        <v>0.91999999999999993</v>
      </c>
      <c r="T74" s="405">
        <f t="shared" si="41"/>
        <v>2.2309999999999999</v>
      </c>
      <c r="U74" s="127"/>
      <c r="V74" s="127"/>
      <c r="W74" t="str">
        <f>IFERROR(#REF!*J74,"")</f>
        <v/>
      </c>
      <c r="X74">
        <f t="shared" si="42"/>
        <v>6.84</v>
      </c>
      <c r="Y74">
        <f t="shared" si="43"/>
        <v>12</v>
      </c>
      <c r="Z74" s="127">
        <f t="shared" si="44"/>
        <v>4.8000000000000007</v>
      </c>
      <c r="AA74" s="127">
        <f t="shared" si="45"/>
        <v>11.64</v>
      </c>
      <c r="AB74" s="127">
        <f t="shared" si="46"/>
        <v>1.0259999999999989</v>
      </c>
      <c r="AC74" s="127">
        <f t="shared" si="47"/>
        <v>0.71999999999999931</v>
      </c>
      <c r="AD74" s="127">
        <f t="shared" si="48"/>
        <v>13.385999999999999</v>
      </c>
      <c r="AF74" s="127" t="str">
        <f>IFERROR(W74*'FlightConfig '!$K$3,"")</f>
        <v/>
      </c>
      <c r="AG74" s="127">
        <f>IFERROR(X74*'FlightConfig '!$K$17,"")</f>
        <v>2489.7599999999998</v>
      </c>
      <c r="AH74" s="127">
        <f>IFERROR(Y74*'FlightConfig '!$K$17,"")</f>
        <v>4368</v>
      </c>
      <c r="AI74" s="127">
        <f>IFERROR(Z74*'FlightConfig '!$K$17,"")</f>
        <v>1747.2000000000003</v>
      </c>
      <c r="AJ74" s="127">
        <f>IFERROR(AA74*'FlightConfig '!$K$17,"")</f>
        <v>4236.96</v>
      </c>
      <c r="AK74" s="127">
        <f>IFERROR(AB74*'FlightConfig '!$K$17,"")</f>
        <v>373.4639999999996</v>
      </c>
    </row>
    <row r="75" spans="1:37" x14ac:dyDescent="0.25">
      <c r="A75" t="s">
        <v>133</v>
      </c>
      <c r="B75" s="171">
        <v>1</v>
      </c>
      <c r="C75" s="176" t="str">
        <f>CONCATENATE(A75&amp;B75&amp;F75)</f>
        <v>BUSINESS CLASS1110</v>
      </c>
      <c r="D75" s="172"/>
      <c r="E75" s="305">
        <v>1001</v>
      </c>
      <c r="F75" s="311">
        <v>110</v>
      </c>
      <c r="G75" t="str">
        <f>VLOOKUP(E75,'FG MASTER'!$A$10:$AB$218,2,0)</f>
        <v xml:space="preserve">BC C1 DINNER GEORGIA PEACH CHILI WHIPPED BUTTER </v>
      </c>
      <c r="H75" s="286">
        <v>1</v>
      </c>
      <c r="I75" s="173">
        <v>1</v>
      </c>
      <c r="J75" s="292">
        <f>IFERROR(IF(I75="std",H75,HLOOKUP(A75,'FlightConfig '!$B$34:$G$35,2,0)*I75),"")</f>
        <v>30</v>
      </c>
      <c r="K75" s="245">
        <f>VLOOKUP(Food!E75,'FG MASTER'!$A$1:$AC$536,16,0)</f>
        <v>0.47</v>
      </c>
      <c r="L75" s="246">
        <f>VLOOKUP(Food!E75,'FG MASTER'!$A$10:$AC$536,17,0)</f>
        <v>0.5</v>
      </c>
      <c r="M75" s="132">
        <f t="shared" si="34"/>
        <v>0.2</v>
      </c>
      <c r="N75" s="132">
        <f t="shared" si="35"/>
        <v>0.66999999999999993</v>
      </c>
      <c r="O75" s="132">
        <f t="shared" si="36"/>
        <v>7.0500000000000007E-2</v>
      </c>
      <c r="P75" s="132">
        <f t="shared" si="37"/>
        <v>2.9999999999999971E-2</v>
      </c>
      <c r="Q75" s="132">
        <f>SUM(N75:P75)</f>
        <v>0.77049999999999996</v>
      </c>
      <c r="R75" s="405">
        <f t="shared" si="39"/>
        <v>0.54049999999999998</v>
      </c>
      <c r="S75" s="405">
        <f t="shared" si="40"/>
        <v>0.22999999999999998</v>
      </c>
      <c r="T75" s="405">
        <f t="shared" si="41"/>
        <v>0.77049999999999996</v>
      </c>
      <c r="U75" s="127"/>
      <c r="V75" s="127"/>
      <c r="W75" t="str">
        <f>IFERROR(#REF!*J75,"")</f>
        <v/>
      </c>
      <c r="X75">
        <f t="shared" si="42"/>
        <v>14.1</v>
      </c>
      <c r="Y75">
        <f t="shared" si="43"/>
        <v>15</v>
      </c>
      <c r="Z75" s="127">
        <f t="shared" si="44"/>
        <v>6</v>
      </c>
      <c r="AA75" s="127">
        <f t="shared" si="45"/>
        <v>20.099999999999998</v>
      </c>
      <c r="AB75" s="127">
        <f t="shared" si="46"/>
        <v>2.1150000000000002</v>
      </c>
      <c r="AC75" s="127">
        <f t="shared" si="47"/>
        <v>0.89999999999999913</v>
      </c>
      <c r="AD75" s="127">
        <f t="shared" si="48"/>
        <v>23.114999999999998</v>
      </c>
      <c r="AF75" s="127" t="str">
        <f>IFERROR(W75*'FlightConfig '!$K$3,"")</f>
        <v/>
      </c>
      <c r="AG75" s="127">
        <f>IFERROR(X75*'FlightConfig '!$K$23,"")</f>
        <v>5132.3999999999996</v>
      </c>
      <c r="AH75" s="127">
        <f>IFERROR(Y75*'FlightConfig '!$K$23,"")</f>
        <v>5460</v>
      </c>
      <c r="AI75" s="127">
        <f>IFERROR(Z75*'FlightConfig '!$K$23,"")</f>
        <v>2184</v>
      </c>
      <c r="AJ75" s="127">
        <f>IFERROR(AA75*'FlightConfig '!$K$23,"")</f>
        <v>7316.4</v>
      </c>
      <c r="AK75" s="127">
        <f>IFERROR(AB75*'FlightConfig '!$K$23,"")</f>
        <v>769.86000000000013</v>
      </c>
    </row>
    <row r="76" spans="1:37" x14ac:dyDescent="0.25">
      <c r="A76" t="s">
        <v>133</v>
      </c>
      <c r="B76" s="171">
        <v>1</v>
      </c>
      <c r="C76" s="176" t="str">
        <f t="shared" ref="C76:C94" si="50">CONCATENATE(A76&amp;B76&amp;F76)</f>
        <v>BUSINESS CLASS1110</v>
      </c>
      <c r="D76" s="172"/>
      <c r="E76" s="305">
        <v>1002</v>
      </c>
      <c r="F76" s="311">
        <v>110</v>
      </c>
      <c r="G76" t="str">
        <f>VLOOKUP(E76,'FG MASTER'!$A$10:$AB$218,2,0)</f>
        <v xml:space="preserve">BC C1 DINNER SWEETWATER BEET AND CHEESE ROLL </v>
      </c>
      <c r="H76" s="286">
        <v>1</v>
      </c>
      <c r="I76" s="173">
        <v>0.5</v>
      </c>
      <c r="J76" s="292">
        <f>IFERROR(IF(I76="std",H76,HLOOKUP(A76,'FlightConfig '!$B$34:$G$35,2,0)*I76),"")</f>
        <v>15</v>
      </c>
      <c r="K76" s="245">
        <f>VLOOKUP(Food!E76,'FG MASTER'!$A$1:$AC$536,16,0)</f>
        <v>0.3</v>
      </c>
      <c r="L76" s="246">
        <f>VLOOKUP(Food!E76,'FG MASTER'!$A$10:$AC$536,17,0)</f>
        <v>0.25</v>
      </c>
      <c r="M76" s="132">
        <f t="shared" si="34"/>
        <v>0.1</v>
      </c>
      <c r="N76" s="132">
        <f t="shared" si="35"/>
        <v>0.4</v>
      </c>
      <c r="O76" s="132">
        <f t="shared" si="36"/>
        <v>4.4999999999999984E-2</v>
      </c>
      <c r="P76" s="132">
        <f t="shared" si="37"/>
        <v>1.4999999999999986E-2</v>
      </c>
      <c r="Q76" s="132">
        <f t="shared" ref="Q76:Q83" si="51">SUM(N76:P76)</f>
        <v>0.45999999999999996</v>
      </c>
      <c r="R76" s="405">
        <f t="shared" si="39"/>
        <v>0.34499999999999997</v>
      </c>
      <c r="S76" s="405">
        <f t="shared" si="40"/>
        <v>0.11499999999999999</v>
      </c>
      <c r="T76" s="405">
        <f t="shared" si="41"/>
        <v>0.45999999999999996</v>
      </c>
      <c r="U76" s="127"/>
      <c r="V76" s="127"/>
      <c r="W76" t="str">
        <f>IFERROR(#REF!*J76,"")</f>
        <v/>
      </c>
      <c r="X76">
        <f t="shared" si="42"/>
        <v>4.5</v>
      </c>
      <c r="Y76">
        <f t="shared" si="43"/>
        <v>3.75</v>
      </c>
      <c r="Z76" s="127">
        <f t="shared" si="44"/>
        <v>1.5</v>
      </c>
      <c r="AA76" s="127">
        <f t="shared" si="45"/>
        <v>6</v>
      </c>
      <c r="AB76" s="127">
        <f t="shared" si="46"/>
        <v>0.67499999999999982</v>
      </c>
      <c r="AC76" s="127">
        <f t="shared" si="47"/>
        <v>0.22499999999999978</v>
      </c>
      <c r="AD76" s="127">
        <f t="shared" si="48"/>
        <v>6.8999999999999995</v>
      </c>
      <c r="AF76" s="127" t="str">
        <f>IFERROR(W76*'FlightConfig '!$K$3,"")</f>
        <v/>
      </c>
      <c r="AG76" s="127">
        <f>IFERROR(X76*'FlightConfig '!$K$23,"")</f>
        <v>1638</v>
      </c>
      <c r="AH76" s="127">
        <f>IFERROR(Y76*'FlightConfig '!$K$23,"")</f>
        <v>1365</v>
      </c>
      <c r="AI76" s="127">
        <f>IFERROR(Z76*'FlightConfig '!$K$23,"")</f>
        <v>546</v>
      </c>
      <c r="AJ76" s="127">
        <f>IFERROR(AA76*'FlightConfig '!$K$23,"")</f>
        <v>2184</v>
      </c>
      <c r="AK76" s="127">
        <f>IFERROR(AB76*'FlightConfig '!$K$23,"")</f>
        <v>245.69999999999993</v>
      </c>
    </row>
    <row r="77" spans="1:37" x14ac:dyDescent="0.25">
      <c r="A77" t="s">
        <v>133</v>
      </c>
      <c r="B77" s="171">
        <v>1</v>
      </c>
      <c r="C77" s="176" t="str">
        <f t="shared" si="50"/>
        <v>BUSINESS CLASS1110</v>
      </c>
      <c r="D77" s="172"/>
      <c r="E77" s="305">
        <v>1003</v>
      </c>
      <c r="F77" s="311">
        <v>110</v>
      </c>
      <c r="G77" t="str">
        <f>VLOOKUP(E77,'FG MASTER'!$A$10:$AB$218,2,0)</f>
        <v xml:space="preserve">BC C1 DINNER HERB FOCACCIA ROLL </v>
      </c>
      <c r="H77" s="286">
        <v>1</v>
      </c>
      <c r="I77" s="173">
        <v>0.5</v>
      </c>
      <c r="J77" s="292">
        <f>IFERROR(IF(I77="std",H77,HLOOKUP(A77,'FlightConfig '!$B$34:$G$35,2,0)*I77),"")</f>
        <v>15</v>
      </c>
      <c r="K77" s="245">
        <f>VLOOKUP(Food!E77,'FG MASTER'!$A$1:$AC$536,16,0)</f>
        <v>0.14000000000000001</v>
      </c>
      <c r="L77" s="246">
        <f>VLOOKUP(Food!E77,'FG MASTER'!$A$10:$AC$536,17,0)</f>
        <v>0.25</v>
      </c>
      <c r="M77" s="132">
        <f t="shared" si="34"/>
        <v>0.1</v>
      </c>
      <c r="N77" s="132">
        <f t="shared" si="35"/>
        <v>0.24000000000000002</v>
      </c>
      <c r="O77" s="132">
        <f t="shared" si="36"/>
        <v>2.0999999999999991E-2</v>
      </c>
      <c r="P77" s="132">
        <f t="shared" si="37"/>
        <v>1.4999999999999986E-2</v>
      </c>
      <c r="Q77" s="132">
        <f t="shared" si="51"/>
        <v>0.27600000000000002</v>
      </c>
      <c r="R77" s="405">
        <f t="shared" si="39"/>
        <v>0.161</v>
      </c>
      <c r="S77" s="405">
        <f t="shared" si="40"/>
        <v>0.11499999999999999</v>
      </c>
      <c r="T77" s="405">
        <f t="shared" si="41"/>
        <v>0.27600000000000002</v>
      </c>
      <c r="U77" s="127"/>
      <c r="V77" s="127"/>
      <c r="W77" t="str">
        <f>IFERROR(#REF!*J77,"")</f>
        <v/>
      </c>
      <c r="X77">
        <f t="shared" si="42"/>
        <v>2.1</v>
      </c>
      <c r="Y77">
        <f t="shared" si="43"/>
        <v>3.75</v>
      </c>
      <c r="Z77" s="127">
        <f t="shared" si="44"/>
        <v>1.5</v>
      </c>
      <c r="AA77" s="127">
        <f t="shared" si="45"/>
        <v>3.6</v>
      </c>
      <c r="AB77" s="127">
        <f t="shared" si="46"/>
        <v>0.31499999999999984</v>
      </c>
      <c r="AC77" s="127">
        <f t="shared" si="47"/>
        <v>0.22499999999999978</v>
      </c>
      <c r="AD77" s="127">
        <f t="shared" si="48"/>
        <v>4.1400000000000006</v>
      </c>
      <c r="AF77" s="127" t="str">
        <f>IFERROR(W77*'FlightConfig '!$K$3,"")</f>
        <v/>
      </c>
      <c r="AG77" s="127">
        <f>IFERROR(X77*'FlightConfig '!$K$23,"")</f>
        <v>764.4</v>
      </c>
      <c r="AH77" s="127">
        <f>IFERROR(Y77*'FlightConfig '!$K$23,"")</f>
        <v>1365</v>
      </c>
      <c r="AI77" s="127">
        <f>IFERROR(Z77*'FlightConfig '!$K$23,"")</f>
        <v>546</v>
      </c>
      <c r="AJ77" s="127">
        <f>IFERROR(AA77*'FlightConfig '!$K$23,"")</f>
        <v>1310.4000000000001</v>
      </c>
      <c r="AK77" s="127">
        <f>IFERROR(AB77*'FlightConfig '!$K$23,"")</f>
        <v>114.65999999999994</v>
      </c>
    </row>
    <row r="78" spans="1:37" x14ac:dyDescent="0.25">
      <c r="A78" t="s">
        <v>133</v>
      </c>
      <c r="B78" s="171">
        <v>1</v>
      </c>
      <c r="C78" s="176" t="str">
        <f t="shared" si="50"/>
        <v>BUSINESS CLASS1110</v>
      </c>
      <c r="D78" s="172"/>
      <c r="E78" s="305">
        <v>1004</v>
      </c>
      <c r="F78" s="311">
        <v>110</v>
      </c>
      <c r="G78" t="str">
        <f>VLOOKUP(E78,'FG MASTER'!$A$10:$AB$218,2,0)</f>
        <v xml:space="preserve">BC C1 DINNER HHAWAIIAN ROLL </v>
      </c>
      <c r="H78" s="286">
        <v>1</v>
      </c>
      <c r="I78" s="173">
        <v>0.5</v>
      </c>
      <c r="J78" s="292">
        <f>IFERROR(IF(I78="std",H78,HLOOKUP(A78,'FlightConfig '!$B$34:$G$35,2,0)*I78),"")</f>
        <v>15</v>
      </c>
      <c r="K78" s="245">
        <f>VLOOKUP(Food!E78,'FG MASTER'!$A$1:$AC$536,16,0)</f>
        <v>0.25</v>
      </c>
      <c r="L78" s="246">
        <f>VLOOKUP(Food!E78,'FG MASTER'!$A$10:$AC$536,17,0)</f>
        <v>0.25</v>
      </c>
      <c r="M78" s="132">
        <f t="shared" si="34"/>
        <v>0.1</v>
      </c>
      <c r="N78" s="132">
        <f t="shared" si="35"/>
        <v>0.35</v>
      </c>
      <c r="O78" s="132">
        <f t="shared" si="36"/>
        <v>3.7499999999999978E-2</v>
      </c>
      <c r="P78" s="132">
        <f t="shared" si="37"/>
        <v>1.4999999999999986E-2</v>
      </c>
      <c r="Q78" s="132">
        <f t="shared" si="51"/>
        <v>0.40249999999999997</v>
      </c>
      <c r="R78" s="405">
        <f t="shared" si="39"/>
        <v>0.28749999999999998</v>
      </c>
      <c r="S78" s="405">
        <f t="shared" si="40"/>
        <v>0.11499999999999999</v>
      </c>
      <c r="T78" s="405">
        <f t="shared" si="41"/>
        <v>0.40249999999999997</v>
      </c>
      <c r="U78" s="127"/>
      <c r="V78" s="127"/>
      <c r="W78" t="str">
        <f>IFERROR(#REF!*J78,"")</f>
        <v/>
      </c>
      <c r="X78">
        <f t="shared" si="42"/>
        <v>3.75</v>
      </c>
      <c r="Y78">
        <f t="shared" si="43"/>
        <v>3.75</v>
      </c>
      <c r="Z78" s="127">
        <f t="shared" si="44"/>
        <v>1.5</v>
      </c>
      <c r="AA78" s="127">
        <f t="shared" si="45"/>
        <v>5.25</v>
      </c>
      <c r="AB78" s="127">
        <f t="shared" si="46"/>
        <v>0.56249999999999967</v>
      </c>
      <c r="AC78" s="127">
        <f t="shared" si="47"/>
        <v>0.22499999999999978</v>
      </c>
      <c r="AD78" s="127">
        <f t="shared" si="48"/>
        <v>6.0374999999999996</v>
      </c>
      <c r="AF78" s="127" t="str">
        <f>IFERROR(W78*'FlightConfig '!$K$3,"")</f>
        <v/>
      </c>
      <c r="AG78" s="127">
        <f>IFERROR(X78*'FlightConfig '!$K$23,"")</f>
        <v>1365</v>
      </c>
      <c r="AH78" s="127">
        <f>IFERROR(Y78*'FlightConfig '!$K$23,"")</f>
        <v>1365</v>
      </c>
      <c r="AI78" s="127">
        <f>IFERROR(Z78*'FlightConfig '!$K$23,"")</f>
        <v>546</v>
      </c>
      <c r="AJ78" s="127">
        <f>IFERROR(AA78*'FlightConfig '!$K$23,"")</f>
        <v>1911</v>
      </c>
      <c r="AK78" s="127">
        <f>IFERROR(AB78*'FlightConfig '!$K$23,"")</f>
        <v>204.74999999999989</v>
      </c>
    </row>
    <row r="79" spans="1:37" ht="18.75" customHeight="1" x14ac:dyDescent="0.25">
      <c r="A79" t="s">
        <v>133</v>
      </c>
      <c r="B79" s="171">
        <v>1</v>
      </c>
      <c r="C79" s="176" t="str">
        <f t="shared" si="50"/>
        <v>BUSINESS CLASS1110</v>
      </c>
      <c r="D79" s="172"/>
      <c r="E79" s="305">
        <v>1005</v>
      </c>
      <c r="F79" s="311">
        <v>110</v>
      </c>
      <c r="G79" t="str">
        <f>VLOOKUP(E79,'FG MASTER'!$A$10:$AB$218,2,0)</f>
        <v xml:space="preserve">BC C1 DINNER STARTER 1 NON VEG ROTATION 1 GRILLED PRAWN U10, MANGO CURRY AIOLI, LEMON HERB SLAW, MICRO CILANTRO, MANGO RELISH </v>
      </c>
      <c r="H79" s="286">
        <v>1</v>
      </c>
      <c r="I79" s="173">
        <v>0.55000000000000004</v>
      </c>
      <c r="J79" s="292">
        <f>IFERROR(IF(I79="std",H79,HLOOKUP(A79,'FlightConfig '!$B$34:$G$35,2,0)*I79),"")</f>
        <v>16.5</v>
      </c>
      <c r="K79" s="245">
        <f>VLOOKUP(Food!E79,'FG MASTER'!$A$1:$AC$536,16,0)</f>
        <v>2.87</v>
      </c>
      <c r="L79" s="246">
        <f>VLOOKUP(Food!E79,'FG MASTER'!$A$10:$AC$536,17,0)</f>
        <v>4.25</v>
      </c>
      <c r="M79" s="132">
        <f t="shared" si="34"/>
        <v>1.7000000000000002</v>
      </c>
      <c r="N79" s="132">
        <f t="shared" si="35"/>
        <v>4.57</v>
      </c>
      <c r="O79" s="132">
        <f t="shared" si="36"/>
        <v>0.43049999999999988</v>
      </c>
      <c r="P79" s="132">
        <f t="shared" si="37"/>
        <v>0.25499999999999989</v>
      </c>
      <c r="Q79" s="132">
        <f t="shared" si="51"/>
        <v>5.2555000000000005</v>
      </c>
      <c r="R79" s="405">
        <f t="shared" si="39"/>
        <v>3.3005</v>
      </c>
      <c r="S79" s="405">
        <f t="shared" si="40"/>
        <v>1.9550000000000001</v>
      </c>
      <c r="T79" s="405">
        <f t="shared" si="41"/>
        <v>5.2554999999999996</v>
      </c>
      <c r="U79" s="127"/>
      <c r="V79" s="127"/>
      <c r="W79" t="str">
        <f>IFERROR(#REF!*J79,"")</f>
        <v/>
      </c>
      <c r="X79">
        <f t="shared" si="42"/>
        <v>47.355000000000004</v>
      </c>
      <c r="Y79">
        <f t="shared" si="43"/>
        <v>70.125</v>
      </c>
      <c r="Z79" s="127">
        <f t="shared" si="44"/>
        <v>28.050000000000004</v>
      </c>
      <c r="AA79" s="127">
        <f t="shared" si="45"/>
        <v>75.405000000000001</v>
      </c>
      <c r="AB79" s="127">
        <f t="shared" si="46"/>
        <v>7.1032499999999983</v>
      </c>
      <c r="AC79" s="127">
        <f t="shared" si="47"/>
        <v>4.2074999999999978</v>
      </c>
      <c r="AD79" s="127">
        <f t="shared" si="48"/>
        <v>86.715750000000014</v>
      </c>
      <c r="AF79" s="127" t="str">
        <f>IFERROR(W79*'FlightConfig '!$K$3,"")</f>
        <v/>
      </c>
      <c r="AG79" s="127">
        <f>IFERROR(X79*'FlightConfig '!$K$23,"")</f>
        <v>17237.22</v>
      </c>
      <c r="AH79" s="127">
        <f>IFERROR(Y79*'FlightConfig '!$K$23,"")</f>
        <v>25525.5</v>
      </c>
      <c r="AI79" s="127">
        <f>IFERROR(Z79*'FlightConfig '!$K$23,"")</f>
        <v>10210.200000000001</v>
      </c>
      <c r="AJ79" s="127">
        <f>IFERROR(AA79*'FlightConfig '!$K$23,"")</f>
        <v>27447.420000000002</v>
      </c>
      <c r="AK79" s="127">
        <f>IFERROR(AB79*'FlightConfig '!$K$23,"")</f>
        <v>2585.5829999999992</v>
      </c>
    </row>
    <row r="80" spans="1:37" ht="18.75" customHeight="1" x14ac:dyDescent="0.25">
      <c r="A80" t="s">
        <v>133</v>
      </c>
      <c r="B80" s="171">
        <v>1</v>
      </c>
      <c r="C80" s="176" t="str">
        <f t="shared" si="50"/>
        <v>BUSINESS CLASS1110</v>
      </c>
      <c r="D80" s="172"/>
      <c r="E80" s="305">
        <v>1006</v>
      </c>
      <c r="F80" s="311">
        <v>110</v>
      </c>
      <c r="G80" t="str">
        <f>VLOOKUP(E80,'FG MASTER'!$A$10:$AB$218,2,0)</f>
        <v>BC C1 DINNER STARTER 2 VEG ROTATION 1 BURRATA CHEESE, MARINATED TOMATO, BASIL OIL, MICRO BASIL. BALSAMIC REDUCTION</v>
      </c>
      <c r="H80" s="286">
        <v>1</v>
      </c>
      <c r="I80" s="173">
        <v>0.55000000000000004</v>
      </c>
      <c r="J80" s="292">
        <f>IFERROR(IF(I80="std",H80,HLOOKUP(A80,'FlightConfig '!$B$34:$G$35,2,0)*I80),"")</f>
        <v>16.5</v>
      </c>
      <c r="K80" s="245">
        <f>VLOOKUP(Food!E80,'FG MASTER'!$A$1:$AC$536,16,0)</f>
        <v>5.0599999999999996</v>
      </c>
      <c r="L80" s="246">
        <f>VLOOKUP(Food!E80,'FG MASTER'!$A$10:$AC$536,17,0)</f>
        <v>2.7</v>
      </c>
      <c r="M80" s="132">
        <f t="shared" si="34"/>
        <v>1.08</v>
      </c>
      <c r="N80" s="132">
        <f t="shared" si="35"/>
        <v>6.14</v>
      </c>
      <c r="O80" s="132">
        <f t="shared" si="36"/>
        <v>0.75899999999999945</v>
      </c>
      <c r="P80" s="132">
        <f t="shared" si="37"/>
        <v>0.16199999999999992</v>
      </c>
      <c r="Q80" s="132">
        <f t="shared" si="51"/>
        <v>7.0609999999999991</v>
      </c>
      <c r="R80" s="405">
        <f t="shared" si="39"/>
        <v>5.8189999999999991</v>
      </c>
      <c r="S80" s="405">
        <f t="shared" si="40"/>
        <v>1.242</v>
      </c>
      <c r="T80" s="405">
        <f t="shared" si="41"/>
        <v>7.0609999999999991</v>
      </c>
      <c r="U80" s="127"/>
      <c r="V80" s="127"/>
      <c r="W80" t="str">
        <f>IFERROR(#REF!*J80,"")</f>
        <v/>
      </c>
      <c r="X80">
        <f t="shared" si="42"/>
        <v>83.49</v>
      </c>
      <c r="Y80">
        <f t="shared" si="43"/>
        <v>44.550000000000004</v>
      </c>
      <c r="Z80" s="127">
        <f t="shared" si="44"/>
        <v>17.82</v>
      </c>
      <c r="AA80" s="127">
        <f t="shared" si="45"/>
        <v>101.30999999999999</v>
      </c>
      <c r="AB80" s="127">
        <f t="shared" si="46"/>
        <v>12.523499999999991</v>
      </c>
      <c r="AC80" s="127">
        <f t="shared" si="47"/>
        <v>2.6729999999999987</v>
      </c>
      <c r="AD80" s="127">
        <f t="shared" si="48"/>
        <v>116.50649999999999</v>
      </c>
      <c r="AF80" s="127" t="str">
        <f>IFERROR(W80*'FlightConfig '!$K$3,"")</f>
        <v/>
      </c>
      <c r="AG80" s="127">
        <f>IFERROR(X80*'FlightConfig '!$K$23,"")</f>
        <v>30390.359999999997</v>
      </c>
      <c r="AH80" s="127">
        <f>IFERROR(Y80*'FlightConfig '!$K$23,"")</f>
        <v>16216.2</v>
      </c>
      <c r="AI80" s="127">
        <f>IFERROR(Z80*'FlightConfig '!$K$23,"")</f>
        <v>6486.4800000000005</v>
      </c>
      <c r="AJ80" s="127">
        <f>IFERROR(AA80*'FlightConfig '!$K$23,"")</f>
        <v>36876.839999999997</v>
      </c>
      <c r="AK80" s="127">
        <f>IFERROR(AB80*'FlightConfig '!$K$23,"")</f>
        <v>4558.5539999999964</v>
      </c>
    </row>
    <row r="81" spans="1:37" ht="18.75" customHeight="1" x14ac:dyDescent="0.25">
      <c r="A81" t="s">
        <v>133</v>
      </c>
      <c r="B81" s="171">
        <v>1</v>
      </c>
      <c r="C81" s="176" t="str">
        <f t="shared" si="50"/>
        <v>BUSINESS CLASS1110</v>
      </c>
      <c r="D81" s="172"/>
      <c r="E81" s="305">
        <v>1007</v>
      </c>
      <c r="F81" s="311">
        <v>110</v>
      </c>
      <c r="G81" t="str">
        <f>VLOOKUP(E81,'FG MASTER'!$A$10:$AB$218,2,0)</f>
        <v>BC C1 DINNER STARTER 1 NON VEG ROTATION 2 PROSCUTTIO WRAPPED PEACHES, FRISEE LETTUCE, WATERMELON, FETA CHEESE MINT LIME VINAIGRETTE</v>
      </c>
      <c r="H81" s="286">
        <v>1</v>
      </c>
      <c r="I81" s="173">
        <v>0</v>
      </c>
      <c r="J81" s="292">
        <f>IFERROR(IF(I81="std",H81,HLOOKUP(A81,'FlightConfig '!$B$34:$G$35,2,0)*I81),"")</f>
        <v>0</v>
      </c>
      <c r="K81" s="245">
        <f>VLOOKUP(Food!E81,'FG MASTER'!$A$1:$AC$536,16,0)</f>
        <v>2.95</v>
      </c>
      <c r="L81" s="246">
        <f>VLOOKUP(Food!E81,'FG MASTER'!$A$10:$AC$536,17,0)</f>
        <v>3.75</v>
      </c>
      <c r="M81" s="132">
        <f t="shared" si="34"/>
        <v>1.5</v>
      </c>
      <c r="N81" s="132">
        <f t="shared" si="35"/>
        <v>4.45</v>
      </c>
      <c r="O81" s="132">
        <f t="shared" si="36"/>
        <v>0.44249999999999989</v>
      </c>
      <c r="P81" s="132">
        <f t="shared" si="37"/>
        <v>0.22499999999999987</v>
      </c>
      <c r="Q81" s="132">
        <f t="shared" si="51"/>
        <v>5.1174999999999997</v>
      </c>
      <c r="R81" s="405">
        <f t="shared" si="39"/>
        <v>3.3925000000000001</v>
      </c>
      <c r="S81" s="405">
        <f t="shared" si="40"/>
        <v>1.7249999999999999</v>
      </c>
      <c r="T81" s="405">
        <f t="shared" si="41"/>
        <v>5.1174999999999997</v>
      </c>
      <c r="U81" s="127"/>
      <c r="V81" s="127"/>
      <c r="W81" t="str">
        <f>IFERROR(#REF!*J81,"")</f>
        <v/>
      </c>
      <c r="X81">
        <f t="shared" si="42"/>
        <v>0</v>
      </c>
      <c r="Y81">
        <f t="shared" si="43"/>
        <v>0</v>
      </c>
      <c r="Z81" s="127">
        <f t="shared" si="44"/>
        <v>0</v>
      </c>
      <c r="AA81" s="127">
        <f t="shared" si="45"/>
        <v>0</v>
      </c>
      <c r="AB81" s="127">
        <f t="shared" si="46"/>
        <v>0</v>
      </c>
      <c r="AC81" s="127">
        <f t="shared" si="47"/>
        <v>0</v>
      </c>
      <c r="AD81" s="127">
        <f t="shared" si="48"/>
        <v>0</v>
      </c>
      <c r="AF81" s="127" t="str">
        <f>IFERROR(W81*'FlightConfig '!$K$3,"")</f>
        <v/>
      </c>
      <c r="AG81" s="127">
        <f>IFERROR(X81*'FlightConfig '!$K$23,"")</f>
        <v>0</v>
      </c>
      <c r="AH81" s="127">
        <f>IFERROR(Y81*'FlightConfig '!$K$23,"")</f>
        <v>0</v>
      </c>
      <c r="AI81" s="127">
        <f>IFERROR(Z81*'FlightConfig '!$K$23,"")</f>
        <v>0</v>
      </c>
      <c r="AJ81" s="127">
        <f>IFERROR(AA81*'FlightConfig '!$K$23,"")</f>
        <v>0</v>
      </c>
      <c r="AK81" s="127">
        <f>IFERROR(AB81*'FlightConfig '!$K$23,"")</f>
        <v>0</v>
      </c>
    </row>
    <row r="82" spans="1:37" ht="18.75" customHeight="1" x14ac:dyDescent="0.25">
      <c r="A82" t="s">
        <v>133</v>
      </c>
      <c r="B82" s="171">
        <v>1</v>
      </c>
      <c r="C82" s="176" t="str">
        <f t="shared" si="50"/>
        <v>BUSINESS CLASS1110</v>
      </c>
      <c r="D82" s="172"/>
      <c r="E82" s="305">
        <v>1008</v>
      </c>
      <c r="F82" s="311">
        <v>110</v>
      </c>
      <c r="G82" t="str">
        <f>VLOOKUP(E82,'FG MASTER'!$A$10:$AB$218,2,0)</f>
        <v>BC C1 DINNER STARTER 2 VEG ROTATION 2 POMENTO CHEESE STUFFED PEPPADEW PEPPER, ARUGULA, OLIVE OIL</v>
      </c>
      <c r="H82" s="286">
        <v>1</v>
      </c>
      <c r="I82" s="173">
        <v>0</v>
      </c>
      <c r="J82" s="292">
        <f>IFERROR(IF(I82="std",H82,HLOOKUP(A82,'FlightConfig '!$B$34:$G$35,2,0)*I82),"")</f>
        <v>0</v>
      </c>
      <c r="K82" s="245">
        <f>VLOOKUP(Food!E82,'FG MASTER'!$A$1:$AC$536,16,0)</f>
        <v>1.59</v>
      </c>
      <c r="L82" s="246">
        <f>VLOOKUP(Food!E82,'FG MASTER'!$A$10:$AC$536,17,0)</f>
        <v>4</v>
      </c>
      <c r="M82" s="132">
        <f t="shared" si="34"/>
        <v>1.6</v>
      </c>
      <c r="N82" s="132">
        <f t="shared" si="35"/>
        <v>3.1900000000000004</v>
      </c>
      <c r="O82" s="132">
        <f t="shared" si="36"/>
        <v>0.23849999999999993</v>
      </c>
      <c r="P82" s="132">
        <f t="shared" si="37"/>
        <v>0.23999999999999977</v>
      </c>
      <c r="Q82" s="132">
        <f t="shared" si="51"/>
        <v>3.6685000000000003</v>
      </c>
      <c r="R82" s="405">
        <f t="shared" si="39"/>
        <v>1.8285</v>
      </c>
      <c r="S82" s="405">
        <f t="shared" si="40"/>
        <v>1.8399999999999999</v>
      </c>
      <c r="T82" s="405">
        <f t="shared" si="41"/>
        <v>3.6684999999999999</v>
      </c>
      <c r="U82" s="127"/>
      <c r="V82" s="127"/>
      <c r="W82" t="str">
        <f>IFERROR(#REF!*J82,"")</f>
        <v/>
      </c>
      <c r="X82">
        <f t="shared" si="42"/>
        <v>0</v>
      </c>
      <c r="Y82">
        <f t="shared" si="43"/>
        <v>0</v>
      </c>
      <c r="Z82" s="127">
        <f t="shared" si="44"/>
        <v>0</v>
      </c>
      <c r="AA82" s="127">
        <f t="shared" si="45"/>
        <v>0</v>
      </c>
      <c r="AB82" s="127">
        <f t="shared" si="46"/>
        <v>0</v>
      </c>
      <c r="AC82" s="127">
        <f t="shared" si="47"/>
        <v>0</v>
      </c>
      <c r="AD82" s="127">
        <f t="shared" si="48"/>
        <v>0</v>
      </c>
      <c r="AF82" s="127" t="str">
        <f>IFERROR(W82*'FlightConfig '!$K$3,"")</f>
        <v/>
      </c>
      <c r="AG82" s="127">
        <f>IFERROR(X82*'FlightConfig '!$K$23,"")</f>
        <v>0</v>
      </c>
      <c r="AH82" s="127">
        <f>IFERROR(Y82*'FlightConfig '!$K$23,"")</f>
        <v>0</v>
      </c>
      <c r="AI82" s="127">
        <f>IFERROR(Z82*'FlightConfig '!$K$23,"")</f>
        <v>0</v>
      </c>
      <c r="AJ82" s="127">
        <f>IFERROR(AA82*'FlightConfig '!$K$23,"")</f>
        <v>0</v>
      </c>
      <c r="AK82" s="127">
        <f>IFERROR(AB82*'FlightConfig '!$K$23,"")</f>
        <v>0</v>
      </c>
    </row>
    <row r="83" spans="1:37" ht="18.75" customHeight="1" x14ac:dyDescent="0.25">
      <c r="A83" t="s">
        <v>133</v>
      </c>
      <c r="B83" s="171">
        <v>1</v>
      </c>
      <c r="C83" s="176" t="str">
        <f t="shared" si="50"/>
        <v>BUSINESS CLASS1110</v>
      </c>
      <c r="D83" s="172"/>
      <c r="E83" s="305">
        <v>1009</v>
      </c>
      <c r="F83" s="311">
        <v>110</v>
      </c>
      <c r="G83" t="str">
        <f>VLOOKUP(E83,'FG MASTER'!$A$10:$AB$218,2,0)</f>
        <v xml:space="preserve">BC C1 DINNER ENTRÉE 1 LEMON CONFIT CHICKEN LEG, LEMON CHICKIEN JUS, MASHED POTATOES, HARICOT VERT, LEMON AGRUMATO </v>
      </c>
      <c r="H83" s="286">
        <v>1</v>
      </c>
      <c r="I83" s="173">
        <v>0.6</v>
      </c>
      <c r="J83" s="292">
        <f>IFERROR(IF(I83="std",H83,HLOOKUP(A83,'FlightConfig '!$B$34:$G$35,2,0)*I83),"")</f>
        <v>18</v>
      </c>
      <c r="K83" s="245">
        <f>VLOOKUP(Food!E83,'FG MASTER'!$A$1:$AC$536,16,0)</f>
        <v>4.28</v>
      </c>
      <c r="L83" s="246">
        <f>VLOOKUP(Food!E83,'FG MASTER'!$A$10:$AC$536,17,0)</f>
        <v>4.25</v>
      </c>
      <c r="M83" s="132">
        <f t="shared" si="34"/>
        <v>1.7000000000000002</v>
      </c>
      <c r="N83" s="132">
        <f t="shared" si="35"/>
        <v>5.98</v>
      </c>
      <c r="O83" s="132">
        <f t="shared" si="36"/>
        <v>0.64199999999999946</v>
      </c>
      <c r="P83" s="132">
        <f t="shared" si="37"/>
        <v>0.25499999999999989</v>
      </c>
      <c r="Q83" s="132">
        <f t="shared" si="51"/>
        <v>6.8769999999999998</v>
      </c>
      <c r="R83" s="405">
        <f t="shared" si="39"/>
        <v>4.9219999999999997</v>
      </c>
      <c r="S83" s="405">
        <f t="shared" si="40"/>
        <v>1.9550000000000001</v>
      </c>
      <c r="T83" s="405">
        <f t="shared" si="41"/>
        <v>6.8769999999999998</v>
      </c>
      <c r="U83" s="127"/>
      <c r="V83" s="127"/>
      <c r="W83" t="str">
        <f>IFERROR(#REF!*J83,"")</f>
        <v/>
      </c>
      <c r="X83">
        <f t="shared" si="42"/>
        <v>77.040000000000006</v>
      </c>
      <c r="Y83">
        <f t="shared" si="43"/>
        <v>76.5</v>
      </c>
      <c r="Z83" s="127">
        <f t="shared" si="44"/>
        <v>30.6</v>
      </c>
      <c r="AA83" s="127">
        <f t="shared" si="45"/>
        <v>107.64000000000001</v>
      </c>
      <c r="AB83" s="127">
        <f t="shared" si="46"/>
        <v>11.55599999999999</v>
      </c>
      <c r="AC83" s="127">
        <f t="shared" si="47"/>
        <v>4.5899999999999981</v>
      </c>
      <c r="AD83" s="127">
        <f t="shared" si="48"/>
        <v>123.786</v>
      </c>
      <c r="AF83" s="127" t="str">
        <f>IFERROR(W83*'FlightConfig '!$K$3,"")</f>
        <v/>
      </c>
      <c r="AG83" s="127">
        <f>IFERROR(X83*'FlightConfig '!$K$23,"")</f>
        <v>28042.560000000001</v>
      </c>
      <c r="AH83" s="127">
        <f>IFERROR(Y83*'FlightConfig '!$K$23,"")</f>
        <v>27846</v>
      </c>
      <c r="AI83" s="127">
        <f>IFERROR(Z83*'FlightConfig '!$K$23,"")</f>
        <v>11138.4</v>
      </c>
      <c r="AJ83" s="127">
        <f>IFERROR(AA83*'FlightConfig '!$K$23,"")</f>
        <v>39180.960000000006</v>
      </c>
      <c r="AK83" s="127">
        <f>IFERROR(AB83*'FlightConfig '!$K$23,"")</f>
        <v>4206.3839999999964</v>
      </c>
    </row>
    <row r="84" spans="1:37" ht="18.75" customHeight="1" x14ac:dyDescent="0.25">
      <c r="A84" t="s">
        <v>133</v>
      </c>
      <c r="B84" s="171">
        <v>1</v>
      </c>
      <c r="C84" s="176" t="str">
        <f t="shared" si="50"/>
        <v>BUSINESS CLASS1110</v>
      </c>
      <c r="D84" s="172"/>
      <c r="E84" s="305">
        <v>1010</v>
      </c>
      <c r="F84" s="311">
        <v>110</v>
      </c>
      <c r="G84" t="str">
        <f>VLOOKUP(E84,'FG MASTER'!$A$10:$AB$218,2,0)</f>
        <v>BC C1 DINNER ENTRÉE 2 FOX BROCHTERS SMOKED PRESSED LAMB SHOULDER, BABY CARROT , PEARL ONION, PEA PUREE, MASHED POTATOES, THYME DEMI GLACE</v>
      </c>
      <c r="H84" s="286">
        <v>1</v>
      </c>
      <c r="I84" s="173">
        <v>0.4</v>
      </c>
      <c r="J84" s="292">
        <f>IFERROR(IF(I84="std",H84,HLOOKUP(A84,'FlightConfig '!$B$34:$G$35,2,0)*I84),"")</f>
        <v>12</v>
      </c>
      <c r="K84" s="245">
        <f>VLOOKUP(Food!E84,'FG MASTER'!$A$1:$AC$536,16,0)</f>
        <v>9.3000000000000007</v>
      </c>
      <c r="L84" s="246">
        <f>VLOOKUP(Food!E84,'FG MASTER'!$A$10:$AC$536,17,0)</f>
        <v>7.5</v>
      </c>
      <c r="M84" s="132">
        <f t="shared" si="34"/>
        <v>3</v>
      </c>
      <c r="N84" s="132">
        <f t="shared" si="35"/>
        <v>12.3</v>
      </c>
      <c r="O84" s="132">
        <f t="shared" si="36"/>
        <v>1.3949999999999996</v>
      </c>
      <c r="P84" s="132">
        <f t="shared" si="37"/>
        <v>0.44999999999999973</v>
      </c>
      <c r="Q84" s="132">
        <f>SUM(N84:P84)</f>
        <v>14.145</v>
      </c>
      <c r="R84" s="405">
        <f t="shared" si="39"/>
        <v>10.695</v>
      </c>
      <c r="S84" s="405">
        <f t="shared" si="40"/>
        <v>3.4499999999999997</v>
      </c>
      <c r="T84" s="405">
        <f t="shared" si="41"/>
        <v>14.145</v>
      </c>
      <c r="U84" s="127"/>
      <c r="V84" s="127"/>
      <c r="W84" t="str">
        <f>IFERROR(#REF!*J84,"")</f>
        <v/>
      </c>
      <c r="X84">
        <f t="shared" si="42"/>
        <v>111.60000000000001</v>
      </c>
      <c r="Y84">
        <f t="shared" si="43"/>
        <v>90</v>
      </c>
      <c r="Z84" s="127">
        <f t="shared" si="44"/>
        <v>36</v>
      </c>
      <c r="AA84" s="127">
        <f t="shared" si="45"/>
        <v>147.60000000000002</v>
      </c>
      <c r="AB84" s="127">
        <f t="shared" si="46"/>
        <v>16.739999999999995</v>
      </c>
      <c r="AC84" s="127">
        <f t="shared" si="47"/>
        <v>5.3999999999999968</v>
      </c>
      <c r="AD84" s="127">
        <f t="shared" si="48"/>
        <v>169.74</v>
      </c>
      <c r="AF84" s="127" t="str">
        <f>IFERROR(W84*'FlightConfig '!$K$3,"")</f>
        <v/>
      </c>
      <c r="AG84" s="127">
        <f>IFERROR(X84*'FlightConfig '!$K$23,"")</f>
        <v>40622.400000000001</v>
      </c>
      <c r="AH84" s="127">
        <f>IFERROR(Y84*'FlightConfig '!$K$23,"")</f>
        <v>32760</v>
      </c>
      <c r="AI84" s="127">
        <f>IFERROR(Z84*'FlightConfig '!$K$23,"")</f>
        <v>13104</v>
      </c>
      <c r="AJ84" s="127">
        <f>IFERROR(AA84*'FlightConfig '!$K$23,"")</f>
        <v>53726.400000000009</v>
      </c>
      <c r="AK84" s="127">
        <f>IFERROR(AB84*'FlightConfig '!$K$23,"")</f>
        <v>6093.3599999999979</v>
      </c>
    </row>
    <row r="85" spans="1:37" ht="18.75" customHeight="1" x14ac:dyDescent="0.25">
      <c r="A85" t="s">
        <v>133</v>
      </c>
      <c r="B85" s="171">
        <v>1</v>
      </c>
      <c r="C85" s="176" t="str">
        <f t="shared" si="50"/>
        <v>BUSINESS CLASS1110</v>
      </c>
      <c r="D85" s="172"/>
      <c r="E85" s="305">
        <v>1011</v>
      </c>
      <c r="F85" s="311">
        <v>110</v>
      </c>
      <c r="G85" t="str">
        <f>VLOOKUP(E85,'FG MASTER'!$A$10:$AB$218,2,0)</f>
        <v xml:space="preserve">BC C1 DINNER ENTRÉE 3 TRUFFLE PARMESAN RISOTTO, BABY ZUCCHINI, WILD MUSHROOM CONSERVA, ASPARAGUS, RAITA SAUCE </v>
      </c>
      <c r="H85" s="286">
        <v>1</v>
      </c>
      <c r="I85" s="173">
        <v>0.2</v>
      </c>
      <c r="J85" s="292">
        <f>IFERROR(IF(I85="std",H85,HLOOKUP(A85,'FlightConfig '!$B$34:$G$35,2,0)*I85),"")</f>
        <v>6</v>
      </c>
      <c r="K85" s="245">
        <f>VLOOKUP(Food!E85,'FG MASTER'!$A$1:$AC$536,16,0)</f>
        <v>3.41</v>
      </c>
      <c r="L85" s="246">
        <f>VLOOKUP(Food!E85,'FG MASTER'!$A$10:$AC$536,17,0)</f>
        <v>4.25</v>
      </c>
      <c r="M85" s="132">
        <f t="shared" si="34"/>
        <v>1.7000000000000002</v>
      </c>
      <c r="N85" s="132">
        <f t="shared" si="35"/>
        <v>5.1100000000000003</v>
      </c>
      <c r="O85" s="132">
        <f t="shared" si="36"/>
        <v>0.51149999999999984</v>
      </c>
      <c r="P85" s="132">
        <f t="shared" si="37"/>
        <v>0.25499999999999989</v>
      </c>
      <c r="Q85" s="132">
        <f t="shared" ref="Q85:Q87" si="52">SUM(N85:P85)</f>
        <v>5.8765000000000001</v>
      </c>
      <c r="R85" s="405">
        <f t="shared" si="39"/>
        <v>3.9215</v>
      </c>
      <c r="S85" s="405">
        <f t="shared" si="40"/>
        <v>1.9550000000000001</v>
      </c>
      <c r="T85" s="405">
        <f t="shared" si="41"/>
        <v>5.8765000000000001</v>
      </c>
      <c r="U85" s="127"/>
      <c r="V85" s="127"/>
      <c r="W85" t="str">
        <f>IFERROR(#REF!*J85,"")</f>
        <v/>
      </c>
      <c r="X85">
        <f t="shared" si="42"/>
        <v>20.46</v>
      </c>
      <c r="Y85">
        <f t="shared" si="43"/>
        <v>25.5</v>
      </c>
      <c r="Z85" s="127">
        <f t="shared" si="44"/>
        <v>10.200000000000001</v>
      </c>
      <c r="AA85" s="127">
        <f t="shared" si="45"/>
        <v>30.660000000000004</v>
      </c>
      <c r="AB85" s="127">
        <f t="shared" si="46"/>
        <v>3.0689999999999991</v>
      </c>
      <c r="AC85" s="127">
        <f t="shared" si="47"/>
        <v>1.5299999999999994</v>
      </c>
      <c r="AD85" s="127">
        <f t="shared" si="48"/>
        <v>35.259</v>
      </c>
      <c r="AF85" s="127" t="str">
        <f>IFERROR(W85*'FlightConfig '!$K$3,"")</f>
        <v/>
      </c>
      <c r="AG85" s="127">
        <f>IFERROR(X85*'FlightConfig '!$K$23,"")</f>
        <v>7447.4400000000005</v>
      </c>
      <c r="AH85" s="127">
        <f>IFERROR(Y85*'FlightConfig '!$K$23,"")</f>
        <v>9282</v>
      </c>
      <c r="AI85" s="127">
        <f>IFERROR(Z85*'FlightConfig '!$K$23,"")</f>
        <v>3712.8</v>
      </c>
      <c r="AJ85" s="127">
        <f>IFERROR(AA85*'FlightConfig '!$K$23,"")</f>
        <v>11160.240000000002</v>
      </c>
      <c r="AK85" s="127">
        <f>IFERROR(AB85*'FlightConfig '!$K$23,"")</f>
        <v>1117.1159999999998</v>
      </c>
    </row>
    <row r="86" spans="1:37" ht="18.75" customHeight="1" x14ac:dyDescent="0.25">
      <c r="A86" t="s">
        <v>133</v>
      </c>
      <c r="B86" s="171">
        <v>1</v>
      </c>
      <c r="C86" s="176" t="str">
        <f t="shared" si="50"/>
        <v>BUSINESS CLASS1110</v>
      </c>
      <c r="D86" s="172"/>
      <c r="E86" s="306">
        <v>1012</v>
      </c>
      <c r="F86" s="311">
        <v>110</v>
      </c>
      <c r="G86" t="str">
        <f>VLOOKUP(E86,'FG MASTER'!$A$10:$AB$218,2,0)</f>
        <v xml:space="preserve">BC C1 DINNER DESSERT COLD ROTATION 1 BANANA PUDDING CHEESECAKE, STREUSEL CRUMBLES, BLUEBERRIES </v>
      </c>
      <c r="H86" s="286">
        <v>1</v>
      </c>
      <c r="I86" s="173">
        <v>0.5</v>
      </c>
      <c r="J86" s="292">
        <f>IFERROR(IF(I86="std",H86,HLOOKUP(A86,'FlightConfig '!$B$34:$G$35,2,0)*I86),"")</f>
        <v>15</v>
      </c>
      <c r="K86" s="245">
        <f>VLOOKUP(Food!E86,'FG MASTER'!$A$1:$AC$536,16,0)</f>
        <v>0.98</v>
      </c>
      <c r="L86" s="246">
        <f>VLOOKUP(Food!E86,'FG MASTER'!$A$10:$AC$536,17,0)</f>
        <v>2</v>
      </c>
      <c r="M86" s="132">
        <f t="shared" si="34"/>
        <v>0.8</v>
      </c>
      <c r="N86" s="132">
        <f t="shared" si="35"/>
        <v>1.78</v>
      </c>
      <c r="O86" s="132">
        <f t="shared" si="36"/>
        <v>0.14700000000000002</v>
      </c>
      <c r="P86" s="132">
        <f t="shared" si="37"/>
        <v>0.11999999999999988</v>
      </c>
      <c r="Q86" s="132">
        <f t="shared" si="52"/>
        <v>2.0469999999999997</v>
      </c>
      <c r="R86" s="405">
        <f t="shared" si="39"/>
        <v>1.127</v>
      </c>
      <c r="S86" s="405">
        <f t="shared" si="40"/>
        <v>0.91999999999999993</v>
      </c>
      <c r="T86" s="405">
        <f t="shared" si="41"/>
        <v>2.0469999999999997</v>
      </c>
      <c r="U86" s="127"/>
      <c r="V86" s="127"/>
      <c r="W86" t="str">
        <f>IFERROR(#REF!*J86,"")</f>
        <v/>
      </c>
      <c r="X86">
        <f t="shared" si="42"/>
        <v>14.7</v>
      </c>
      <c r="Y86">
        <f t="shared" si="43"/>
        <v>30</v>
      </c>
      <c r="Z86" s="127">
        <f t="shared" si="44"/>
        <v>12</v>
      </c>
      <c r="AA86" s="127">
        <f t="shared" si="45"/>
        <v>26.7</v>
      </c>
      <c r="AB86" s="127">
        <f t="shared" si="46"/>
        <v>2.2050000000000001</v>
      </c>
      <c r="AC86" s="127">
        <f t="shared" si="47"/>
        <v>1.7999999999999983</v>
      </c>
      <c r="AD86" s="127">
        <f t="shared" si="48"/>
        <v>30.704999999999995</v>
      </c>
      <c r="AF86" s="127" t="str">
        <f>IFERROR(W86*'FlightConfig '!$K$3,"")</f>
        <v/>
      </c>
      <c r="AG86" s="127">
        <f>IFERROR(X86*'FlightConfig '!$K$23,"")</f>
        <v>5350.8</v>
      </c>
      <c r="AH86" s="127">
        <f>IFERROR(Y86*'FlightConfig '!$K$23,"")</f>
        <v>10920</v>
      </c>
      <c r="AI86" s="127">
        <f>IFERROR(Z86*'FlightConfig '!$K$23,"")</f>
        <v>4368</v>
      </c>
      <c r="AJ86" s="127">
        <f>IFERROR(AA86*'FlightConfig '!$K$23,"")</f>
        <v>9718.7999999999993</v>
      </c>
      <c r="AK86" s="127">
        <f>IFERROR(AB86*'FlightConfig '!$K$23,"")</f>
        <v>802.62</v>
      </c>
    </row>
    <row r="87" spans="1:37" ht="18.75" customHeight="1" x14ac:dyDescent="0.25">
      <c r="A87" t="s">
        <v>133</v>
      </c>
      <c r="B87" s="171">
        <v>1</v>
      </c>
      <c r="C87" s="176" t="str">
        <f t="shared" si="50"/>
        <v>BUSINESS CLASS1110</v>
      </c>
      <c r="D87" s="172"/>
      <c r="E87" s="306">
        <v>1013</v>
      </c>
      <c r="F87" s="311">
        <v>110</v>
      </c>
      <c r="G87" t="str">
        <f>VLOOKUP(E87,'FG MASTER'!$A$10:$AB$218,2,0)</f>
        <v>BC C1 DINNER DESSERT COLD ROTATION 2 FLOURLESS CHOCOLOOATE MOUSSE CAKE STRAWBERRY COULIS, WHITE CHOCOLATE PEARLS</v>
      </c>
      <c r="H87" s="286">
        <v>1</v>
      </c>
      <c r="I87" s="173">
        <v>0</v>
      </c>
      <c r="J87" s="292">
        <f>IFERROR(IF(I87="std",H87,HLOOKUP(A87,'FlightConfig '!$B$34:$G$35,2,0)*I87),"")</f>
        <v>0</v>
      </c>
      <c r="K87" s="245">
        <f>VLOOKUP(Food!E87,'FG MASTER'!$A$1:$AC$536,16,0)</f>
        <v>1.1599999999999999</v>
      </c>
      <c r="L87" s="246">
        <f>VLOOKUP(Food!E87,'FG MASTER'!$A$10:$AC$536,17,0)</f>
        <v>1.5</v>
      </c>
      <c r="M87" s="132">
        <f t="shared" si="34"/>
        <v>0.60000000000000009</v>
      </c>
      <c r="N87" s="132">
        <f t="shared" si="35"/>
        <v>1.76</v>
      </c>
      <c r="O87" s="132">
        <f t="shared" si="36"/>
        <v>0.17399999999999993</v>
      </c>
      <c r="P87" s="132">
        <f t="shared" si="37"/>
        <v>8.9999999999999969E-2</v>
      </c>
      <c r="Q87" s="132">
        <f t="shared" si="52"/>
        <v>2.024</v>
      </c>
      <c r="R87" s="405">
        <f t="shared" si="39"/>
        <v>1.3339999999999999</v>
      </c>
      <c r="S87" s="405">
        <f t="shared" si="40"/>
        <v>0.69000000000000006</v>
      </c>
      <c r="T87" s="405">
        <f t="shared" si="41"/>
        <v>2.024</v>
      </c>
      <c r="U87" s="127"/>
      <c r="V87" s="127"/>
      <c r="W87" t="str">
        <f>IFERROR(#REF!*J87,"")</f>
        <v/>
      </c>
      <c r="X87">
        <f t="shared" si="42"/>
        <v>0</v>
      </c>
      <c r="Y87">
        <f t="shared" si="43"/>
        <v>0</v>
      </c>
      <c r="Z87" s="127">
        <f t="shared" si="44"/>
        <v>0</v>
      </c>
      <c r="AA87" s="127">
        <f t="shared" si="45"/>
        <v>0</v>
      </c>
      <c r="AB87" s="127">
        <f t="shared" si="46"/>
        <v>0</v>
      </c>
      <c r="AC87" s="127">
        <f t="shared" si="47"/>
        <v>0</v>
      </c>
      <c r="AD87" s="127">
        <f t="shared" si="48"/>
        <v>0</v>
      </c>
      <c r="AF87" s="127" t="str">
        <f>IFERROR(W87*'FlightConfig '!$K$3,"")</f>
        <v/>
      </c>
      <c r="AG87" s="127">
        <f>IFERROR(X87*'FlightConfig '!$K$23,"")</f>
        <v>0</v>
      </c>
      <c r="AH87" s="127">
        <f>IFERROR(Y87*'FlightConfig '!$K$23,"")</f>
        <v>0</v>
      </c>
      <c r="AI87" s="127">
        <f>IFERROR(Z87*'FlightConfig '!$K$23,"")</f>
        <v>0</v>
      </c>
      <c r="AJ87" s="127">
        <f>IFERROR(AA87*'FlightConfig '!$K$23,"")</f>
        <v>0</v>
      </c>
      <c r="AK87" s="127">
        <f>IFERROR(AB87*'FlightConfig '!$K$23,"")</f>
        <v>0</v>
      </c>
    </row>
    <row r="88" spans="1:37" ht="18.75" customHeight="1" x14ac:dyDescent="0.25">
      <c r="A88" t="s">
        <v>133</v>
      </c>
      <c r="B88" s="171">
        <v>1</v>
      </c>
      <c r="C88" s="176" t="str">
        <f t="shared" si="50"/>
        <v>BUSINESS CLASS1110</v>
      </c>
      <c r="D88" s="172"/>
      <c r="E88" s="304">
        <v>1014</v>
      </c>
      <c r="F88" s="311">
        <v>110</v>
      </c>
      <c r="G88" t="str">
        <f>VLOOKUP(E88,'FG MASTER'!$A$10:$AB$218,2,0)</f>
        <v xml:space="preserve">BC C1 DINNER DESSERT HOT ROTATION 1 GEORGIA PEACH COBBLER, WARM PECAN PRALINE SAUCE </v>
      </c>
      <c r="H88" s="286">
        <v>1</v>
      </c>
      <c r="I88" s="173">
        <v>0</v>
      </c>
      <c r="J88" s="292">
        <f>IFERROR(IF(I88="std",H88,HLOOKUP(A88,'FlightConfig '!$B$34:$G$35,2,0)*I88),"")</f>
        <v>0</v>
      </c>
      <c r="K88" s="245">
        <f>VLOOKUP(Food!E88,'FG MASTER'!$A$1:$AC$536,16,0)</f>
        <v>0.88</v>
      </c>
      <c r="L88" s="246">
        <f>VLOOKUP(Food!E88,'FG MASTER'!$A$10:$AC$536,17,0)</f>
        <v>1.5</v>
      </c>
      <c r="M88" s="132">
        <f t="shared" si="34"/>
        <v>0.60000000000000009</v>
      </c>
      <c r="N88" s="132">
        <f t="shared" si="35"/>
        <v>1.48</v>
      </c>
      <c r="O88" s="132">
        <f t="shared" si="36"/>
        <v>0.13200000000000001</v>
      </c>
      <c r="P88" s="132">
        <f t="shared" si="37"/>
        <v>8.9999999999999969E-2</v>
      </c>
      <c r="Q88" s="132">
        <f>SUM(N88:P88)</f>
        <v>1.702</v>
      </c>
      <c r="R88" s="405">
        <f t="shared" si="39"/>
        <v>1.012</v>
      </c>
      <c r="S88" s="405">
        <f t="shared" si="40"/>
        <v>0.69000000000000006</v>
      </c>
      <c r="T88" s="405">
        <f t="shared" si="41"/>
        <v>1.702</v>
      </c>
      <c r="U88" s="127"/>
      <c r="W88" t="str">
        <f>IFERROR(#REF!*J88,"")</f>
        <v/>
      </c>
      <c r="X88">
        <f t="shared" si="42"/>
        <v>0</v>
      </c>
      <c r="Y88">
        <f t="shared" si="43"/>
        <v>0</v>
      </c>
      <c r="Z88" s="127">
        <f t="shared" si="44"/>
        <v>0</v>
      </c>
      <c r="AA88" s="127">
        <f t="shared" si="45"/>
        <v>0</v>
      </c>
      <c r="AB88" s="127">
        <f t="shared" si="46"/>
        <v>0</v>
      </c>
      <c r="AC88" s="127">
        <f t="shared" si="47"/>
        <v>0</v>
      </c>
      <c r="AD88" s="127">
        <f t="shared" si="48"/>
        <v>0</v>
      </c>
      <c r="AF88" s="127" t="str">
        <f>IFERROR(W88*'FlightConfig '!$K$3,"")</f>
        <v/>
      </c>
      <c r="AG88" s="127">
        <f>IFERROR(X88*'FlightConfig '!$K$23,"")</f>
        <v>0</v>
      </c>
      <c r="AH88" s="127">
        <f>IFERROR(Y88*'FlightConfig '!$K$23,"")</f>
        <v>0</v>
      </c>
      <c r="AI88" s="127">
        <f>IFERROR(Z88*'FlightConfig '!$K$23,"")</f>
        <v>0</v>
      </c>
      <c r="AJ88" s="127">
        <f>IFERROR(AA88*'FlightConfig '!$K$23,"")</f>
        <v>0</v>
      </c>
      <c r="AK88" s="127">
        <f>IFERROR(AB88*'FlightConfig '!$K$23,"")</f>
        <v>0</v>
      </c>
    </row>
    <row r="89" spans="1:37" ht="18.75" customHeight="1" x14ac:dyDescent="0.25">
      <c r="A89" t="s">
        <v>133</v>
      </c>
      <c r="B89" s="171">
        <v>1</v>
      </c>
      <c r="C89" s="176" t="str">
        <f t="shared" si="50"/>
        <v>BUSINESS CLASS1110</v>
      </c>
      <c r="D89" s="172"/>
      <c r="E89" s="304">
        <v>1015</v>
      </c>
      <c r="F89" s="311">
        <v>110</v>
      </c>
      <c r="G89" t="str">
        <f>VLOOKUP(E89,'FG MASTER'!$A$10:$AB$218,2,0)</f>
        <v xml:space="preserve">BC C1 DINNER DESSERT HOT ROTATION 2 STICKY TOFFEE PUDDING, CHANTILLY CREAM, CROQUANT, TOFEE SAUCE </v>
      </c>
      <c r="H89" s="286">
        <v>1</v>
      </c>
      <c r="I89" s="173">
        <v>0.5</v>
      </c>
      <c r="J89" s="292">
        <f>IFERROR(IF(I89="std",H89,HLOOKUP(A89,'FlightConfig '!$B$34:$G$35,2,0)*I89),"")</f>
        <v>15</v>
      </c>
      <c r="K89" s="245">
        <f>VLOOKUP(Food!E89,'FG MASTER'!$A$1:$AC$536,16,0)</f>
        <v>2.56</v>
      </c>
      <c r="L89" s="246">
        <f>VLOOKUP(Food!E89,'FG MASTER'!$A$10:$AC$536,17,0)</f>
        <v>1.25</v>
      </c>
      <c r="M89" s="132">
        <f t="shared" si="34"/>
        <v>0.5</v>
      </c>
      <c r="N89" s="132">
        <f t="shared" si="35"/>
        <v>3.06</v>
      </c>
      <c r="O89" s="132">
        <f t="shared" si="36"/>
        <v>0.3839999999999999</v>
      </c>
      <c r="P89" s="132">
        <f t="shared" si="37"/>
        <v>7.4999999999999956E-2</v>
      </c>
      <c r="Q89" s="132">
        <f t="shared" ref="Q89:Q93" si="53">SUM(N89:P89)</f>
        <v>3.5190000000000001</v>
      </c>
      <c r="R89" s="405">
        <f t="shared" si="39"/>
        <v>2.944</v>
      </c>
      <c r="S89" s="405">
        <f t="shared" si="40"/>
        <v>0.57499999999999996</v>
      </c>
      <c r="T89" s="405">
        <f t="shared" si="41"/>
        <v>3.5190000000000001</v>
      </c>
      <c r="U89" s="127"/>
      <c r="V89" s="127"/>
      <c r="W89" t="str">
        <f>IFERROR(#REF!*J89,"")</f>
        <v/>
      </c>
      <c r="X89">
        <f t="shared" si="42"/>
        <v>38.4</v>
      </c>
      <c r="Y89">
        <f t="shared" si="43"/>
        <v>18.75</v>
      </c>
      <c r="Z89" s="127">
        <f t="shared" si="44"/>
        <v>7.5</v>
      </c>
      <c r="AA89" s="127">
        <f t="shared" si="45"/>
        <v>45.9</v>
      </c>
      <c r="AB89" s="127">
        <f t="shared" si="46"/>
        <v>5.759999999999998</v>
      </c>
      <c r="AC89" s="127">
        <f t="shared" si="47"/>
        <v>1.1249999999999993</v>
      </c>
      <c r="AD89" s="127">
        <f t="shared" si="48"/>
        <v>52.785000000000004</v>
      </c>
      <c r="AF89" s="127" t="str">
        <f>IFERROR(W89*'FlightConfig '!$K$3,"")</f>
        <v/>
      </c>
      <c r="AG89" s="127">
        <f>IFERROR(X89*'FlightConfig '!$K$23,"")</f>
        <v>13977.6</v>
      </c>
      <c r="AH89" s="127">
        <f>IFERROR(Y89*'FlightConfig '!$K$23,"")</f>
        <v>6825</v>
      </c>
      <c r="AI89" s="127">
        <f>IFERROR(Z89*'FlightConfig '!$K$23,"")</f>
        <v>2730</v>
      </c>
      <c r="AJ89" s="127">
        <f>IFERROR(AA89*'FlightConfig '!$K$23,"")</f>
        <v>16707.599999999999</v>
      </c>
      <c r="AK89" s="127">
        <f>IFERROR(AB89*'FlightConfig '!$K$23,"")</f>
        <v>2096.6399999999994</v>
      </c>
    </row>
    <row r="90" spans="1:37" ht="18.75" customHeight="1" x14ac:dyDescent="0.25">
      <c r="A90" t="s">
        <v>133</v>
      </c>
      <c r="B90" s="171">
        <v>1</v>
      </c>
      <c r="C90" s="176" t="str">
        <f t="shared" si="50"/>
        <v>BUSINESS CLASS1110</v>
      </c>
      <c r="D90" s="172"/>
      <c r="E90" s="304">
        <v>1016</v>
      </c>
      <c r="F90" s="311">
        <v>110</v>
      </c>
      <c r="G90" t="str">
        <f>VLOOKUP(E90,'FG MASTER'!$A$10:$AB$218,2,0)</f>
        <v>BC C1 DINNER CHEESE PLATE DAIRY GRIFFIN, ASHER BLUE, GREEN HILL BRIE, ANGRY CUKES, MUSCADINE JELLY</v>
      </c>
      <c r="H90" s="286">
        <v>1</v>
      </c>
      <c r="I90" s="173">
        <v>0.6</v>
      </c>
      <c r="J90" s="292">
        <f>IFERROR(IF(I90="std",H90,HLOOKUP(A90,'FlightConfig '!$B$34:$G$35,2,0)*I90),"")</f>
        <v>18</v>
      </c>
      <c r="K90" s="245">
        <v>0</v>
      </c>
      <c r="L90" s="246">
        <v>0</v>
      </c>
      <c r="M90" s="132">
        <f t="shared" si="34"/>
        <v>0</v>
      </c>
      <c r="N90" s="132">
        <f t="shared" si="35"/>
        <v>0</v>
      </c>
      <c r="O90" s="132">
        <f t="shared" si="36"/>
        <v>0</v>
      </c>
      <c r="P90" s="132">
        <f t="shared" si="37"/>
        <v>0</v>
      </c>
      <c r="Q90" s="132">
        <f t="shared" si="53"/>
        <v>0</v>
      </c>
      <c r="R90" s="405">
        <f t="shared" si="39"/>
        <v>0</v>
      </c>
      <c r="S90" s="405">
        <f t="shared" si="40"/>
        <v>0</v>
      </c>
      <c r="T90" s="405">
        <f t="shared" si="41"/>
        <v>0</v>
      </c>
      <c r="U90" s="127"/>
      <c r="V90" s="127"/>
      <c r="W90" t="str">
        <f>IFERROR(#REF!*J90,"")</f>
        <v/>
      </c>
      <c r="X90">
        <f t="shared" si="42"/>
        <v>0</v>
      </c>
      <c r="Y90">
        <f t="shared" si="43"/>
        <v>0</v>
      </c>
      <c r="Z90" s="127">
        <f t="shared" si="44"/>
        <v>0</v>
      </c>
      <c r="AA90" s="127">
        <f t="shared" si="45"/>
        <v>0</v>
      </c>
      <c r="AB90" s="127">
        <f t="shared" si="46"/>
        <v>0</v>
      </c>
      <c r="AC90" s="127">
        <f t="shared" si="47"/>
        <v>0</v>
      </c>
      <c r="AD90" s="127">
        <f t="shared" si="48"/>
        <v>0</v>
      </c>
      <c r="AF90" s="127" t="str">
        <f>IFERROR(W90*'FlightConfig '!$K$3,"")</f>
        <v/>
      </c>
      <c r="AG90" s="127">
        <f>IFERROR(X90*'FlightConfig '!$K$23,"")</f>
        <v>0</v>
      </c>
      <c r="AH90" s="127">
        <f>IFERROR(Y90*'FlightConfig '!$K$23,"")</f>
        <v>0</v>
      </c>
      <c r="AI90" s="127">
        <f>IFERROR(Z90*'FlightConfig '!$K$23,"")</f>
        <v>0</v>
      </c>
      <c r="AJ90" s="127">
        <f>IFERROR(AA90*'FlightConfig '!$K$23,"")</f>
        <v>0</v>
      </c>
      <c r="AK90" s="127">
        <f>IFERROR(AB90*'FlightConfig '!$K$23,"")</f>
        <v>0</v>
      </c>
    </row>
    <row r="91" spans="1:37" ht="18.75" customHeight="1" x14ac:dyDescent="0.25">
      <c r="A91" t="s">
        <v>133</v>
      </c>
      <c r="B91" s="171">
        <v>1</v>
      </c>
      <c r="C91" s="176" t="str">
        <f t="shared" si="50"/>
        <v>BUSINESS CLASS1110</v>
      </c>
      <c r="D91" s="172"/>
      <c r="E91" s="304">
        <v>1017</v>
      </c>
      <c r="F91" s="311">
        <v>110</v>
      </c>
      <c r="G91" t="str">
        <f>VLOOKUP(E91,'FG MASTER'!$A$10:$AB$218,2,0)</f>
        <v>BC C1 BREAKFAST ENTRÉE 1 SAVORY PECAN BELGIAN WAFFLE, FRIED CHICKEN, MAPLE SAUSAGE GRAVY, SCRAMBLE EGG</v>
      </c>
      <c r="H91" s="286">
        <v>1</v>
      </c>
      <c r="I91" s="173">
        <v>0.5</v>
      </c>
      <c r="J91" s="292">
        <f>IFERROR(IF(I91="std",H91,HLOOKUP(A91,'FlightConfig '!$B$34:$G$35,2,0)*I91),"")</f>
        <v>15</v>
      </c>
      <c r="K91" s="245">
        <f>VLOOKUP(Food!E91,'FG MASTER'!$A$1:$AC$536,16,0)</f>
        <v>4.71</v>
      </c>
      <c r="L91" s="246">
        <f>VLOOKUP(Food!E91,'FG MASTER'!$A$10:$AC$536,17,0)</f>
        <v>4.25</v>
      </c>
      <c r="M91" s="132">
        <f t="shared" si="34"/>
        <v>1.7000000000000002</v>
      </c>
      <c r="N91" s="132">
        <f t="shared" si="35"/>
        <v>6.41</v>
      </c>
      <c r="O91" s="132">
        <f t="shared" si="36"/>
        <v>0.70649999999999924</v>
      </c>
      <c r="P91" s="132">
        <f t="shared" si="37"/>
        <v>0.25499999999999989</v>
      </c>
      <c r="Q91" s="132">
        <f t="shared" si="53"/>
        <v>7.3714999999999993</v>
      </c>
      <c r="R91" s="405">
        <f t="shared" si="39"/>
        <v>5.4164999999999992</v>
      </c>
      <c r="S91" s="405">
        <f t="shared" si="40"/>
        <v>1.9550000000000001</v>
      </c>
      <c r="T91" s="405">
        <f t="shared" si="41"/>
        <v>7.3714999999999993</v>
      </c>
      <c r="U91" s="127"/>
      <c r="V91" s="127"/>
      <c r="W91" t="str">
        <f>IFERROR(#REF!*J91,"")</f>
        <v/>
      </c>
      <c r="X91">
        <f t="shared" si="42"/>
        <v>70.650000000000006</v>
      </c>
      <c r="Y91">
        <f t="shared" si="43"/>
        <v>63.75</v>
      </c>
      <c r="Z91" s="127">
        <f t="shared" si="44"/>
        <v>25.500000000000004</v>
      </c>
      <c r="AA91" s="127">
        <f t="shared" si="45"/>
        <v>96.15</v>
      </c>
      <c r="AB91" s="127">
        <f t="shared" si="46"/>
        <v>10.597499999999989</v>
      </c>
      <c r="AC91" s="127">
        <f t="shared" si="47"/>
        <v>3.8249999999999984</v>
      </c>
      <c r="AD91" s="127">
        <f t="shared" si="48"/>
        <v>110.57249999999999</v>
      </c>
      <c r="AF91" s="127" t="str">
        <f>IFERROR(W91*'FlightConfig '!$K$3,"")</f>
        <v/>
      </c>
      <c r="AG91" s="127">
        <f>IFERROR(X91*'FlightConfig '!$K$23,"")</f>
        <v>25716.600000000002</v>
      </c>
      <c r="AH91" s="127">
        <f>IFERROR(Y91*'FlightConfig '!$K$23,"")</f>
        <v>23205</v>
      </c>
      <c r="AI91" s="127">
        <f>IFERROR(Z91*'FlightConfig '!$K$23,"")</f>
        <v>9282.0000000000018</v>
      </c>
      <c r="AJ91" s="127">
        <f>IFERROR(AA91*'FlightConfig '!$K$23,"")</f>
        <v>34998.6</v>
      </c>
      <c r="AK91" s="127">
        <f>IFERROR(AB91*'FlightConfig '!$K$23,"")</f>
        <v>3857.4899999999961</v>
      </c>
    </row>
    <row r="92" spans="1:37" ht="18.75" customHeight="1" x14ac:dyDescent="0.25">
      <c r="A92" t="s">
        <v>133</v>
      </c>
      <c r="B92" s="171">
        <v>1</v>
      </c>
      <c r="C92" s="176" t="str">
        <f t="shared" si="50"/>
        <v>BUSINESS CLASS1110</v>
      </c>
      <c r="D92" s="172"/>
      <c r="E92" s="304">
        <v>1018</v>
      </c>
      <c r="F92" s="311">
        <v>110</v>
      </c>
      <c r="G92" t="str">
        <f>VLOOKUP(E92,'FG MASTER'!$A$10:$AB$218,2,0)</f>
        <v>BC C1 BREAKFAST ENTRÉE 2 SAVORY FRITTATA, MARINATED TOMATO, HASHBROWN, GREEN ONION MORNAY</v>
      </c>
      <c r="H92" s="286">
        <v>1</v>
      </c>
      <c r="I92" s="173">
        <v>0.2</v>
      </c>
      <c r="J92" s="292">
        <f>IFERROR(IF(I92="std",H92,HLOOKUP(A92,'FlightConfig '!$B$34:$G$35,2,0)*I92),"")</f>
        <v>6</v>
      </c>
      <c r="K92" s="245">
        <f>VLOOKUP(Food!E92,'FG MASTER'!$A$1:$AC$536,16,0)</f>
        <v>2.29</v>
      </c>
      <c r="L92" s="246">
        <f>VLOOKUP(Food!E92,'FG MASTER'!$A$10:$AC$536,17,0)</f>
        <v>4.5</v>
      </c>
      <c r="M92" s="132">
        <f t="shared" si="34"/>
        <v>1.8</v>
      </c>
      <c r="N92" s="132">
        <f t="shared" si="35"/>
        <v>4.09</v>
      </c>
      <c r="O92" s="132">
        <f t="shared" si="36"/>
        <v>0.34349999999999969</v>
      </c>
      <c r="P92" s="132">
        <f t="shared" si="37"/>
        <v>0.2699999999999998</v>
      </c>
      <c r="Q92" s="132">
        <f t="shared" si="53"/>
        <v>4.7034999999999991</v>
      </c>
      <c r="R92" s="405">
        <f t="shared" si="39"/>
        <v>2.6334999999999997</v>
      </c>
      <c r="S92" s="405">
        <f t="shared" si="40"/>
        <v>2.0699999999999998</v>
      </c>
      <c r="T92" s="405">
        <f t="shared" si="41"/>
        <v>4.7035</v>
      </c>
      <c r="U92" s="127"/>
      <c r="V92" s="127"/>
      <c r="W92" t="str">
        <f>IFERROR(#REF!*J92,"")</f>
        <v/>
      </c>
      <c r="X92">
        <f t="shared" si="42"/>
        <v>13.74</v>
      </c>
      <c r="Y92">
        <f t="shared" si="43"/>
        <v>27</v>
      </c>
      <c r="Z92" s="127">
        <f t="shared" si="44"/>
        <v>10.8</v>
      </c>
      <c r="AA92" s="127">
        <f t="shared" si="45"/>
        <v>24.54</v>
      </c>
      <c r="AB92" s="127">
        <f t="shared" si="46"/>
        <v>2.0609999999999982</v>
      </c>
      <c r="AC92" s="127">
        <f t="shared" si="47"/>
        <v>1.6199999999999988</v>
      </c>
      <c r="AD92" s="127">
        <f t="shared" si="48"/>
        <v>28.220999999999997</v>
      </c>
      <c r="AF92" s="127" t="str">
        <f>IFERROR(W92*'FlightConfig '!$K$3,"")</f>
        <v/>
      </c>
      <c r="AG92" s="127">
        <f>IFERROR(X92*'FlightConfig '!$K$23,"")</f>
        <v>5001.3599999999997</v>
      </c>
      <c r="AH92" s="127">
        <f>IFERROR(Y92*'FlightConfig '!$K$23,"")</f>
        <v>9828</v>
      </c>
      <c r="AI92" s="127">
        <f>IFERROR(Z92*'FlightConfig '!$K$23,"")</f>
        <v>3931.2000000000003</v>
      </c>
      <c r="AJ92" s="127">
        <f>IFERROR(AA92*'FlightConfig '!$K$23,"")</f>
        <v>8932.56</v>
      </c>
      <c r="AK92" s="127">
        <f>IFERROR(AB92*'FlightConfig '!$K$23,"")</f>
        <v>750.20399999999938</v>
      </c>
    </row>
    <row r="93" spans="1:37" ht="18.75" customHeight="1" x14ac:dyDescent="0.25">
      <c r="A93" t="s">
        <v>133</v>
      </c>
      <c r="B93" s="171">
        <v>1</v>
      </c>
      <c r="C93" s="176" t="str">
        <f t="shared" si="50"/>
        <v>BUSINESS CLASS1110</v>
      </c>
      <c r="D93" s="172"/>
      <c r="E93" s="304">
        <v>1019</v>
      </c>
      <c r="F93" s="311">
        <v>110</v>
      </c>
      <c r="G93" t="str">
        <f>VLOOKUP(E93,'FG MASTER'!$A$10:$AB$218,2,0)</f>
        <v>BC C1 BREAKFAST ENTRÉE 3 SWEET GREEK YOGURT PARFAIT, MANGO PINEAPPLE CHUTNEY, BLUSBERRY, COCONUT AND OAT GRANOLA</v>
      </c>
      <c r="H93" s="286">
        <v>1</v>
      </c>
      <c r="I93" s="173">
        <v>0.3</v>
      </c>
      <c r="J93" s="292">
        <f>IFERROR(IF(I93="std",H93,HLOOKUP(A93,'FlightConfig '!$B$34:$G$35,2,0)*I93),"")</f>
        <v>9</v>
      </c>
      <c r="K93" s="245">
        <f>VLOOKUP(Food!E93,'FG MASTER'!$A$1:$AC$536,16,0)</f>
        <v>2.15</v>
      </c>
      <c r="L93" s="246">
        <f>VLOOKUP(Food!E93,'FG MASTER'!$A$10:$AC$536,17,0)</f>
        <v>3.25</v>
      </c>
      <c r="M93" s="132">
        <f t="shared" si="34"/>
        <v>1.3</v>
      </c>
      <c r="N93" s="132">
        <f t="shared" si="35"/>
        <v>3.45</v>
      </c>
      <c r="O93" s="132">
        <f t="shared" si="36"/>
        <v>0.32249999999999979</v>
      </c>
      <c r="P93" s="132">
        <f t="shared" si="37"/>
        <v>0.19499999999999984</v>
      </c>
      <c r="Q93" s="132">
        <f t="shared" si="53"/>
        <v>3.9674999999999998</v>
      </c>
      <c r="R93" s="405">
        <f t="shared" si="39"/>
        <v>2.4724999999999997</v>
      </c>
      <c r="S93" s="405">
        <f t="shared" si="40"/>
        <v>1.4949999999999999</v>
      </c>
      <c r="T93" s="405">
        <f t="shared" si="41"/>
        <v>3.9674999999999994</v>
      </c>
      <c r="U93" s="127"/>
      <c r="V93" s="127"/>
      <c r="W93" t="str">
        <f>IFERROR(#REF!*J93,"")</f>
        <v/>
      </c>
      <c r="X93">
        <f t="shared" si="42"/>
        <v>19.349999999999998</v>
      </c>
      <c r="Y93">
        <f t="shared" si="43"/>
        <v>29.25</v>
      </c>
      <c r="Z93" s="127">
        <f t="shared" si="44"/>
        <v>11.700000000000001</v>
      </c>
      <c r="AA93" s="127">
        <f t="shared" si="45"/>
        <v>31.05</v>
      </c>
      <c r="AB93" s="127">
        <f t="shared" si="46"/>
        <v>2.9024999999999981</v>
      </c>
      <c r="AC93" s="127">
        <f t="shared" si="47"/>
        <v>1.7549999999999986</v>
      </c>
      <c r="AD93" s="127">
        <f t="shared" si="48"/>
        <v>35.707499999999996</v>
      </c>
      <c r="AF93" s="127" t="str">
        <f>IFERROR(W93*'FlightConfig '!$K$3,"")</f>
        <v/>
      </c>
      <c r="AG93" s="127">
        <f>IFERROR(X93*'FlightConfig '!$K$23,"")</f>
        <v>7043.4</v>
      </c>
      <c r="AH93" s="127">
        <f>IFERROR(Y93*'FlightConfig '!$K$23,"")</f>
        <v>10647</v>
      </c>
      <c r="AI93" s="127">
        <f>IFERROR(Z93*'FlightConfig '!$K$23,"")</f>
        <v>4258.8</v>
      </c>
      <c r="AJ93" s="127">
        <f>IFERROR(AA93*'FlightConfig '!$K$23,"")</f>
        <v>11302.2</v>
      </c>
      <c r="AK93" s="127">
        <f>IFERROR(AB93*'FlightConfig '!$K$23,"")</f>
        <v>1056.5099999999993</v>
      </c>
    </row>
    <row r="94" spans="1:37" ht="18.75" customHeight="1" x14ac:dyDescent="0.25">
      <c r="A94" t="s">
        <v>133</v>
      </c>
      <c r="B94" s="171">
        <v>1</v>
      </c>
      <c r="C94" s="176" t="str">
        <f t="shared" si="50"/>
        <v>BUSINESS CLASS1110</v>
      </c>
      <c r="D94" s="172"/>
      <c r="E94" s="304">
        <v>1020</v>
      </c>
      <c r="F94" s="311">
        <v>110</v>
      </c>
      <c r="G94" t="str">
        <f>VLOOKUP(E94,'FG MASTER'!$A$10:$AB$218,2,0)</f>
        <v>BC C1 BREAKFAST SIDE 1 FRUIT SEASONAL 4 TYPES 130G</v>
      </c>
      <c r="H94" s="286">
        <v>1</v>
      </c>
      <c r="I94" s="173">
        <v>0.5</v>
      </c>
      <c r="J94" s="292">
        <f>IFERROR(IF(I94="std",H94,HLOOKUP(A94,'FlightConfig '!$B$34:$G$35,2,0)*I94),"")</f>
        <v>15</v>
      </c>
      <c r="K94" s="245">
        <f>VLOOKUP(Food!E94,'FG MASTER'!$A$1:$AC$536,16,0)</f>
        <v>2</v>
      </c>
      <c r="L94" s="246">
        <f>VLOOKUP(Food!E94,'FG MASTER'!$A$10:$AC$536,17,0)</f>
        <v>1.5</v>
      </c>
      <c r="M94" s="132">
        <f t="shared" si="34"/>
        <v>0.60000000000000009</v>
      </c>
      <c r="N94" s="132">
        <f t="shared" si="35"/>
        <v>2.6</v>
      </c>
      <c r="O94" s="132">
        <f t="shared" si="36"/>
        <v>0.29999999999999982</v>
      </c>
      <c r="P94" s="132">
        <f t="shared" si="37"/>
        <v>8.9999999999999969E-2</v>
      </c>
      <c r="Q94" s="132">
        <f>SUM(N94:P94)</f>
        <v>2.9899999999999998</v>
      </c>
      <c r="R94" s="405">
        <f t="shared" si="39"/>
        <v>2.2999999999999998</v>
      </c>
      <c r="S94" s="405">
        <f t="shared" si="40"/>
        <v>0.69000000000000006</v>
      </c>
      <c r="T94" s="405">
        <f t="shared" si="41"/>
        <v>2.9899999999999998</v>
      </c>
      <c r="U94" s="127"/>
      <c r="V94" s="127"/>
      <c r="W94" t="str">
        <f>IFERROR(#REF!*J94,"")</f>
        <v/>
      </c>
      <c r="X94">
        <f t="shared" si="42"/>
        <v>30</v>
      </c>
      <c r="Y94">
        <f t="shared" si="43"/>
        <v>22.5</v>
      </c>
      <c r="Z94" s="127">
        <f t="shared" si="44"/>
        <v>9.0000000000000018</v>
      </c>
      <c r="AA94" s="127">
        <f t="shared" si="45"/>
        <v>39</v>
      </c>
      <c r="AB94" s="127">
        <f t="shared" si="46"/>
        <v>4.4999999999999973</v>
      </c>
      <c r="AC94" s="127">
        <f t="shared" si="47"/>
        <v>1.3499999999999996</v>
      </c>
      <c r="AD94" s="127">
        <f t="shared" si="48"/>
        <v>44.849999999999994</v>
      </c>
      <c r="AF94" s="127" t="str">
        <f>IFERROR(W94*'FlightConfig '!$K$3,"")</f>
        <v/>
      </c>
      <c r="AG94" s="127">
        <f>IFERROR(X94*'FlightConfig '!$K$23,"")</f>
        <v>10920</v>
      </c>
      <c r="AH94" s="127">
        <f>IFERROR(Y94*'FlightConfig '!$K$23,"")</f>
        <v>8190</v>
      </c>
      <c r="AI94" s="127">
        <f>IFERROR(Z94*'FlightConfig '!$K$23,"")</f>
        <v>3276.0000000000005</v>
      </c>
      <c r="AJ94" s="127">
        <f>IFERROR(AA94*'FlightConfig '!$K$23,"")</f>
        <v>14196</v>
      </c>
      <c r="AK94" s="127">
        <f>IFERROR(AB94*'FlightConfig '!$K$23,"")</f>
        <v>1637.9999999999991</v>
      </c>
    </row>
    <row r="95" spans="1:37" ht="18.75" customHeight="1" x14ac:dyDescent="0.25">
      <c r="A95" t="s">
        <v>133</v>
      </c>
      <c r="B95" s="171">
        <v>1</v>
      </c>
      <c r="C95" s="176" t="str">
        <f>CONCATENATE(A95&amp;B95&amp;F95)</f>
        <v>BUSINESS CLASS1110</v>
      </c>
      <c r="D95" s="172"/>
      <c r="E95" s="304">
        <v>1021</v>
      </c>
      <c r="F95" s="311">
        <v>110</v>
      </c>
      <c r="G95" t="str">
        <f>VLOOKUP(E95,'FG MASTER'!$A$10:$AB$218,2,0)</f>
        <v>BC C1 BREAKFAST SIDE 2 PEACH AND PECAN SCONE</v>
      </c>
      <c r="H95" s="286">
        <v>1</v>
      </c>
      <c r="I95" s="173">
        <v>0.5</v>
      </c>
      <c r="J95" s="292">
        <f>IFERROR(IF(I95="std",H95,HLOOKUP(A95,'FlightConfig '!$B$34:$G$35,2,0)*I95),"")</f>
        <v>15</v>
      </c>
      <c r="K95" s="245">
        <f>VLOOKUP(Food!E95,'FG MASTER'!$A$1:$AC$536,16,0)</f>
        <v>1.18</v>
      </c>
      <c r="L95" s="246">
        <f>VLOOKUP(Food!E95,'FG MASTER'!$A$10:$AC$536,17,0)</f>
        <v>2</v>
      </c>
      <c r="M95" s="132">
        <f t="shared" si="34"/>
        <v>0.8</v>
      </c>
      <c r="N95" s="132">
        <f t="shared" si="35"/>
        <v>1.98</v>
      </c>
      <c r="O95" s="132">
        <f t="shared" si="36"/>
        <v>0.17699999999999982</v>
      </c>
      <c r="P95" s="132">
        <f t="shared" si="37"/>
        <v>0.11999999999999988</v>
      </c>
      <c r="Q95" s="132">
        <f>SUM(N95:P95)</f>
        <v>2.2770000000000001</v>
      </c>
      <c r="R95" s="405">
        <f t="shared" si="39"/>
        <v>1.3569999999999998</v>
      </c>
      <c r="S95" s="405">
        <f t="shared" si="40"/>
        <v>0.91999999999999993</v>
      </c>
      <c r="T95" s="405">
        <f t="shared" si="41"/>
        <v>2.2769999999999997</v>
      </c>
      <c r="U95" s="127"/>
      <c r="V95" s="127"/>
      <c r="W95" t="str">
        <f>IFERROR(#REF!*J95,"")</f>
        <v/>
      </c>
      <c r="X95">
        <f t="shared" si="42"/>
        <v>17.7</v>
      </c>
      <c r="Y95">
        <f t="shared" si="43"/>
        <v>30</v>
      </c>
      <c r="Z95" s="127">
        <f t="shared" si="44"/>
        <v>12</v>
      </c>
      <c r="AA95" s="127">
        <f t="shared" si="45"/>
        <v>29.7</v>
      </c>
      <c r="AB95" s="127">
        <f t="shared" si="46"/>
        <v>2.6549999999999976</v>
      </c>
      <c r="AC95" s="127">
        <f t="shared" si="47"/>
        <v>1.7999999999999983</v>
      </c>
      <c r="AD95" s="127">
        <f t="shared" si="48"/>
        <v>34.155000000000001</v>
      </c>
      <c r="AF95" s="127" t="str">
        <f>IFERROR(W95*'FlightConfig '!$K$3,"")</f>
        <v/>
      </c>
      <c r="AG95" s="127">
        <f>IFERROR(X95*'FlightConfig '!$K$23,"")</f>
        <v>6442.8</v>
      </c>
      <c r="AH95" s="127">
        <f>IFERROR(Y95*'FlightConfig '!$K$23,"")</f>
        <v>10920</v>
      </c>
      <c r="AI95" s="127">
        <f>IFERROR(Z95*'FlightConfig '!$K$23,"")</f>
        <v>4368</v>
      </c>
      <c r="AJ95" s="127">
        <f>IFERROR(AA95*'FlightConfig '!$K$23,"")</f>
        <v>10810.8</v>
      </c>
      <c r="AK95" s="127">
        <f>IFERROR(AB95*'FlightConfig '!$K$23,"")</f>
        <v>966.41999999999916</v>
      </c>
    </row>
    <row r="96" spans="1:37" ht="18.75" customHeight="1" x14ac:dyDescent="0.25">
      <c r="A96" t="s">
        <v>133</v>
      </c>
      <c r="B96" s="171">
        <v>1</v>
      </c>
      <c r="C96" s="176" t="str">
        <f t="shared" ref="C96:C97" si="54">CONCATENATE(A96&amp;B96&amp;F96)</f>
        <v>BUSINESS CLASS1110</v>
      </c>
      <c r="D96" s="172"/>
      <c r="E96" s="304">
        <v>1022</v>
      </c>
      <c r="F96" s="311">
        <v>110</v>
      </c>
      <c r="G96" t="str">
        <f>VLOOKUP(E96,'FG MASTER'!$A$10:$AB$218,2,0)</f>
        <v xml:space="preserve">BC C1 BREAKFAST SIDE 3 YOGURT </v>
      </c>
      <c r="H96" s="286">
        <v>1</v>
      </c>
      <c r="I96" s="173">
        <v>0</v>
      </c>
      <c r="J96" s="292">
        <f>IFERROR(IF(I96="std",H96,HLOOKUP(A96,'FlightConfig '!$B$34:$G$35,2,0)*I96),"")</f>
        <v>0</v>
      </c>
      <c r="K96" s="245">
        <f>VLOOKUP(Food!E96,'FG MASTER'!$A$1:$AC$536,16,0)</f>
        <v>0.44</v>
      </c>
      <c r="L96" s="246">
        <f>VLOOKUP(Food!E96,'FG MASTER'!$A$10:$AC$536,17,0)</f>
        <v>0.5</v>
      </c>
      <c r="M96" s="132">
        <f t="shared" si="34"/>
        <v>0.2</v>
      </c>
      <c r="N96" s="132">
        <f t="shared" si="35"/>
        <v>0.64</v>
      </c>
      <c r="O96" s="132">
        <f t="shared" si="36"/>
        <v>6.6000000000000003E-2</v>
      </c>
      <c r="P96" s="132">
        <f t="shared" si="37"/>
        <v>2.9999999999999971E-2</v>
      </c>
      <c r="Q96" s="132">
        <f t="shared" ref="Q96:Q97" si="55">SUM(N96:P96)</f>
        <v>0.73599999999999999</v>
      </c>
      <c r="R96" s="405">
        <f t="shared" si="39"/>
        <v>0.50600000000000001</v>
      </c>
      <c r="S96" s="405">
        <f t="shared" si="40"/>
        <v>0.22999999999999998</v>
      </c>
      <c r="T96" s="405">
        <f t="shared" si="41"/>
        <v>0.73599999999999999</v>
      </c>
      <c r="U96" s="127"/>
      <c r="V96" s="127"/>
      <c r="W96" t="str">
        <f>IFERROR(#REF!*J96,"")</f>
        <v/>
      </c>
      <c r="X96">
        <f t="shared" si="42"/>
        <v>0</v>
      </c>
      <c r="Y96">
        <f t="shared" si="43"/>
        <v>0</v>
      </c>
      <c r="Z96" s="127">
        <f t="shared" si="44"/>
        <v>0</v>
      </c>
      <c r="AA96" s="127">
        <f t="shared" si="45"/>
        <v>0</v>
      </c>
      <c r="AB96" s="127">
        <f t="shared" si="46"/>
        <v>0</v>
      </c>
      <c r="AC96" s="127">
        <f t="shared" si="47"/>
        <v>0</v>
      </c>
      <c r="AD96" s="127">
        <f t="shared" si="48"/>
        <v>0</v>
      </c>
      <c r="AF96" s="127" t="str">
        <f>IFERROR(W96*'FlightConfig '!$K$3,"")</f>
        <v/>
      </c>
      <c r="AG96" s="127">
        <f>IFERROR(X96*'FlightConfig '!$K$23,"")</f>
        <v>0</v>
      </c>
      <c r="AH96" s="127">
        <f>IFERROR(Y96*'FlightConfig '!$K$23,"")</f>
        <v>0</v>
      </c>
      <c r="AI96" s="127">
        <f>IFERROR(Z96*'FlightConfig '!$K$23,"")</f>
        <v>0</v>
      </c>
      <c r="AJ96" s="127">
        <f>IFERROR(AA96*'FlightConfig '!$K$23,"")</f>
        <v>0</v>
      </c>
      <c r="AK96" s="127">
        <f>IFERROR(AB96*'FlightConfig '!$K$23,"")</f>
        <v>0</v>
      </c>
    </row>
    <row r="97" spans="1:37" ht="18.75" customHeight="1" x14ac:dyDescent="0.25">
      <c r="A97" t="s">
        <v>133</v>
      </c>
      <c r="B97" s="171">
        <v>1</v>
      </c>
      <c r="C97" s="176" t="str">
        <f t="shared" si="54"/>
        <v>BUSINESS CLASS1110</v>
      </c>
      <c r="D97" s="172"/>
      <c r="E97" s="304">
        <v>1023</v>
      </c>
      <c r="F97" s="311">
        <v>110</v>
      </c>
      <c r="G97" t="str">
        <f>VLOOKUP(E97,'FG MASTER'!$A$10:$AB$218,2,0)</f>
        <v xml:space="preserve">BC C1 BREAKFAST SIDE 4 HOMEMADE GRANOLA </v>
      </c>
      <c r="H97" s="286">
        <v>1</v>
      </c>
      <c r="I97" s="173">
        <v>0</v>
      </c>
      <c r="J97" s="292">
        <f>IFERROR(IF(I97="std",H97,HLOOKUP(A97,'FlightConfig '!$B$34:$G$35,2,0)*I97),"")</f>
        <v>0</v>
      </c>
      <c r="K97" s="245">
        <f>VLOOKUP(Food!E97,'FG MASTER'!$A$1:$AC$536,16,0)</f>
        <v>0.78</v>
      </c>
      <c r="L97" s="246">
        <f>VLOOKUP(Food!E97,'FG MASTER'!$A$10:$AC$536,17,0)</f>
        <v>0.75</v>
      </c>
      <c r="M97" s="132">
        <f t="shared" si="34"/>
        <v>0.30000000000000004</v>
      </c>
      <c r="N97" s="132">
        <f t="shared" si="35"/>
        <v>1.08</v>
      </c>
      <c r="O97" s="132">
        <f t="shared" si="36"/>
        <v>0.11699999999999988</v>
      </c>
      <c r="P97" s="132">
        <f t="shared" si="37"/>
        <v>4.4999999999999984E-2</v>
      </c>
      <c r="Q97" s="132">
        <f t="shared" si="55"/>
        <v>1.242</v>
      </c>
      <c r="R97" s="405">
        <f t="shared" si="39"/>
        <v>0.89699999999999991</v>
      </c>
      <c r="S97" s="405">
        <f t="shared" si="40"/>
        <v>0.34500000000000003</v>
      </c>
      <c r="T97" s="405">
        <f t="shared" si="41"/>
        <v>1.242</v>
      </c>
      <c r="U97" s="127"/>
      <c r="V97" s="127"/>
      <c r="W97" t="str">
        <f>IFERROR(#REF!*J97,"")</f>
        <v/>
      </c>
      <c r="X97">
        <f t="shared" si="42"/>
        <v>0</v>
      </c>
      <c r="Y97">
        <f t="shared" si="43"/>
        <v>0</v>
      </c>
      <c r="Z97" s="127">
        <f t="shared" si="44"/>
        <v>0</v>
      </c>
      <c r="AA97" s="127">
        <f t="shared" si="45"/>
        <v>0</v>
      </c>
      <c r="AB97" s="127">
        <f t="shared" si="46"/>
        <v>0</v>
      </c>
      <c r="AC97" s="127">
        <f t="shared" si="47"/>
        <v>0</v>
      </c>
      <c r="AD97" s="127">
        <f t="shared" si="48"/>
        <v>0</v>
      </c>
      <c r="AF97" s="127" t="str">
        <f>IFERROR(W97*'FlightConfig '!$K$3,"")</f>
        <v/>
      </c>
      <c r="AG97" s="127">
        <f>IFERROR(X97*'FlightConfig '!$K$23,"")</f>
        <v>0</v>
      </c>
      <c r="AH97" s="127">
        <f>IFERROR(Y97*'FlightConfig '!$K$23,"")</f>
        <v>0</v>
      </c>
      <c r="AI97" s="127">
        <f>IFERROR(Z97*'FlightConfig '!$K$23,"")</f>
        <v>0</v>
      </c>
      <c r="AJ97" s="127">
        <f>IFERROR(AA97*'FlightConfig '!$K$23,"")</f>
        <v>0</v>
      </c>
      <c r="AK97" s="127">
        <f>IFERROR(AB97*'FlightConfig '!$K$23,"")</f>
        <v>0</v>
      </c>
    </row>
    <row r="98" spans="1:37" ht="18.75" customHeight="1" x14ac:dyDescent="0.25">
      <c r="A98" t="s">
        <v>133</v>
      </c>
      <c r="B98" s="171">
        <v>1</v>
      </c>
      <c r="C98" s="176" t="str">
        <f>CONCATENATE(A98&amp;B98&amp;F98)</f>
        <v>BUSINESS CLASS1110</v>
      </c>
      <c r="D98" s="172"/>
      <c r="E98" s="304">
        <v>1024</v>
      </c>
      <c r="F98" s="311">
        <v>110</v>
      </c>
      <c r="G98" t="str">
        <f>VLOOKUP(E98,'FG MASTER'!$A$10:$AB$218,2,0)</f>
        <v>BC C1 BREAKFAST SIDE 5 MAPLE CINNAMON BIRCHER MUESLI</v>
      </c>
      <c r="H98" s="286">
        <v>1</v>
      </c>
      <c r="I98" s="173">
        <v>0</v>
      </c>
      <c r="J98" s="292">
        <f>IFERROR(IF(I98="std",H98,HLOOKUP(A98,'FlightConfig '!$B$34:$G$35,2,0)*I98),"")</f>
        <v>0</v>
      </c>
      <c r="K98" s="245">
        <f>VLOOKUP(Food!E98,'FG MASTER'!$A$1:$AC$536,16,0)</f>
        <v>0.85</v>
      </c>
      <c r="L98" s="246">
        <f>VLOOKUP(Food!E98,'FG MASTER'!$A$10:$AC$536,17,0)</f>
        <v>1</v>
      </c>
      <c r="M98" s="132">
        <f>IFERROR(L98*$M$2,"")</f>
        <v>0.4</v>
      </c>
      <c r="N98" s="132">
        <f>IFERROR((K98)+M98,"")</f>
        <v>1.25</v>
      </c>
      <c r="O98" s="132">
        <f t="shared" si="36"/>
        <v>0.12749999999999995</v>
      </c>
      <c r="P98" s="132">
        <f t="shared" si="37"/>
        <v>5.9999999999999942E-2</v>
      </c>
      <c r="Q98" s="132">
        <f>SUM(N98:P98)</f>
        <v>1.4375</v>
      </c>
      <c r="R98" s="405">
        <f t="shared" si="39"/>
        <v>0.97749999999999992</v>
      </c>
      <c r="S98" s="405">
        <f t="shared" si="40"/>
        <v>0.45999999999999996</v>
      </c>
      <c r="T98" s="405">
        <f t="shared" si="41"/>
        <v>1.4375</v>
      </c>
      <c r="U98" s="127"/>
      <c r="V98" s="127"/>
      <c r="W98" t="str">
        <f>IFERROR(#REF!*J98,"")</f>
        <v/>
      </c>
      <c r="X98">
        <f t="shared" si="42"/>
        <v>0</v>
      </c>
      <c r="Y98">
        <f t="shared" si="43"/>
        <v>0</v>
      </c>
      <c r="Z98" s="127">
        <f t="shared" si="44"/>
        <v>0</v>
      </c>
      <c r="AA98" s="127">
        <f t="shared" si="45"/>
        <v>0</v>
      </c>
      <c r="AB98" s="127">
        <f t="shared" si="46"/>
        <v>0</v>
      </c>
      <c r="AC98" s="127">
        <f t="shared" si="47"/>
        <v>0</v>
      </c>
      <c r="AD98" s="127">
        <f t="shared" si="48"/>
        <v>0</v>
      </c>
      <c r="AF98" s="127" t="str">
        <f>IFERROR(W98*'FlightConfig '!$K$3,"")</f>
        <v/>
      </c>
      <c r="AG98" s="127">
        <f>IFERROR(X98*'FlightConfig '!$K$23,"")</f>
        <v>0</v>
      </c>
      <c r="AH98" s="127">
        <f>IFERROR(Y98*'FlightConfig '!$K$23,"")</f>
        <v>0</v>
      </c>
      <c r="AI98" s="127">
        <f>IFERROR(Z98*'FlightConfig '!$K$23,"")</f>
        <v>0</v>
      </c>
      <c r="AJ98" s="127">
        <f>IFERROR(AA98*'FlightConfig '!$K$23,"")</f>
        <v>0</v>
      </c>
      <c r="AK98" s="127">
        <f>IFERROR(AB98*'FlightConfig '!$K$23,"")</f>
        <v>0</v>
      </c>
    </row>
    <row r="99" spans="1:37" ht="18.75" customHeight="1" x14ac:dyDescent="0.25">
      <c r="A99" t="s">
        <v>133</v>
      </c>
      <c r="B99" s="171">
        <v>1</v>
      </c>
      <c r="C99" s="176" t="str">
        <f t="shared" ref="C99:C117" si="56">CONCATENATE(A99&amp;B99&amp;F99)</f>
        <v>BUSINESS CLASS1110</v>
      </c>
      <c r="D99" s="172"/>
      <c r="E99" s="304">
        <v>1025</v>
      </c>
      <c r="F99" s="311">
        <v>110</v>
      </c>
      <c r="G99" t="str">
        <f>VLOOKUP(E99,'FG MASTER'!$A$10:$AB$218,2,0)</f>
        <v>BC C1 BREAKFAST SIDE 6 CORN FLAKES</v>
      </c>
      <c r="H99" s="286">
        <v>1</v>
      </c>
      <c r="I99" s="173">
        <v>0</v>
      </c>
      <c r="J99" s="292">
        <f>IFERROR(IF(I99="std",H99,HLOOKUP(A99,'FlightConfig '!$B$34:$G$35,2,0)*I99),"")</f>
        <v>0</v>
      </c>
      <c r="K99" s="245">
        <f>VLOOKUP(Food!E99,'FG MASTER'!$A$1:$AC$536,16,0)</f>
        <v>0.69</v>
      </c>
      <c r="L99" s="246">
        <f>VLOOKUP(Food!E99,'FG MASTER'!$A$10:$AC$536,17,0)</f>
        <v>0.25</v>
      </c>
      <c r="M99" s="132">
        <f t="shared" ref="M99:M115" si="57">IFERROR(L99*$M$2,"")</f>
        <v>0.1</v>
      </c>
      <c r="N99" s="132">
        <f t="shared" ref="N99:N117" si="58">IFERROR((K99)+M99,"")</f>
        <v>0.78999999999999992</v>
      </c>
      <c r="O99" s="132">
        <f t="shared" si="36"/>
        <v>0.10349999999999993</v>
      </c>
      <c r="P99" s="132">
        <f t="shared" si="37"/>
        <v>1.4999999999999986E-2</v>
      </c>
      <c r="Q99" s="132">
        <f t="shared" ref="Q99:Q102" si="59">SUM(N99:P99)</f>
        <v>0.90849999999999986</v>
      </c>
      <c r="R99" s="405">
        <f t="shared" si="39"/>
        <v>0.79349999999999987</v>
      </c>
      <c r="S99" s="405">
        <f t="shared" si="40"/>
        <v>0.11499999999999999</v>
      </c>
      <c r="T99" s="405">
        <f t="shared" si="41"/>
        <v>0.90849999999999986</v>
      </c>
      <c r="U99" s="127"/>
      <c r="V99" s="127"/>
      <c r="W99" t="str">
        <f>IFERROR(#REF!*J99,"")</f>
        <v/>
      </c>
      <c r="X99">
        <f t="shared" si="42"/>
        <v>0</v>
      </c>
      <c r="Y99">
        <f t="shared" si="43"/>
        <v>0</v>
      </c>
      <c r="Z99" s="127">
        <f t="shared" si="44"/>
        <v>0</v>
      </c>
      <c r="AA99" s="127">
        <f t="shared" si="45"/>
        <v>0</v>
      </c>
      <c r="AB99" s="127">
        <f t="shared" si="46"/>
        <v>0</v>
      </c>
      <c r="AC99" s="127">
        <f t="shared" si="47"/>
        <v>0</v>
      </c>
      <c r="AD99" s="127">
        <f t="shared" si="48"/>
        <v>0</v>
      </c>
      <c r="AF99" s="127" t="str">
        <f>IFERROR(W99*'FlightConfig '!$K$3,"")</f>
        <v/>
      </c>
      <c r="AG99" s="127">
        <f>IFERROR(X99*'FlightConfig '!$K$23,"")</f>
        <v>0</v>
      </c>
      <c r="AH99" s="127">
        <f>IFERROR(Y99*'FlightConfig '!$K$23,"")</f>
        <v>0</v>
      </c>
      <c r="AI99" s="127">
        <f>IFERROR(Z99*'FlightConfig '!$K$23,"")</f>
        <v>0</v>
      </c>
      <c r="AJ99" s="127">
        <f>IFERROR(AA99*'FlightConfig '!$K$23,"")</f>
        <v>0</v>
      </c>
      <c r="AK99" s="127">
        <f>IFERROR(AB99*'FlightConfig '!$K$23,"")</f>
        <v>0</v>
      </c>
    </row>
    <row r="100" spans="1:37" ht="18.75" customHeight="1" x14ac:dyDescent="0.25">
      <c r="A100" t="s">
        <v>133</v>
      </c>
      <c r="B100" s="171">
        <v>1</v>
      </c>
      <c r="C100" s="176" t="str">
        <f t="shared" si="56"/>
        <v>BUSINESS CLASS1110</v>
      </c>
      <c r="D100" s="172"/>
      <c r="E100" s="304">
        <v>1026</v>
      </c>
      <c r="F100" s="311">
        <v>110</v>
      </c>
      <c r="G100" t="str">
        <f>VLOOKUP(E100,'FG MASTER'!$A$10:$AB$218,2,0)</f>
        <v>BC C1 BREAKFAST SIDE OPTION 1 FIRED CHICKEN BISCUIT WITH TOMATO JAM</v>
      </c>
      <c r="H100" s="286">
        <v>1</v>
      </c>
      <c r="I100" s="173">
        <v>0</v>
      </c>
      <c r="J100" s="292">
        <f>IFERROR(IF(I100="std",H100,HLOOKUP(A100,'FlightConfig '!$B$34:$G$35,2,0)*I100),"")</f>
        <v>0</v>
      </c>
      <c r="K100" s="245">
        <f>VLOOKUP(Food!E100,'FG MASTER'!$A$1:$AC$536,16,0)</f>
        <v>1.1399999999999999</v>
      </c>
      <c r="L100" s="246">
        <f>VLOOKUP(Food!E100,'FG MASTER'!$A$10:$AC$536,17,0)</f>
        <v>2</v>
      </c>
      <c r="M100" s="132">
        <f t="shared" si="57"/>
        <v>0.8</v>
      </c>
      <c r="N100" s="132">
        <f t="shared" si="58"/>
        <v>1.94</v>
      </c>
      <c r="O100" s="132">
        <f t="shared" si="36"/>
        <v>0.17099999999999982</v>
      </c>
      <c r="P100" s="132">
        <f t="shared" si="37"/>
        <v>0.11999999999999988</v>
      </c>
      <c r="Q100" s="132">
        <f t="shared" si="59"/>
        <v>2.2309999999999999</v>
      </c>
      <c r="R100" s="405">
        <f t="shared" si="39"/>
        <v>1.3109999999999997</v>
      </c>
      <c r="S100" s="405">
        <f t="shared" si="40"/>
        <v>0.91999999999999993</v>
      </c>
      <c r="T100" s="405">
        <f t="shared" si="41"/>
        <v>2.2309999999999999</v>
      </c>
      <c r="U100" s="127"/>
      <c r="V100" s="127"/>
      <c r="W100" t="str">
        <f>IFERROR(#REF!*J100,"")</f>
        <v/>
      </c>
      <c r="X100">
        <f t="shared" si="42"/>
        <v>0</v>
      </c>
      <c r="Y100">
        <f t="shared" si="43"/>
        <v>0</v>
      </c>
      <c r="Z100" s="127">
        <f t="shared" si="44"/>
        <v>0</v>
      </c>
      <c r="AA100" s="127">
        <f t="shared" si="45"/>
        <v>0</v>
      </c>
      <c r="AB100" s="127">
        <f t="shared" si="46"/>
        <v>0</v>
      </c>
      <c r="AC100" s="127">
        <f t="shared" si="47"/>
        <v>0</v>
      </c>
      <c r="AD100" s="127">
        <f t="shared" si="48"/>
        <v>0</v>
      </c>
      <c r="AF100" s="127" t="str">
        <f>IFERROR(W100*'FlightConfig '!$K$3,"")</f>
        <v/>
      </c>
      <c r="AG100" s="127">
        <f>IFERROR(X100*'FlightConfig '!$K$23,"")</f>
        <v>0</v>
      </c>
      <c r="AH100" s="127">
        <f>IFERROR(Y100*'FlightConfig '!$K$23,"")</f>
        <v>0</v>
      </c>
      <c r="AI100" s="127">
        <f>IFERROR(Z100*'FlightConfig '!$K$23,"")</f>
        <v>0</v>
      </c>
      <c r="AJ100" s="127">
        <f>IFERROR(AA100*'FlightConfig '!$K$23,"")</f>
        <v>0</v>
      </c>
      <c r="AK100" s="127">
        <f>IFERROR(AB100*'FlightConfig '!$K$23,"")</f>
        <v>0</v>
      </c>
    </row>
    <row r="101" spans="1:37" ht="18.75" customHeight="1" x14ac:dyDescent="0.25">
      <c r="A101" t="s">
        <v>133</v>
      </c>
      <c r="B101" s="171">
        <v>1</v>
      </c>
      <c r="C101" s="176" t="str">
        <f t="shared" si="56"/>
        <v>BUSINESS CLASS1110</v>
      </c>
      <c r="D101" s="172"/>
      <c r="E101" s="305">
        <v>1027</v>
      </c>
      <c r="F101" s="311">
        <v>110</v>
      </c>
      <c r="G101" t="str">
        <f>VLOOKUP(E101,'FG MASTER'!$A$10:$AB$218,2,0)</f>
        <v xml:space="preserve">BC C1 BREAKFAST SIDE OPTION 2 CHOCOLATE CROISSANT </v>
      </c>
      <c r="H101" s="286">
        <v>1</v>
      </c>
      <c r="I101" s="173">
        <v>0</v>
      </c>
      <c r="J101" s="292">
        <f>IFERROR(IF(I101="std",H101,HLOOKUP(A101,'FlightConfig '!$B$34:$G$35,2,0)*I101),"")</f>
        <v>0</v>
      </c>
      <c r="K101" s="245">
        <f>VLOOKUP(Food!E101,'FG MASTER'!$A$1:$AC$536,16,0)</f>
        <v>1.1599999999999999</v>
      </c>
      <c r="L101" s="246">
        <f>VLOOKUP(Food!E101,'FG MASTER'!$A$10:$AC$536,17,0)</f>
        <v>0.5</v>
      </c>
      <c r="M101" s="132">
        <f t="shared" si="57"/>
        <v>0.2</v>
      </c>
      <c r="N101" s="132">
        <f t="shared" si="58"/>
        <v>1.3599999999999999</v>
      </c>
      <c r="O101" s="132">
        <f t="shared" si="36"/>
        <v>0.17399999999999993</v>
      </c>
      <c r="P101" s="132">
        <f t="shared" si="37"/>
        <v>2.9999999999999971E-2</v>
      </c>
      <c r="Q101" s="132">
        <f t="shared" si="59"/>
        <v>1.5639999999999998</v>
      </c>
      <c r="R101" s="405">
        <f t="shared" si="39"/>
        <v>1.3339999999999999</v>
      </c>
      <c r="S101" s="405">
        <f t="shared" si="40"/>
        <v>0.22999999999999998</v>
      </c>
      <c r="T101" s="405">
        <f t="shared" si="41"/>
        <v>1.5639999999999998</v>
      </c>
      <c r="U101" s="127"/>
      <c r="V101" s="127"/>
      <c r="W101" t="str">
        <f>IFERROR(#REF!*J101,"")</f>
        <v/>
      </c>
      <c r="X101">
        <f t="shared" si="42"/>
        <v>0</v>
      </c>
      <c r="Y101">
        <f t="shared" si="43"/>
        <v>0</v>
      </c>
      <c r="Z101" s="127">
        <f t="shared" si="44"/>
        <v>0</v>
      </c>
      <c r="AA101" s="127">
        <f t="shared" si="45"/>
        <v>0</v>
      </c>
      <c r="AB101" s="127">
        <f t="shared" si="46"/>
        <v>0</v>
      </c>
      <c r="AC101" s="127">
        <f t="shared" si="47"/>
        <v>0</v>
      </c>
      <c r="AD101" s="127">
        <f t="shared" si="48"/>
        <v>0</v>
      </c>
      <c r="AF101" s="127" t="str">
        <f>IFERROR(W101*'FlightConfig '!$K$3,"")</f>
        <v/>
      </c>
      <c r="AG101" s="127">
        <f>IFERROR(X101*'FlightConfig '!$K$23,"")</f>
        <v>0</v>
      </c>
      <c r="AH101" s="127">
        <f>IFERROR(Y101*'FlightConfig '!$K$23,"")</f>
        <v>0</v>
      </c>
      <c r="AI101" s="127">
        <f>IFERROR(Z101*'FlightConfig '!$K$23,"")</f>
        <v>0</v>
      </c>
      <c r="AJ101" s="127">
        <f>IFERROR(AA101*'FlightConfig '!$K$23,"")</f>
        <v>0</v>
      </c>
      <c r="AK101" s="127">
        <f>IFERROR(AB101*'FlightConfig '!$K$23,"")</f>
        <v>0</v>
      </c>
    </row>
    <row r="102" spans="1:37" ht="18.75" customHeight="1" x14ac:dyDescent="0.25">
      <c r="A102" t="s">
        <v>134</v>
      </c>
      <c r="B102" s="171">
        <v>1</v>
      </c>
      <c r="C102" s="176" t="str">
        <f t="shared" si="56"/>
        <v>PREMIUM ECONOMY CLASS1110</v>
      </c>
      <c r="D102" s="312"/>
      <c r="E102" s="305">
        <v>1028</v>
      </c>
      <c r="F102" s="311">
        <v>110</v>
      </c>
      <c r="G102" t="str">
        <f>VLOOKUP(E102,'FG MASTER'!$A$10:$AB$218,2,0)</f>
        <v xml:space="preserve">PY C1 DINNER GEORGIA PEACH CHILI WHIPPED BUTTER </v>
      </c>
      <c r="H102" s="286">
        <v>1</v>
      </c>
      <c r="I102" s="173">
        <v>1</v>
      </c>
      <c r="J102" s="292">
        <f>IFERROR(IF(I102="std",H102,HLOOKUP(A102,'FlightConfig '!$B$34:$G$35,2,0)*I102),"")</f>
        <v>44</v>
      </c>
      <c r="K102" s="245">
        <f>VLOOKUP(Food!E102,'FG MASTER'!$A$1:$AC$536,16,0)</f>
        <v>0.47</v>
      </c>
      <c r="L102" s="246">
        <f>VLOOKUP(Food!E102,'FG MASTER'!$A$10:$AC$536,17,0)</f>
        <v>0.5</v>
      </c>
      <c r="M102" s="132">
        <f t="shared" si="57"/>
        <v>0.2</v>
      </c>
      <c r="N102" s="132">
        <f t="shared" si="58"/>
        <v>0.66999999999999993</v>
      </c>
      <c r="O102" s="132">
        <f t="shared" si="36"/>
        <v>7.0500000000000007E-2</v>
      </c>
      <c r="P102" s="132">
        <f t="shared" si="37"/>
        <v>2.9999999999999971E-2</v>
      </c>
      <c r="Q102" s="132">
        <f t="shared" si="59"/>
        <v>0.77049999999999996</v>
      </c>
      <c r="R102" s="405">
        <f t="shared" si="39"/>
        <v>0.54049999999999998</v>
      </c>
      <c r="S102" s="405">
        <f t="shared" si="40"/>
        <v>0.22999999999999998</v>
      </c>
      <c r="T102" s="405">
        <f t="shared" si="41"/>
        <v>0.77049999999999996</v>
      </c>
      <c r="U102" s="127"/>
      <c r="V102" s="127"/>
      <c r="W102" t="str">
        <f>IFERROR(#REF!*J102,"")</f>
        <v/>
      </c>
      <c r="X102">
        <f t="shared" si="42"/>
        <v>20.68</v>
      </c>
      <c r="Y102">
        <f t="shared" si="43"/>
        <v>22</v>
      </c>
      <c r="Z102" s="127">
        <f t="shared" si="44"/>
        <v>8.8000000000000007</v>
      </c>
      <c r="AA102" s="127">
        <f t="shared" si="45"/>
        <v>29.479999999999997</v>
      </c>
      <c r="AB102" s="127">
        <f t="shared" si="46"/>
        <v>3.1020000000000003</v>
      </c>
      <c r="AC102" s="127">
        <f t="shared" si="47"/>
        <v>1.3199999999999987</v>
      </c>
      <c r="AD102" s="127">
        <f t="shared" si="48"/>
        <v>33.902000000000001</v>
      </c>
      <c r="AF102" s="127" t="str">
        <f>IFERROR(W102*'FlightConfig '!$K$3,"")</f>
        <v/>
      </c>
      <c r="AG102" s="127">
        <f>IFERROR(X102*'FlightConfig '!$K$23,"")</f>
        <v>7527.5199999999995</v>
      </c>
      <c r="AH102" s="127">
        <f>IFERROR(Y102*'FlightConfig '!$K$23,"")</f>
        <v>8008</v>
      </c>
      <c r="AI102" s="127">
        <f>IFERROR(Z102*'FlightConfig '!$K$23,"")</f>
        <v>3203.2000000000003</v>
      </c>
      <c r="AJ102" s="127">
        <f>IFERROR(AA102*'FlightConfig '!$K$23,"")</f>
        <v>10730.72</v>
      </c>
      <c r="AK102" s="127">
        <f>IFERROR(AB102*'FlightConfig '!$K$23,"")</f>
        <v>1129.1280000000002</v>
      </c>
    </row>
    <row r="103" spans="1:37" ht="18.75" customHeight="1" x14ac:dyDescent="0.25">
      <c r="A103" t="s">
        <v>134</v>
      </c>
      <c r="B103" s="171">
        <v>1</v>
      </c>
      <c r="C103" s="176" t="str">
        <f t="shared" si="56"/>
        <v>PREMIUM ECONOMY CLASS1110</v>
      </c>
      <c r="D103" s="312"/>
      <c r="E103" s="305">
        <v>1029</v>
      </c>
      <c r="F103" s="311">
        <v>110</v>
      </c>
      <c r="G103" t="str">
        <f>VLOOKUP(E103,'FG MASTER'!$A$10:$AB$218,2,0)</f>
        <v xml:space="preserve">PY C1 DINNER SWEETWATER BEET AND CHEESE ROLL </v>
      </c>
      <c r="H103" s="286">
        <v>1</v>
      </c>
      <c r="I103" s="173">
        <v>1</v>
      </c>
      <c r="J103" s="292">
        <f>IFERROR(IF(I103="std",H103,HLOOKUP(A103,'FlightConfig '!$B$34:$G$35,2,0)*I103),"")</f>
        <v>44</v>
      </c>
      <c r="K103" s="245">
        <f>VLOOKUP(Food!E103,'FG MASTER'!$A$1:$AC$536,16,0)</f>
        <v>0.3</v>
      </c>
      <c r="L103" s="246">
        <f>VLOOKUP(Food!E103,'FG MASTER'!$A$10:$AC$536,17,0)</f>
        <v>0.25</v>
      </c>
      <c r="M103" s="132">
        <f t="shared" si="57"/>
        <v>0.1</v>
      </c>
      <c r="N103" s="132">
        <f t="shared" si="58"/>
        <v>0.4</v>
      </c>
      <c r="O103" s="132">
        <f t="shared" si="36"/>
        <v>4.4999999999999984E-2</v>
      </c>
      <c r="P103" s="132">
        <f t="shared" si="37"/>
        <v>1.4999999999999986E-2</v>
      </c>
      <c r="Q103" s="132">
        <f t="shared" ref="Q103:Q118" si="60">SUM(N103:P103)</f>
        <v>0.45999999999999996</v>
      </c>
      <c r="R103" s="405">
        <f t="shared" si="39"/>
        <v>0.34499999999999997</v>
      </c>
      <c r="S103" s="405">
        <f t="shared" si="40"/>
        <v>0.11499999999999999</v>
      </c>
      <c r="T103" s="405">
        <f t="shared" si="41"/>
        <v>0.45999999999999996</v>
      </c>
      <c r="U103" s="127"/>
      <c r="V103" s="127"/>
      <c r="W103" t="str">
        <f>IFERROR(#REF!*J103,"")</f>
        <v/>
      </c>
      <c r="X103">
        <f t="shared" si="42"/>
        <v>13.2</v>
      </c>
      <c r="Y103">
        <f t="shared" si="43"/>
        <v>11</v>
      </c>
      <c r="Z103" s="127">
        <f t="shared" si="44"/>
        <v>4.4000000000000004</v>
      </c>
      <c r="AA103" s="127">
        <f t="shared" si="45"/>
        <v>17.600000000000001</v>
      </c>
      <c r="AB103" s="127">
        <f t="shared" si="46"/>
        <v>1.9799999999999993</v>
      </c>
      <c r="AC103" s="127">
        <f t="shared" si="47"/>
        <v>0.65999999999999936</v>
      </c>
      <c r="AD103" s="127">
        <f t="shared" si="48"/>
        <v>20.239999999999998</v>
      </c>
      <c r="AF103" s="127" t="str">
        <f>IFERROR(W103*'FlightConfig '!$K$3,"")</f>
        <v/>
      </c>
      <c r="AG103" s="127">
        <f>IFERROR(X103*'FlightConfig '!$K$23,"")</f>
        <v>4804.8</v>
      </c>
      <c r="AH103" s="127">
        <f>IFERROR(Y103*'FlightConfig '!$K$23,"")</f>
        <v>4004</v>
      </c>
      <c r="AI103" s="127">
        <f>IFERROR(Z103*'FlightConfig '!$K$23,"")</f>
        <v>1601.6000000000001</v>
      </c>
      <c r="AJ103" s="127">
        <f>IFERROR(AA103*'FlightConfig '!$K$23,"")</f>
        <v>6406.4000000000005</v>
      </c>
      <c r="AK103" s="127">
        <f>IFERROR(AB103*'FlightConfig '!$K$23,"")</f>
        <v>720.7199999999998</v>
      </c>
    </row>
    <row r="104" spans="1:37" ht="18.75" customHeight="1" x14ac:dyDescent="0.25">
      <c r="A104" t="s">
        <v>134</v>
      </c>
      <c r="B104" s="171">
        <v>1</v>
      </c>
      <c r="C104" s="176" t="str">
        <f t="shared" si="56"/>
        <v>PREMIUM ECONOMY CLASS1110</v>
      </c>
      <c r="D104" s="312"/>
      <c r="E104" s="305">
        <v>1030</v>
      </c>
      <c r="F104" s="311">
        <v>110</v>
      </c>
      <c r="G104" t="str">
        <f>VLOOKUP(E104,'FG MASTER'!$A$10:$AB$218,2,0)</f>
        <v xml:space="preserve">PY C1 DINNER STARTER MESCLUN MIX WITH CUCUMBER, CARROT AND BOCCONCINI MOZAZARELLA BALL </v>
      </c>
      <c r="H104" s="286">
        <v>1</v>
      </c>
      <c r="I104" s="173">
        <v>1</v>
      </c>
      <c r="J104" s="292">
        <f>IFERROR(IF(I104="std",H104,HLOOKUP(A104,'FlightConfig '!$B$34:$G$35,2,0)*I104),"")</f>
        <v>44</v>
      </c>
      <c r="K104" s="245">
        <f>VLOOKUP(Food!E104,'FG MASTER'!$A$1:$AC$536,16,0)</f>
        <v>0.56000000000000005</v>
      </c>
      <c r="L104" s="246">
        <f>VLOOKUP(Food!E104,'FG MASTER'!$A$10:$AC$536,17,0)</f>
        <v>1.25</v>
      </c>
      <c r="M104" s="132">
        <f t="shared" si="57"/>
        <v>0.5</v>
      </c>
      <c r="N104" s="132">
        <f t="shared" si="58"/>
        <v>1.06</v>
      </c>
      <c r="O104" s="132">
        <f t="shared" si="36"/>
        <v>8.3999999999999964E-2</v>
      </c>
      <c r="P104" s="132">
        <f t="shared" si="37"/>
        <v>7.4999999999999956E-2</v>
      </c>
      <c r="Q104" s="132">
        <f t="shared" si="60"/>
        <v>1.2190000000000001</v>
      </c>
      <c r="R104" s="405">
        <f t="shared" si="39"/>
        <v>0.64400000000000002</v>
      </c>
      <c r="S104" s="405">
        <f t="shared" si="40"/>
        <v>0.57499999999999996</v>
      </c>
      <c r="T104" s="405">
        <f t="shared" si="41"/>
        <v>1.2189999999999999</v>
      </c>
      <c r="U104" s="127"/>
      <c r="V104" s="127"/>
      <c r="W104" t="str">
        <f>IFERROR(#REF!*J104,"")</f>
        <v/>
      </c>
      <c r="X104">
        <f t="shared" si="42"/>
        <v>24.64</v>
      </c>
      <c r="Y104">
        <f t="shared" si="43"/>
        <v>55</v>
      </c>
      <c r="Z104" s="127">
        <f t="shared" si="44"/>
        <v>22</v>
      </c>
      <c r="AA104" s="127">
        <f t="shared" si="45"/>
        <v>46.64</v>
      </c>
      <c r="AB104" s="127">
        <f t="shared" si="46"/>
        <v>3.6959999999999984</v>
      </c>
      <c r="AC104" s="127">
        <f t="shared" si="47"/>
        <v>3.299999999999998</v>
      </c>
      <c r="AD104" s="127">
        <f t="shared" si="48"/>
        <v>53.636000000000003</v>
      </c>
      <c r="AF104" s="127" t="str">
        <f>IFERROR(W104*'FlightConfig '!$K$3,"")</f>
        <v/>
      </c>
      <c r="AG104" s="127">
        <f>IFERROR(X104*'FlightConfig '!$K$23,"")</f>
        <v>8968.9600000000009</v>
      </c>
      <c r="AH104" s="127">
        <f>IFERROR(Y104*'FlightConfig '!$K$23,"")</f>
        <v>20020</v>
      </c>
      <c r="AI104" s="127">
        <f>IFERROR(Z104*'FlightConfig '!$K$23,"")</f>
        <v>8008</v>
      </c>
      <c r="AJ104" s="127">
        <f>IFERROR(AA104*'FlightConfig '!$K$23,"")</f>
        <v>16976.96</v>
      </c>
      <c r="AK104" s="127">
        <f>IFERROR(AB104*'FlightConfig '!$K$23,"")</f>
        <v>1345.3439999999994</v>
      </c>
    </row>
    <row r="105" spans="1:37" ht="18.75" customHeight="1" x14ac:dyDescent="0.25">
      <c r="A105" t="s">
        <v>134</v>
      </c>
      <c r="B105" s="171">
        <v>1</v>
      </c>
      <c r="C105" s="176" t="str">
        <f t="shared" si="56"/>
        <v>PREMIUM ECONOMY CLASS1110</v>
      </c>
      <c r="D105" s="312"/>
      <c r="E105" s="305">
        <v>1031</v>
      </c>
      <c r="F105" s="311">
        <v>110</v>
      </c>
      <c r="G105" t="str">
        <f>VLOOKUP(E105,'FG MASTER'!$A$10:$AB$218,2,0)</f>
        <v>PY C1 DINNER ENTRÉE 1 MARYLAND STULE CRAB CAKE, ARTOCHOKE RISOTTA, ASPARAGUS, LEMON DILL BEURRE BLANC</v>
      </c>
      <c r="H105" s="286">
        <v>1</v>
      </c>
      <c r="I105" s="173">
        <v>0.5</v>
      </c>
      <c r="J105" s="292">
        <f>IFERROR(IF(I105="std",H105,HLOOKUP(A105,'FlightConfig '!$B$34:$G$35,2,0)*I105),"")</f>
        <v>22</v>
      </c>
      <c r="K105" s="245">
        <f>VLOOKUP(Food!E105,'FG MASTER'!$A$1:$AC$536,16,0)</f>
        <v>10.43</v>
      </c>
      <c r="L105" s="246">
        <f>VLOOKUP(Food!E105,'FG MASTER'!$A$10:$AC$536,17,0)</f>
        <v>5.5</v>
      </c>
      <c r="M105" s="132">
        <f t="shared" si="57"/>
        <v>2.2000000000000002</v>
      </c>
      <c r="N105" s="132">
        <f t="shared" si="58"/>
        <v>12.629999999999999</v>
      </c>
      <c r="O105" s="132">
        <f t="shared" si="36"/>
        <v>1.5644999999999989</v>
      </c>
      <c r="P105" s="132">
        <f t="shared" si="37"/>
        <v>0.32999999999999963</v>
      </c>
      <c r="Q105" s="132">
        <f t="shared" si="60"/>
        <v>14.524499999999998</v>
      </c>
      <c r="R105" s="405">
        <f t="shared" si="39"/>
        <v>11.994499999999999</v>
      </c>
      <c r="S105" s="405">
        <f t="shared" si="40"/>
        <v>2.5299999999999998</v>
      </c>
      <c r="T105" s="405">
        <f t="shared" si="41"/>
        <v>14.524499999999998</v>
      </c>
      <c r="U105" s="127"/>
      <c r="V105" s="127"/>
      <c r="W105" t="str">
        <f>IFERROR(#REF!*J105,"")</f>
        <v/>
      </c>
      <c r="X105">
        <f t="shared" si="42"/>
        <v>229.45999999999998</v>
      </c>
      <c r="Y105">
        <f t="shared" si="43"/>
        <v>121</v>
      </c>
      <c r="Z105" s="127">
        <f t="shared" si="44"/>
        <v>48.400000000000006</v>
      </c>
      <c r="AA105" s="127">
        <f t="shared" si="45"/>
        <v>277.85999999999996</v>
      </c>
      <c r="AB105" s="127">
        <f t="shared" si="46"/>
        <v>34.418999999999976</v>
      </c>
      <c r="AC105" s="127">
        <f t="shared" si="47"/>
        <v>7.2599999999999918</v>
      </c>
      <c r="AD105" s="127">
        <f t="shared" si="48"/>
        <v>319.53899999999993</v>
      </c>
      <c r="AF105" s="127" t="str">
        <f>IFERROR(W105*'FlightConfig '!$K$3,"")</f>
        <v/>
      </c>
      <c r="AG105" s="127">
        <f>IFERROR(X105*'FlightConfig '!$K$23,"")</f>
        <v>83523.439999999988</v>
      </c>
      <c r="AH105" s="127">
        <f>IFERROR(Y105*'FlightConfig '!$K$23,"")</f>
        <v>44044</v>
      </c>
      <c r="AI105" s="127">
        <f>IFERROR(Z105*'FlightConfig '!$K$23,"")</f>
        <v>17617.600000000002</v>
      </c>
      <c r="AJ105" s="127">
        <f>IFERROR(AA105*'FlightConfig '!$K$23,"")</f>
        <v>101141.03999999998</v>
      </c>
      <c r="AK105" s="127">
        <f>IFERROR(AB105*'FlightConfig '!$K$23,"")</f>
        <v>12528.515999999991</v>
      </c>
    </row>
    <row r="106" spans="1:37" ht="18.75" customHeight="1" x14ac:dyDescent="0.25">
      <c r="A106" t="s">
        <v>134</v>
      </c>
      <c r="B106" s="171">
        <v>1</v>
      </c>
      <c r="C106" s="176" t="str">
        <f t="shared" si="56"/>
        <v>PREMIUM ECONOMY CLASS1110</v>
      </c>
      <c r="D106" s="312"/>
      <c r="E106" s="305">
        <v>1032</v>
      </c>
      <c r="F106" s="311">
        <v>110</v>
      </c>
      <c r="G106" t="str">
        <f>VLOOKUP(E106,'FG MASTER'!$A$10:$AB$218,2,0)</f>
        <v>PY C1 DINNER ENTRÉE 2 GRILLED CHICKEN KEBAB, HONEY HARISSA GLAZE, ROASTED RED PEPPER, LEMON HERB RICE, FETA CHEESE</v>
      </c>
      <c r="H106" s="286">
        <v>1</v>
      </c>
      <c r="I106" s="173">
        <v>0.35</v>
      </c>
      <c r="J106" s="292">
        <f>IFERROR(IF(I106="std",H106,HLOOKUP(A106,'FlightConfig '!$B$34:$G$35,2,0)*I106),"")</f>
        <v>15.399999999999999</v>
      </c>
      <c r="K106" s="245">
        <f>VLOOKUP(Food!E106,'FG MASTER'!$A$1:$AC$536,16,0)</f>
        <v>2.19</v>
      </c>
      <c r="L106" s="246">
        <f>VLOOKUP(Food!E106,'FG MASTER'!$A$10:$AC$536,17,0)</f>
        <v>5.5</v>
      </c>
      <c r="M106" s="132">
        <f t="shared" si="57"/>
        <v>2.2000000000000002</v>
      </c>
      <c r="N106" s="132">
        <f t="shared" si="58"/>
        <v>4.3900000000000006</v>
      </c>
      <c r="O106" s="132">
        <f t="shared" si="36"/>
        <v>0.32850000000000001</v>
      </c>
      <c r="P106" s="132">
        <f t="shared" si="37"/>
        <v>0.32999999999999963</v>
      </c>
      <c r="Q106" s="132">
        <f t="shared" si="60"/>
        <v>5.0485000000000007</v>
      </c>
      <c r="R106" s="405">
        <f t="shared" si="39"/>
        <v>2.5185</v>
      </c>
      <c r="S106" s="405">
        <f t="shared" si="40"/>
        <v>2.5299999999999998</v>
      </c>
      <c r="T106" s="405">
        <f t="shared" si="41"/>
        <v>5.0484999999999998</v>
      </c>
      <c r="U106" s="127"/>
      <c r="V106" s="127"/>
      <c r="W106" t="str">
        <f>IFERROR(#REF!*J106,"")</f>
        <v/>
      </c>
      <c r="X106">
        <f t="shared" si="42"/>
        <v>33.725999999999999</v>
      </c>
      <c r="Y106">
        <f t="shared" si="43"/>
        <v>84.699999999999989</v>
      </c>
      <c r="Z106" s="127">
        <f t="shared" si="44"/>
        <v>33.880000000000003</v>
      </c>
      <c r="AA106" s="127">
        <f t="shared" si="45"/>
        <v>67.606000000000009</v>
      </c>
      <c r="AB106" s="127">
        <f t="shared" si="46"/>
        <v>5.0588999999999995</v>
      </c>
      <c r="AC106" s="127">
        <f t="shared" si="47"/>
        <v>5.0819999999999936</v>
      </c>
      <c r="AD106" s="127">
        <f t="shared" si="48"/>
        <v>77.746899999999997</v>
      </c>
      <c r="AF106" s="127" t="str">
        <f>IFERROR(W106*'FlightConfig '!$K$3,"")</f>
        <v/>
      </c>
      <c r="AG106" s="127">
        <f>IFERROR(X106*'FlightConfig '!$K$23,"")</f>
        <v>12276.263999999999</v>
      </c>
      <c r="AH106" s="127">
        <f>IFERROR(Y106*'FlightConfig '!$K$23,"")</f>
        <v>30830.799999999996</v>
      </c>
      <c r="AI106" s="127">
        <f>IFERROR(Z106*'FlightConfig '!$K$23,"")</f>
        <v>12332.320000000002</v>
      </c>
      <c r="AJ106" s="127">
        <f>IFERROR(AA106*'FlightConfig '!$K$23,"")</f>
        <v>24608.584000000003</v>
      </c>
      <c r="AK106" s="127">
        <f>IFERROR(AB106*'FlightConfig '!$K$23,"")</f>
        <v>1841.4395999999999</v>
      </c>
    </row>
    <row r="107" spans="1:37" ht="18.75" customHeight="1" x14ac:dyDescent="0.25">
      <c r="A107" t="s">
        <v>134</v>
      </c>
      <c r="B107" s="171">
        <v>1</v>
      </c>
      <c r="C107" s="176" t="str">
        <f t="shared" si="56"/>
        <v>PREMIUM ECONOMY CLASS1110</v>
      </c>
      <c r="D107" s="312"/>
      <c r="E107" s="305">
        <v>1033</v>
      </c>
      <c r="F107" s="311">
        <v>110</v>
      </c>
      <c r="G107" t="str">
        <f>VLOOKUP(E107,'FG MASTER'!$A$10:$AB$218,2,0)</f>
        <v xml:space="preserve">PY C1 DINNER ENTRÉE 3 SMOKED MOZZARELLA RAVIOLI, MARINARA SAUCE, PESTO MARINATED BOCCONCINI MOZZARELLA, SHREDDED, PARMESAN, SPINACH </v>
      </c>
      <c r="H107" s="286">
        <v>1</v>
      </c>
      <c r="I107" s="173">
        <v>0.2</v>
      </c>
      <c r="J107" s="292">
        <f>IFERROR(IF(I107="std",H107,HLOOKUP(A107,'FlightConfig '!$B$34:$G$35,2,0)*I107),"")</f>
        <v>8.8000000000000007</v>
      </c>
      <c r="K107" s="245">
        <f>VLOOKUP(Food!E107,'FG MASTER'!$A$1:$AC$536,16,0)</f>
        <v>4.2</v>
      </c>
      <c r="L107" s="246">
        <f>VLOOKUP(Food!E107,'FG MASTER'!$A$10:$AC$536,17,0)</f>
        <v>3.25</v>
      </c>
      <c r="M107" s="132">
        <f t="shared" si="57"/>
        <v>1.3</v>
      </c>
      <c r="N107" s="132">
        <f t="shared" si="58"/>
        <v>5.5</v>
      </c>
      <c r="O107" s="132">
        <f t="shared" si="36"/>
        <v>0.62999999999999989</v>
      </c>
      <c r="P107" s="132">
        <f t="shared" si="37"/>
        <v>0.19499999999999984</v>
      </c>
      <c r="Q107" s="132">
        <f t="shared" si="60"/>
        <v>6.3249999999999993</v>
      </c>
      <c r="R107" s="405">
        <f t="shared" si="39"/>
        <v>4.83</v>
      </c>
      <c r="S107" s="405">
        <f t="shared" si="40"/>
        <v>1.4949999999999999</v>
      </c>
      <c r="T107" s="405">
        <f t="shared" si="41"/>
        <v>6.3250000000000002</v>
      </c>
      <c r="U107" s="127"/>
      <c r="V107" s="127"/>
      <c r="W107" t="str">
        <f>IFERROR(#REF!*J107,"")</f>
        <v/>
      </c>
      <c r="X107">
        <f t="shared" si="42"/>
        <v>36.960000000000008</v>
      </c>
      <c r="Y107">
        <f t="shared" si="43"/>
        <v>28.6</v>
      </c>
      <c r="Z107" s="127">
        <f t="shared" si="44"/>
        <v>11.440000000000001</v>
      </c>
      <c r="AA107" s="127">
        <f t="shared" si="45"/>
        <v>48.400000000000006</v>
      </c>
      <c r="AB107" s="127">
        <f t="shared" si="46"/>
        <v>5.5439999999999996</v>
      </c>
      <c r="AC107" s="127">
        <f t="shared" si="47"/>
        <v>1.7159999999999986</v>
      </c>
      <c r="AD107" s="127">
        <f t="shared" si="48"/>
        <v>55.66</v>
      </c>
      <c r="AF107" s="127" t="str">
        <f>IFERROR(W107*'FlightConfig '!$K$3,"")</f>
        <v/>
      </c>
      <c r="AG107" s="127">
        <f>IFERROR(X107*'FlightConfig '!$K$23,"")</f>
        <v>13453.440000000002</v>
      </c>
      <c r="AH107" s="127">
        <f>IFERROR(Y107*'FlightConfig '!$K$23,"")</f>
        <v>10410.4</v>
      </c>
      <c r="AI107" s="127">
        <f>IFERROR(Z107*'FlightConfig '!$K$23,"")</f>
        <v>4164.1600000000008</v>
      </c>
      <c r="AJ107" s="127">
        <f>IFERROR(AA107*'FlightConfig '!$K$23,"")</f>
        <v>17617.600000000002</v>
      </c>
      <c r="AK107" s="127">
        <f>IFERROR(AB107*'FlightConfig '!$K$23,"")</f>
        <v>2018.0159999999998</v>
      </c>
    </row>
    <row r="108" spans="1:37" ht="18.75" customHeight="1" x14ac:dyDescent="0.25">
      <c r="A108" t="s">
        <v>134</v>
      </c>
      <c r="B108" s="171">
        <v>1</v>
      </c>
      <c r="C108" s="176" t="str">
        <f t="shared" si="56"/>
        <v>PREMIUM ECONOMY CLASS1110</v>
      </c>
      <c r="D108" s="312"/>
      <c r="E108" s="305">
        <v>1034</v>
      </c>
      <c r="F108" s="311">
        <v>110</v>
      </c>
      <c r="G108" t="str">
        <f>VLOOKUP(E108,'FG MASTER'!$A$10:$AB$218,2,0)</f>
        <v xml:space="preserve">PY C1 DINNER DESSERT BLACKBERRY PEACH COBBLER TART, CRÈME GRAICHE </v>
      </c>
      <c r="H108" s="286">
        <v>1</v>
      </c>
      <c r="I108" s="173">
        <v>1</v>
      </c>
      <c r="J108" s="292">
        <f>IFERROR(IF(I108="std",H108,HLOOKUP(A108,'FlightConfig '!$B$34:$G$35,2,0)*I108),"")</f>
        <v>44</v>
      </c>
      <c r="K108" s="245">
        <f>VLOOKUP(Food!E108,'FG MASTER'!$A$1:$AC$536,16,0)</f>
        <v>0.83</v>
      </c>
      <c r="L108" s="246">
        <f>VLOOKUP(Food!E108,'FG MASTER'!$A$10:$AC$536,17,0)</f>
        <v>1.25</v>
      </c>
      <c r="M108" s="132">
        <f t="shared" si="57"/>
        <v>0.5</v>
      </c>
      <c r="N108" s="132">
        <f t="shared" si="58"/>
        <v>1.33</v>
      </c>
      <c r="O108" s="132">
        <f t="shared" si="36"/>
        <v>0.12449999999999994</v>
      </c>
      <c r="P108" s="132">
        <f t="shared" si="37"/>
        <v>7.4999999999999956E-2</v>
      </c>
      <c r="Q108" s="132">
        <f t="shared" si="60"/>
        <v>1.5294999999999999</v>
      </c>
      <c r="R108" s="405">
        <f t="shared" si="39"/>
        <v>0.9544999999999999</v>
      </c>
      <c r="S108" s="405">
        <f t="shared" si="40"/>
        <v>0.57499999999999996</v>
      </c>
      <c r="T108" s="405">
        <f t="shared" si="41"/>
        <v>1.5294999999999999</v>
      </c>
      <c r="U108" s="127"/>
      <c r="V108" s="127"/>
      <c r="W108" t="str">
        <f>IFERROR(#REF!*J108,"")</f>
        <v/>
      </c>
      <c r="X108">
        <f t="shared" si="42"/>
        <v>36.519999999999996</v>
      </c>
      <c r="Y108">
        <f t="shared" si="43"/>
        <v>55</v>
      </c>
      <c r="Z108" s="127">
        <f t="shared" si="44"/>
        <v>22</v>
      </c>
      <c r="AA108" s="127">
        <f t="shared" si="45"/>
        <v>58.52</v>
      </c>
      <c r="AB108" s="127">
        <f t="shared" si="46"/>
        <v>5.477999999999998</v>
      </c>
      <c r="AC108" s="127">
        <f t="shared" si="47"/>
        <v>3.299999999999998</v>
      </c>
      <c r="AD108" s="127">
        <f t="shared" si="48"/>
        <v>67.297999999999988</v>
      </c>
      <c r="AF108" s="127" t="str">
        <f>IFERROR(W108*'FlightConfig '!$K$3,"")</f>
        <v/>
      </c>
      <c r="AG108" s="127">
        <f>IFERROR(X108*'FlightConfig '!$K$23,"")</f>
        <v>13293.279999999999</v>
      </c>
      <c r="AH108" s="127">
        <f>IFERROR(Y108*'FlightConfig '!$K$23,"")</f>
        <v>20020</v>
      </c>
      <c r="AI108" s="127">
        <f>IFERROR(Z108*'FlightConfig '!$K$23,"")</f>
        <v>8008</v>
      </c>
      <c r="AJ108" s="127">
        <f>IFERROR(AA108*'FlightConfig '!$K$23,"")</f>
        <v>21301.280000000002</v>
      </c>
      <c r="AK108" s="127">
        <f>IFERROR(AB108*'FlightConfig '!$K$23,"")</f>
        <v>1993.9919999999993</v>
      </c>
    </row>
    <row r="109" spans="1:37" ht="18.75" customHeight="1" x14ac:dyDescent="0.25">
      <c r="A109" t="s">
        <v>134</v>
      </c>
      <c r="B109" s="171">
        <v>1</v>
      </c>
      <c r="C109" s="176" t="str">
        <f t="shared" si="56"/>
        <v>PREMIUM ECONOMY CLASS1110</v>
      </c>
      <c r="D109" s="312"/>
      <c r="E109" s="305">
        <v>1035</v>
      </c>
      <c r="F109" s="311">
        <v>110</v>
      </c>
      <c r="G109" t="str">
        <f>VLOOKUP(E109,'FG MASTER'!$A$10:$AB$218,2,0)</f>
        <v xml:space="preserve">PY C1 DINNER CHEESE, THOMASVILLE TOMME, ASHER BLUE, ANGRY CUKES, MESCADINE JELLY </v>
      </c>
      <c r="H109" s="286">
        <v>1</v>
      </c>
      <c r="I109" s="173">
        <v>1</v>
      </c>
      <c r="J109" s="292">
        <f>IFERROR(IF(I109="std",H109,HLOOKUP(A109,'FlightConfig '!$B$34:$G$35,2,0)*I109),"")</f>
        <v>44</v>
      </c>
      <c r="K109" s="245">
        <f>VLOOKUP(Food!E109,'FG MASTER'!$A$1:$AC$536,16,0)</f>
        <v>1.9</v>
      </c>
      <c r="L109" s="246">
        <f>VLOOKUP(Food!E109,'FG MASTER'!$A$10:$AC$536,17,0)</f>
        <v>2</v>
      </c>
      <c r="M109" s="132">
        <f t="shared" si="57"/>
        <v>0.8</v>
      </c>
      <c r="N109" s="132">
        <f t="shared" si="58"/>
        <v>2.7</v>
      </c>
      <c r="O109" s="132">
        <f t="shared" si="36"/>
        <v>0.2849999999999997</v>
      </c>
      <c r="P109" s="132">
        <f t="shared" si="37"/>
        <v>0.11999999999999988</v>
      </c>
      <c r="Q109" s="132">
        <f t="shared" si="60"/>
        <v>3.1049999999999995</v>
      </c>
      <c r="R109" s="405">
        <f t="shared" si="39"/>
        <v>2.1849999999999996</v>
      </c>
      <c r="S109" s="405">
        <f t="shared" si="40"/>
        <v>0.91999999999999993</v>
      </c>
      <c r="T109" s="405">
        <f t="shared" si="41"/>
        <v>3.1049999999999995</v>
      </c>
      <c r="U109" s="127"/>
      <c r="V109" s="127"/>
      <c r="W109" t="str">
        <f>IFERROR(#REF!*J109,"")</f>
        <v/>
      </c>
      <c r="X109">
        <f t="shared" si="42"/>
        <v>83.6</v>
      </c>
      <c r="Y109">
        <f t="shared" si="43"/>
        <v>88</v>
      </c>
      <c r="Z109" s="127">
        <f t="shared" si="44"/>
        <v>35.200000000000003</v>
      </c>
      <c r="AA109" s="127">
        <f t="shared" si="45"/>
        <v>118.80000000000001</v>
      </c>
      <c r="AB109" s="127">
        <f t="shared" si="46"/>
        <v>12.539999999999987</v>
      </c>
      <c r="AC109" s="127">
        <f t="shared" si="47"/>
        <v>5.2799999999999949</v>
      </c>
      <c r="AD109" s="127">
        <f t="shared" si="48"/>
        <v>136.61999999999998</v>
      </c>
      <c r="AF109" s="127" t="str">
        <f>IFERROR(W109*'FlightConfig '!$K$3,"")</f>
        <v/>
      </c>
      <c r="AG109" s="127">
        <f>IFERROR(X109*'FlightConfig '!$K$23,"")</f>
        <v>30430.399999999998</v>
      </c>
      <c r="AH109" s="127">
        <f>IFERROR(Y109*'FlightConfig '!$K$23,"")</f>
        <v>32032</v>
      </c>
      <c r="AI109" s="127">
        <f>IFERROR(Z109*'FlightConfig '!$K$23,"")</f>
        <v>12812.800000000001</v>
      </c>
      <c r="AJ109" s="127">
        <f>IFERROR(AA109*'FlightConfig '!$K$23,"")</f>
        <v>43243.200000000004</v>
      </c>
      <c r="AK109" s="127">
        <f>IFERROR(AB109*'FlightConfig '!$K$23,"")</f>
        <v>4564.5599999999949</v>
      </c>
    </row>
    <row r="110" spans="1:37" ht="18.75" customHeight="1" x14ac:dyDescent="0.25">
      <c r="A110" t="s">
        <v>134</v>
      </c>
      <c r="B110" s="171">
        <v>1</v>
      </c>
      <c r="C110" s="176" t="str">
        <f t="shared" si="56"/>
        <v>PREMIUM ECONOMY CLASS1110</v>
      </c>
      <c r="D110" s="312"/>
      <c r="E110" s="305">
        <v>1036</v>
      </c>
      <c r="F110" s="311">
        <v>110</v>
      </c>
      <c r="G110" t="str">
        <f>VLOOKUP(E110,'FG MASTER'!$A$10:$AB$218,2,0)</f>
        <v>PY C1 BREAKFAST BUTTERMILK BISCUIT, SCRAMBLE EGG, MAPLE SAUISAGE GRAVY, CHICKEN SAUSAGE PATTY, ,SCALLIOM</v>
      </c>
      <c r="H110" s="286">
        <v>1</v>
      </c>
      <c r="I110" s="173">
        <v>0.5</v>
      </c>
      <c r="J110" s="292">
        <f>IFERROR(IF(I110="std",H110,HLOOKUP(A110,'FlightConfig '!$B$34:$G$35,2,0)*I110),"")</f>
        <v>22</v>
      </c>
      <c r="K110" s="245">
        <f>VLOOKUP(Food!E110,'FG MASTER'!$A$1:$AC$536,16,0)</f>
        <v>1.77</v>
      </c>
      <c r="L110" s="246">
        <f>VLOOKUP(Food!E110,'FG MASTER'!$A$10:$AC$536,17,0)</f>
        <v>3.25</v>
      </c>
      <c r="M110" s="132">
        <f t="shared" si="57"/>
        <v>1.3</v>
      </c>
      <c r="N110" s="132">
        <f t="shared" si="58"/>
        <v>3.0700000000000003</v>
      </c>
      <c r="O110" s="132">
        <f t="shared" si="36"/>
        <v>0.26549999999999985</v>
      </c>
      <c r="P110" s="132">
        <f t="shared" si="37"/>
        <v>0.19499999999999984</v>
      </c>
      <c r="Q110" s="132">
        <f t="shared" si="60"/>
        <v>3.5305</v>
      </c>
      <c r="R110" s="405">
        <f t="shared" si="39"/>
        <v>2.0354999999999999</v>
      </c>
      <c r="S110" s="405">
        <f t="shared" si="40"/>
        <v>1.4949999999999999</v>
      </c>
      <c r="T110" s="405">
        <f t="shared" si="41"/>
        <v>3.5305</v>
      </c>
      <c r="U110" s="127"/>
      <c r="V110" s="127"/>
      <c r="W110" t="str">
        <f>IFERROR(#REF!*J110,"")</f>
        <v/>
      </c>
      <c r="X110">
        <f t="shared" si="42"/>
        <v>38.94</v>
      </c>
      <c r="Y110">
        <f t="shared" si="43"/>
        <v>71.5</v>
      </c>
      <c r="Z110" s="127">
        <f t="shared" si="44"/>
        <v>28.6</v>
      </c>
      <c r="AA110" s="127">
        <f t="shared" si="45"/>
        <v>67.540000000000006</v>
      </c>
      <c r="AB110" s="127">
        <f t="shared" si="46"/>
        <v>5.8409999999999966</v>
      </c>
      <c r="AC110" s="127">
        <f t="shared" si="47"/>
        <v>4.2899999999999965</v>
      </c>
      <c r="AD110" s="127">
        <f t="shared" si="48"/>
        <v>77.670999999999992</v>
      </c>
      <c r="AF110" s="127" t="str">
        <f>IFERROR(W110*'FlightConfig '!$K$3,"")</f>
        <v/>
      </c>
      <c r="AG110" s="127">
        <f>IFERROR(X110*'FlightConfig '!$K$23,"")</f>
        <v>14174.16</v>
      </c>
      <c r="AH110" s="127">
        <f>IFERROR(Y110*'FlightConfig '!$K$23,"")</f>
        <v>26026</v>
      </c>
      <c r="AI110" s="127">
        <f>IFERROR(Z110*'FlightConfig '!$K$23,"")</f>
        <v>10410.4</v>
      </c>
      <c r="AJ110" s="127">
        <f>IFERROR(AA110*'FlightConfig '!$K$23,"")</f>
        <v>24584.560000000001</v>
      </c>
      <c r="AK110" s="127">
        <f>IFERROR(AB110*'FlightConfig '!$K$23,"")</f>
        <v>2126.1239999999989</v>
      </c>
    </row>
    <row r="111" spans="1:37" ht="18.75" customHeight="1" x14ac:dyDescent="0.25">
      <c r="A111" t="s">
        <v>134</v>
      </c>
      <c r="B111" s="171">
        <v>1</v>
      </c>
      <c r="C111" s="176" t="str">
        <f t="shared" si="56"/>
        <v>PREMIUM ECONOMY CLASS1110</v>
      </c>
      <c r="D111" s="312"/>
      <c r="E111" s="305">
        <v>1037</v>
      </c>
      <c r="F111" s="311">
        <v>110</v>
      </c>
      <c r="G111" t="str">
        <f>VLOOKUP(E111,'FG MASTER'!$A$10:$AB$218,2,0)</f>
        <v>PY C1 BREAKFAST SCRAMBLE EGG, GINGERLING POTATOES, ASPARAGUS, CHERRY TOMATOES</v>
      </c>
      <c r="H111" s="286">
        <v>1</v>
      </c>
      <c r="I111" s="173">
        <v>0.3</v>
      </c>
      <c r="J111" s="292">
        <f>IFERROR(IF(I111="std",H111,HLOOKUP(A111,'FlightConfig '!$B$34:$G$35,2,0)*I111),"")</f>
        <v>13.2</v>
      </c>
      <c r="K111" s="245">
        <f>VLOOKUP(Food!E111,'FG MASTER'!$A$1:$AC$536,16,0)</f>
        <v>1.77</v>
      </c>
      <c r="L111" s="246">
        <f>VLOOKUP(Food!E111,'FG MASTER'!$A$10:$AC$536,17,0)</f>
        <v>4</v>
      </c>
      <c r="M111" s="132">
        <f t="shared" si="57"/>
        <v>1.6</v>
      </c>
      <c r="N111" s="132">
        <f t="shared" si="58"/>
        <v>3.37</v>
      </c>
      <c r="O111" s="132">
        <f t="shared" si="36"/>
        <v>0.26549999999999985</v>
      </c>
      <c r="P111" s="132">
        <f t="shared" si="37"/>
        <v>0.23999999999999977</v>
      </c>
      <c r="Q111" s="132">
        <f t="shared" si="60"/>
        <v>3.8754999999999997</v>
      </c>
      <c r="R111" s="405">
        <f t="shared" si="39"/>
        <v>2.0354999999999999</v>
      </c>
      <c r="S111" s="405">
        <f t="shared" si="40"/>
        <v>1.8399999999999999</v>
      </c>
      <c r="T111" s="405">
        <f t="shared" si="41"/>
        <v>3.8754999999999997</v>
      </c>
      <c r="U111" s="127"/>
      <c r="V111" s="127"/>
      <c r="W111" t="str">
        <f>IFERROR(#REF!*J111,"")</f>
        <v/>
      </c>
      <c r="X111">
        <f t="shared" si="42"/>
        <v>23.363999999999997</v>
      </c>
      <c r="Y111">
        <f t="shared" si="43"/>
        <v>52.8</v>
      </c>
      <c r="Z111" s="127">
        <f t="shared" si="44"/>
        <v>21.12</v>
      </c>
      <c r="AA111" s="127">
        <f t="shared" si="45"/>
        <v>44.484000000000002</v>
      </c>
      <c r="AB111" s="127">
        <f t="shared" si="46"/>
        <v>3.5045999999999977</v>
      </c>
      <c r="AC111" s="127">
        <f t="shared" si="47"/>
        <v>3.1679999999999966</v>
      </c>
      <c r="AD111" s="127">
        <f t="shared" si="48"/>
        <v>51.15659999999999</v>
      </c>
      <c r="AF111" s="127" t="str">
        <f>IFERROR(W111*'FlightConfig '!$K$3,"")</f>
        <v/>
      </c>
      <c r="AG111" s="127">
        <f>IFERROR(X111*'FlightConfig '!$K$23,"")</f>
        <v>8504.4959999999992</v>
      </c>
      <c r="AH111" s="127">
        <f>IFERROR(Y111*'FlightConfig '!$K$23,"")</f>
        <v>19219.2</v>
      </c>
      <c r="AI111" s="127">
        <f>IFERROR(Z111*'FlightConfig '!$K$23,"")</f>
        <v>7687.68</v>
      </c>
      <c r="AJ111" s="127">
        <f>IFERROR(AA111*'FlightConfig '!$K$23,"")</f>
        <v>16192.176000000001</v>
      </c>
      <c r="AK111" s="127">
        <f>IFERROR(AB111*'FlightConfig '!$K$23,"")</f>
        <v>1275.6743999999992</v>
      </c>
    </row>
    <row r="112" spans="1:37" ht="18.75" customHeight="1" x14ac:dyDescent="0.25">
      <c r="A112" t="s">
        <v>134</v>
      </c>
      <c r="B112" s="171">
        <v>1</v>
      </c>
      <c r="C112" s="176" t="str">
        <f t="shared" si="56"/>
        <v>PREMIUM ECONOMY CLASS1110</v>
      </c>
      <c r="D112" s="312"/>
      <c r="E112" s="305">
        <v>1038</v>
      </c>
      <c r="F112" s="311">
        <v>110</v>
      </c>
      <c r="G112" t="str">
        <f>VLOOKUP(E112,'FG MASTER'!$A$10:$AB$218,2,0)</f>
        <v>PY C1 BREAKFAST CHALLAH FRENCH TOAST CASSEROLE, ORANGE WHIPPED RICOTTA, CHERRY COMPOTE</v>
      </c>
      <c r="H112" s="286">
        <v>1</v>
      </c>
      <c r="I112" s="173">
        <v>0.2</v>
      </c>
      <c r="J112" s="292">
        <f>IFERROR(IF(I112="std",H112,HLOOKUP(A112,'FlightConfig '!$B$34:$G$35,2,0)*I112),"")</f>
        <v>8.8000000000000007</v>
      </c>
      <c r="K112" s="245">
        <f>VLOOKUP(Food!E112,'FG MASTER'!$A$1:$AC$536,16,0)</f>
        <v>1.1100000000000001</v>
      </c>
      <c r="L112" s="246">
        <f>VLOOKUP(Food!E112,'FG MASTER'!$A$10:$AC$536,17,0)</f>
        <v>2.5</v>
      </c>
      <c r="M112" s="132">
        <f t="shared" si="57"/>
        <v>1</v>
      </c>
      <c r="N112" s="132">
        <f t="shared" si="58"/>
        <v>2.1100000000000003</v>
      </c>
      <c r="O112" s="132">
        <f t="shared" si="36"/>
        <v>0.16649999999999987</v>
      </c>
      <c r="P112" s="132">
        <f t="shared" si="37"/>
        <v>0.14999999999999991</v>
      </c>
      <c r="Q112" s="132">
        <f t="shared" si="60"/>
        <v>2.4265000000000003</v>
      </c>
      <c r="R112" s="405">
        <f t="shared" si="39"/>
        <v>1.2765</v>
      </c>
      <c r="S112" s="405">
        <f t="shared" si="40"/>
        <v>1.1499999999999999</v>
      </c>
      <c r="T112" s="405">
        <f t="shared" si="41"/>
        <v>2.4264999999999999</v>
      </c>
      <c r="U112" s="127"/>
      <c r="V112" s="127"/>
      <c r="W112" t="str">
        <f>IFERROR(#REF!*J112,"")</f>
        <v/>
      </c>
      <c r="X112">
        <f t="shared" si="42"/>
        <v>9.7680000000000025</v>
      </c>
      <c r="Y112">
        <f t="shared" si="43"/>
        <v>22</v>
      </c>
      <c r="Z112" s="127">
        <f t="shared" si="44"/>
        <v>8.8000000000000007</v>
      </c>
      <c r="AA112" s="127">
        <f t="shared" si="45"/>
        <v>18.568000000000005</v>
      </c>
      <c r="AB112" s="127">
        <f t="shared" si="46"/>
        <v>1.4651999999999989</v>
      </c>
      <c r="AC112" s="127">
        <f t="shared" si="47"/>
        <v>1.3199999999999994</v>
      </c>
      <c r="AD112" s="127">
        <f t="shared" si="48"/>
        <v>21.353200000000005</v>
      </c>
      <c r="AF112" s="127" t="str">
        <f>IFERROR(W112*'FlightConfig '!$K$3,"")</f>
        <v/>
      </c>
      <c r="AG112" s="127">
        <f>IFERROR(X112*'FlightConfig '!$K$23,"")</f>
        <v>3555.552000000001</v>
      </c>
      <c r="AH112" s="127">
        <f>IFERROR(Y112*'FlightConfig '!$K$23,"")</f>
        <v>8008</v>
      </c>
      <c r="AI112" s="127">
        <f>IFERROR(Z112*'FlightConfig '!$K$23,"")</f>
        <v>3203.2000000000003</v>
      </c>
      <c r="AJ112" s="127">
        <f>IFERROR(AA112*'FlightConfig '!$K$23,"")</f>
        <v>6758.7520000000022</v>
      </c>
      <c r="AK112" s="127">
        <f>IFERROR(AB112*'FlightConfig '!$K$23,"")</f>
        <v>533.33279999999957</v>
      </c>
    </row>
    <row r="113" spans="1:37" ht="18.75" customHeight="1" x14ac:dyDescent="0.25">
      <c r="A113" t="s">
        <v>134</v>
      </c>
      <c r="B113" s="171">
        <v>1</v>
      </c>
      <c r="C113" s="176" t="str">
        <f t="shared" si="56"/>
        <v>PREMIUM ECONOMY CLASS1110</v>
      </c>
      <c r="D113" s="312"/>
      <c r="E113" s="305">
        <v>1039</v>
      </c>
      <c r="F113" s="311">
        <v>110</v>
      </c>
      <c r="G113" t="str">
        <f>VLOOKUP(E113,'FG MASTER'!$A$10:$AB$218,2,0)</f>
        <v>PY C1 BREAKFAST SIDE 1 FRUIT PLATE SESONAL FRUIT 100G</v>
      </c>
      <c r="H113" s="286">
        <v>1</v>
      </c>
      <c r="I113" s="173">
        <v>1</v>
      </c>
      <c r="J113" s="292">
        <f>IFERROR(IF(I113="std",H113,HLOOKUP(A113,'FlightConfig '!$B$34:$G$35,2,0)*I113),"")</f>
        <v>44</v>
      </c>
      <c r="K113" s="245">
        <f>VLOOKUP(Food!E113,'FG MASTER'!$A$1:$AC$536,16,0)</f>
        <v>0.61</v>
      </c>
      <c r="L113" s="246">
        <f>VLOOKUP(Food!E113,'FG MASTER'!$A$10:$AC$536,17,0)</f>
        <v>1.5</v>
      </c>
      <c r="M113" s="132">
        <f t="shared" si="57"/>
        <v>0.60000000000000009</v>
      </c>
      <c r="N113" s="132">
        <f t="shared" si="58"/>
        <v>1.21</v>
      </c>
      <c r="O113" s="132">
        <f t="shared" si="36"/>
        <v>9.1499999999999915E-2</v>
      </c>
      <c r="P113" s="132">
        <f t="shared" si="37"/>
        <v>8.9999999999999969E-2</v>
      </c>
      <c r="Q113" s="132">
        <f t="shared" si="60"/>
        <v>1.3914999999999997</v>
      </c>
      <c r="R113" s="405">
        <f t="shared" si="39"/>
        <v>0.7014999999999999</v>
      </c>
      <c r="S113" s="405">
        <f t="shared" si="40"/>
        <v>0.69000000000000006</v>
      </c>
      <c r="T113" s="405">
        <f t="shared" si="41"/>
        <v>1.3915</v>
      </c>
      <c r="U113" s="127"/>
      <c r="V113" s="127"/>
      <c r="W113" t="str">
        <f>IFERROR(#REF!*J113,"")</f>
        <v/>
      </c>
      <c r="X113">
        <f t="shared" si="42"/>
        <v>26.84</v>
      </c>
      <c r="Y113">
        <f t="shared" si="43"/>
        <v>66</v>
      </c>
      <c r="Z113" s="127">
        <f t="shared" si="44"/>
        <v>26.400000000000006</v>
      </c>
      <c r="AA113" s="127">
        <f t="shared" si="45"/>
        <v>53.239999999999995</v>
      </c>
      <c r="AB113" s="127">
        <f t="shared" si="46"/>
        <v>4.0259999999999962</v>
      </c>
      <c r="AC113" s="127">
        <f t="shared" si="47"/>
        <v>3.9599999999999986</v>
      </c>
      <c r="AD113" s="127">
        <f t="shared" si="48"/>
        <v>61.225999999999985</v>
      </c>
      <c r="AF113" s="127" t="str">
        <f>IFERROR(W113*'FlightConfig '!$K$3,"")</f>
        <v/>
      </c>
      <c r="AG113" s="127">
        <f>IFERROR(X113*'FlightConfig '!$K$23,"")</f>
        <v>9769.76</v>
      </c>
      <c r="AH113" s="127">
        <f>IFERROR(Y113*'FlightConfig '!$K$23,"")</f>
        <v>24024</v>
      </c>
      <c r="AI113" s="127">
        <f>IFERROR(Z113*'FlightConfig '!$K$23,"")</f>
        <v>9609.6000000000022</v>
      </c>
      <c r="AJ113" s="127">
        <f>IFERROR(AA113*'FlightConfig '!$K$23,"")</f>
        <v>19379.359999999997</v>
      </c>
      <c r="AK113" s="127">
        <f>IFERROR(AB113*'FlightConfig '!$K$23,"")</f>
        <v>1465.4639999999986</v>
      </c>
    </row>
    <row r="114" spans="1:37" ht="18.75" customHeight="1" x14ac:dyDescent="0.25">
      <c r="A114" t="s">
        <v>134</v>
      </c>
      <c r="B114" s="171">
        <v>1</v>
      </c>
      <c r="C114" s="176" t="str">
        <f t="shared" si="56"/>
        <v>PREMIUM ECONOMY CLASS1110</v>
      </c>
      <c r="D114" s="312"/>
      <c r="E114" s="305">
        <v>1040</v>
      </c>
      <c r="F114" s="311">
        <v>110</v>
      </c>
      <c r="G114" t="str">
        <f>VLOOKUP(E114,'FG MASTER'!$A$10:$AB$218,2,0)</f>
        <v xml:space="preserve">PY C1 BREAKFAST SIDE 2 GREEK YOGURT 100G </v>
      </c>
      <c r="H114" s="286">
        <v>1</v>
      </c>
      <c r="I114" s="173">
        <v>0</v>
      </c>
      <c r="J114" s="292">
        <f>IFERROR(IF(I114="std",H114,HLOOKUP(A114,'FlightConfig '!$B$34:$G$35,2,0)*I114),"")</f>
        <v>0</v>
      </c>
      <c r="K114" s="245">
        <f>VLOOKUP(Food!E114,'FG MASTER'!$A$1:$AC$536,16,0)</f>
        <v>0.48</v>
      </c>
      <c r="L114" s="246">
        <f>VLOOKUP(Food!E114,'FG MASTER'!$A$10:$AC$536,17,0)</f>
        <v>0.5</v>
      </c>
      <c r="M114" s="132">
        <f t="shared" si="57"/>
        <v>0.2</v>
      </c>
      <c r="N114" s="132">
        <f t="shared" si="58"/>
        <v>0.67999999999999994</v>
      </c>
      <c r="O114" s="132">
        <f t="shared" si="36"/>
        <v>7.1999999999999953E-2</v>
      </c>
      <c r="P114" s="132">
        <f t="shared" si="37"/>
        <v>2.9999999999999971E-2</v>
      </c>
      <c r="Q114" s="132">
        <f t="shared" si="60"/>
        <v>0.78199999999999981</v>
      </c>
      <c r="R114" s="405">
        <f t="shared" si="39"/>
        <v>0.55199999999999994</v>
      </c>
      <c r="S114" s="405">
        <f t="shared" si="40"/>
        <v>0.22999999999999998</v>
      </c>
      <c r="T114" s="405">
        <f t="shared" si="41"/>
        <v>0.78199999999999992</v>
      </c>
      <c r="U114" s="127"/>
      <c r="V114" s="127"/>
      <c r="W114" t="str">
        <f>IFERROR(#REF!*J114,"")</f>
        <v/>
      </c>
      <c r="X114">
        <f t="shared" si="42"/>
        <v>0</v>
      </c>
      <c r="Y114">
        <f t="shared" si="43"/>
        <v>0</v>
      </c>
      <c r="Z114" s="127">
        <f t="shared" si="44"/>
        <v>0</v>
      </c>
      <c r="AA114" s="127">
        <f t="shared" si="45"/>
        <v>0</v>
      </c>
      <c r="AB114" s="127">
        <f t="shared" si="46"/>
        <v>0</v>
      </c>
      <c r="AC114" s="127">
        <f t="shared" si="47"/>
        <v>0</v>
      </c>
      <c r="AD114" s="127">
        <f t="shared" si="48"/>
        <v>0</v>
      </c>
      <c r="AF114" s="127" t="str">
        <f>IFERROR(W114*'FlightConfig '!$K$3,"")</f>
        <v/>
      </c>
      <c r="AG114" s="127">
        <f>IFERROR(X114*'FlightConfig '!$K$23,"")</f>
        <v>0</v>
      </c>
      <c r="AH114" s="127">
        <f>IFERROR(Y114*'FlightConfig '!$K$23,"")</f>
        <v>0</v>
      </c>
      <c r="AI114" s="127">
        <f>IFERROR(Z114*'FlightConfig '!$K$23,"")</f>
        <v>0</v>
      </c>
      <c r="AJ114" s="127">
        <f>IFERROR(AA114*'FlightConfig '!$K$23,"")</f>
        <v>0</v>
      </c>
      <c r="AK114" s="127">
        <f>IFERROR(AB114*'FlightConfig '!$K$23,"")</f>
        <v>0</v>
      </c>
    </row>
    <row r="115" spans="1:37" ht="18.75" customHeight="1" x14ac:dyDescent="0.25">
      <c r="A115" t="s">
        <v>135</v>
      </c>
      <c r="B115" s="171">
        <v>1</v>
      </c>
      <c r="C115" s="176" t="str">
        <f t="shared" si="56"/>
        <v>ECONOMY CLASS1110</v>
      </c>
      <c r="D115" s="312"/>
      <c r="E115" s="305">
        <v>1041</v>
      </c>
      <c r="F115" s="311">
        <v>110</v>
      </c>
      <c r="G115" t="str">
        <f>VLOOKUP(E115,'FG MASTER'!$A$10:$AB$218,2,0)</f>
        <v>PY C1 BREAKFAST SIDE 3 PEACH AND PECAN SCONE</v>
      </c>
      <c r="H115" s="286">
        <v>1</v>
      </c>
      <c r="I115" s="173">
        <v>0</v>
      </c>
      <c r="J115" s="292">
        <f>IFERROR(IF(I115="std",H115,HLOOKUP(A115,'FlightConfig '!$B$34:$G$35,2,0)*I115),"")</f>
        <v>0</v>
      </c>
      <c r="K115" s="245">
        <f>VLOOKUP(Food!E115,'FG MASTER'!$A$1:$AC$536,16,0)</f>
        <v>0.55000000000000004</v>
      </c>
      <c r="L115" s="246">
        <f>VLOOKUP(Food!E115,'FG MASTER'!$A$10:$AC$536,17,0)</f>
        <v>2.5</v>
      </c>
      <c r="M115" s="132">
        <f t="shared" si="57"/>
        <v>1</v>
      </c>
      <c r="N115" s="132">
        <f t="shared" si="58"/>
        <v>1.55</v>
      </c>
      <c r="O115" s="132">
        <f t="shared" si="36"/>
        <v>8.2499999999999907E-2</v>
      </c>
      <c r="P115" s="132">
        <f t="shared" si="37"/>
        <v>0.14999999999999991</v>
      </c>
      <c r="Q115" s="132">
        <f t="shared" si="60"/>
        <v>1.7824999999999998</v>
      </c>
      <c r="R115" s="405">
        <f t="shared" si="39"/>
        <v>0.63249999999999995</v>
      </c>
      <c r="S115" s="405">
        <f t="shared" si="40"/>
        <v>1.1499999999999999</v>
      </c>
      <c r="T115" s="405">
        <f t="shared" si="41"/>
        <v>1.7824999999999998</v>
      </c>
      <c r="U115" s="127"/>
      <c r="V115" s="127"/>
      <c r="W115" t="str">
        <f>IFERROR(#REF!*J115,"")</f>
        <v/>
      </c>
      <c r="X115">
        <f t="shared" si="42"/>
        <v>0</v>
      </c>
      <c r="Y115">
        <f t="shared" si="43"/>
        <v>0</v>
      </c>
      <c r="Z115" s="127">
        <f t="shared" si="44"/>
        <v>0</v>
      </c>
      <c r="AA115" s="127">
        <f t="shared" si="45"/>
        <v>0</v>
      </c>
      <c r="AB115" s="127">
        <f t="shared" si="46"/>
        <v>0</v>
      </c>
      <c r="AC115" s="127">
        <f t="shared" si="47"/>
        <v>0</v>
      </c>
      <c r="AD115" s="127">
        <f t="shared" si="48"/>
        <v>0</v>
      </c>
      <c r="AF115" s="127" t="str">
        <f>IFERROR(W115*'FlightConfig '!$K$3,"")</f>
        <v/>
      </c>
      <c r="AG115" s="127">
        <f>IFERROR(X115*'FlightConfig '!$K$23,"")</f>
        <v>0</v>
      </c>
      <c r="AH115" s="127">
        <f>IFERROR(Y115*'FlightConfig '!$K$23,"")</f>
        <v>0</v>
      </c>
      <c r="AI115" s="127">
        <f>IFERROR(Z115*'FlightConfig '!$K$23,"")</f>
        <v>0</v>
      </c>
      <c r="AJ115" s="127">
        <f>IFERROR(AA115*'FlightConfig '!$K$23,"")</f>
        <v>0</v>
      </c>
      <c r="AK115" s="127">
        <f>IFERROR(AB115*'FlightConfig '!$K$23,"")</f>
        <v>0</v>
      </c>
    </row>
    <row r="116" spans="1:37" ht="18.75" customHeight="1" x14ac:dyDescent="0.25">
      <c r="A116" t="s">
        <v>135</v>
      </c>
      <c r="B116" s="171">
        <v>1</v>
      </c>
      <c r="C116" s="176" t="str">
        <f t="shared" si="56"/>
        <v>ECONOMY CLASS1110</v>
      </c>
      <c r="D116" s="312"/>
      <c r="E116" s="305">
        <v>1042</v>
      </c>
      <c r="F116" s="311">
        <v>110</v>
      </c>
      <c r="G116" t="str">
        <f>VLOOKUP(E116,'FG MASTER'!$A$10:$AB$218,2,0)</f>
        <v xml:space="preserve">YC C1 DINNER SWEETWATER BEET AND CHEESE ROLL </v>
      </c>
      <c r="H116" s="286">
        <v>1</v>
      </c>
      <c r="I116" s="173">
        <v>1</v>
      </c>
      <c r="J116" s="292">
        <f>IFERROR(IF(I116="std",H116,HLOOKUP(A116,'FlightConfig '!$B$34:$G$35,2,0)*I116),"")</f>
        <v>184</v>
      </c>
      <c r="K116" s="245">
        <f>VLOOKUP(Food!E116,'FG MASTER'!$A$1:$AC$536,16,0)</f>
        <v>0.3</v>
      </c>
      <c r="L116" s="246">
        <f>VLOOKUP(Food!E116,'FG MASTER'!$A$10:$AC$536,17,0)</f>
        <v>0.25</v>
      </c>
      <c r="M116" s="132">
        <f>IFERROR(L116*$M$2,"")</f>
        <v>0.1</v>
      </c>
      <c r="N116" s="132">
        <f t="shared" si="58"/>
        <v>0.4</v>
      </c>
      <c r="O116" s="132">
        <f t="shared" si="36"/>
        <v>4.4999999999999984E-2</v>
      </c>
      <c r="P116" s="132">
        <f t="shared" si="37"/>
        <v>1.4999999999999986E-2</v>
      </c>
      <c r="Q116" s="132">
        <f t="shared" si="60"/>
        <v>0.45999999999999996</v>
      </c>
      <c r="R116" s="405">
        <f t="shared" si="39"/>
        <v>0.34499999999999997</v>
      </c>
      <c r="S116" s="405">
        <f t="shared" si="40"/>
        <v>0.11499999999999999</v>
      </c>
      <c r="T116" s="405">
        <f t="shared" si="41"/>
        <v>0.45999999999999996</v>
      </c>
      <c r="U116" s="127"/>
      <c r="V116" s="127"/>
      <c r="W116" t="str">
        <f>IFERROR(#REF!*J116,"")</f>
        <v/>
      </c>
      <c r="X116">
        <f t="shared" si="42"/>
        <v>55.199999999999996</v>
      </c>
      <c r="Y116">
        <f t="shared" si="43"/>
        <v>46</v>
      </c>
      <c r="Z116" s="127">
        <f t="shared" si="44"/>
        <v>18.400000000000002</v>
      </c>
      <c r="AA116" s="127">
        <f t="shared" si="45"/>
        <v>73.600000000000009</v>
      </c>
      <c r="AB116" s="127">
        <f t="shared" si="46"/>
        <v>8.2799999999999976</v>
      </c>
      <c r="AC116" s="127">
        <f t="shared" si="47"/>
        <v>2.7599999999999971</v>
      </c>
      <c r="AD116" s="127">
        <f t="shared" si="48"/>
        <v>84.639999999999986</v>
      </c>
      <c r="AF116" s="127" t="str">
        <f>IFERROR(W116*'FlightConfig '!$K$3,"")</f>
        <v/>
      </c>
      <c r="AG116" s="127">
        <f>IFERROR(X116*'FlightConfig '!$K$23,"")</f>
        <v>20092.8</v>
      </c>
      <c r="AH116" s="127">
        <f>IFERROR(Y116*'FlightConfig '!$K$23,"")</f>
        <v>16744</v>
      </c>
      <c r="AI116" s="127">
        <f>IFERROR(Z116*'FlightConfig '!$K$23,"")</f>
        <v>6697.6</v>
      </c>
      <c r="AJ116" s="127">
        <f>IFERROR(AA116*'FlightConfig '!$K$23,"")</f>
        <v>26790.400000000001</v>
      </c>
      <c r="AK116" s="127">
        <f>IFERROR(AB116*'FlightConfig '!$K$23,"")</f>
        <v>3013.9199999999992</v>
      </c>
    </row>
    <row r="117" spans="1:37" ht="18.75" customHeight="1" x14ac:dyDescent="0.25">
      <c r="A117" t="s">
        <v>135</v>
      </c>
      <c r="B117" s="171">
        <v>1</v>
      </c>
      <c r="C117" s="176" t="str">
        <f t="shared" si="56"/>
        <v>ECONOMY CLASS1110</v>
      </c>
      <c r="D117" s="312"/>
      <c r="E117" s="305">
        <v>1043</v>
      </c>
      <c r="F117" s="311">
        <v>110</v>
      </c>
      <c r="G117" t="str">
        <f>VLOOKUP(E117,'FG MASTER'!$A$10:$AB$218,2,0)</f>
        <v>YC C1 DINNER BUTTER CHIP 10G</v>
      </c>
      <c r="H117" s="286">
        <v>1</v>
      </c>
      <c r="I117" s="173">
        <v>1</v>
      </c>
      <c r="J117" s="292">
        <f>IFERROR(IF(I117="std",H117,HLOOKUP(A117,'FlightConfig '!$B$34:$G$35,2,0)*I117),"")</f>
        <v>184</v>
      </c>
      <c r="K117" s="245">
        <f>VLOOKUP(Food!E117,'FG MASTER'!$A$1:$AC$536,16,0)</f>
        <v>0.14000000000000001</v>
      </c>
      <c r="L117" s="246">
        <f>VLOOKUP(Food!E117,'FG MASTER'!$A$10:$AC$536,17,0)</f>
        <v>0.25</v>
      </c>
      <c r="M117" s="132">
        <f t="shared" ref="M117:M129" si="61">IFERROR(L117*$M$2,"")</f>
        <v>0.1</v>
      </c>
      <c r="N117" s="132">
        <f t="shared" si="58"/>
        <v>0.24000000000000002</v>
      </c>
      <c r="O117" s="132">
        <f t="shared" si="36"/>
        <v>2.0999999999999991E-2</v>
      </c>
      <c r="P117" s="132">
        <f t="shared" si="37"/>
        <v>1.4999999999999986E-2</v>
      </c>
      <c r="Q117" s="132">
        <f t="shared" si="60"/>
        <v>0.27600000000000002</v>
      </c>
      <c r="R117" s="405">
        <f t="shared" si="39"/>
        <v>0.161</v>
      </c>
      <c r="S117" s="405">
        <f t="shared" si="40"/>
        <v>0.11499999999999999</v>
      </c>
      <c r="T117" s="405">
        <f t="shared" si="41"/>
        <v>0.27600000000000002</v>
      </c>
      <c r="U117" s="127"/>
      <c r="V117" s="127"/>
      <c r="W117" t="str">
        <f>IFERROR(#REF!*J117,"")</f>
        <v/>
      </c>
      <c r="X117">
        <f t="shared" si="42"/>
        <v>25.76</v>
      </c>
      <c r="Y117">
        <f t="shared" si="43"/>
        <v>46</v>
      </c>
      <c r="Z117" s="127">
        <f t="shared" si="44"/>
        <v>18.400000000000002</v>
      </c>
      <c r="AA117" s="127">
        <f t="shared" si="45"/>
        <v>44.160000000000004</v>
      </c>
      <c r="AB117" s="127">
        <f t="shared" si="46"/>
        <v>3.8639999999999981</v>
      </c>
      <c r="AC117" s="127">
        <f t="shared" si="47"/>
        <v>2.7599999999999971</v>
      </c>
      <c r="AD117" s="127">
        <f t="shared" si="48"/>
        <v>50.784000000000006</v>
      </c>
      <c r="AF117" s="127" t="str">
        <f>IFERROR(W117*'FlightConfig '!$K$3,"")</f>
        <v/>
      </c>
      <c r="AG117" s="127">
        <f>IFERROR(X117*'FlightConfig '!$K$23,"")</f>
        <v>9376.6400000000012</v>
      </c>
      <c r="AH117" s="127">
        <f>IFERROR(Y117*'FlightConfig '!$K$23,"")</f>
        <v>16744</v>
      </c>
      <c r="AI117" s="127">
        <f>IFERROR(Z117*'FlightConfig '!$K$23,"")</f>
        <v>6697.6</v>
      </c>
      <c r="AJ117" s="127">
        <f>IFERROR(AA117*'FlightConfig '!$K$23,"")</f>
        <v>16074.240000000002</v>
      </c>
      <c r="AK117" s="127">
        <f>IFERROR(AB117*'FlightConfig '!$K$23,"")</f>
        <v>1406.4959999999994</v>
      </c>
    </row>
    <row r="118" spans="1:37" ht="18.75" customHeight="1" x14ac:dyDescent="0.25">
      <c r="A118" t="s">
        <v>135</v>
      </c>
      <c r="B118" s="171">
        <v>1</v>
      </c>
      <c r="C118" s="176" t="str">
        <f>CONCATENATE(A118&amp;B118&amp;F118)</f>
        <v>ECONOMY CLASS1110</v>
      </c>
      <c r="D118" s="312"/>
      <c r="E118" s="305">
        <v>1044</v>
      </c>
      <c r="F118" s="311">
        <v>110</v>
      </c>
      <c r="G118" t="str">
        <f>VLOOKUP(E118,'FG MASTER'!$A$10:$AB$218,2,0)</f>
        <v>YC C1 DINNER STARTER 1 MESCLUN MIX, CUCUMBER, CARROT, CHERRY TOMATO</v>
      </c>
      <c r="H118" s="286">
        <v>1</v>
      </c>
      <c r="I118" s="173">
        <v>1</v>
      </c>
      <c r="J118" s="292">
        <f>IFERROR(IF(I118="std",H118,HLOOKUP(A118,'FlightConfig '!$B$34:$G$35,2,0)*I118),"")</f>
        <v>184</v>
      </c>
      <c r="K118" s="245">
        <f>VLOOKUP(Food!E118,'FG MASTER'!$A$1:$AC$536,16,0)</f>
        <v>0.28999999999999998</v>
      </c>
      <c r="L118" s="246">
        <f>VLOOKUP(Food!E118,'FG MASTER'!$A$10:$AC$536,17,0)</f>
        <v>1.25</v>
      </c>
      <c r="M118" s="132">
        <f t="shared" si="61"/>
        <v>0.5</v>
      </c>
      <c r="N118" s="132">
        <f>IFERROR((K118)+M118,"")</f>
        <v>0.79</v>
      </c>
      <c r="O118" s="132">
        <f t="shared" si="36"/>
        <v>4.3499999999999983E-2</v>
      </c>
      <c r="P118" s="132">
        <f t="shared" si="37"/>
        <v>7.4999999999999956E-2</v>
      </c>
      <c r="Q118" s="132">
        <f t="shared" si="60"/>
        <v>0.90849999999999997</v>
      </c>
      <c r="R118" s="405">
        <f t="shared" si="39"/>
        <v>0.33349999999999996</v>
      </c>
      <c r="S118" s="405">
        <f t="shared" si="40"/>
        <v>0.57499999999999996</v>
      </c>
      <c r="T118" s="405">
        <f t="shared" si="41"/>
        <v>0.90849999999999986</v>
      </c>
      <c r="U118" s="127"/>
      <c r="V118" s="127"/>
      <c r="W118" t="str">
        <f>IFERROR(#REF!*J118,"")</f>
        <v/>
      </c>
      <c r="X118">
        <f t="shared" si="42"/>
        <v>53.36</v>
      </c>
      <c r="Y118">
        <f t="shared" si="43"/>
        <v>230</v>
      </c>
      <c r="Z118" s="127">
        <f t="shared" si="44"/>
        <v>92</v>
      </c>
      <c r="AA118" s="127">
        <f t="shared" si="45"/>
        <v>145.36000000000001</v>
      </c>
      <c r="AB118" s="127">
        <f t="shared" si="46"/>
        <v>8.0039999999999978</v>
      </c>
      <c r="AC118" s="127">
        <f t="shared" si="47"/>
        <v>13.799999999999992</v>
      </c>
      <c r="AD118" s="127">
        <f t="shared" si="48"/>
        <v>167.16399999999999</v>
      </c>
      <c r="AF118" s="127" t="str">
        <f>IFERROR(W118*'FlightConfig '!$K$3,"")</f>
        <v/>
      </c>
      <c r="AG118" s="127">
        <f>IFERROR(X118*'FlightConfig '!$K$23,"")</f>
        <v>19423.04</v>
      </c>
      <c r="AH118" s="127">
        <f>IFERROR(Y118*'FlightConfig '!$K$23,"")</f>
        <v>83720</v>
      </c>
      <c r="AI118" s="127">
        <f>IFERROR(Z118*'FlightConfig '!$K$23,"")</f>
        <v>33488</v>
      </c>
      <c r="AJ118" s="127">
        <f>IFERROR(AA118*'FlightConfig '!$K$23,"")</f>
        <v>52911.040000000008</v>
      </c>
      <c r="AK118" s="127">
        <f>IFERROR(AB118*'FlightConfig '!$K$23,"")</f>
        <v>2913.4559999999992</v>
      </c>
    </row>
    <row r="119" spans="1:37" ht="18.75" customHeight="1" x14ac:dyDescent="0.25">
      <c r="A119" t="s">
        <v>135</v>
      </c>
      <c r="B119" s="171">
        <v>1</v>
      </c>
      <c r="C119" s="176" t="str">
        <f>CONCATENATE(A119&amp;B119&amp;F119)</f>
        <v>ECONOMY CLASS1110</v>
      </c>
      <c r="D119" s="312"/>
      <c r="E119" s="305">
        <v>1045</v>
      </c>
      <c r="F119" s="311">
        <v>110</v>
      </c>
      <c r="G119" t="str">
        <f>VLOOKUP(E119,'FG MASTER'!$A$10:$AB$218,2,0)</f>
        <v>YC C1 DINNER STARTER 2 RED QUINOA, CORN CAVIAR, SUNFLOWER SEED</v>
      </c>
      <c r="H119" s="286">
        <v>1</v>
      </c>
      <c r="I119" s="173">
        <v>0</v>
      </c>
      <c r="J119" s="292">
        <f>IFERROR(IF(I119="std",H119,HLOOKUP(A119,'FlightConfig '!$B$34:$G$35,2,0)*I119),"")</f>
        <v>0</v>
      </c>
      <c r="K119" s="245">
        <f>VLOOKUP(Food!E119,'FG MASTER'!$A$1:$AC$536,16,0)</f>
        <v>0.43</v>
      </c>
      <c r="L119" s="246">
        <f>VLOOKUP(Food!E119,'FG MASTER'!$A$10:$AC$536,17,0)</f>
        <v>1.25</v>
      </c>
      <c r="M119" s="132">
        <f t="shared" si="61"/>
        <v>0.5</v>
      </c>
      <c r="N119" s="132">
        <f>IFERROR((K119)+M119,"")</f>
        <v>0.92999999999999994</v>
      </c>
      <c r="O119" s="132">
        <f t="shared" si="36"/>
        <v>6.4499999999999946E-2</v>
      </c>
      <c r="P119" s="132">
        <f t="shared" si="37"/>
        <v>7.4999999999999956E-2</v>
      </c>
      <c r="Q119" s="132">
        <f t="shared" ref="Q119" si="62">SUM(N119:P119)</f>
        <v>1.0694999999999999</v>
      </c>
      <c r="R119" s="405">
        <f t="shared" si="39"/>
        <v>0.49449999999999994</v>
      </c>
      <c r="S119" s="405">
        <f t="shared" si="40"/>
        <v>0.57499999999999996</v>
      </c>
      <c r="T119" s="405">
        <f t="shared" si="41"/>
        <v>1.0694999999999999</v>
      </c>
      <c r="U119" s="127"/>
      <c r="V119" s="127"/>
      <c r="W119" t="str">
        <f>IFERROR(#REF!*J119,"")</f>
        <v/>
      </c>
      <c r="X119">
        <f t="shared" si="42"/>
        <v>0</v>
      </c>
      <c r="Y119">
        <f t="shared" si="43"/>
        <v>0</v>
      </c>
      <c r="Z119" s="127">
        <f t="shared" si="44"/>
        <v>0</v>
      </c>
      <c r="AA119" s="127">
        <f t="shared" si="45"/>
        <v>0</v>
      </c>
      <c r="AB119" s="127">
        <f t="shared" si="46"/>
        <v>0</v>
      </c>
      <c r="AC119" s="127">
        <f t="shared" si="47"/>
        <v>0</v>
      </c>
      <c r="AD119" s="127">
        <f t="shared" si="48"/>
        <v>0</v>
      </c>
      <c r="AF119" s="127" t="str">
        <f>IFERROR(W119*'FlightConfig '!$K$3,"")</f>
        <v/>
      </c>
      <c r="AG119" s="127">
        <f>IFERROR(X119*'FlightConfig '!$K$23,"")</f>
        <v>0</v>
      </c>
      <c r="AH119" s="127">
        <f>IFERROR(Y119*'FlightConfig '!$K$23,"")</f>
        <v>0</v>
      </c>
      <c r="AI119" s="127">
        <f>IFERROR(Z119*'FlightConfig '!$K$23,"")</f>
        <v>0</v>
      </c>
      <c r="AJ119" s="127">
        <f>IFERROR(AA119*'FlightConfig '!$K$23,"")</f>
        <v>0</v>
      </c>
      <c r="AK119" s="127">
        <f>IFERROR(AB119*'FlightConfig '!$K$23,"")</f>
        <v>0</v>
      </c>
    </row>
    <row r="120" spans="1:37" ht="18.75" customHeight="1" x14ac:dyDescent="0.25">
      <c r="A120" t="s">
        <v>135</v>
      </c>
      <c r="B120" s="171">
        <v>1</v>
      </c>
      <c r="C120" s="176" t="str">
        <f>CONCATENATE(A120&amp;B120&amp;F120)</f>
        <v>ECONOMY CLASS1110</v>
      </c>
      <c r="D120" s="312"/>
      <c r="E120" s="305">
        <v>1046</v>
      </c>
      <c r="F120" s="311">
        <v>110</v>
      </c>
      <c r="G120" t="str">
        <f>VLOOKUP(E120,'FG MASTER'!$A$10:$AB$218,2,0)</f>
        <v>YC C1 DINNER ENTRÉE 1 BUTTER CHICKEN, CILANTRO LIME RICE, MIXED VEGETABLE</v>
      </c>
      <c r="H120" s="286">
        <v>1</v>
      </c>
      <c r="I120" s="173">
        <v>0.7</v>
      </c>
      <c r="J120" s="292">
        <f>IFERROR(IF(I120="std",H120,HLOOKUP(A120,'FlightConfig '!$B$34:$G$35,2,0)*I120),"")</f>
        <v>128.79999999999998</v>
      </c>
      <c r="K120" s="245">
        <f>VLOOKUP(Food!E120,'FG MASTER'!$A$1:$AC$536,16,0)</f>
        <v>1.54</v>
      </c>
      <c r="L120" s="246">
        <f>VLOOKUP(Food!E120,'FG MASTER'!$A$10:$AC$536,17,0)</f>
        <v>4.75</v>
      </c>
      <c r="M120" s="132">
        <f t="shared" si="61"/>
        <v>1.9000000000000001</v>
      </c>
      <c r="N120" s="132">
        <f>IFERROR((K120)+M120,"")</f>
        <v>3.4400000000000004</v>
      </c>
      <c r="O120" s="132">
        <f t="shared" si="36"/>
        <v>0.23099999999999987</v>
      </c>
      <c r="P120" s="132">
        <f t="shared" si="37"/>
        <v>0.28499999999999992</v>
      </c>
      <c r="Q120" s="132">
        <f t="shared" ref="Q120:Q144" si="63">SUM(N120:P120)</f>
        <v>3.9560000000000004</v>
      </c>
      <c r="R120" s="405">
        <f t="shared" si="39"/>
        <v>1.7709999999999999</v>
      </c>
      <c r="S120" s="405">
        <f t="shared" si="40"/>
        <v>2.1850000000000001</v>
      </c>
      <c r="T120" s="405">
        <f t="shared" si="41"/>
        <v>3.956</v>
      </c>
      <c r="U120" s="127"/>
      <c r="V120" s="127"/>
      <c r="W120" t="str">
        <f>IFERROR(#REF!*J120,"")</f>
        <v/>
      </c>
      <c r="X120">
        <f t="shared" si="42"/>
        <v>198.35199999999998</v>
      </c>
      <c r="Y120">
        <f t="shared" si="43"/>
        <v>611.79999999999995</v>
      </c>
      <c r="Z120" s="127">
        <f t="shared" si="44"/>
        <v>244.72</v>
      </c>
      <c r="AA120" s="127">
        <f t="shared" si="45"/>
        <v>443.072</v>
      </c>
      <c r="AB120" s="127">
        <f t="shared" si="46"/>
        <v>29.752799999999979</v>
      </c>
      <c r="AC120" s="127">
        <f t="shared" si="47"/>
        <v>36.707999999999984</v>
      </c>
      <c r="AD120" s="127">
        <f t="shared" si="48"/>
        <v>509.53280000000001</v>
      </c>
      <c r="AF120" s="127" t="str">
        <f>IFERROR(W120*'FlightConfig '!$K$3,"")</f>
        <v/>
      </c>
      <c r="AG120" s="127">
        <f>IFERROR(X120*'FlightConfig '!$K$23,"")</f>
        <v>72200.127999999997</v>
      </c>
      <c r="AH120" s="127">
        <f>IFERROR(Y120*'FlightConfig '!$K$23,"")</f>
        <v>222695.19999999998</v>
      </c>
      <c r="AI120" s="127">
        <f>IFERROR(Z120*'FlightConfig '!$K$23,"")</f>
        <v>89078.080000000002</v>
      </c>
      <c r="AJ120" s="127">
        <f>IFERROR(AA120*'FlightConfig '!$K$23,"")</f>
        <v>161278.20800000001</v>
      </c>
      <c r="AK120" s="127">
        <f>IFERROR(AB120*'FlightConfig '!$K$23,"")</f>
        <v>10830.019199999992</v>
      </c>
    </row>
    <row r="121" spans="1:37" ht="18.75" customHeight="1" x14ac:dyDescent="0.25">
      <c r="A121" t="s">
        <v>135</v>
      </c>
      <c r="B121" s="171">
        <v>1</v>
      </c>
      <c r="C121" s="176" t="str">
        <f>CONCATENATE(A121&amp;B121&amp;F121)</f>
        <v>ECONOMY CLASS1110</v>
      </c>
      <c r="D121" s="312"/>
      <c r="E121" s="305">
        <v>1047</v>
      </c>
      <c r="F121" s="311">
        <v>110</v>
      </c>
      <c r="G121" t="str">
        <f>VLOOKUP(E121,'FG MASTER'!$A$10:$AB$218,2,0)</f>
        <v>YC C1 DINNER ENTRÉE 2 RIGATONI PASTA, POMODORINI SAUCE, WHIPPED RICOTTA, RED PEPPER</v>
      </c>
      <c r="H121" s="286">
        <v>1</v>
      </c>
      <c r="I121" s="173">
        <v>0.3</v>
      </c>
      <c r="J121" s="292">
        <f>IFERROR(IF(I121="std",H121,HLOOKUP(A121,'FlightConfig '!$B$34:$G$35,2,0)*I121),"")</f>
        <v>55.199999999999996</v>
      </c>
      <c r="K121" s="245">
        <f>VLOOKUP(Food!E121,'FG MASTER'!$A$1:$AC$536,16,0)</f>
        <v>1.51</v>
      </c>
      <c r="L121" s="246">
        <f>VLOOKUP(Food!E121,'FG MASTER'!$A$10:$AC$536,17,0)</f>
        <v>4</v>
      </c>
      <c r="M121" s="132">
        <f t="shared" si="61"/>
        <v>1.6</v>
      </c>
      <c r="N121" s="132">
        <f>IFERROR((K121)+M121,"")</f>
        <v>3.1100000000000003</v>
      </c>
      <c r="O121" s="132">
        <f t="shared" si="36"/>
        <v>0.22649999999999992</v>
      </c>
      <c r="P121" s="132">
        <f t="shared" si="37"/>
        <v>0.23999999999999977</v>
      </c>
      <c r="Q121" s="132">
        <f t="shared" si="63"/>
        <v>3.5764999999999998</v>
      </c>
      <c r="R121" s="405">
        <f t="shared" si="39"/>
        <v>1.7364999999999999</v>
      </c>
      <c r="S121" s="405">
        <f t="shared" si="40"/>
        <v>1.8399999999999999</v>
      </c>
      <c r="T121" s="405">
        <f t="shared" si="41"/>
        <v>3.5764999999999998</v>
      </c>
      <c r="U121" s="127"/>
      <c r="V121" s="127"/>
      <c r="W121" t="str">
        <f>IFERROR(#REF!*J121,"")</f>
        <v/>
      </c>
      <c r="X121">
        <f t="shared" si="42"/>
        <v>83.35199999999999</v>
      </c>
      <c r="Y121">
        <f t="shared" si="43"/>
        <v>220.79999999999998</v>
      </c>
      <c r="Z121" s="127">
        <f t="shared" si="44"/>
        <v>88.32</v>
      </c>
      <c r="AA121" s="127">
        <f t="shared" si="45"/>
        <v>171.672</v>
      </c>
      <c r="AB121" s="127">
        <f t="shared" si="46"/>
        <v>12.502799999999995</v>
      </c>
      <c r="AC121" s="127">
        <f t="shared" si="47"/>
        <v>13.247999999999987</v>
      </c>
      <c r="AD121" s="127">
        <f t="shared" si="48"/>
        <v>197.42279999999997</v>
      </c>
      <c r="AF121" s="127" t="str">
        <f>IFERROR(W121*'FlightConfig '!$K$3,"")</f>
        <v/>
      </c>
      <c r="AG121" s="127">
        <f>IFERROR(X121*'FlightConfig '!$K$23,"")</f>
        <v>30340.127999999997</v>
      </c>
      <c r="AH121" s="127">
        <f>IFERROR(Y121*'FlightConfig '!$K$23,"")</f>
        <v>80371.199999999997</v>
      </c>
      <c r="AI121" s="127">
        <f>IFERROR(Z121*'FlightConfig '!$K$23,"")</f>
        <v>32148.479999999996</v>
      </c>
      <c r="AJ121" s="127">
        <f>IFERROR(AA121*'FlightConfig '!$K$23,"")</f>
        <v>62488.608</v>
      </c>
      <c r="AK121" s="127">
        <f>IFERROR(AB121*'FlightConfig '!$K$23,"")</f>
        <v>4551.0191999999979</v>
      </c>
    </row>
    <row r="122" spans="1:37" ht="18.75" customHeight="1" x14ac:dyDescent="0.25">
      <c r="A122" t="s">
        <v>135</v>
      </c>
      <c r="B122" s="171">
        <v>1</v>
      </c>
      <c r="C122" s="176" t="str">
        <f>CONCATENATE(A122&amp;B122&amp;F122)</f>
        <v>ECONOMY CLASS1110</v>
      </c>
      <c r="D122" s="312"/>
      <c r="E122" s="305">
        <v>1048</v>
      </c>
      <c r="F122" s="311">
        <v>110</v>
      </c>
      <c r="G122" t="str">
        <f>VLOOKUP(E122,'FG MASTER'!$A$10:$AB$218,2,0)</f>
        <v>YC C1 DINNER SIDE 1 TOMATO KACHUMBER SAQLAD</v>
      </c>
      <c r="H122" s="286">
        <v>1</v>
      </c>
      <c r="I122" s="173">
        <v>0</v>
      </c>
      <c r="J122" s="292">
        <f>IFERROR(IF(I122="std",H122,HLOOKUP(A122,'FlightConfig '!$B$34:$G$35,2,0)*I122),"")</f>
        <v>0</v>
      </c>
      <c r="K122" s="245">
        <f>VLOOKUP(Food!E122,'FG MASTER'!$A$1:$AC$536,16,0)</f>
        <v>0.05</v>
      </c>
      <c r="L122" s="246">
        <f>VLOOKUP(Food!E122,'FG MASTER'!$A$10:$AC$536,17,0)</f>
        <v>1</v>
      </c>
      <c r="M122" s="132">
        <f t="shared" si="61"/>
        <v>0.4</v>
      </c>
      <c r="N122" s="132">
        <f>IFERROR((K122)+M122,"")</f>
        <v>0.45</v>
      </c>
      <c r="O122" s="132">
        <f t="shared" si="36"/>
        <v>7.4999999999999928E-3</v>
      </c>
      <c r="P122" s="132">
        <f t="shared" si="37"/>
        <v>5.9999999999999942E-2</v>
      </c>
      <c r="Q122" s="132">
        <f t="shared" si="63"/>
        <v>0.51749999999999996</v>
      </c>
      <c r="R122" s="405">
        <f t="shared" si="39"/>
        <v>5.7499999999999996E-2</v>
      </c>
      <c r="S122" s="405">
        <f t="shared" si="40"/>
        <v>0.45999999999999996</v>
      </c>
      <c r="T122" s="405">
        <f t="shared" si="41"/>
        <v>0.51749999999999996</v>
      </c>
      <c r="U122" s="127"/>
      <c r="V122" s="127"/>
      <c r="W122" t="str">
        <f>IFERROR(#REF!*J122,"")</f>
        <v/>
      </c>
      <c r="X122">
        <f t="shared" si="42"/>
        <v>0</v>
      </c>
      <c r="Y122">
        <f t="shared" si="43"/>
        <v>0</v>
      </c>
      <c r="Z122" s="127">
        <f t="shared" si="44"/>
        <v>0</v>
      </c>
      <c r="AA122" s="127">
        <f t="shared" si="45"/>
        <v>0</v>
      </c>
      <c r="AB122" s="127">
        <f t="shared" si="46"/>
        <v>0</v>
      </c>
      <c r="AC122" s="127">
        <f t="shared" si="47"/>
        <v>0</v>
      </c>
      <c r="AD122" s="127">
        <f t="shared" si="48"/>
        <v>0</v>
      </c>
      <c r="AF122" s="127" t="str">
        <f>IFERROR(W122*'FlightConfig '!$K$3,"")</f>
        <v/>
      </c>
      <c r="AG122" s="127">
        <f>IFERROR(X122*'FlightConfig '!$K$23,"")</f>
        <v>0</v>
      </c>
      <c r="AH122" s="127">
        <f>IFERROR(Y122*'FlightConfig '!$K$23,"")</f>
        <v>0</v>
      </c>
      <c r="AI122" s="127">
        <f>IFERROR(Z122*'FlightConfig '!$K$23,"")</f>
        <v>0</v>
      </c>
      <c r="AJ122" s="127">
        <f>IFERROR(AA122*'FlightConfig '!$K$23,"")</f>
        <v>0</v>
      </c>
      <c r="AK122" s="127">
        <f>IFERROR(AB122*'FlightConfig '!$K$23,"")</f>
        <v>0</v>
      </c>
    </row>
    <row r="123" spans="1:37" ht="18.75" customHeight="1" x14ac:dyDescent="0.25">
      <c r="A123" t="s">
        <v>135</v>
      </c>
      <c r="B123" s="171">
        <v>1</v>
      </c>
      <c r="C123" s="176" t="str">
        <f t="shared" ref="C123:C139" si="64">CONCATENATE(A123&amp;B123&amp;F123)</f>
        <v>ECONOMY CLASS1110</v>
      </c>
      <c r="D123" s="312"/>
      <c r="E123" s="305">
        <v>1049</v>
      </c>
      <c r="F123" s="311">
        <v>110</v>
      </c>
      <c r="G123" t="str">
        <f>VLOOKUP(E123,'FG MASTER'!$A$10:$AB$218,2,0)</f>
        <v>YC C1 DINNER DESSERT BANANA PUDDING, BISCOFF CUMBLE, BUTTERSCOTCH</v>
      </c>
      <c r="H123" s="286">
        <v>1</v>
      </c>
      <c r="I123" s="173">
        <v>1</v>
      </c>
      <c r="J123" s="292">
        <f>IFERROR(IF(I123="std",H123,HLOOKUP(A123,'FlightConfig '!$B$34:$G$35,2,0)*I123),"")</f>
        <v>184</v>
      </c>
      <c r="K123" s="245">
        <f>VLOOKUP(Food!E123,'FG MASTER'!$A$1:$AC$536,16,0)</f>
        <v>0.63</v>
      </c>
      <c r="L123" s="246">
        <f>VLOOKUP(Food!E123,'FG MASTER'!$A$10:$AC$536,17,0)</f>
        <v>1.5</v>
      </c>
      <c r="M123" s="132">
        <f t="shared" si="61"/>
        <v>0.60000000000000009</v>
      </c>
      <c r="N123" s="132">
        <f t="shared" ref="N123:N135" si="65">IFERROR((K123)+M123,"")</f>
        <v>1.23</v>
      </c>
      <c r="O123" s="132">
        <f t="shared" si="36"/>
        <v>9.4499999999999917E-2</v>
      </c>
      <c r="P123" s="132">
        <f t="shared" si="37"/>
        <v>8.9999999999999969E-2</v>
      </c>
      <c r="Q123" s="132">
        <f t="shared" si="63"/>
        <v>1.4144999999999999</v>
      </c>
      <c r="R123" s="405">
        <f t="shared" si="39"/>
        <v>0.72449999999999992</v>
      </c>
      <c r="S123" s="405">
        <f t="shared" si="40"/>
        <v>0.69000000000000006</v>
      </c>
      <c r="T123" s="405">
        <f t="shared" si="41"/>
        <v>1.4144999999999999</v>
      </c>
      <c r="U123" s="127"/>
      <c r="V123" s="127"/>
      <c r="W123" t="str">
        <f>IFERROR(#REF!*J123,"")</f>
        <v/>
      </c>
      <c r="X123">
        <f t="shared" si="42"/>
        <v>115.92</v>
      </c>
      <c r="Y123">
        <f t="shared" si="43"/>
        <v>276</v>
      </c>
      <c r="Z123" s="127">
        <f t="shared" si="44"/>
        <v>110.40000000000002</v>
      </c>
      <c r="AA123" s="127">
        <f t="shared" si="45"/>
        <v>226.32</v>
      </c>
      <c r="AB123" s="127">
        <f t="shared" si="46"/>
        <v>17.387999999999984</v>
      </c>
      <c r="AC123" s="127">
        <f t="shared" si="47"/>
        <v>16.559999999999995</v>
      </c>
      <c r="AD123" s="127">
        <f t="shared" si="48"/>
        <v>260.26799999999997</v>
      </c>
      <c r="AF123" s="127" t="str">
        <f>IFERROR(W123*'FlightConfig '!$K$3,"")</f>
        <v/>
      </c>
      <c r="AG123" s="127">
        <f>IFERROR(X123*'FlightConfig '!$K$23,"")</f>
        <v>42194.879999999997</v>
      </c>
      <c r="AH123" s="127">
        <f>IFERROR(Y123*'FlightConfig '!$K$23,"")</f>
        <v>100464</v>
      </c>
      <c r="AI123" s="127">
        <f>IFERROR(Z123*'FlightConfig '!$K$23,"")</f>
        <v>40185.600000000006</v>
      </c>
      <c r="AJ123" s="127">
        <f>IFERROR(AA123*'FlightConfig '!$K$23,"")</f>
        <v>82380.479999999996</v>
      </c>
      <c r="AK123" s="127">
        <f>IFERROR(AB123*'FlightConfig '!$K$23,"")</f>
        <v>6329.2319999999945</v>
      </c>
    </row>
    <row r="124" spans="1:37" ht="18.75" customHeight="1" x14ac:dyDescent="0.25">
      <c r="A124" t="s">
        <v>135</v>
      </c>
      <c r="B124" s="171">
        <v>1</v>
      </c>
      <c r="C124" s="176" t="str">
        <f t="shared" si="64"/>
        <v>ECONOMY CLASS1110</v>
      </c>
      <c r="D124" s="312"/>
      <c r="E124" s="305">
        <v>1050</v>
      </c>
      <c r="F124" s="311">
        <v>110</v>
      </c>
      <c r="G124" t="str">
        <f>VLOOKUP(E124,'FG MASTER'!$A$10:$AB$218,2,0)</f>
        <v>YC C1 BREAKFAST SANDWICH 1 FARM EGG BREAKFAST BURROTTO, SALSA ROJA</v>
      </c>
      <c r="H124" s="286">
        <v>1</v>
      </c>
      <c r="I124" s="173">
        <v>0.4</v>
      </c>
      <c r="J124" s="292">
        <f>IFERROR(IF(I124="std",H124,HLOOKUP(A124,'FlightConfig '!$B$34:$G$35,2,0)*I124),"")</f>
        <v>73.600000000000009</v>
      </c>
      <c r="K124" s="245">
        <f>VLOOKUP(Food!E124,'FG MASTER'!$A$1:$AC$536,16,0)</f>
        <v>1.3</v>
      </c>
      <c r="L124" s="246">
        <f>VLOOKUP(Food!E124,'FG MASTER'!$A$10:$AC$536,17,0)</f>
        <v>1.25</v>
      </c>
      <c r="M124" s="132">
        <f t="shared" si="61"/>
        <v>0.5</v>
      </c>
      <c r="N124" s="132">
        <f t="shared" si="65"/>
        <v>1.8</v>
      </c>
      <c r="O124" s="132">
        <f t="shared" si="36"/>
        <v>0.19499999999999984</v>
      </c>
      <c r="P124" s="132">
        <f t="shared" si="37"/>
        <v>7.4999999999999956E-2</v>
      </c>
      <c r="Q124" s="132">
        <f t="shared" si="63"/>
        <v>2.0699999999999998</v>
      </c>
      <c r="R124" s="405">
        <f t="shared" si="39"/>
        <v>1.4949999999999999</v>
      </c>
      <c r="S124" s="405">
        <f t="shared" si="40"/>
        <v>0.57499999999999996</v>
      </c>
      <c r="T124" s="405">
        <f t="shared" si="41"/>
        <v>2.0699999999999998</v>
      </c>
      <c r="U124" s="127"/>
      <c r="V124" s="127"/>
      <c r="W124" t="str">
        <f>IFERROR(#REF!*J124,"")</f>
        <v/>
      </c>
      <c r="X124">
        <f t="shared" si="42"/>
        <v>95.680000000000021</v>
      </c>
      <c r="Y124">
        <f t="shared" si="43"/>
        <v>92.000000000000014</v>
      </c>
      <c r="Z124" s="127">
        <f t="shared" si="44"/>
        <v>36.800000000000004</v>
      </c>
      <c r="AA124" s="127">
        <f t="shared" si="45"/>
        <v>132.48000000000002</v>
      </c>
      <c r="AB124" s="127">
        <f t="shared" si="46"/>
        <v>14.35199999999999</v>
      </c>
      <c r="AC124" s="127">
        <f t="shared" si="47"/>
        <v>5.5199999999999978</v>
      </c>
      <c r="AD124" s="127">
        <f t="shared" si="48"/>
        <v>152.352</v>
      </c>
      <c r="AF124" s="127" t="str">
        <f>IFERROR(W124*'FlightConfig '!$K$3,"")</f>
        <v/>
      </c>
      <c r="AG124" s="127">
        <f>IFERROR(X124*'FlightConfig '!$K$23,"")</f>
        <v>34827.520000000004</v>
      </c>
      <c r="AH124" s="127">
        <f>IFERROR(Y124*'FlightConfig '!$K$23,"")</f>
        <v>33488.000000000007</v>
      </c>
      <c r="AI124" s="127">
        <f>IFERROR(Z124*'FlightConfig '!$K$23,"")</f>
        <v>13395.2</v>
      </c>
      <c r="AJ124" s="127">
        <f>IFERROR(AA124*'FlightConfig '!$K$23,"")</f>
        <v>48222.720000000008</v>
      </c>
      <c r="AK124" s="127">
        <f>IFERROR(AB124*'FlightConfig '!$K$23,"")</f>
        <v>5224.1279999999961</v>
      </c>
    </row>
    <row r="125" spans="1:37" ht="18.75" customHeight="1" x14ac:dyDescent="0.25">
      <c r="A125" t="s">
        <v>135</v>
      </c>
      <c r="B125" s="171">
        <v>1</v>
      </c>
      <c r="C125" s="176" t="str">
        <f t="shared" si="64"/>
        <v>ECONOMY CLASS1110</v>
      </c>
      <c r="D125" s="312"/>
      <c r="E125" s="305">
        <v>1051</v>
      </c>
      <c r="F125" s="311">
        <v>110</v>
      </c>
      <c r="G125" t="str">
        <f>VLOOKUP(E125,'FG MASTER'!$A$10:$AB$218,2,0)</f>
        <v>YC C1 BREAKFAST SANDWICH 2 BACON, EGG AND CHEESE HAND PIE WITH HASH BROWNS, SUNDRIED TOMATO AIOLI</v>
      </c>
      <c r="H125" s="286">
        <v>1</v>
      </c>
      <c r="I125" s="173">
        <v>0.6</v>
      </c>
      <c r="J125" s="292">
        <f>IFERROR(IF(I125="std",H125,HLOOKUP(A125,'FlightConfig '!$B$34:$G$35,2,0)*I125),"")</f>
        <v>110.39999999999999</v>
      </c>
      <c r="K125" s="245">
        <f>VLOOKUP(Food!E125,'FG MASTER'!$A$1:$AC$536,16,0)</f>
        <v>1.94</v>
      </c>
      <c r="L125" s="246">
        <f>VLOOKUP(Food!E125,'FG MASTER'!$A$10:$AC$536,17,0)</f>
        <v>1.25</v>
      </c>
      <c r="M125" s="132">
        <f t="shared" si="61"/>
        <v>0.5</v>
      </c>
      <c r="N125" s="132">
        <f t="shared" si="65"/>
        <v>2.44</v>
      </c>
      <c r="O125" s="132">
        <f t="shared" si="36"/>
        <v>0.29099999999999993</v>
      </c>
      <c r="P125" s="132">
        <f t="shared" si="37"/>
        <v>7.4999999999999956E-2</v>
      </c>
      <c r="Q125" s="132">
        <f t="shared" si="63"/>
        <v>2.806</v>
      </c>
      <c r="R125" s="405">
        <f t="shared" si="39"/>
        <v>2.2309999999999999</v>
      </c>
      <c r="S125" s="405">
        <f t="shared" si="40"/>
        <v>0.57499999999999996</v>
      </c>
      <c r="T125" s="405">
        <f t="shared" si="41"/>
        <v>2.806</v>
      </c>
      <c r="U125" s="127"/>
      <c r="V125" s="127"/>
      <c r="W125" t="str">
        <f>IFERROR(#REF!*J125,"")</f>
        <v/>
      </c>
      <c r="X125">
        <f t="shared" si="42"/>
        <v>214.17599999999999</v>
      </c>
      <c r="Y125">
        <f t="shared" si="43"/>
        <v>138</v>
      </c>
      <c r="Z125" s="127">
        <f t="shared" si="44"/>
        <v>55.199999999999996</v>
      </c>
      <c r="AA125" s="127">
        <f t="shared" si="45"/>
        <v>269.37599999999998</v>
      </c>
      <c r="AB125" s="127">
        <f t="shared" si="46"/>
        <v>32.12639999999999</v>
      </c>
      <c r="AC125" s="127">
        <f t="shared" si="47"/>
        <v>8.279999999999994</v>
      </c>
      <c r="AD125" s="127">
        <f t="shared" si="48"/>
        <v>309.7824</v>
      </c>
      <c r="AF125" s="127" t="str">
        <f>IFERROR(W125*'FlightConfig '!$K$3,"")</f>
        <v/>
      </c>
      <c r="AG125" s="127">
        <f>IFERROR(X125*'FlightConfig '!$K$23,"")</f>
        <v>77960.063999999998</v>
      </c>
      <c r="AH125" s="127">
        <f>IFERROR(Y125*'FlightConfig '!$K$23,"")</f>
        <v>50232</v>
      </c>
      <c r="AI125" s="127">
        <f>IFERROR(Z125*'FlightConfig '!$K$23,"")</f>
        <v>20092.8</v>
      </c>
      <c r="AJ125" s="127">
        <f>IFERROR(AA125*'FlightConfig '!$K$23,"")</f>
        <v>98052.863999999987</v>
      </c>
      <c r="AK125" s="127">
        <f>IFERROR(AB125*'FlightConfig '!$K$23,"")</f>
        <v>11694.009599999996</v>
      </c>
    </row>
    <row r="126" spans="1:37" ht="18.75" customHeight="1" x14ac:dyDescent="0.25">
      <c r="A126" t="s">
        <v>135</v>
      </c>
      <c r="B126" s="171">
        <v>1</v>
      </c>
      <c r="C126" s="176" t="str">
        <f t="shared" si="64"/>
        <v>ECONOMY CLASS1110</v>
      </c>
      <c r="D126" s="312"/>
      <c r="E126" s="305">
        <v>1052</v>
      </c>
      <c r="F126" s="311">
        <v>110</v>
      </c>
      <c r="G126" t="str">
        <f>VLOOKUP(E126,'FG MASTER'!$A$10:$AB$218,2,0)</f>
        <v>YC C1 BREAKFAST SIDE 1 COCONUT CHIA OVERNIGHT OATS</v>
      </c>
      <c r="H126" s="286">
        <v>1</v>
      </c>
      <c r="I126" s="173">
        <v>0</v>
      </c>
      <c r="J126" s="292">
        <f>IFERROR(IF(I126="std",H126,HLOOKUP(A126,'FlightConfig '!$B$34:$G$35,2,0)*I126),"")</f>
        <v>0</v>
      </c>
      <c r="K126" s="245">
        <f>VLOOKUP(Food!E126,'FG MASTER'!$A$1:$AC$536,16,0)</f>
        <v>0.59</v>
      </c>
      <c r="L126" s="246">
        <f>VLOOKUP(Food!E126,'FG MASTER'!$A$10:$AC$536,17,0)</f>
        <v>1.5</v>
      </c>
      <c r="M126" s="132">
        <f t="shared" si="61"/>
        <v>0.60000000000000009</v>
      </c>
      <c r="N126" s="132">
        <f t="shared" si="65"/>
        <v>1.19</v>
      </c>
      <c r="O126" s="132">
        <f t="shared" si="36"/>
        <v>8.8499999999999912E-2</v>
      </c>
      <c r="P126" s="132">
        <f t="shared" si="37"/>
        <v>8.9999999999999969E-2</v>
      </c>
      <c r="Q126" s="132">
        <f t="shared" si="63"/>
        <v>1.3684999999999996</v>
      </c>
      <c r="R126" s="405">
        <f t="shared" si="39"/>
        <v>0.67849999999999988</v>
      </c>
      <c r="S126" s="405">
        <f t="shared" si="40"/>
        <v>0.69000000000000006</v>
      </c>
      <c r="T126" s="405">
        <f t="shared" si="41"/>
        <v>1.3685</v>
      </c>
      <c r="U126" s="127"/>
      <c r="V126" s="127"/>
      <c r="W126" t="str">
        <f>IFERROR(#REF!*J126,"")</f>
        <v/>
      </c>
      <c r="X126">
        <f t="shared" si="42"/>
        <v>0</v>
      </c>
      <c r="Y126">
        <f t="shared" si="43"/>
        <v>0</v>
      </c>
      <c r="Z126" s="127">
        <f t="shared" si="44"/>
        <v>0</v>
      </c>
      <c r="AA126" s="127">
        <f t="shared" si="45"/>
        <v>0</v>
      </c>
      <c r="AB126" s="127">
        <f t="shared" si="46"/>
        <v>0</v>
      </c>
      <c r="AC126" s="127">
        <f t="shared" si="47"/>
        <v>0</v>
      </c>
      <c r="AD126" s="127">
        <f t="shared" si="48"/>
        <v>0</v>
      </c>
      <c r="AF126" s="127" t="str">
        <f>IFERROR(W126*'FlightConfig '!$K$3,"")</f>
        <v/>
      </c>
      <c r="AG126" s="127">
        <f>IFERROR(X126*'FlightConfig '!$K$23,"")</f>
        <v>0</v>
      </c>
      <c r="AH126" s="127">
        <f>IFERROR(Y126*'FlightConfig '!$K$23,"")</f>
        <v>0</v>
      </c>
      <c r="AI126" s="127">
        <f>IFERROR(Z126*'FlightConfig '!$K$23,"")</f>
        <v>0</v>
      </c>
      <c r="AJ126" s="127">
        <f>IFERROR(AA126*'FlightConfig '!$K$23,"")</f>
        <v>0</v>
      </c>
      <c r="AK126" s="127">
        <f>IFERROR(AB126*'FlightConfig '!$K$23,"")</f>
        <v>0</v>
      </c>
    </row>
    <row r="127" spans="1:37" ht="18.75" customHeight="1" x14ac:dyDescent="0.25">
      <c r="A127" t="s">
        <v>135</v>
      </c>
      <c r="B127" s="171">
        <v>1</v>
      </c>
      <c r="C127" s="176" t="str">
        <f t="shared" si="64"/>
        <v>ECONOMY CLASS1110</v>
      </c>
      <c r="D127" s="312"/>
      <c r="E127" s="305">
        <v>1053</v>
      </c>
      <c r="F127" s="311">
        <v>110</v>
      </c>
      <c r="G127" t="str">
        <f>VLOOKUP(E127,'FG MASTER'!$A$10:$AB$218,2,0)</f>
        <v>YC C1 BREAKFAST SIDE 2 HOMEMADE BANANA BREAD</v>
      </c>
      <c r="H127" s="286">
        <v>1</v>
      </c>
      <c r="I127" s="173">
        <v>0</v>
      </c>
      <c r="J127" s="292">
        <f>IFERROR(IF(I127="std",H127,HLOOKUP(A127,'FlightConfig '!$B$34:$G$35,2,0)*I127),"")</f>
        <v>0</v>
      </c>
      <c r="K127" s="245">
        <f>VLOOKUP(Food!E127,'FG MASTER'!$A$1:$AC$536,16,0)</f>
        <v>0.28000000000000003</v>
      </c>
      <c r="L127" s="246">
        <f>VLOOKUP(Food!E127,'FG MASTER'!$A$10:$AC$536,17,0)</f>
        <v>1</v>
      </c>
      <c r="M127" s="132">
        <f t="shared" si="61"/>
        <v>0.4</v>
      </c>
      <c r="N127" s="132">
        <f t="shared" si="65"/>
        <v>0.68</v>
      </c>
      <c r="O127" s="132">
        <f t="shared" si="36"/>
        <v>4.1999999999999982E-2</v>
      </c>
      <c r="P127" s="132">
        <f t="shared" si="37"/>
        <v>5.9999999999999942E-2</v>
      </c>
      <c r="Q127" s="132">
        <f t="shared" si="63"/>
        <v>0.78199999999999992</v>
      </c>
      <c r="R127" s="405">
        <f t="shared" si="39"/>
        <v>0.32200000000000001</v>
      </c>
      <c r="S127" s="405">
        <f t="shared" si="40"/>
        <v>0.45999999999999996</v>
      </c>
      <c r="T127" s="405">
        <f t="shared" si="41"/>
        <v>0.78200000000000003</v>
      </c>
      <c r="U127" s="127"/>
      <c r="V127" s="127"/>
      <c r="W127" t="str">
        <f>IFERROR(#REF!*J127,"")</f>
        <v/>
      </c>
      <c r="X127">
        <f t="shared" si="42"/>
        <v>0</v>
      </c>
      <c r="Y127">
        <f t="shared" si="43"/>
        <v>0</v>
      </c>
      <c r="Z127" s="127">
        <f t="shared" si="44"/>
        <v>0</v>
      </c>
      <c r="AA127" s="127">
        <f t="shared" si="45"/>
        <v>0</v>
      </c>
      <c r="AB127" s="127">
        <f t="shared" si="46"/>
        <v>0</v>
      </c>
      <c r="AC127" s="127">
        <f t="shared" si="47"/>
        <v>0</v>
      </c>
      <c r="AD127" s="127">
        <f t="shared" si="48"/>
        <v>0</v>
      </c>
      <c r="AF127" s="127" t="str">
        <f>IFERROR(W127*'FlightConfig '!$K$3,"")</f>
        <v/>
      </c>
      <c r="AG127" s="127">
        <f>IFERROR(X127*'FlightConfig '!$K$23,"")</f>
        <v>0</v>
      </c>
      <c r="AH127" s="127">
        <f>IFERROR(Y127*'FlightConfig '!$K$23,"")</f>
        <v>0</v>
      </c>
      <c r="AI127" s="127">
        <f>IFERROR(Z127*'FlightConfig '!$K$23,"")</f>
        <v>0</v>
      </c>
      <c r="AJ127" s="127">
        <f>IFERROR(AA127*'FlightConfig '!$K$23,"")</f>
        <v>0</v>
      </c>
      <c r="AK127" s="127">
        <f>IFERROR(AB127*'FlightConfig '!$K$23,"")</f>
        <v>0</v>
      </c>
    </row>
    <row r="128" spans="1:37" ht="18.75" customHeight="1" x14ac:dyDescent="0.25">
      <c r="A128" t="s">
        <v>234</v>
      </c>
      <c r="B128" s="171">
        <v>1</v>
      </c>
      <c r="C128" s="176" t="str">
        <f t="shared" si="64"/>
        <v>CABIN CREW CLASS1110</v>
      </c>
      <c r="D128" s="312"/>
      <c r="E128" s="305">
        <v>1054</v>
      </c>
      <c r="F128" s="311">
        <v>110</v>
      </c>
      <c r="G128" t="str">
        <f>VLOOKUP(E128,'FG MASTER'!$A$10:$AB$218,2,0)</f>
        <v>CREW C1 DINNER CHEESE &amp; CRACKER, CELERY STICK, CARROT, HUMMUS</v>
      </c>
      <c r="H128" s="286">
        <v>1</v>
      </c>
      <c r="I128" s="173">
        <v>1</v>
      </c>
      <c r="J128" s="292">
        <f>IFERROR(IF(I128="std",H128,HLOOKUP(A128,'FlightConfig '!$B$34:$G$35,2,0)*I128),"")</f>
        <v>6</v>
      </c>
      <c r="K128" s="245">
        <f>VLOOKUP(Food!E128,'FG MASTER'!$A$1:$AC$536,16,0)</f>
        <v>1.23</v>
      </c>
      <c r="L128" s="246">
        <f>VLOOKUP(Food!E128,'FG MASTER'!$A$10:$AC$536,17,0)</f>
        <v>1.5</v>
      </c>
      <c r="M128" s="132">
        <f t="shared" si="61"/>
        <v>0.60000000000000009</v>
      </c>
      <c r="N128" s="132">
        <f t="shared" si="65"/>
        <v>1.83</v>
      </c>
      <c r="O128" s="132">
        <f t="shared" si="36"/>
        <v>0.18449999999999989</v>
      </c>
      <c r="P128" s="132">
        <f t="shared" si="37"/>
        <v>8.9999999999999969E-2</v>
      </c>
      <c r="Q128" s="132">
        <f t="shared" si="63"/>
        <v>2.1044999999999998</v>
      </c>
      <c r="R128" s="405">
        <f t="shared" si="39"/>
        <v>1.4144999999999999</v>
      </c>
      <c r="S128" s="405">
        <f t="shared" si="40"/>
        <v>0.69000000000000006</v>
      </c>
      <c r="T128" s="405">
        <f t="shared" si="41"/>
        <v>2.1044999999999998</v>
      </c>
      <c r="U128" s="127"/>
      <c r="V128" s="127"/>
      <c r="W128" t="str">
        <f>IFERROR(#REF!*J128,"")</f>
        <v/>
      </c>
      <c r="X128">
        <f t="shared" si="42"/>
        <v>7.38</v>
      </c>
      <c r="Y128">
        <f t="shared" si="43"/>
        <v>9</v>
      </c>
      <c r="Z128" s="127">
        <f t="shared" si="44"/>
        <v>3.6000000000000005</v>
      </c>
      <c r="AA128" s="127">
        <f t="shared" si="45"/>
        <v>10.98</v>
      </c>
      <c r="AB128" s="127">
        <f t="shared" si="46"/>
        <v>1.1069999999999993</v>
      </c>
      <c r="AC128" s="127">
        <f t="shared" si="47"/>
        <v>0.53999999999999981</v>
      </c>
      <c r="AD128" s="127">
        <f t="shared" si="48"/>
        <v>12.626999999999999</v>
      </c>
      <c r="AF128" s="127" t="str">
        <f>IFERROR(W128*'FlightConfig '!$K$3,"")</f>
        <v/>
      </c>
      <c r="AG128" s="127">
        <f>IFERROR(X128*'FlightConfig '!$K$23,"")</f>
        <v>2686.32</v>
      </c>
      <c r="AH128" s="127">
        <f>IFERROR(Y128*'FlightConfig '!$K$23,"")</f>
        <v>3276</v>
      </c>
      <c r="AI128" s="127">
        <f>IFERROR(Z128*'FlightConfig '!$K$23,"")</f>
        <v>1310.4000000000001</v>
      </c>
      <c r="AJ128" s="127">
        <f>IFERROR(AA128*'FlightConfig '!$K$23,"")</f>
        <v>3996.7200000000003</v>
      </c>
      <c r="AK128" s="127">
        <f>IFERROR(AB128*'FlightConfig '!$K$23,"")</f>
        <v>402.94799999999975</v>
      </c>
    </row>
    <row r="129" spans="1:37" ht="18.75" customHeight="1" x14ac:dyDescent="0.25">
      <c r="A129" t="s">
        <v>234</v>
      </c>
      <c r="B129" s="171">
        <v>1</v>
      </c>
      <c r="C129" s="176" t="str">
        <f t="shared" si="64"/>
        <v>CABIN CREW CLASS1110</v>
      </c>
      <c r="D129" s="312"/>
      <c r="E129" s="305">
        <v>1055</v>
      </c>
      <c r="F129" s="311">
        <v>110</v>
      </c>
      <c r="G129" t="str">
        <f>VLOOKUP(E129,'FG MASTER'!$A$10:$AB$218,2,0)</f>
        <v>CREW C1 DINNER HARD BOILED EGG WITH TURKEY CUBES AND CHEDDAR</v>
      </c>
      <c r="H129" s="286">
        <v>1</v>
      </c>
      <c r="I129" s="173">
        <v>1</v>
      </c>
      <c r="J129" s="292">
        <f>IFERROR(IF(I129="std",H129,HLOOKUP(A129,'FlightConfig '!$B$34:$G$35,2,0)*I129),"")</f>
        <v>6</v>
      </c>
      <c r="K129" s="245">
        <f>VLOOKUP(Food!E129,'FG MASTER'!$A$1:$AC$536,16,0)</f>
        <v>2.08</v>
      </c>
      <c r="L129" s="246">
        <f>VLOOKUP(Food!E129,'FG MASTER'!$A$10:$AC$536,17,0)</f>
        <v>1</v>
      </c>
      <c r="M129" s="132">
        <f t="shared" si="61"/>
        <v>0.4</v>
      </c>
      <c r="N129" s="132">
        <f t="shared" si="65"/>
        <v>2.48</v>
      </c>
      <c r="O129" s="132">
        <f t="shared" si="36"/>
        <v>0.31199999999999983</v>
      </c>
      <c r="P129" s="132">
        <f t="shared" si="37"/>
        <v>5.9999999999999942E-2</v>
      </c>
      <c r="Q129" s="132">
        <f t="shared" si="63"/>
        <v>2.8519999999999999</v>
      </c>
      <c r="R129" s="405">
        <f t="shared" si="39"/>
        <v>2.3919999999999999</v>
      </c>
      <c r="S129" s="405">
        <f t="shared" si="40"/>
        <v>0.45999999999999996</v>
      </c>
      <c r="T129" s="405">
        <f t="shared" si="41"/>
        <v>2.8519999999999999</v>
      </c>
      <c r="U129" s="127"/>
      <c r="V129" s="127"/>
      <c r="W129" t="str">
        <f>IFERROR(#REF!*J129,"")</f>
        <v/>
      </c>
      <c r="X129">
        <f t="shared" si="42"/>
        <v>12.48</v>
      </c>
      <c r="Y129">
        <f t="shared" si="43"/>
        <v>6</v>
      </c>
      <c r="Z129" s="127">
        <f t="shared" si="44"/>
        <v>2.4000000000000004</v>
      </c>
      <c r="AA129" s="127">
        <f t="shared" si="45"/>
        <v>14.879999999999999</v>
      </c>
      <c r="AB129" s="127">
        <f t="shared" si="46"/>
        <v>1.871999999999999</v>
      </c>
      <c r="AC129" s="127">
        <f t="shared" si="47"/>
        <v>0.35999999999999965</v>
      </c>
      <c r="AD129" s="127">
        <f t="shared" si="48"/>
        <v>17.111999999999998</v>
      </c>
      <c r="AF129" s="127" t="str">
        <f>IFERROR(W129*'FlightConfig '!$K$3,"")</f>
        <v/>
      </c>
      <c r="AG129" s="127">
        <f>IFERROR(X129*'FlightConfig '!$K$23,"")</f>
        <v>4542.72</v>
      </c>
      <c r="AH129" s="127">
        <f>IFERROR(Y129*'FlightConfig '!$K$23,"")</f>
        <v>2184</v>
      </c>
      <c r="AI129" s="127">
        <f>IFERROR(Z129*'FlightConfig '!$K$23,"")</f>
        <v>873.60000000000014</v>
      </c>
      <c r="AJ129" s="127">
        <f>IFERROR(AA129*'FlightConfig '!$K$23,"")</f>
        <v>5416.32</v>
      </c>
      <c r="AK129" s="127">
        <f>IFERROR(AB129*'FlightConfig '!$K$23,"")</f>
        <v>681.40799999999967</v>
      </c>
    </row>
    <row r="130" spans="1:37" ht="18.75" customHeight="1" x14ac:dyDescent="0.25">
      <c r="A130" t="s">
        <v>234</v>
      </c>
      <c r="B130" s="171">
        <v>1</v>
      </c>
      <c r="C130" s="176" t="str">
        <f t="shared" si="64"/>
        <v>CABIN CREW CLASS1110</v>
      </c>
      <c r="D130" s="312"/>
      <c r="E130" s="305">
        <v>1056</v>
      </c>
      <c r="F130" s="311">
        <v>110</v>
      </c>
      <c r="G130" t="str">
        <f>VLOOKUP(E130,'FG MASTER'!$A$10:$AB$218,2,0)</f>
        <v>CREW C1 DINNER WHOLE FRUIT BANANA, APPLES AND ORANGE</v>
      </c>
      <c r="H130" s="286">
        <v>1</v>
      </c>
      <c r="I130" s="173">
        <v>1</v>
      </c>
      <c r="J130" s="292">
        <f>IFERROR(IF(I130="std",H130,HLOOKUP(A130,'FlightConfig '!$B$34:$G$35,2,0)*I130),"")</f>
        <v>6</v>
      </c>
      <c r="K130" s="245">
        <f>VLOOKUP(Food!E130,'FG MASTER'!$A$1:$AC$536,16,0)</f>
        <v>1.32</v>
      </c>
      <c r="L130" s="246">
        <f>VLOOKUP(Food!E130,'FG MASTER'!$A$10:$AC$536,17,0)</f>
        <v>1</v>
      </c>
      <c r="M130" s="132">
        <f>IFERROR(L130*$M$2,"")</f>
        <v>0.4</v>
      </c>
      <c r="N130" s="132">
        <f t="shared" si="65"/>
        <v>1.7200000000000002</v>
      </c>
      <c r="O130" s="132">
        <f t="shared" si="36"/>
        <v>0.19799999999999995</v>
      </c>
      <c r="P130" s="132">
        <f t="shared" si="37"/>
        <v>5.9999999999999942E-2</v>
      </c>
      <c r="Q130" s="132">
        <f t="shared" si="63"/>
        <v>1.9780000000000002</v>
      </c>
      <c r="R130" s="405">
        <f t="shared" si="39"/>
        <v>1.518</v>
      </c>
      <c r="S130" s="405">
        <f t="shared" si="40"/>
        <v>0.45999999999999996</v>
      </c>
      <c r="T130" s="405">
        <f t="shared" si="41"/>
        <v>1.978</v>
      </c>
      <c r="U130" s="127"/>
      <c r="V130" s="127"/>
      <c r="W130" t="str">
        <f>IFERROR(#REF!*J130,"")</f>
        <v/>
      </c>
      <c r="X130">
        <f t="shared" si="42"/>
        <v>7.92</v>
      </c>
      <c r="Y130">
        <f t="shared" si="43"/>
        <v>6</v>
      </c>
      <c r="Z130" s="127">
        <f t="shared" si="44"/>
        <v>2.4000000000000004</v>
      </c>
      <c r="AA130" s="127">
        <f t="shared" si="45"/>
        <v>10.32</v>
      </c>
      <c r="AB130" s="127">
        <f t="shared" si="46"/>
        <v>1.1879999999999997</v>
      </c>
      <c r="AC130" s="127">
        <f t="shared" si="47"/>
        <v>0.35999999999999965</v>
      </c>
      <c r="AD130" s="127">
        <f t="shared" si="48"/>
        <v>11.868000000000002</v>
      </c>
      <c r="AF130" s="127" t="str">
        <f>IFERROR(W130*'FlightConfig '!$K$3,"")</f>
        <v/>
      </c>
      <c r="AG130" s="127">
        <f>IFERROR(X130*'FlightConfig '!$K$23,"")</f>
        <v>2882.88</v>
      </c>
      <c r="AH130" s="127">
        <f>IFERROR(Y130*'FlightConfig '!$K$23,"")</f>
        <v>2184</v>
      </c>
      <c r="AI130" s="127">
        <f>IFERROR(Z130*'FlightConfig '!$K$23,"")</f>
        <v>873.60000000000014</v>
      </c>
      <c r="AJ130" s="127">
        <f>IFERROR(AA130*'FlightConfig '!$K$23,"")</f>
        <v>3756.48</v>
      </c>
      <c r="AK130" s="127">
        <f>IFERROR(AB130*'FlightConfig '!$K$23,"")</f>
        <v>432.4319999999999</v>
      </c>
    </row>
    <row r="131" spans="1:37" ht="18.75" customHeight="1" x14ac:dyDescent="0.25">
      <c r="A131" t="s">
        <v>234</v>
      </c>
      <c r="B131" s="171">
        <v>1</v>
      </c>
      <c r="C131" s="176" t="str">
        <f t="shared" si="64"/>
        <v>CABIN CREW CLASS1110</v>
      </c>
      <c r="D131" s="294"/>
      <c r="E131" s="306">
        <v>1057</v>
      </c>
      <c r="F131" s="311">
        <v>110</v>
      </c>
      <c r="G131" t="str">
        <f>VLOOKUP(E131,'FG MASTER'!$A$10:$AB$218,2,0)</f>
        <v xml:space="preserve">CREW C1 DINNER ENTRÉE 1 VEGAN COCONUT CURRY WITH BASMATI RICE </v>
      </c>
      <c r="H131" s="286">
        <v>1</v>
      </c>
      <c r="I131" s="173">
        <v>1</v>
      </c>
      <c r="J131" s="292">
        <f>IFERROR(IF(I131="std",H131,HLOOKUP(A131,'FlightConfig '!$B$34:$G$35,2,0)*I131),"")</f>
        <v>6</v>
      </c>
      <c r="K131" s="245">
        <f>VLOOKUP(Food!E131,'FG MASTER'!$A$1:$AC$536,16,0)</f>
        <v>2.16</v>
      </c>
      <c r="L131" s="246">
        <f>VLOOKUP(Food!E131,'FG MASTER'!$A$10:$AC$536,17,0)</f>
        <v>3.5</v>
      </c>
      <c r="M131" s="132">
        <f t="shared" ref="M131:M144" si="66">IFERROR(L131*$M$2,"")</f>
        <v>1.4000000000000001</v>
      </c>
      <c r="N131" s="132">
        <f t="shared" si="65"/>
        <v>3.5600000000000005</v>
      </c>
      <c r="O131" s="132">
        <f t="shared" si="36"/>
        <v>0.32399999999999984</v>
      </c>
      <c r="P131" s="132">
        <f t="shared" si="37"/>
        <v>0.20999999999999996</v>
      </c>
      <c r="Q131" s="132">
        <f t="shared" si="63"/>
        <v>4.0940000000000003</v>
      </c>
      <c r="R131" s="405">
        <f t="shared" si="39"/>
        <v>2.484</v>
      </c>
      <c r="S131" s="405">
        <f t="shared" si="40"/>
        <v>1.61</v>
      </c>
      <c r="T131" s="405">
        <f t="shared" si="41"/>
        <v>4.0940000000000003</v>
      </c>
      <c r="U131" s="127"/>
      <c r="V131" s="127"/>
      <c r="W131" t="str">
        <f>IFERROR(#REF!*J131,"")</f>
        <v/>
      </c>
      <c r="X131">
        <f t="shared" si="42"/>
        <v>12.96</v>
      </c>
      <c r="Y131">
        <f t="shared" si="43"/>
        <v>21</v>
      </c>
      <c r="Z131" s="127">
        <f t="shared" si="44"/>
        <v>8.4</v>
      </c>
      <c r="AA131" s="127">
        <f t="shared" si="45"/>
        <v>21.360000000000003</v>
      </c>
      <c r="AB131" s="127">
        <f t="shared" si="46"/>
        <v>1.9439999999999991</v>
      </c>
      <c r="AC131" s="127">
        <f t="shared" si="47"/>
        <v>1.2599999999999998</v>
      </c>
      <c r="AD131" s="127">
        <f t="shared" si="48"/>
        <v>24.564</v>
      </c>
      <c r="AF131" s="127" t="str">
        <f>IFERROR(W131*'FlightConfig '!$K$3,"")</f>
        <v/>
      </c>
      <c r="AG131" s="127">
        <f>IFERROR(X131*'FlightConfig '!$K$23,"")</f>
        <v>4717.4400000000005</v>
      </c>
      <c r="AH131" s="127">
        <f>IFERROR(Y131*'FlightConfig '!$K$23,"")</f>
        <v>7644</v>
      </c>
      <c r="AI131" s="127">
        <f>IFERROR(Z131*'FlightConfig '!$K$23,"")</f>
        <v>3057.6</v>
      </c>
      <c r="AJ131" s="127">
        <f>IFERROR(AA131*'FlightConfig '!$K$23,"")</f>
        <v>7775.0400000000009</v>
      </c>
      <c r="AK131" s="127">
        <f>IFERROR(AB131*'FlightConfig '!$K$23,"")</f>
        <v>707.61599999999964</v>
      </c>
    </row>
    <row r="132" spans="1:37" ht="18.75" customHeight="1" x14ac:dyDescent="0.25">
      <c r="A132" t="s">
        <v>234</v>
      </c>
      <c r="B132" s="171">
        <v>1</v>
      </c>
      <c r="C132" s="176" t="str">
        <f t="shared" si="64"/>
        <v>CABIN CREW CLASS1110</v>
      </c>
      <c r="D132" s="294"/>
      <c r="E132" s="306">
        <v>1058</v>
      </c>
      <c r="F132" s="311">
        <v>110</v>
      </c>
      <c r="G132" t="str">
        <f>VLOOKUP(E132,'FG MASTER'!$A$10:$AB$218,2,0)</f>
        <v>CREW C1 DINNER ENTRÉE 2 LEMON CONFIT CHICKEN LEG WITH FINGERING POTATOES, HARICOT VERT, CHICKEN JUS AND LEMON AGRUMATO</v>
      </c>
      <c r="H132" s="286">
        <v>1</v>
      </c>
      <c r="I132" s="173">
        <v>1</v>
      </c>
      <c r="J132" s="292">
        <f>IFERROR(IF(I132="std",H132,HLOOKUP(A132,'FlightConfig '!$B$34:$G$35,2,0)*I132),"")</f>
        <v>6</v>
      </c>
      <c r="K132" s="245">
        <f>VLOOKUP(Food!E132,'FG MASTER'!$A$1:$AC$536,16,0)</f>
        <v>4.28</v>
      </c>
      <c r="L132" s="246">
        <f>VLOOKUP(Food!E132,'FG MASTER'!$A$10:$AC$536,17,0)</f>
        <v>4.25</v>
      </c>
      <c r="M132" s="132">
        <f t="shared" si="66"/>
        <v>1.7000000000000002</v>
      </c>
      <c r="N132" s="132">
        <f t="shared" si="65"/>
        <v>5.98</v>
      </c>
      <c r="O132" s="132">
        <f t="shared" si="36"/>
        <v>0.64199999999999946</v>
      </c>
      <c r="P132" s="132">
        <f t="shared" si="37"/>
        <v>0.25499999999999989</v>
      </c>
      <c r="Q132" s="132">
        <f t="shared" si="63"/>
        <v>6.8769999999999998</v>
      </c>
      <c r="R132" s="405">
        <f t="shared" si="39"/>
        <v>4.9219999999999997</v>
      </c>
      <c r="S132" s="405">
        <f t="shared" si="40"/>
        <v>1.9550000000000001</v>
      </c>
      <c r="T132" s="405">
        <f t="shared" si="41"/>
        <v>6.8769999999999998</v>
      </c>
      <c r="U132" s="127"/>
      <c r="V132" s="127"/>
      <c r="W132" t="str">
        <f>IFERROR(#REF!*J132,"")</f>
        <v/>
      </c>
      <c r="X132">
        <f t="shared" si="42"/>
        <v>25.68</v>
      </c>
      <c r="Y132">
        <f t="shared" si="43"/>
        <v>25.5</v>
      </c>
      <c r="Z132" s="127">
        <f t="shared" si="44"/>
        <v>10.200000000000001</v>
      </c>
      <c r="AA132" s="127">
        <f t="shared" si="45"/>
        <v>35.880000000000003</v>
      </c>
      <c r="AB132" s="127">
        <f t="shared" si="46"/>
        <v>3.8519999999999968</v>
      </c>
      <c r="AC132" s="127">
        <f t="shared" si="47"/>
        <v>1.5299999999999994</v>
      </c>
      <c r="AD132" s="127">
        <f t="shared" si="48"/>
        <v>41.262</v>
      </c>
      <c r="AF132" s="127" t="str">
        <f>IFERROR(W132*'FlightConfig '!$K$3,"")</f>
        <v/>
      </c>
      <c r="AG132" s="127">
        <f>IFERROR(X132*'FlightConfig '!$K$23,"")</f>
        <v>9347.52</v>
      </c>
      <c r="AH132" s="127">
        <f>IFERROR(Y132*'FlightConfig '!$K$23,"")</f>
        <v>9282</v>
      </c>
      <c r="AI132" s="127">
        <f>IFERROR(Z132*'FlightConfig '!$K$23,"")</f>
        <v>3712.8</v>
      </c>
      <c r="AJ132" s="127">
        <f>IFERROR(AA132*'FlightConfig '!$K$23,"")</f>
        <v>13060.320000000002</v>
      </c>
      <c r="AK132" s="127">
        <f>IFERROR(AB132*'FlightConfig '!$K$23,"")</f>
        <v>1402.1279999999988</v>
      </c>
    </row>
    <row r="133" spans="1:37" ht="18.75" customHeight="1" x14ac:dyDescent="0.25">
      <c r="A133" t="s">
        <v>234</v>
      </c>
      <c r="B133" s="171">
        <v>1</v>
      </c>
      <c r="C133" s="176" t="str">
        <f t="shared" si="64"/>
        <v>CABIN CREW CLASS1110</v>
      </c>
      <c r="D133" s="294"/>
      <c r="E133" s="304">
        <v>1059</v>
      </c>
      <c r="F133" s="311">
        <v>110</v>
      </c>
      <c r="G133" t="str">
        <f>VLOOKUP(E133,'FG MASTER'!$A$10:$AB$218,2,0)</f>
        <v>CREW C1 DINNER ENTRÉE 3 TRUFFLE PARMESAN RISOTTO WITH ZUCCHINI, WILD MUSHROOM CONSERVA, ASPARAGUS, BABAY ARTICHOKE</v>
      </c>
      <c r="H133" s="286">
        <v>1</v>
      </c>
      <c r="I133" s="173">
        <v>1</v>
      </c>
      <c r="J133" s="292">
        <f>IFERROR(IF(I133="std",H133,HLOOKUP(A133,'FlightConfig '!$B$34:$G$35,2,0)*I133),"")</f>
        <v>6</v>
      </c>
      <c r="K133" s="245">
        <f>VLOOKUP(Food!E133,'FG MASTER'!$A$1:$AC$536,16,0)</f>
        <v>3.41</v>
      </c>
      <c r="L133" s="246">
        <f>VLOOKUP(Food!E133,'FG MASTER'!$A$10:$AC$536,17,0)</f>
        <v>4.25</v>
      </c>
      <c r="M133" s="132">
        <f t="shared" si="66"/>
        <v>1.7000000000000002</v>
      </c>
      <c r="N133" s="132">
        <f t="shared" si="65"/>
        <v>5.1100000000000003</v>
      </c>
      <c r="O133" s="132">
        <f t="shared" si="36"/>
        <v>0.51149999999999984</v>
      </c>
      <c r="P133" s="132">
        <f t="shared" si="37"/>
        <v>0.25499999999999989</v>
      </c>
      <c r="Q133" s="132">
        <f t="shared" si="63"/>
        <v>5.8765000000000001</v>
      </c>
      <c r="R133" s="405">
        <f t="shared" si="39"/>
        <v>3.9215</v>
      </c>
      <c r="S133" s="405">
        <f t="shared" si="40"/>
        <v>1.9550000000000001</v>
      </c>
      <c r="T133" s="405">
        <f t="shared" si="41"/>
        <v>5.8765000000000001</v>
      </c>
      <c r="U133" s="127"/>
      <c r="V133" s="127"/>
      <c r="W133" t="str">
        <f>IFERROR(#REF!*J133,"")</f>
        <v/>
      </c>
      <c r="X133">
        <f t="shared" si="42"/>
        <v>20.46</v>
      </c>
      <c r="Y133">
        <f t="shared" si="43"/>
        <v>25.5</v>
      </c>
      <c r="Z133" s="127">
        <f t="shared" si="44"/>
        <v>10.200000000000001</v>
      </c>
      <c r="AA133" s="127">
        <f t="shared" si="45"/>
        <v>30.660000000000004</v>
      </c>
      <c r="AB133" s="127">
        <f t="shared" si="46"/>
        <v>3.0689999999999991</v>
      </c>
      <c r="AC133" s="127">
        <f t="shared" si="47"/>
        <v>1.5299999999999994</v>
      </c>
      <c r="AD133" s="127">
        <f t="shared" si="48"/>
        <v>35.259</v>
      </c>
      <c r="AF133" s="127" t="str">
        <f>IFERROR(W133*'FlightConfig '!$K$3,"")</f>
        <v/>
      </c>
      <c r="AG133" s="127">
        <f>IFERROR(X133*'FlightConfig '!$K$23,"")</f>
        <v>7447.4400000000005</v>
      </c>
      <c r="AH133" s="127">
        <f>IFERROR(Y133*'FlightConfig '!$K$23,"")</f>
        <v>9282</v>
      </c>
      <c r="AI133" s="127">
        <f>IFERROR(Z133*'FlightConfig '!$K$23,"")</f>
        <v>3712.8</v>
      </c>
      <c r="AJ133" s="127">
        <f>IFERROR(AA133*'FlightConfig '!$K$23,"")</f>
        <v>11160.240000000002</v>
      </c>
      <c r="AK133" s="127">
        <f>IFERROR(AB133*'FlightConfig '!$K$23,"")</f>
        <v>1117.1159999999998</v>
      </c>
    </row>
    <row r="134" spans="1:37" ht="18.75" customHeight="1" x14ac:dyDescent="0.25">
      <c r="A134" t="s">
        <v>234</v>
      </c>
      <c r="B134" s="171">
        <v>1</v>
      </c>
      <c r="C134" s="176" t="str">
        <f t="shared" si="64"/>
        <v>CABIN CREW CLASS1110</v>
      </c>
      <c r="D134" s="294"/>
      <c r="E134" s="305">
        <v>1060</v>
      </c>
      <c r="F134" s="311">
        <v>110</v>
      </c>
      <c r="G134" t="str">
        <f>VLOOKUP(E134,'FG MASTER'!$A$10:$AB$218,2,0)</f>
        <v>CREW C1 DINNER ENTRÉE 4 BAKED RIGATONI WITH HERB WHIPPED RICCOTA</v>
      </c>
      <c r="H134" s="286">
        <v>1</v>
      </c>
      <c r="I134" s="173">
        <v>1</v>
      </c>
      <c r="J134" s="292">
        <f>IFERROR(IF(I134="std",H134,HLOOKUP(A134,'FlightConfig '!$B$34:$G$35,2,0)*I134),"")</f>
        <v>6</v>
      </c>
      <c r="K134" s="245">
        <f>VLOOKUP(Food!E134,'FG MASTER'!$A$1:$AC$536,16,0)</f>
        <v>1.51</v>
      </c>
      <c r="L134" s="246">
        <f>VLOOKUP(Food!E134,'FG MASTER'!$A$10:$AC$536,17,0)</f>
        <v>4</v>
      </c>
      <c r="M134" s="132">
        <f t="shared" si="66"/>
        <v>1.6</v>
      </c>
      <c r="N134" s="132">
        <f t="shared" si="65"/>
        <v>3.1100000000000003</v>
      </c>
      <c r="O134" s="132">
        <f t="shared" ref="O134:O144" si="67">IFERROR($K134*(1+$O$2)-$K134,0)</f>
        <v>0.22649999999999992</v>
      </c>
      <c r="P134" s="132">
        <f t="shared" ref="P134:P144" si="68">IFERROR($M134*(1+$P$2)-$M134,0)</f>
        <v>0.23999999999999977</v>
      </c>
      <c r="Q134" s="132">
        <f t="shared" si="63"/>
        <v>3.5764999999999998</v>
      </c>
      <c r="R134" s="405">
        <f t="shared" ref="R134:R144" si="69">K134*(1+$O$2)</f>
        <v>1.7364999999999999</v>
      </c>
      <c r="S134" s="405">
        <f t="shared" ref="S134:S144" si="70">M134*(1+$P$2)</f>
        <v>1.8399999999999999</v>
      </c>
      <c r="T134" s="405">
        <f t="shared" ref="T134:T144" si="71">R134+S134</f>
        <v>3.5764999999999998</v>
      </c>
      <c r="U134" s="127"/>
      <c r="V134" s="127"/>
      <c r="W134" t="str">
        <f>IFERROR(#REF!*J134,"")</f>
        <v/>
      </c>
      <c r="X134">
        <f t="shared" ref="X134:X144" si="72">IFERROR(K134*J134,"")</f>
        <v>9.06</v>
      </c>
      <c r="Y134">
        <f t="shared" ref="Y134:Y144" si="73">IFERROR(+L134*J134,"")</f>
        <v>24</v>
      </c>
      <c r="Z134" s="127">
        <f t="shared" ref="Z134:Z144" si="74">IFERROR(+M134*J134,"")</f>
        <v>9.6000000000000014</v>
      </c>
      <c r="AA134" s="127">
        <f t="shared" ref="AA134:AA144" si="75">IFERROR(+N134*J134,"")</f>
        <v>18.660000000000004</v>
      </c>
      <c r="AB134" s="127">
        <f t="shared" ref="AB134:AB144" si="76">IFERROR(O134*$J134,"")</f>
        <v>1.3589999999999995</v>
      </c>
      <c r="AC134" s="127">
        <f t="shared" ref="AC134:AC198" si="77">IFERROR(P134*$J134,"")</f>
        <v>1.4399999999999986</v>
      </c>
      <c r="AD134" s="127">
        <f t="shared" ref="AD134:AD198" si="78">IFERROR(+Q134*J134,"")</f>
        <v>21.459</v>
      </c>
      <c r="AF134" s="127" t="str">
        <f>IFERROR(W134*'FlightConfig '!$K$3,"")</f>
        <v/>
      </c>
      <c r="AG134" s="127">
        <f>IFERROR(X134*'FlightConfig '!$K$23,"")</f>
        <v>3297.84</v>
      </c>
      <c r="AH134" s="127">
        <f>IFERROR(Y134*'FlightConfig '!$K$23,"")</f>
        <v>8736</v>
      </c>
      <c r="AI134" s="127">
        <f>IFERROR(Z134*'FlightConfig '!$K$23,"")</f>
        <v>3494.4000000000005</v>
      </c>
      <c r="AJ134" s="127">
        <f>IFERROR(AA134*'FlightConfig '!$K$23,"")</f>
        <v>6792.2400000000016</v>
      </c>
      <c r="AK134" s="127">
        <f>IFERROR(AB134*'FlightConfig '!$K$23,"")</f>
        <v>494.67599999999982</v>
      </c>
    </row>
    <row r="135" spans="1:37" ht="18.75" customHeight="1" x14ac:dyDescent="0.25">
      <c r="A135" t="s">
        <v>234</v>
      </c>
      <c r="B135" s="171">
        <v>1</v>
      </c>
      <c r="C135" s="176" t="str">
        <f t="shared" si="64"/>
        <v>CABIN CREW CLASS1110</v>
      </c>
      <c r="D135" s="294"/>
      <c r="E135" s="305">
        <v>1061</v>
      </c>
      <c r="F135" s="311">
        <v>110</v>
      </c>
      <c r="G135" t="str">
        <f>VLOOKUP(E135,'FG MASTER'!$A$10:$AB$218,2,0)</f>
        <v xml:space="preserve">CREW C1 DINNER ENTRÉE 5 </v>
      </c>
      <c r="H135" s="286">
        <v>1</v>
      </c>
      <c r="I135" s="173">
        <v>1</v>
      </c>
      <c r="J135" s="292">
        <f>IFERROR(IF(I135="std",H135,HLOOKUP(A135,'FlightConfig '!$B$34:$G$35,2,0)*I135),"")</f>
        <v>6</v>
      </c>
      <c r="K135" s="245">
        <f>VLOOKUP(Food!E135,'FG MASTER'!$A$1:$AC$536,16,0)</f>
        <v>0</v>
      </c>
      <c r="L135" s="246">
        <f>VLOOKUP(Food!E135,'FG MASTER'!$A$10:$AC$536,17,0)</f>
        <v>0</v>
      </c>
      <c r="M135" s="132">
        <f t="shared" si="66"/>
        <v>0</v>
      </c>
      <c r="N135" s="132">
        <f t="shared" si="65"/>
        <v>0</v>
      </c>
      <c r="O135" s="132">
        <f t="shared" si="67"/>
        <v>0</v>
      </c>
      <c r="P135" s="132">
        <f t="shared" si="68"/>
        <v>0</v>
      </c>
      <c r="Q135" s="132">
        <f t="shared" si="63"/>
        <v>0</v>
      </c>
      <c r="R135" s="405">
        <f t="shared" si="69"/>
        <v>0</v>
      </c>
      <c r="S135" s="405">
        <f t="shared" si="70"/>
        <v>0</v>
      </c>
      <c r="T135" s="405">
        <f t="shared" si="71"/>
        <v>0</v>
      </c>
      <c r="U135" s="127"/>
      <c r="V135" s="127"/>
      <c r="W135" t="str">
        <f>IFERROR(#REF!*J135,"")</f>
        <v/>
      </c>
      <c r="X135">
        <f t="shared" si="72"/>
        <v>0</v>
      </c>
      <c r="Y135">
        <f t="shared" si="73"/>
        <v>0</v>
      </c>
      <c r="Z135" s="127">
        <f t="shared" si="74"/>
        <v>0</v>
      </c>
      <c r="AA135" s="127">
        <f t="shared" si="75"/>
        <v>0</v>
      </c>
      <c r="AB135" s="127">
        <f t="shared" si="76"/>
        <v>0</v>
      </c>
      <c r="AC135" s="127">
        <f t="shared" si="77"/>
        <v>0</v>
      </c>
      <c r="AD135" s="127">
        <f t="shared" si="78"/>
        <v>0</v>
      </c>
      <c r="AF135" s="127" t="str">
        <f>IFERROR(W135*'FlightConfig '!$K$3,"")</f>
        <v/>
      </c>
      <c r="AG135" s="127">
        <f>IFERROR(X135*'FlightConfig '!$K$23,"")</f>
        <v>0</v>
      </c>
      <c r="AH135" s="127">
        <f>IFERROR(Y135*'FlightConfig '!$K$23,"")</f>
        <v>0</v>
      </c>
      <c r="AI135" s="127">
        <f>IFERROR(Z135*'FlightConfig '!$K$23,"")</f>
        <v>0</v>
      </c>
      <c r="AJ135" s="127">
        <f>IFERROR(AA135*'FlightConfig '!$K$23,"")</f>
        <v>0</v>
      </c>
      <c r="AK135" s="127">
        <f>IFERROR(AB135*'FlightConfig '!$K$23,"")</f>
        <v>0</v>
      </c>
    </row>
    <row r="136" spans="1:37" ht="18.75" customHeight="1" x14ac:dyDescent="0.25">
      <c r="A136" t="s">
        <v>234</v>
      </c>
      <c r="B136" s="171">
        <v>1</v>
      </c>
      <c r="C136" s="176" t="str">
        <f t="shared" si="64"/>
        <v>CABIN CREW CLASS1110</v>
      </c>
      <c r="D136" s="294"/>
      <c r="E136" s="305">
        <v>1062</v>
      </c>
      <c r="F136" s="311">
        <v>110</v>
      </c>
      <c r="G136" t="str">
        <f>VLOOKUP(E136,'FG MASTER'!$A$10:$AB$218,2,0)</f>
        <v>CREW C1 SANDWICH 1 CAPRESE SANDWICH</v>
      </c>
      <c r="H136" s="286">
        <v>1</v>
      </c>
      <c r="I136" s="173">
        <v>1</v>
      </c>
      <c r="J136" s="292">
        <f>IFERROR(IF(I136="std",H136,HLOOKUP(A136,'FlightConfig '!$B$34:$G$35,2,0)*I136),"")</f>
        <v>6</v>
      </c>
      <c r="K136" s="245">
        <f>VLOOKUP(Food!E136,'FG MASTER'!$A$1:$AC$536,16,0)</f>
        <v>1.63</v>
      </c>
      <c r="L136" s="246">
        <f>VLOOKUP(Food!E136,'FG MASTER'!$A$10:$AC$536,17,0)</f>
        <v>1.5</v>
      </c>
      <c r="M136" s="132">
        <f t="shared" si="66"/>
        <v>0.60000000000000009</v>
      </c>
      <c r="N136" s="132">
        <f>IFERROR((K136)+M136,"")</f>
        <v>2.23</v>
      </c>
      <c r="O136" s="132">
        <f t="shared" si="67"/>
        <v>0.24449999999999994</v>
      </c>
      <c r="P136" s="132">
        <f t="shared" si="68"/>
        <v>8.9999999999999969E-2</v>
      </c>
      <c r="Q136" s="132">
        <f t="shared" si="63"/>
        <v>2.5644999999999998</v>
      </c>
      <c r="R136" s="405">
        <f t="shared" si="69"/>
        <v>1.8744999999999998</v>
      </c>
      <c r="S136" s="405">
        <f t="shared" si="70"/>
        <v>0.69000000000000006</v>
      </c>
      <c r="T136" s="405">
        <f t="shared" si="71"/>
        <v>2.5644999999999998</v>
      </c>
      <c r="U136" s="127"/>
      <c r="V136" s="127"/>
      <c r="W136" t="str">
        <f>IFERROR(#REF!*J136,"")</f>
        <v/>
      </c>
      <c r="X136">
        <f t="shared" si="72"/>
        <v>9.7799999999999994</v>
      </c>
      <c r="Y136">
        <f t="shared" si="73"/>
        <v>9</v>
      </c>
      <c r="Z136" s="127">
        <f t="shared" si="74"/>
        <v>3.6000000000000005</v>
      </c>
      <c r="AA136" s="127">
        <f t="shared" si="75"/>
        <v>13.379999999999999</v>
      </c>
      <c r="AB136" s="127">
        <f t="shared" si="76"/>
        <v>1.4669999999999996</v>
      </c>
      <c r="AC136" s="127">
        <f t="shared" si="77"/>
        <v>0.53999999999999981</v>
      </c>
      <c r="AD136" s="127">
        <f t="shared" si="78"/>
        <v>15.386999999999999</v>
      </c>
      <c r="AF136" s="127" t="str">
        <f>IFERROR(W136*'FlightConfig '!$K$3,"")</f>
        <v/>
      </c>
      <c r="AG136" s="127">
        <f>IFERROR(X136*'FlightConfig '!$K$23,"")</f>
        <v>3559.9199999999996</v>
      </c>
      <c r="AH136" s="127">
        <f>IFERROR(Y136*'FlightConfig '!$K$23,"")</f>
        <v>3276</v>
      </c>
      <c r="AI136" s="127">
        <f>IFERROR(Z136*'FlightConfig '!$K$23,"")</f>
        <v>1310.4000000000001</v>
      </c>
      <c r="AJ136" s="127">
        <f>IFERROR(AA136*'FlightConfig '!$K$23,"")</f>
        <v>4870.32</v>
      </c>
      <c r="AK136" s="127">
        <f>IFERROR(AB136*'FlightConfig '!$K$23,"")</f>
        <v>533.98799999999983</v>
      </c>
    </row>
    <row r="137" spans="1:37" ht="18.75" customHeight="1" x14ac:dyDescent="0.25">
      <c r="A137" t="s">
        <v>234</v>
      </c>
      <c r="B137" s="171">
        <v>1</v>
      </c>
      <c r="C137" s="176" t="str">
        <f t="shared" si="64"/>
        <v>CABIN CREW CLASS1110</v>
      </c>
      <c r="D137" s="294"/>
      <c r="E137" s="305">
        <v>1063</v>
      </c>
      <c r="F137" s="311">
        <v>110</v>
      </c>
      <c r="G137" t="str">
        <f>VLOOKUP(E137,'FG MASTER'!$A$10:$AB$218,2,0)</f>
        <v>CREW C1 SANDWICH 2 TURKEY AND CHEESE</v>
      </c>
      <c r="H137" s="286">
        <v>1</v>
      </c>
      <c r="I137" s="173">
        <v>1</v>
      </c>
      <c r="J137" s="292">
        <f>IFERROR(IF(I137="std",H137,HLOOKUP(A137,'FlightConfig '!$B$34:$G$35,2,0)*I137),"")</f>
        <v>6</v>
      </c>
      <c r="K137" s="245">
        <f>VLOOKUP(Food!E137,'FG MASTER'!$A$1:$AC$536,16,0)</f>
        <v>1.63</v>
      </c>
      <c r="L137" s="246">
        <f>VLOOKUP(Food!E137,'FG MASTER'!$A$10:$AC$536,17,0)</f>
        <v>1.5</v>
      </c>
      <c r="M137" s="132">
        <f t="shared" si="66"/>
        <v>0.60000000000000009</v>
      </c>
      <c r="N137" s="132">
        <f t="shared" ref="N137:N144" si="79">IFERROR((K137)+M137,"")</f>
        <v>2.23</v>
      </c>
      <c r="O137" s="132">
        <f t="shared" si="67"/>
        <v>0.24449999999999994</v>
      </c>
      <c r="P137" s="132">
        <f t="shared" si="68"/>
        <v>8.9999999999999969E-2</v>
      </c>
      <c r="Q137" s="132">
        <f t="shared" si="63"/>
        <v>2.5644999999999998</v>
      </c>
      <c r="R137" s="405">
        <f t="shared" si="69"/>
        <v>1.8744999999999998</v>
      </c>
      <c r="S137" s="405">
        <f t="shared" si="70"/>
        <v>0.69000000000000006</v>
      </c>
      <c r="T137" s="405">
        <f t="shared" si="71"/>
        <v>2.5644999999999998</v>
      </c>
      <c r="U137" s="127"/>
      <c r="V137" s="127"/>
      <c r="W137" t="str">
        <f>IFERROR(#REF!*J137,"")</f>
        <v/>
      </c>
      <c r="X137">
        <f t="shared" si="72"/>
        <v>9.7799999999999994</v>
      </c>
      <c r="Y137">
        <f t="shared" si="73"/>
        <v>9</v>
      </c>
      <c r="Z137" s="127">
        <f t="shared" si="74"/>
        <v>3.6000000000000005</v>
      </c>
      <c r="AA137" s="127">
        <f t="shared" si="75"/>
        <v>13.379999999999999</v>
      </c>
      <c r="AB137" s="127">
        <f t="shared" si="76"/>
        <v>1.4669999999999996</v>
      </c>
      <c r="AC137" s="127">
        <f t="shared" si="77"/>
        <v>0.53999999999999981</v>
      </c>
      <c r="AD137" s="127">
        <f t="shared" si="78"/>
        <v>15.386999999999999</v>
      </c>
      <c r="AF137" s="127" t="str">
        <f>IFERROR(W137*'FlightConfig '!$K$3,"")</f>
        <v/>
      </c>
      <c r="AG137" s="127">
        <f>IFERROR(X137*'FlightConfig '!$K$23,"")</f>
        <v>3559.9199999999996</v>
      </c>
      <c r="AH137" s="127">
        <f>IFERROR(Y137*'FlightConfig '!$K$23,"")</f>
        <v>3276</v>
      </c>
      <c r="AI137" s="127">
        <f>IFERROR(Z137*'FlightConfig '!$K$23,"")</f>
        <v>1310.4000000000001</v>
      </c>
      <c r="AJ137" s="127">
        <f>IFERROR(AA137*'FlightConfig '!$K$23,"")</f>
        <v>4870.32</v>
      </c>
      <c r="AK137" s="127">
        <f>IFERROR(AB137*'FlightConfig '!$K$23,"")</f>
        <v>533.98799999999983</v>
      </c>
    </row>
    <row r="138" spans="1:37" ht="18.75" customHeight="1" x14ac:dyDescent="0.25">
      <c r="A138" t="s">
        <v>234</v>
      </c>
      <c r="B138" s="171">
        <v>1</v>
      </c>
      <c r="C138" s="176" t="str">
        <f t="shared" si="64"/>
        <v>CABIN CREW CLASS1110</v>
      </c>
      <c r="D138" s="294"/>
      <c r="E138" s="305">
        <v>1064</v>
      </c>
      <c r="F138" s="311">
        <v>110</v>
      </c>
      <c r="G138" t="str">
        <f>VLOOKUP(E138,'FG MASTER'!$A$10:$AB$218,2,0)</f>
        <v xml:space="preserve">CREW C1 SANDWICH 3 PHILLY CHEESE STEAK SANDWICH </v>
      </c>
      <c r="H138" s="286">
        <v>1</v>
      </c>
      <c r="I138" s="173">
        <v>1</v>
      </c>
      <c r="J138" s="292">
        <f>IFERROR(IF(I138="std",H138,HLOOKUP(A138,'FlightConfig '!$B$34:$G$35,2,0)*I138),"")</f>
        <v>6</v>
      </c>
      <c r="K138" s="245">
        <f>VLOOKUP(Food!E138,'FG MASTER'!$A$1:$AC$536,16,0)</f>
        <v>2.2999999999999998</v>
      </c>
      <c r="L138" s="246">
        <f>VLOOKUP(Food!E138,'FG MASTER'!$A$10:$AC$536,17,0)</f>
        <v>1.5</v>
      </c>
      <c r="M138" s="132">
        <f t="shared" si="66"/>
        <v>0.60000000000000009</v>
      </c>
      <c r="N138" s="132">
        <f t="shared" si="79"/>
        <v>2.9</v>
      </c>
      <c r="O138" s="132">
        <f t="shared" si="67"/>
        <v>0.34499999999999975</v>
      </c>
      <c r="P138" s="132">
        <f t="shared" si="68"/>
        <v>8.9999999999999969E-2</v>
      </c>
      <c r="Q138" s="132">
        <f t="shared" si="63"/>
        <v>3.3349999999999995</v>
      </c>
      <c r="R138" s="405">
        <f t="shared" si="69"/>
        <v>2.6449999999999996</v>
      </c>
      <c r="S138" s="405">
        <f t="shared" si="70"/>
        <v>0.69000000000000006</v>
      </c>
      <c r="T138" s="405">
        <f t="shared" si="71"/>
        <v>3.3349999999999995</v>
      </c>
      <c r="U138" s="127"/>
      <c r="V138" s="127"/>
      <c r="W138" t="str">
        <f>IFERROR(#REF!*J138,"")</f>
        <v/>
      </c>
      <c r="X138">
        <f t="shared" si="72"/>
        <v>13.799999999999999</v>
      </c>
      <c r="Y138">
        <f t="shared" si="73"/>
        <v>9</v>
      </c>
      <c r="Z138" s="127">
        <f t="shared" si="74"/>
        <v>3.6000000000000005</v>
      </c>
      <c r="AA138" s="127">
        <f t="shared" si="75"/>
        <v>17.399999999999999</v>
      </c>
      <c r="AB138" s="127">
        <f t="shared" si="76"/>
        <v>2.0699999999999985</v>
      </c>
      <c r="AC138" s="127">
        <f t="shared" si="77"/>
        <v>0.53999999999999981</v>
      </c>
      <c r="AD138" s="127">
        <f t="shared" si="78"/>
        <v>20.009999999999998</v>
      </c>
      <c r="AF138" s="127" t="str">
        <f>IFERROR(W138*'FlightConfig '!$K$3,"")</f>
        <v/>
      </c>
      <c r="AG138" s="127">
        <f>IFERROR(X138*'FlightConfig '!$K$23,"")</f>
        <v>5023.2</v>
      </c>
      <c r="AH138" s="127">
        <f>IFERROR(Y138*'FlightConfig '!$K$23,"")</f>
        <v>3276</v>
      </c>
      <c r="AI138" s="127">
        <f>IFERROR(Z138*'FlightConfig '!$K$23,"")</f>
        <v>1310.4000000000001</v>
      </c>
      <c r="AJ138" s="127">
        <f>IFERROR(AA138*'FlightConfig '!$K$23,"")</f>
        <v>6333.5999999999995</v>
      </c>
      <c r="AK138" s="127">
        <f>IFERROR(AB138*'FlightConfig '!$K$23,"")</f>
        <v>753.47999999999945</v>
      </c>
    </row>
    <row r="139" spans="1:37" ht="18.75" customHeight="1" x14ac:dyDescent="0.25">
      <c r="A139" t="s">
        <v>234</v>
      </c>
      <c r="B139" s="171">
        <v>1</v>
      </c>
      <c r="C139" s="176" t="str">
        <f t="shared" si="64"/>
        <v>CABIN CREW CLASS1110</v>
      </c>
      <c r="D139" s="294"/>
      <c r="E139" s="305">
        <v>1065</v>
      </c>
      <c r="F139" s="311">
        <v>110</v>
      </c>
      <c r="G139" t="str">
        <f>VLOOKUP(E139,'FG MASTER'!$A$10:$AB$218,2,0)</f>
        <v xml:space="preserve">CREW C1 SANDWICH 4 CHICKEN SALAD CROISSANT SANDWICH </v>
      </c>
      <c r="H139" s="286">
        <v>1</v>
      </c>
      <c r="I139" s="173">
        <v>1</v>
      </c>
      <c r="J139" s="292">
        <f>IFERROR(IF(I139="std",H139,HLOOKUP(A139,'FlightConfig '!$B$34:$G$35,2,0)*I139),"")</f>
        <v>6</v>
      </c>
      <c r="K139" s="245">
        <f>VLOOKUP(Food!E139,'FG MASTER'!$A$1:$AC$536,16,0)</f>
        <v>2.0499999999999998</v>
      </c>
      <c r="L139" s="246">
        <f>VLOOKUP(Food!E139,'FG MASTER'!$A$10:$AC$536,17,0)</f>
        <v>1.5</v>
      </c>
      <c r="M139" s="132">
        <f t="shared" si="66"/>
        <v>0.60000000000000009</v>
      </c>
      <c r="N139" s="132">
        <f t="shared" si="79"/>
        <v>2.65</v>
      </c>
      <c r="O139" s="132">
        <f t="shared" si="67"/>
        <v>0.30749999999999966</v>
      </c>
      <c r="P139" s="132">
        <f t="shared" si="68"/>
        <v>8.9999999999999969E-2</v>
      </c>
      <c r="Q139" s="132">
        <f t="shared" si="63"/>
        <v>3.0474999999999994</v>
      </c>
      <c r="R139" s="405">
        <f t="shared" si="69"/>
        <v>2.3574999999999995</v>
      </c>
      <c r="S139" s="405">
        <f t="shared" si="70"/>
        <v>0.69000000000000006</v>
      </c>
      <c r="T139" s="405">
        <f t="shared" si="71"/>
        <v>3.0474999999999994</v>
      </c>
      <c r="U139" s="127"/>
      <c r="V139" s="127"/>
      <c r="W139" t="str">
        <f>IFERROR(#REF!*J139,"")</f>
        <v/>
      </c>
      <c r="X139">
        <f t="shared" si="72"/>
        <v>12.299999999999999</v>
      </c>
      <c r="Y139">
        <f t="shared" si="73"/>
        <v>9</v>
      </c>
      <c r="Z139" s="127">
        <f t="shared" si="74"/>
        <v>3.6000000000000005</v>
      </c>
      <c r="AA139" s="127">
        <f t="shared" si="75"/>
        <v>15.899999999999999</v>
      </c>
      <c r="AB139" s="127">
        <f t="shared" si="76"/>
        <v>1.844999999999998</v>
      </c>
      <c r="AC139" s="127">
        <f t="shared" si="77"/>
        <v>0.53999999999999981</v>
      </c>
      <c r="AD139" s="127">
        <f t="shared" si="78"/>
        <v>18.284999999999997</v>
      </c>
      <c r="AF139" s="127" t="str">
        <f>IFERROR(W139*'FlightConfig '!$K$3,"")</f>
        <v/>
      </c>
      <c r="AG139" s="127">
        <f>IFERROR(X139*'FlightConfig '!$K$23,"")</f>
        <v>4477.2</v>
      </c>
      <c r="AH139" s="127">
        <f>IFERROR(Y139*'FlightConfig '!$K$23,"")</f>
        <v>3276</v>
      </c>
      <c r="AI139" s="127">
        <f>IFERROR(Z139*'FlightConfig '!$K$23,"")</f>
        <v>1310.4000000000001</v>
      </c>
      <c r="AJ139" s="127">
        <f>IFERROR(AA139*'FlightConfig '!$K$23,"")</f>
        <v>5787.5999999999995</v>
      </c>
      <c r="AK139" s="127">
        <f>IFERROR(AB139*'FlightConfig '!$K$23,"")</f>
        <v>671.57999999999925</v>
      </c>
    </row>
    <row r="140" spans="1:37" ht="18.75" customHeight="1" x14ac:dyDescent="0.25">
      <c r="A140" t="s">
        <v>234</v>
      </c>
      <c r="B140" s="171">
        <v>1</v>
      </c>
      <c r="C140" s="176" t="str">
        <f>CONCATENATE(A140&amp;B140&amp;F140)</f>
        <v>CABIN CREW CLASS1110</v>
      </c>
      <c r="D140" s="294"/>
      <c r="E140" s="305">
        <v>1066</v>
      </c>
      <c r="F140" s="311">
        <v>110</v>
      </c>
      <c r="G140" t="str">
        <f>VLOOKUP(E140,'FG MASTER'!$A$10:$AB$218,2,0)</f>
        <v xml:space="preserve">CREW C1 SANDWICH 5 HAM AND CHEESE SANDWICH </v>
      </c>
      <c r="H140" s="286">
        <v>1</v>
      </c>
      <c r="I140" s="173">
        <v>1</v>
      </c>
      <c r="J140" s="292">
        <f>IFERROR(IF(I140="std",H140,HLOOKUP(A140,'FlightConfig '!$B$34:$G$35,2,0)*I140),"")</f>
        <v>6</v>
      </c>
      <c r="K140" s="245">
        <f>VLOOKUP(Food!E140,'FG MASTER'!$A$1:$AC$536,16,0)</f>
        <v>1.68</v>
      </c>
      <c r="L140" s="246">
        <f>VLOOKUP(Food!E140,'FG MASTER'!$A$10:$AC$536,17,0)</f>
        <v>1.5</v>
      </c>
      <c r="M140" s="132">
        <f t="shared" si="66"/>
        <v>0.60000000000000009</v>
      </c>
      <c r="N140" s="132">
        <f t="shared" si="79"/>
        <v>2.2800000000000002</v>
      </c>
      <c r="O140" s="132">
        <f t="shared" si="67"/>
        <v>0.25199999999999978</v>
      </c>
      <c r="P140" s="132">
        <f t="shared" si="68"/>
        <v>8.9999999999999969E-2</v>
      </c>
      <c r="Q140" s="132">
        <f t="shared" si="63"/>
        <v>2.6219999999999999</v>
      </c>
      <c r="R140" s="405">
        <f t="shared" si="69"/>
        <v>1.9319999999999997</v>
      </c>
      <c r="S140" s="405">
        <f t="shared" si="70"/>
        <v>0.69000000000000006</v>
      </c>
      <c r="T140" s="405">
        <f t="shared" si="71"/>
        <v>2.6219999999999999</v>
      </c>
      <c r="U140" s="127"/>
      <c r="V140" s="127"/>
      <c r="W140" t="str">
        <f>IFERROR(#REF!*J140,"")</f>
        <v/>
      </c>
      <c r="X140">
        <f t="shared" si="72"/>
        <v>10.08</v>
      </c>
      <c r="Y140">
        <f t="shared" si="73"/>
        <v>9</v>
      </c>
      <c r="Z140" s="127">
        <f t="shared" si="74"/>
        <v>3.6000000000000005</v>
      </c>
      <c r="AA140" s="127">
        <f t="shared" si="75"/>
        <v>13.680000000000001</v>
      </c>
      <c r="AB140" s="127">
        <f t="shared" si="76"/>
        <v>1.5119999999999987</v>
      </c>
      <c r="AC140" s="127">
        <f t="shared" si="77"/>
        <v>0.53999999999999981</v>
      </c>
      <c r="AD140" s="127">
        <f t="shared" si="78"/>
        <v>15.731999999999999</v>
      </c>
      <c r="AF140" s="127" t="str">
        <f>IFERROR(W140*'FlightConfig '!$K$3,"")</f>
        <v/>
      </c>
      <c r="AG140" s="127">
        <f>IFERROR(X140*'FlightConfig '!$K$23,"")</f>
        <v>3669.12</v>
      </c>
      <c r="AH140" s="127">
        <f>IFERROR(Y140*'FlightConfig '!$K$23,"")</f>
        <v>3276</v>
      </c>
      <c r="AI140" s="127">
        <f>IFERROR(Z140*'FlightConfig '!$K$23,"")</f>
        <v>1310.4000000000001</v>
      </c>
      <c r="AJ140" s="127">
        <f>IFERROR(AA140*'FlightConfig '!$K$23,"")</f>
        <v>4979.5200000000004</v>
      </c>
      <c r="AK140" s="127">
        <f>IFERROR(AB140*'FlightConfig '!$K$23,"")</f>
        <v>550.36799999999948</v>
      </c>
    </row>
    <row r="141" spans="1:37" ht="18.75" customHeight="1" x14ac:dyDescent="0.25">
      <c r="A141" t="s">
        <v>234</v>
      </c>
      <c r="B141" s="171">
        <v>1</v>
      </c>
      <c r="C141" s="176" t="str">
        <f t="shared" ref="C141:C144" si="80">CONCATENATE(A141&amp;B141&amp;F141)</f>
        <v>CABIN CREW CLASS1110</v>
      </c>
      <c r="D141" s="294"/>
      <c r="E141" s="305">
        <v>1067</v>
      </c>
      <c r="F141" s="311">
        <v>110</v>
      </c>
      <c r="G141" t="str">
        <f>VLOOKUP(E141,'FG MASTER'!$A$10:$AB$218,2,0)</f>
        <v>CREW C1 MIDNIGHT SNACK CHICKIEN TENDERS WITH FRIES</v>
      </c>
      <c r="H141" s="286">
        <v>1</v>
      </c>
      <c r="I141" s="173">
        <v>1</v>
      </c>
      <c r="J141" s="292">
        <f>IFERROR(IF(I141="std",H141,HLOOKUP(A141,'FlightConfig '!$B$34:$G$35,2,0)*I141),"")</f>
        <v>6</v>
      </c>
      <c r="K141" s="245">
        <f>VLOOKUP(Food!E141,'FG MASTER'!$A$1:$AC$536,16,0)</f>
        <v>1.8</v>
      </c>
      <c r="L141" s="246">
        <f>VLOOKUP(Food!E141,'FG MASTER'!$A$10:$AC$536,17,0)</f>
        <v>2</v>
      </c>
      <c r="M141" s="132">
        <f t="shared" si="66"/>
        <v>0.8</v>
      </c>
      <c r="N141" s="132">
        <f t="shared" si="79"/>
        <v>2.6</v>
      </c>
      <c r="O141" s="132">
        <f t="shared" si="67"/>
        <v>0.2699999999999998</v>
      </c>
      <c r="P141" s="132">
        <f t="shared" si="68"/>
        <v>0.11999999999999988</v>
      </c>
      <c r="Q141" s="132">
        <f t="shared" si="63"/>
        <v>2.99</v>
      </c>
      <c r="R141" s="405">
        <f t="shared" si="69"/>
        <v>2.0699999999999998</v>
      </c>
      <c r="S141" s="405">
        <f t="shared" si="70"/>
        <v>0.91999999999999993</v>
      </c>
      <c r="T141" s="405">
        <f t="shared" si="71"/>
        <v>2.9899999999999998</v>
      </c>
      <c r="U141" s="127"/>
      <c r="V141" s="127"/>
      <c r="W141" t="str">
        <f>IFERROR(#REF!*J141,"")</f>
        <v/>
      </c>
      <c r="X141">
        <f t="shared" si="72"/>
        <v>10.8</v>
      </c>
      <c r="Y141">
        <f t="shared" si="73"/>
        <v>12</v>
      </c>
      <c r="Z141" s="127">
        <f t="shared" si="74"/>
        <v>4.8000000000000007</v>
      </c>
      <c r="AA141" s="127">
        <f t="shared" si="75"/>
        <v>15.600000000000001</v>
      </c>
      <c r="AB141" s="127">
        <f t="shared" si="76"/>
        <v>1.6199999999999988</v>
      </c>
      <c r="AC141" s="127">
        <f t="shared" si="77"/>
        <v>0.71999999999999931</v>
      </c>
      <c r="AD141" s="127">
        <f t="shared" si="78"/>
        <v>17.940000000000001</v>
      </c>
      <c r="AF141" s="127" t="str">
        <f>IFERROR(W141*'FlightConfig '!$K$3,"")</f>
        <v/>
      </c>
      <c r="AG141" s="127">
        <f>IFERROR(X141*'FlightConfig '!$K$23,"")</f>
        <v>3931.2000000000003</v>
      </c>
      <c r="AH141" s="127">
        <f>IFERROR(Y141*'FlightConfig '!$K$23,"")</f>
        <v>4368</v>
      </c>
      <c r="AI141" s="127">
        <f>IFERROR(Z141*'FlightConfig '!$K$23,"")</f>
        <v>1747.2000000000003</v>
      </c>
      <c r="AJ141" s="127">
        <f>IFERROR(AA141*'FlightConfig '!$K$23,"")</f>
        <v>5678.4000000000005</v>
      </c>
      <c r="AK141" s="127">
        <f>IFERROR(AB141*'FlightConfig '!$K$23,"")</f>
        <v>589.67999999999961</v>
      </c>
    </row>
    <row r="142" spans="1:37" ht="18.75" customHeight="1" x14ac:dyDescent="0.25">
      <c r="A142" t="s">
        <v>234</v>
      </c>
      <c r="B142" s="171">
        <v>1</v>
      </c>
      <c r="C142" s="176" t="str">
        <f t="shared" si="80"/>
        <v>CABIN CREW CLASS1110</v>
      </c>
      <c r="D142" s="294"/>
      <c r="E142" s="305">
        <v>1068</v>
      </c>
      <c r="F142" s="311">
        <v>110</v>
      </c>
      <c r="G142" t="str">
        <f>VLOOKUP(E142,'FG MASTER'!$A$10:$AB$218,2,0)</f>
        <v>CREW C1 BREAKFAST HOT SANDWICH 1 EGG AND CHEESE ENGLISH MUFFIN</v>
      </c>
      <c r="H142" s="286">
        <v>1</v>
      </c>
      <c r="I142" s="173">
        <v>1</v>
      </c>
      <c r="J142" s="292">
        <f>IFERROR(IF(I142="std",H142,HLOOKUP(A142,'FlightConfig '!$B$34:$G$35,2,0)*I142),"")</f>
        <v>6</v>
      </c>
      <c r="K142" s="245">
        <f>VLOOKUP(Food!E142,'FG MASTER'!$A$1:$AC$536,16,0)</f>
        <v>0.94</v>
      </c>
      <c r="L142" s="246">
        <f>VLOOKUP(Food!E142,'FG MASTER'!$A$10:$AC$536,17,0)</f>
        <v>1.5</v>
      </c>
      <c r="M142" s="132">
        <f t="shared" si="66"/>
        <v>0.60000000000000009</v>
      </c>
      <c r="N142" s="132">
        <f t="shared" si="79"/>
        <v>1.54</v>
      </c>
      <c r="O142" s="132">
        <f t="shared" si="67"/>
        <v>0.14100000000000001</v>
      </c>
      <c r="P142" s="132">
        <f t="shared" si="68"/>
        <v>8.9999999999999969E-2</v>
      </c>
      <c r="Q142" s="132">
        <f t="shared" si="63"/>
        <v>1.7709999999999999</v>
      </c>
      <c r="R142" s="405">
        <f t="shared" si="69"/>
        <v>1.081</v>
      </c>
      <c r="S142" s="405">
        <f t="shared" si="70"/>
        <v>0.69000000000000006</v>
      </c>
      <c r="T142" s="405">
        <f t="shared" si="71"/>
        <v>1.7709999999999999</v>
      </c>
      <c r="U142" s="127"/>
      <c r="V142" s="127"/>
      <c r="W142" t="str">
        <f>IFERROR(#REF!*J142,"")</f>
        <v/>
      </c>
      <c r="X142">
        <f t="shared" si="72"/>
        <v>5.64</v>
      </c>
      <c r="Y142">
        <f t="shared" si="73"/>
        <v>9</v>
      </c>
      <c r="Z142" s="127">
        <f t="shared" si="74"/>
        <v>3.6000000000000005</v>
      </c>
      <c r="AA142" s="127">
        <f t="shared" si="75"/>
        <v>9.24</v>
      </c>
      <c r="AB142" s="127">
        <f t="shared" si="76"/>
        <v>0.84600000000000009</v>
      </c>
      <c r="AC142" s="127">
        <f t="shared" si="77"/>
        <v>0.53999999999999981</v>
      </c>
      <c r="AD142" s="127">
        <f t="shared" si="78"/>
        <v>10.625999999999999</v>
      </c>
      <c r="AF142" s="127" t="str">
        <f>IFERROR(W142*'FlightConfig '!$K$3,"")</f>
        <v/>
      </c>
      <c r="AG142" s="127">
        <f>IFERROR(X142*'FlightConfig '!$K$23,"")</f>
        <v>2052.96</v>
      </c>
      <c r="AH142" s="127">
        <f>IFERROR(Y142*'FlightConfig '!$K$23,"")</f>
        <v>3276</v>
      </c>
      <c r="AI142" s="127">
        <f>IFERROR(Z142*'FlightConfig '!$K$23,"")</f>
        <v>1310.4000000000001</v>
      </c>
      <c r="AJ142" s="127">
        <f>IFERROR(AA142*'FlightConfig '!$K$23,"")</f>
        <v>3363.36</v>
      </c>
      <c r="AK142" s="127">
        <f>IFERROR(AB142*'FlightConfig '!$K$23,"")</f>
        <v>307.94400000000002</v>
      </c>
    </row>
    <row r="143" spans="1:37" ht="18.75" customHeight="1" x14ac:dyDescent="0.25">
      <c r="A143" t="s">
        <v>234</v>
      </c>
      <c r="B143" s="171">
        <v>1</v>
      </c>
      <c r="C143" s="176" t="str">
        <f t="shared" si="80"/>
        <v>CABIN CREW CLASS1110</v>
      </c>
      <c r="D143" s="294"/>
      <c r="E143" s="305">
        <v>1069</v>
      </c>
      <c r="F143" s="311">
        <v>110</v>
      </c>
      <c r="G143" t="str">
        <f>VLOOKUP(E143,'FG MASTER'!$A$10:$AB$218,2,0)</f>
        <v>CREW C1 BREAKFAST HOT SANDWICH 2 BACON EGG AND CHEESE ENGLISH MUFFIN</v>
      </c>
      <c r="H143" s="286">
        <v>1</v>
      </c>
      <c r="I143" s="173">
        <v>1</v>
      </c>
      <c r="J143" s="292">
        <f>IFERROR(IF(I143="std",H143,HLOOKUP(A143,'FlightConfig '!$B$34:$G$35,2,0)*I143),"")</f>
        <v>6</v>
      </c>
      <c r="K143" s="245">
        <f>VLOOKUP(Food!E143,'FG MASTER'!$A$1:$AC$536,16,0)</f>
        <v>1.77</v>
      </c>
      <c r="L143" s="246">
        <f>VLOOKUP(Food!E143,'FG MASTER'!$A$10:$AC$536,17,0)</f>
        <v>2</v>
      </c>
      <c r="M143" s="132">
        <f t="shared" si="66"/>
        <v>0.8</v>
      </c>
      <c r="N143" s="132">
        <f t="shared" si="79"/>
        <v>2.5700000000000003</v>
      </c>
      <c r="O143" s="132">
        <f t="shared" si="67"/>
        <v>0.26549999999999985</v>
      </c>
      <c r="P143" s="132">
        <f t="shared" si="68"/>
        <v>0.11999999999999988</v>
      </c>
      <c r="Q143" s="132">
        <f t="shared" si="63"/>
        <v>2.9554999999999998</v>
      </c>
      <c r="R143" s="405">
        <f t="shared" si="69"/>
        <v>2.0354999999999999</v>
      </c>
      <c r="S143" s="405">
        <f t="shared" si="70"/>
        <v>0.91999999999999993</v>
      </c>
      <c r="T143" s="405">
        <f t="shared" si="71"/>
        <v>2.9554999999999998</v>
      </c>
      <c r="U143" s="127"/>
      <c r="V143" s="127"/>
      <c r="W143" t="str">
        <f>IFERROR(#REF!*J143,"")</f>
        <v/>
      </c>
      <c r="X143">
        <f t="shared" si="72"/>
        <v>10.620000000000001</v>
      </c>
      <c r="Y143">
        <f t="shared" si="73"/>
        <v>12</v>
      </c>
      <c r="Z143" s="127">
        <f t="shared" si="74"/>
        <v>4.8000000000000007</v>
      </c>
      <c r="AA143" s="127">
        <f t="shared" si="75"/>
        <v>15.420000000000002</v>
      </c>
      <c r="AB143" s="127">
        <f t="shared" si="76"/>
        <v>1.5929999999999991</v>
      </c>
      <c r="AC143" s="127">
        <f t="shared" si="77"/>
        <v>0.71999999999999931</v>
      </c>
      <c r="AD143" s="127">
        <f t="shared" si="78"/>
        <v>17.732999999999997</v>
      </c>
      <c r="AF143" s="127" t="str">
        <f>IFERROR(W143*'FlightConfig '!$K$3,"")</f>
        <v/>
      </c>
      <c r="AG143" s="127">
        <f>IFERROR(X143*'FlightConfig '!$K$23,"")</f>
        <v>3865.6800000000003</v>
      </c>
      <c r="AH143" s="127">
        <f>IFERROR(Y143*'FlightConfig '!$K$23,"")</f>
        <v>4368</v>
      </c>
      <c r="AI143" s="127">
        <f>IFERROR(Z143*'FlightConfig '!$K$23,"")</f>
        <v>1747.2000000000003</v>
      </c>
      <c r="AJ143" s="127">
        <f>IFERROR(AA143*'FlightConfig '!$K$23,"")</f>
        <v>5612.880000000001</v>
      </c>
      <c r="AK143" s="127">
        <f>IFERROR(AB143*'FlightConfig '!$K$23,"")</f>
        <v>579.85199999999963</v>
      </c>
    </row>
    <row r="144" spans="1:37" ht="18.75" customHeight="1" x14ac:dyDescent="0.25">
      <c r="A144" t="s">
        <v>234</v>
      </c>
      <c r="B144" s="171">
        <v>1</v>
      </c>
      <c r="C144" s="176" t="str">
        <f t="shared" si="80"/>
        <v>CABIN CREW CLASS1110</v>
      </c>
      <c r="D144" s="294"/>
      <c r="E144" s="305">
        <v>1070</v>
      </c>
      <c r="F144" s="311">
        <v>110</v>
      </c>
      <c r="G144" t="str">
        <f>VLOOKUP(E144,'FG MASTER'!$A$10:$AB$218,2,0)</f>
        <v>CREW C1 BREAKFAST HOT SANDWICH 3 FRIED CHICKEN BISCUIT</v>
      </c>
      <c r="H144" s="286">
        <v>1</v>
      </c>
      <c r="I144" s="173">
        <v>1</v>
      </c>
      <c r="J144" s="292">
        <f>IFERROR(IF(I144="std",H144,HLOOKUP(A144,'FlightConfig '!$B$34:$G$35,2,0)*I144),"")</f>
        <v>6</v>
      </c>
      <c r="K144" s="245">
        <f>VLOOKUP(Food!E144,'FG MASTER'!$A$1:$AC$536,16,0)</f>
        <v>1.1399999999999999</v>
      </c>
      <c r="L144" s="246">
        <f>VLOOKUP(Food!E144,'FG MASTER'!$A$10:$AC$536,17,0)</f>
        <v>2</v>
      </c>
      <c r="M144" s="132">
        <f t="shared" si="66"/>
        <v>0.8</v>
      </c>
      <c r="N144" s="132">
        <f t="shared" si="79"/>
        <v>1.94</v>
      </c>
      <c r="O144" s="132">
        <f t="shared" si="67"/>
        <v>0.17099999999999982</v>
      </c>
      <c r="P144" s="132">
        <f t="shared" si="68"/>
        <v>0.11999999999999988</v>
      </c>
      <c r="Q144" s="132">
        <f t="shared" si="63"/>
        <v>2.2309999999999999</v>
      </c>
      <c r="R144" s="405">
        <f t="shared" si="69"/>
        <v>1.3109999999999997</v>
      </c>
      <c r="S144" s="405">
        <f t="shared" si="70"/>
        <v>0.91999999999999993</v>
      </c>
      <c r="T144" s="405">
        <f t="shared" si="71"/>
        <v>2.2309999999999999</v>
      </c>
      <c r="U144" s="127"/>
      <c r="V144" s="127"/>
      <c r="W144" t="str">
        <f>IFERROR(#REF!*J144,"")</f>
        <v/>
      </c>
      <c r="X144">
        <f t="shared" si="72"/>
        <v>6.84</v>
      </c>
      <c r="Y144">
        <f t="shared" si="73"/>
        <v>12</v>
      </c>
      <c r="Z144" s="127">
        <f t="shared" si="74"/>
        <v>4.8000000000000007</v>
      </c>
      <c r="AA144" s="127">
        <f t="shared" si="75"/>
        <v>11.64</v>
      </c>
      <c r="AB144" s="127">
        <f t="shared" si="76"/>
        <v>1.0259999999999989</v>
      </c>
      <c r="AC144" s="127">
        <f t="shared" si="77"/>
        <v>0.71999999999999931</v>
      </c>
      <c r="AD144" s="127">
        <f t="shared" si="78"/>
        <v>13.385999999999999</v>
      </c>
      <c r="AF144" s="127" t="str">
        <f>IFERROR(W144*'FlightConfig '!$K$3,"")</f>
        <v/>
      </c>
      <c r="AG144" s="127">
        <f>IFERROR(X144*'FlightConfig '!$K$23,"")</f>
        <v>2489.7599999999998</v>
      </c>
      <c r="AH144" s="127">
        <f>IFERROR(Y144*'FlightConfig '!$K$23,"")</f>
        <v>4368</v>
      </c>
      <c r="AI144" s="127">
        <f>IFERROR(Z144*'FlightConfig '!$K$23,"")</f>
        <v>1747.2000000000003</v>
      </c>
      <c r="AJ144" s="127">
        <f>IFERROR(AA144*'FlightConfig '!$K$23,"")</f>
        <v>4236.96</v>
      </c>
      <c r="AK144" s="127">
        <f>IFERROR(AB144*'FlightConfig '!$K$23,"")</f>
        <v>373.4639999999996</v>
      </c>
    </row>
    <row r="145" spans="1:37" ht="17.25" customHeight="1" x14ac:dyDescent="0.25">
      <c r="B145" s="171"/>
      <c r="C145" s="176"/>
      <c r="D145" s="316"/>
      <c r="E145" s="305"/>
      <c r="F145" s="311"/>
      <c r="H145" s="286"/>
      <c r="I145" s="173"/>
      <c r="J145" s="292"/>
      <c r="K145" s="245"/>
      <c r="L145" s="246"/>
      <c r="M145" s="132"/>
      <c r="N145" s="132"/>
      <c r="O145" s="132"/>
      <c r="P145" s="132"/>
      <c r="Q145" s="132"/>
      <c r="R145" s="405"/>
      <c r="S145" s="405"/>
      <c r="T145" s="405"/>
      <c r="U145" s="127"/>
      <c r="V145" s="127"/>
      <c r="W145" s="127"/>
      <c r="Z145" s="127"/>
      <c r="AA145" s="127"/>
      <c r="AB145" s="127"/>
      <c r="AC145" s="127"/>
      <c r="AD145" s="127"/>
      <c r="AG145" s="127"/>
      <c r="AH145" s="127"/>
      <c r="AI145" s="127"/>
      <c r="AJ145" s="127"/>
      <c r="AK145" s="127"/>
    </row>
    <row r="146" spans="1:37" x14ac:dyDescent="0.25">
      <c r="A146" t="s">
        <v>133</v>
      </c>
      <c r="B146" s="171">
        <v>1</v>
      </c>
      <c r="C146" s="176" t="str">
        <f>CONCATENATE(A146&amp;B146&amp;F146)</f>
        <v>BUSINESS CLASS1104</v>
      </c>
      <c r="D146" s="172"/>
      <c r="E146" s="305">
        <v>1001</v>
      </c>
      <c r="F146" s="311">
        <v>104</v>
      </c>
      <c r="G146" t="str">
        <f>VLOOKUP(E146,'FG MASTER'!$A$10:$AB$218,2,0)</f>
        <v xml:space="preserve">BC C1 DINNER GEORGIA PEACH CHILI WHIPPED BUTTER </v>
      </c>
      <c r="H146" s="286">
        <v>1</v>
      </c>
      <c r="I146" s="173">
        <v>1</v>
      </c>
      <c r="J146" s="292">
        <f>IFERROR(IF(I146="std",H146,HLOOKUP(A146,'FlightConfig '!$B$28:$G$29,2,0)*I146),"")</f>
        <v>34</v>
      </c>
      <c r="K146" s="245">
        <f>VLOOKUP(Food!E146,'FG MASTER'!$A$1:$AC$536,16,0)</f>
        <v>0.47</v>
      </c>
      <c r="L146" s="246">
        <f>VLOOKUP(Food!E146,'FG MASTER'!$A$10:$AC$536,17,0)</f>
        <v>0.5</v>
      </c>
      <c r="M146" s="132">
        <f t="shared" ref="M146:M171" si="81">IFERROR(L146*$M$2,"")</f>
        <v>0.2</v>
      </c>
      <c r="N146" s="132">
        <f t="shared" ref="N146:N171" si="82">IFERROR((K146)+M146,"")</f>
        <v>0.66999999999999993</v>
      </c>
      <c r="O146" s="132">
        <f>IFERROR($K146*(1+$O$2)-$K146,0)</f>
        <v>7.0500000000000007E-2</v>
      </c>
      <c r="P146" s="132">
        <f>IFERROR($M146*(1+$P$2)-$M146,0)</f>
        <v>2.9999999999999971E-2</v>
      </c>
      <c r="Q146" s="132">
        <f>SUM(N146:P146)</f>
        <v>0.77049999999999996</v>
      </c>
      <c r="R146" s="405">
        <f>K146*(1+$O$2)</f>
        <v>0.54049999999999998</v>
      </c>
      <c r="S146" s="405">
        <f>M146*(1+$P$2)</f>
        <v>0.22999999999999998</v>
      </c>
      <c r="T146" s="405">
        <f>R146+S146</f>
        <v>0.77049999999999996</v>
      </c>
      <c r="U146" s="127"/>
      <c r="V146" s="127"/>
      <c r="W146" t="str">
        <f>IFERROR(#REF!*J146,"")</f>
        <v/>
      </c>
      <c r="X146">
        <f>IFERROR(K146*J146,"")</f>
        <v>15.979999999999999</v>
      </c>
      <c r="Y146">
        <f>IFERROR(+L146*J146,"")</f>
        <v>17</v>
      </c>
      <c r="Z146" s="127">
        <f>IFERROR(+M146*J146,"")</f>
        <v>6.8000000000000007</v>
      </c>
      <c r="AA146" s="127">
        <f>IFERROR(+N146*J146,"")</f>
        <v>22.779999999999998</v>
      </c>
      <c r="AB146" s="127">
        <f>IFERROR(O146*$J146,"")</f>
        <v>2.3970000000000002</v>
      </c>
      <c r="AC146" s="127">
        <f t="shared" si="77"/>
        <v>1.0199999999999991</v>
      </c>
      <c r="AD146" s="127">
        <f t="shared" si="78"/>
        <v>26.196999999999999</v>
      </c>
      <c r="AF146" s="127" t="str">
        <f>IFERROR(W146*'FlightConfig '!$K$3,"")</f>
        <v/>
      </c>
      <c r="AG146" s="127">
        <f>IFERROR(X146*'FlightConfig '!$K$17,"")</f>
        <v>5816.7199999999993</v>
      </c>
      <c r="AH146" s="127">
        <f>IFERROR(Y146*'FlightConfig '!$K$17,"")</f>
        <v>6188</v>
      </c>
      <c r="AI146" s="127">
        <f>IFERROR(Z146*'FlightConfig '!$K$17,"")</f>
        <v>2475.2000000000003</v>
      </c>
      <c r="AJ146" s="127">
        <f>IFERROR(AA146*'FlightConfig '!$K$17,"")</f>
        <v>8291.9199999999983</v>
      </c>
      <c r="AK146" s="127">
        <f>IFERROR(AB146*'FlightConfig '!$K$17,"")</f>
        <v>872.50800000000004</v>
      </c>
    </row>
    <row r="147" spans="1:37" x14ac:dyDescent="0.25">
      <c r="A147" t="s">
        <v>133</v>
      </c>
      <c r="B147" s="171">
        <v>1</v>
      </c>
      <c r="C147" s="176" t="str">
        <f t="shared" ref="C147:C169" si="83">CONCATENATE(A147&amp;B147&amp;F147)</f>
        <v>BUSINESS CLASS1104</v>
      </c>
      <c r="D147" s="172"/>
      <c r="E147" s="305">
        <v>1002</v>
      </c>
      <c r="F147" s="311">
        <v>104</v>
      </c>
      <c r="G147" t="str">
        <f>VLOOKUP(E147,'FG MASTER'!$A$10:$AB$218,2,0)</f>
        <v xml:space="preserve">BC C1 DINNER SWEETWATER BEET AND CHEESE ROLL </v>
      </c>
      <c r="H147" s="286">
        <v>1</v>
      </c>
      <c r="I147" s="173">
        <v>0.5</v>
      </c>
      <c r="J147" s="292">
        <f>IFERROR(IF(I147="std",H147,HLOOKUP(A147,'FlightConfig '!$B$28:$G$29,2,0)*I147),"")</f>
        <v>17</v>
      </c>
      <c r="K147" s="245">
        <f>VLOOKUP(Food!E147,'FG MASTER'!$A$1:$AC$536,16,0)</f>
        <v>0.3</v>
      </c>
      <c r="L147" s="246">
        <f>VLOOKUP(Food!E147,'FG MASTER'!$A$10:$AC$536,17,0)</f>
        <v>0.25</v>
      </c>
      <c r="M147" s="132">
        <f t="shared" si="81"/>
        <v>0.1</v>
      </c>
      <c r="N147" s="132">
        <f t="shared" si="82"/>
        <v>0.4</v>
      </c>
      <c r="O147" s="132">
        <f t="shared" ref="O147:O210" si="84">IFERROR($K147*(1+$O$2)-$K147,0)</f>
        <v>4.4999999999999984E-2</v>
      </c>
      <c r="P147" s="132">
        <f t="shared" ref="P147:P210" si="85">IFERROR($M147*(1+$P$2)-$M147,0)</f>
        <v>1.4999999999999986E-2</v>
      </c>
      <c r="Q147" s="132">
        <f t="shared" ref="Q147:Q151" si="86">SUM(N147:P147)</f>
        <v>0.45999999999999996</v>
      </c>
      <c r="R147" s="405">
        <f t="shared" ref="R147:R210" si="87">K147*(1+$O$2)</f>
        <v>0.34499999999999997</v>
      </c>
      <c r="S147" s="405">
        <f t="shared" ref="S147:S210" si="88">M147*(1+$P$2)</f>
        <v>0.11499999999999999</v>
      </c>
      <c r="T147" s="405">
        <f t="shared" ref="T147:T210" si="89">R147+S147</f>
        <v>0.45999999999999996</v>
      </c>
      <c r="U147" s="127"/>
      <c r="V147" s="127"/>
      <c r="W147" t="str">
        <f>IFERROR(#REF!*J147,"")</f>
        <v/>
      </c>
      <c r="X147">
        <f t="shared" ref="X147:X210" si="90">IFERROR(K147*J147,"")</f>
        <v>5.0999999999999996</v>
      </c>
      <c r="Y147">
        <f t="shared" ref="Y147:Y210" si="91">IFERROR(+L147*J147,"")</f>
        <v>4.25</v>
      </c>
      <c r="Z147" s="127">
        <f t="shared" ref="Z147:Z210" si="92">IFERROR(+M147*J147,"")</f>
        <v>1.7000000000000002</v>
      </c>
      <c r="AA147" s="127">
        <f t="shared" ref="AA147:AA210" si="93">IFERROR(+N147*J147,"")</f>
        <v>6.8000000000000007</v>
      </c>
      <c r="AB147" s="127">
        <f t="shared" ref="AB147:AB210" si="94">IFERROR(O147*$J147,"")</f>
        <v>0.76499999999999968</v>
      </c>
      <c r="AC147" s="127">
        <f t="shared" si="77"/>
        <v>0.25499999999999978</v>
      </c>
      <c r="AD147" s="127">
        <f t="shared" si="78"/>
        <v>7.8199999999999994</v>
      </c>
      <c r="AF147" s="127" t="str">
        <f>IFERROR(W147*'FlightConfig '!$K$3,"")</f>
        <v/>
      </c>
      <c r="AG147" s="127">
        <f>IFERROR(X147*'FlightConfig '!$K$17,"")</f>
        <v>1856.3999999999999</v>
      </c>
      <c r="AH147" s="127">
        <f>IFERROR(Y147*'FlightConfig '!$K$17,"")</f>
        <v>1547</v>
      </c>
      <c r="AI147" s="127">
        <f>IFERROR(Z147*'FlightConfig '!$K$17,"")</f>
        <v>618.80000000000007</v>
      </c>
      <c r="AJ147" s="127">
        <f>IFERROR(AA147*'FlightConfig '!$K$17,"")</f>
        <v>2475.2000000000003</v>
      </c>
      <c r="AK147" s="127">
        <f>IFERROR(AB147*'FlightConfig '!$K$17,"")</f>
        <v>278.45999999999987</v>
      </c>
    </row>
    <row r="148" spans="1:37" x14ac:dyDescent="0.25">
      <c r="A148" t="s">
        <v>133</v>
      </c>
      <c r="B148" s="171">
        <v>1</v>
      </c>
      <c r="C148" s="176" t="str">
        <f t="shared" si="83"/>
        <v>BUSINESS CLASS1104</v>
      </c>
      <c r="D148" s="172"/>
      <c r="E148" s="305">
        <v>1003</v>
      </c>
      <c r="F148" s="311">
        <v>104</v>
      </c>
      <c r="G148" t="str">
        <f>VLOOKUP(E148,'FG MASTER'!$A$10:$AB$218,2,0)</f>
        <v xml:space="preserve">BC C1 DINNER HERB FOCACCIA ROLL </v>
      </c>
      <c r="H148" s="286">
        <v>1</v>
      </c>
      <c r="I148" s="173">
        <v>0.5</v>
      </c>
      <c r="J148" s="292">
        <f>IFERROR(IF(I148="std",H148,HLOOKUP(A148,'FlightConfig '!$B$28:$G$29,2,0)*I148),"")</f>
        <v>17</v>
      </c>
      <c r="K148" s="245">
        <f>VLOOKUP(Food!E148,'FG MASTER'!$A$1:$AC$536,16,0)</f>
        <v>0.14000000000000001</v>
      </c>
      <c r="L148" s="246">
        <f>VLOOKUP(Food!E148,'FG MASTER'!$A$10:$AC$536,17,0)</f>
        <v>0.25</v>
      </c>
      <c r="M148" s="132">
        <f t="shared" si="81"/>
        <v>0.1</v>
      </c>
      <c r="N148" s="132">
        <f t="shared" si="82"/>
        <v>0.24000000000000002</v>
      </c>
      <c r="O148" s="132">
        <f t="shared" si="84"/>
        <v>2.0999999999999991E-2</v>
      </c>
      <c r="P148" s="132">
        <f t="shared" si="85"/>
        <v>1.4999999999999986E-2</v>
      </c>
      <c r="Q148" s="132">
        <f t="shared" si="86"/>
        <v>0.27600000000000002</v>
      </c>
      <c r="R148" s="405">
        <f t="shared" si="87"/>
        <v>0.161</v>
      </c>
      <c r="S148" s="405">
        <f t="shared" si="88"/>
        <v>0.11499999999999999</v>
      </c>
      <c r="T148" s="405">
        <f t="shared" si="89"/>
        <v>0.27600000000000002</v>
      </c>
      <c r="U148" s="127"/>
      <c r="V148" s="127"/>
      <c r="W148" t="str">
        <f>IFERROR(#REF!*J148,"")</f>
        <v/>
      </c>
      <c r="X148">
        <f t="shared" si="90"/>
        <v>2.3800000000000003</v>
      </c>
      <c r="Y148">
        <f t="shared" si="91"/>
        <v>4.25</v>
      </c>
      <c r="Z148" s="127">
        <f t="shared" si="92"/>
        <v>1.7000000000000002</v>
      </c>
      <c r="AA148" s="127">
        <f t="shared" si="93"/>
        <v>4.08</v>
      </c>
      <c r="AB148" s="127">
        <f t="shared" si="94"/>
        <v>0.35699999999999987</v>
      </c>
      <c r="AC148" s="127">
        <f t="shared" si="77"/>
        <v>0.25499999999999978</v>
      </c>
      <c r="AD148" s="127">
        <f t="shared" si="78"/>
        <v>4.6920000000000002</v>
      </c>
      <c r="AF148" s="127" t="str">
        <f>IFERROR(W148*'FlightConfig '!$K$3,"")</f>
        <v/>
      </c>
      <c r="AG148" s="127">
        <f>IFERROR(X148*'FlightConfig '!$K$17,"")</f>
        <v>866.32000000000016</v>
      </c>
      <c r="AH148" s="127">
        <f>IFERROR(Y148*'FlightConfig '!$K$17,"")</f>
        <v>1547</v>
      </c>
      <c r="AI148" s="127">
        <f>IFERROR(Z148*'FlightConfig '!$K$17,"")</f>
        <v>618.80000000000007</v>
      </c>
      <c r="AJ148" s="127">
        <f>IFERROR(AA148*'FlightConfig '!$K$17,"")</f>
        <v>1485.1200000000001</v>
      </c>
      <c r="AK148" s="127">
        <f>IFERROR(AB148*'FlightConfig '!$K$17,"")</f>
        <v>129.94799999999995</v>
      </c>
    </row>
    <row r="149" spans="1:37" x14ac:dyDescent="0.25">
      <c r="A149" t="s">
        <v>133</v>
      </c>
      <c r="B149" s="171">
        <v>1</v>
      </c>
      <c r="C149" s="176" t="str">
        <f t="shared" si="83"/>
        <v>BUSINESS CLASS1104</v>
      </c>
      <c r="D149" s="172"/>
      <c r="E149" s="305">
        <v>1004</v>
      </c>
      <c r="F149" s="311">
        <v>104</v>
      </c>
      <c r="G149" t="str">
        <f>VLOOKUP(E149,'FG MASTER'!$A$10:$AB$218,2,0)</f>
        <v xml:space="preserve">BC C1 DINNER HHAWAIIAN ROLL </v>
      </c>
      <c r="H149" s="286">
        <v>1</v>
      </c>
      <c r="I149" s="173">
        <v>0.5</v>
      </c>
      <c r="J149" s="292">
        <f>IFERROR(IF(I149="std",H149,HLOOKUP(A149,'FlightConfig '!$B$28:$G$29,2,0)*I149),"")</f>
        <v>17</v>
      </c>
      <c r="K149" s="245">
        <f>VLOOKUP(Food!E149,'FG MASTER'!$A$1:$AC$536,16,0)</f>
        <v>0.25</v>
      </c>
      <c r="L149" s="246">
        <f>VLOOKUP(Food!E149,'FG MASTER'!$A$10:$AC$536,17,0)</f>
        <v>0.25</v>
      </c>
      <c r="M149" s="132">
        <f t="shared" si="81"/>
        <v>0.1</v>
      </c>
      <c r="N149" s="132">
        <f t="shared" si="82"/>
        <v>0.35</v>
      </c>
      <c r="O149" s="132">
        <f t="shared" si="84"/>
        <v>3.7499999999999978E-2</v>
      </c>
      <c r="P149" s="132">
        <f t="shared" si="85"/>
        <v>1.4999999999999986E-2</v>
      </c>
      <c r="Q149" s="132">
        <f t="shared" si="86"/>
        <v>0.40249999999999997</v>
      </c>
      <c r="R149" s="405">
        <f t="shared" si="87"/>
        <v>0.28749999999999998</v>
      </c>
      <c r="S149" s="405">
        <f t="shared" si="88"/>
        <v>0.11499999999999999</v>
      </c>
      <c r="T149" s="405">
        <f t="shared" si="89"/>
        <v>0.40249999999999997</v>
      </c>
      <c r="U149" s="127"/>
      <c r="V149" s="127"/>
      <c r="W149" t="str">
        <f>IFERROR(#REF!*J149,"")</f>
        <v/>
      </c>
      <c r="X149">
        <f t="shared" si="90"/>
        <v>4.25</v>
      </c>
      <c r="Y149">
        <f t="shared" si="91"/>
        <v>4.25</v>
      </c>
      <c r="Z149" s="127">
        <f t="shared" si="92"/>
        <v>1.7000000000000002</v>
      </c>
      <c r="AA149" s="127">
        <f t="shared" si="93"/>
        <v>5.9499999999999993</v>
      </c>
      <c r="AB149" s="127">
        <f t="shared" si="94"/>
        <v>0.63749999999999962</v>
      </c>
      <c r="AC149" s="127">
        <f t="shared" si="77"/>
        <v>0.25499999999999978</v>
      </c>
      <c r="AD149" s="127">
        <f t="shared" si="78"/>
        <v>6.8424999999999994</v>
      </c>
      <c r="AF149" s="127" t="str">
        <f>IFERROR(W149*'FlightConfig '!$K$3,"")</f>
        <v/>
      </c>
      <c r="AG149" s="127">
        <f>IFERROR(X149*'FlightConfig '!$K$17,"")</f>
        <v>1547</v>
      </c>
      <c r="AH149" s="127">
        <f>IFERROR(Y149*'FlightConfig '!$K$17,"")</f>
        <v>1547</v>
      </c>
      <c r="AI149" s="127">
        <f>IFERROR(Z149*'FlightConfig '!$K$17,"")</f>
        <v>618.80000000000007</v>
      </c>
      <c r="AJ149" s="127">
        <f>IFERROR(AA149*'FlightConfig '!$K$17,"")</f>
        <v>2165.7999999999997</v>
      </c>
      <c r="AK149" s="127">
        <f>IFERROR(AB149*'FlightConfig '!$K$17,"")</f>
        <v>232.04999999999987</v>
      </c>
    </row>
    <row r="150" spans="1:37" ht="18" customHeight="1" x14ac:dyDescent="0.25">
      <c r="A150" t="s">
        <v>133</v>
      </c>
      <c r="B150" s="171">
        <v>1</v>
      </c>
      <c r="C150" s="176" t="str">
        <f t="shared" si="83"/>
        <v>BUSINESS CLASS1104</v>
      </c>
      <c r="D150" s="172"/>
      <c r="E150" s="305">
        <v>1090</v>
      </c>
      <c r="F150" s="311">
        <v>104</v>
      </c>
      <c r="G150" t="str">
        <f>VLOOKUP(E150,'FG MASTER'!$A$10:$AB$218,2,0)</f>
        <v>BC C1 DINNER HOT STARTER 1 GRILLED PRAWN, MANGO CURRY AIOLI, SWEET PEPPER CILANTRO SLAW</v>
      </c>
      <c r="H150" s="286">
        <v>1</v>
      </c>
      <c r="I150" s="173">
        <v>0.55000000000000004</v>
      </c>
      <c r="J150" s="292">
        <f>IFERROR(IF(I150="std",H150,HLOOKUP(A150,'FlightConfig '!$B$28:$G$29,2,0)*I150),"")</f>
        <v>18.700000000000003</v>
      </c>
      <c r="K150" s="245">
        <f>VLOOKUP(Food!E150,'FG MASTER'!$A$1:$AC$536,16,0)</f>
        <v>5.24</v>
      </c>
      <c r="L150" s="246">
        <f>VLOOKUP(Food!E150,'FG MASTER'!$A$10:$AC$536,17,0)</f>
        <v>4</v>
      </c>
      <c r="M150" s="132">
        <f t="shared" si="81"/>
        <v>1.6</v>
      </c>
      <c r="N150" s="132">
        <f t="shared" si="82"/>
        <v>6.84</v>
      </c>
      <c r="O150" s="132">
        <f t="shared" si="84"/>
        <v>0.78599999999999959</v>
      </c>
      <c r="P150" s="132">
        <f t="shared" si="85"/>
        <v>0.23999999999999977</v>
      </c>
      <c r="Q150" s="132">
        <f t="shared" si="86"/>
        <v>7.8659999999999997</v>
      </c>
      <c r="R150" s="405">
        <f t="shared" si="87"/>
        <v>6.0259999999999998</v>
      </c>
      <c r="S150" s="405">
        <f t="shared" si="88"/>
        <v>1.8399999999999999</v>
      </c>
      <c r="T150" s="405">
        <f t="shared" si="89"/>
        <v>7.8659999999999997</v>
      </c>
      <c r="U150" s="127"/>
      <c r="V150" s="127"/>
      <c r="W150" t="str">
        <f>IFERROR(#REF!*J150,"")</f>
        <v/>
      </c>
      <c r="X150">
        <f t="shared" si="90"/>
        <v>97.988000000000014</v>
      </c>
      <c r="Y150">
        <f t="shared" si="91"/>
        <v>74.800000000000011</v>
      </c>
      <c r="Z150" s="127">
        <f t="shared" si="92"/>
        <v>29.920000000000005</v>
      </c>
      <c r="AA150" s="127">
        <f t="shared" si="93"/>
        <v>127.90800000000002</v>
      </c>
      <c r="AB150" s="127">
        <f t="shared" si="94"/>
        <v>14.698199999999995</v>
      </c>
      <c r="AC150" s="127">
        <f t="shared" si="77"/>
        <v>4.487999999999996</v>
      </c>
      <c r="AD150" s="127">
        <f t="shared" si="78"/>
        <v>147.09420000000003</v>
      </c>
      <c r="AF150" s="127" t="str">
        <f>IFERROR(W150*'FlightConfig '!$K$3,"")</f>
        <v/>
      </c>
      <c r="AG150" s="127">
        <f>IFERROR(X150*'FlightConfig '!$K$17,"")</f>
        <v>35667.632000000005</v>
      </c>
      <c r="AH150" s="127">
        <f>IFERROR(Y150*'FlightConfig '!$K$17,"")</f>
        <v>27227.200000000004</v>
      </c>
      <c r="AI150" s="127">
        <f>IFERROR(Z150*'FlightConfig '!$K$17,"")</f>
        <v>10890.880000000001</v>
      </c>
      <c r="AJ150" s="127">
        <f>IFERROR(AA150*'FlightConfig '!$K$17,"")</f>
        <v>46558.512000000002</v>
      </c>
      <c r="AK150" s="127">
        <f>IFERROR(AB150*'FlightConfig '!$K$17,"")</f>
        <v>5350.1447999999982</v>
      </c>
    </row>
    <row r="151" spans="1:37" ht="18" customHeight="1" x14ac:dyDescent="0.25">
      <c r="A151" t="s">
        <v>133</v>
      </c>
      <c r="B151" s="171">
        <v>1</v>
      </c>
      <c r="C151" s="176" t="str">
        <f t="shared" si="83"/>
        <v>BUSINESS CLASS1104</v>
      </c>
      <c r="D151" s="172"/>
      <c r="E151" s="305">
        <v>1091</v>
      </c>
      <c r="F151" s="311">
        <v>104</v>
      </c>
      <c r="G151" t="str">
        <f>VLOOKUP(E151,'FG MASTER'!$A$10:$AB$218,2,0)</f>
        <v>BC C1 DINNER COLD STARTER 2 BURRATA CCHEESE, MARINATED HEIRLOOM TOMATOES, ARUGULA, BALSAMIC PEARLS</v>
      </c>
      <c r="H151" s="286">
        <v>1</v>
      </c>
      <c r="I151" s="173">
        <v>0.55000000000000004</v>
      </c>
      <c r="J151" s="292">
        <f>IFERROR(IF(I151="std",H151,HLOOKUP(A151,'FlightConfig '!$B$28:$G$29,2,0)*I151),"")</f>
        <v>18.700000000000003</v>
      </c>
      <c r="K151" s="245">
        <f>VLOOKUP(Food!E151,'FG MASTER'!$A$1:$AC$536,16,0)</f>
        <v>3.57</v>
      </c>
      <c r="L151" s="246">
        <f>VLOOKUP(Food!E151,'FG MASTER'!$A$10:$AC$536,17,0)</f>
        <v>2.5</v>
      </c>
      <c r="M151" s="132">
        <f t="shared" si="81"/>
        <v>1</v>
      </c>
      <c r="N151" s="132">
        <f t="shared" si="82"/>
        <v>4.57</v>
      </c>
      <c r="O151" s="132">
        <f t="shared" si="84"/>
        <v>0.53549999999999942</v>
      </c>
      <c r="P151" s="132">
        <f t="shared" si="85"/>
        <v>0.14999999999999991</v>
      </c>
      <c r="Q151" s="132">
        <f t="shared" si="86"/>
        <v>5.2554999999999996</v>
      </c>
      <c r="R151" s="405">
        <f t="shared" si="87"/>
        <v>4.1054999999999993</v>
      </c>
      <c r="S151" s="405">
        <f t="shared" si="88"/>
        <v>1.1499999999999999</v>
      </c>
      <c r="T151" s="405">
        <f t="shared" si="89"/>
        <v>5.2554999999999996</v>
      </c>
      <c r="U151" s="127"/>
      <c r="V151" s="127"/>
      <c r="W151" t="str">
        <f>IFERROR(#REF!*J151,"")</f>
        <v/>
      </c>
      <c r="X151">
        <f t="shared" si="90"/>
        <v>66.759</v>
      </c>
      <c r="Y151">
        <f t="shared" si="91"/>
        <v>46.750000000000007</v>
      </c>
      <c r="Z151" s="127">
        <f t="shared" si="92"/>
        <v>18.700000000000003</v>
      </c>
      <c r="AA151" s="127">
        <f t="shared" si="93"/>
        <v>85.459000000000017</v>
      </c>
      <c r="AB151" s="127">
        <f t="shared" si="94"/>
        <v>10.013849999999991</v>
      </c>
      <c r="AC151" s="127">
        <f t="shared" si="77"/>
        <v>2.8049999999999988</v>
      </c>
      <c r="AD151" s="127">
        <f t="shared" si="78"/>
        <v>98.277850000000001</v>
      </c>
      <c r="AF151" s="127" t="str">
        <f>IFERROR(W151*'FlightConfig '!$K$3,"")</f>
        <v/>
      </c>
      <c r="AG151" s="127">
        <f>IFERROR(X151*'FlightConfig '!$K$17,"")</f>
        <v>24300.276000000002</v>
      </c>
      <c r="AH151" s="127">
        <f>IFERROR(Y151*'FlightConfig '!$K$17,"")</f>
        <v>17017.000000000004</v>
      </c>
      <c r="AI151" s="127">
        <f>IFERROR(Z151*'FlightConfig '!$K$17,"")</f>
        <v>6806.8000000000011</v>
      </c>
      <c r="AJ151" s="127">
        <f>IFERROR(AA151*'FlightConfig '!$K$17,"")</f>
        <v>31107.076000000005</v>
      </c>
      <c r="AK151" s="127">
        <f>IFERROR(AB151*'FlightConfig '!$K$17,"")</f>
        <v>3645.0413999999964</v>
      </c>
    </row>
    <row r="152" spans="1:37" ht="18" customHeight="1" x14ac:dyDescent="0.25">
      <c r="A152" t="s">
        <v>133</v>
      </c>
      <c r="B152" s="171">
        <v>1</v>
      </c>
      <c r="C152" s="176" t="str">
        <f t="shared" si="83"/>
        <v>BUSINESS CLASS1104</v>
      </c>
      <c r="D152" s="172"/>
      <c r="E152" s="305">
        <v>1088</v>
      </c>
      <c r="F152" s="311">
        <v>104</v>
      </c>
      <c r="G152" t="str">
        <f>VLOOKUP(E152,'FG MASTER'!$A$10:$AB$218,2,0)</f>
        <v>BC C1 DINNER COLD STARTER 1 PROSCUITTO WRAPPED GRILLED PEACHES, FRISSEE, LIME MINT WATERMELON CHUNK, FETA CUBES, MINT LIME VINAIGRETTE GEL</v>
      </c>
      <c r="H152" s="286">
        <v>1</v>
      </c>
      <c r="I152" s="173">
        <v>0</v>
      </c>
      <c r="J152" s="292">
        <f>IFERROR(IF(I152="std",H152,HLOOKUP(A152,'FlightConfig '!$B$28:$G$29,2,0)*I152),"")</f>
        <v>0</v>
      </c>
      <c r="K152" s="245">
        <f>VLOOKUP(Food!E152,'FG MASTER'!$A$1:$AC$536,16,0)</f>
        <v>2.91</v>
      </c>
      <c r="L152" s="246">
        <f>VLOOKUP(Food!E152,'FG MASTER'!$A$10:$AC$536,17,0)</f>
        <v>3.75</v>
      </c>
      <c r="M152" s="132">
        <f t="shared" si="81"/>
        <v>1.5</v>
      </c>
      <c r="N152" s="132">
        <f t="shared" si="82"/>
        <v>4.41</v>
      </c>
      <c r="O152" s="132">
        <f t="shared" si="84"/>
        <v>0.43649999999999967</v>
      </c>
      <c r="P152" s="132">
        <f t="shared" si="85"/>
        <v>0.22499999999999987</v>
      </c>
      <c r="Q152" s="474">
        <v>5.08</v>
      </c>
      <c r="R152" s="405">
        <f t="shared" si="87"/>
        <v>3.3464999999999998</v>
      </c>
      <c r="S152" s="405">
        <f t="shared" si="88"/>
        <v>1.7249999999999999</v>
      </c>
      <c r="T152" s="474">
        <v>5.08</v>
      </c>
      <c r="U152" s="127"/>
      <c r="V152" s="127"/>
      <c r="W152" t="str">
        <f>IFERROR(#REF!*J152,"")</f>
        <v/>
      </c>
      <c r="X152">
        <f t="shared" si="90"/>
        <v>0</v>
      </c>
      <c r="Y152">
        <f t="shared" si="91"/>
        <v>0</v>
      </c>
      <c r="Z152" s="127">
        <f t="shared" si="92"/>
        <v>0</v>
      </c>
      <c r="AA152" s="127">
        <f t="shared" si="93"/>
        <v>0</v>
      </c>
      <c r="AB152" s="127">
        <f t="shared" si="94"/>
        <v>0</v>
      </c>
      <c r="AC152" s="127">
        <f t="shared" si="77"/>
        <v>0</v>
      </c>
      <c r="AD152" s="127">
        <f t="shared" si="78"/>
        <v>0</v>
      </c>
      <c r="AF152" s="127" t="str">
        <f>IFERROR(W152*'FlightConfig '!$K$3,"")</f>
        <v/>
      </c>
      <c r="AG152" s="127">
        <f>IFERROR(X152*'FlightConfig '!$K$17,"")</f>
        <v>0</v>
      </c>
      <c r="AH152" s="127">
        <f>IFERROR(Y152*'FlightConfig '!$K$17,"")</f>
        <v>0</v>
      </c>
      <c r="AI152" s="127">
        <f>IFERROR(Z152*'FlightConfig '!$K$17,"")</f>
        <v>0</v>
      </c>
      <c r="AJ152" s="127">
        <f>IFERROR(AA152*'FlightConfig '!$K$17,"")</f>
        <v>0</v>
      </c>
      <c r="AK152" s="127">
        <f>IFERROR(AB152*'FlightConfig '!$K$17,"")</f>
        <v>0</v>
      </c>
    </row>
    <row r="153" spans="1:37" ht="18" customHeight="1" x14ac:dyDescent="0.25">
      <c r="A153" t="s">
        <v>133</v>
      </c>
      <c r="B153" s="171">
        <v>1</v>
      </c>
      <c r="C153" s="176" t="str">
        <f t="shared" si="83"/>
        <v>BUSINESS CLASS1104</v>
      </c>
      <c r="D153" s="172"/>
      <c r="E153" s="305">
        <v>1089</v>
      </c>
      <c r="F153" s="311">
        <v>104</v>
      </c>
      <c r="G153" t="str">
        <f>VLOOKUP(E153,'FG MASTER'!$A$10:$AB$218,2,0)</f>
        <v xml:space="preserve">BC C1 DINNER HOT STARTER 2 PIMENTO CHEESE, GREEN TOMATO FRITTER, DOU SOUTH RED PEPPER JELLY </v>
      </c>
      <c r="H153" s="286">
        <v>1</v>
      </c>
      <c r="I153" s="173">
        <v>0</v>
      </c>
      <c r="J153" s="292">
        <f>IFERROR(IF(I153="std",H153,HLOOKUP(A153,'FlightConfig '!$B$28:$G$29,2,0)*I153),"")</f>
        <v>0</v>
      </c>
      <c r="K153" s="245">
        <f>VLOOKUP(Food!E153,'FG MASTER'!$A$1:$AC$536,16,0)</f>
        <v>1.24</v>
      </c>
      <c r="L153" s="246">
        <f>VLOOKUP(Food!E153,'FG MASTER'!$A$10:$AC$536,17,0)</f>
        <v>3.25</v>
      </c>
      <c r="M153" s="132">
        <f t="shared" si="81"/>
        <v>1.3</v>
      </c>
      <c r="N153" s="132">
        <f t="shared" si="82"/>
        <v>2.54</v>
      </c>
      <c r="O153" s="132">
        <f t="shared" si="84"/>
        <v>0.18599999999999994</v>
      </c>
      <c r="P153" s="132">
        <f t="shared" si="85"/>
        <v>0.19499999999999984</v>
      </c>
      <c r="Q153" s="474">
        <v>2.93</v>
      </c>
      <c r="R153" s="405">
        <f t="shared" si="87"/>
        <v>1.4259999999999999</v>
      </c>
      <c r="S153" s="405">
        <f t="shared" si="88"/>
        <v>1.4949999999999999</v>
      </c>
      <c r="T153" s="474">
        <v>2.93</v>
      </c>
      <c r="U153" s="127"/>
      <c r="V153" s="127"/>
      <c r="W153" t="str">
        <f>IFERROR(#REF!*J153,"")</f>
        <v/>
      </c>
      <c r="X153">
        <f t="shared" si="90"/>
        <v>0</v>
      </c>
      <c r="Y153">
        <f t="shared" si="91"/>
        <v>0</v>
      </c>
      <c r="Z153" s="127">
        <f t="shared" si="92"/>
        <v>0</v>
      </c>
      <c r="AA153" s="127">
        <f t="shared" si="93"/>
        <v>0</v>
      </c>
      <c r="AB153" s="127">
        <f t="shared" si="94"/>
        <v>0</v>
      </c>
      <c r="AC153" s="127">
        <f t="shared" si="77"/>
        <v>0</v>
      </c>
      <c r="AD153" s="127">
        <f t="shared" si="78"/>
        <v>0</v>
      </c>
      <c r="AF153" s="127" t="str">
        <f>IFERROR(W153*'FlightConfig '!$K$3,"")</f>
        <v/>
      </c>
      <c r="AG153" s="127">
        <f>IFERROR(X153*'FlightConfig '!$K$17,"")</f>
        <v>0</v>
      </c>
      <c r="AH153" s="127">
        <f>IFERROR(Y153*'FlightConfig '!$K$17,"")</f>
        <v>0</v>
      </c>
      <c r="AI153" s="127">
        <f>IFERROR(Z153*'FlightConfig '!$K$17,"")</f>
        <v>0</v>
      </c>
      <c r="AJ153" s="127">
        <f>IFERROR(AA153*'FlightConfig '!$K$17,"")</f>
        <v>0</v>
      </c>
      <c r="AK153" s="127">
        <f>IFERROR(AB153*'FlightConfig '!$K$17,"")</f>
        <v>0</v>
      </c>
    </row>
    <row r="154" spans="1:37" ht="18" customHeight="1" x14ac:dyDescent="0.25">
      <c r="A154" t="s">
        <v>133</v>
      </c>
      <c r="B154" s="171">
        <v>1</v>
      </c>
      <c r="C154" s="176" t="str">
        <f t="shared" ref="C154" si="95">CONCATENATE(A154&amp;B154&amp;F154)</f>
        <v>BUSINESS CLASS1104</v>
      </c>
      <c r="D154" s="172"/>
      <c r="E154" s="305">
        <v>1092</v>
      </c>
      <c r="F154" s="311">
        <v>104</v>
      </c>
      <c r="G154" t="str">
        <f>VLOOKUP(E154,'FG MASTER'!$A$10:$AB$218,2,0)</f>
        <v>BC C1 DINNER HOT STARTER GARNISH ARUGULA</v>
      </c>
      <c r="H154" s="286">
        <v>1</v>
      </c>
      <c r="I154" s="173" t="s">
        <v>516</v>
      </c>
      <c r="J154" s="292">
        <f>IFERROR(IF(I154="std",H154,HLOOKUP(A154,'FlightConfig '!$B$28:$G$29,2,0)*I154),"")</f>
        <v>1</v>
      </c>
      <c r="K154" s="245">
        <f>VLOOKUP(Food!E154,'FG MASTER'!$A$1:$AC$536,16,0)</f>
        <v>0.99</v>
      </c>
      <c r="L154" s="246">
        <f>VLOOKUP(Food!E154,'FG MASTER'!$A$10:$AC$536,17,0)</f>
        <v>1</v>
      </c>
      <c r="M154" s="132">
        <f t="shared" ref="M154" si="96">IFERROR(L154*$M$2,"")</f>
        <v>0.4</v>
      </c>
      <c r="N154" s="132">
        <f t="shared" ref="N154" si="97">IFERROR((K154)+M154,"")</f>
        <v>1.3900000000000001</v>
      </c>
      <c r="O154" s="132">
        <f t="shared" si="84"/>
        <v>0.14849999999999985</v>
      </c>
      <c r="P154" s="132">
        <f t="shared" si="85"/>
        <v>5.9999999999999942E-2</v>
      </c>
      <c r="Q154" s="132">
        <f t="shared" ref="Q154" si="98">SUM(N154:P154)</f>
        <v>1.5985</v>
      </c>
      <c r="R154" s="405">
        <f t="shared" ref="R154" si="99">K154*(1+$O$2)</f>
        <v>1.1384999999999998</v>
      </c>
      <c r="S154" s="405">
        <f t="shared" ref="S154" si="100">M154*(1+$P$2)</f>
        <v>0.45999999999999996</v>
      </c>
      <c r="T154" s="405">
        <f t="shared" ref="T154" si="101">R154+S154</f>
        <v>1.5984999999999998</v>
      </c>
      <c r="U154" s="127"/>
      <c r="V154" s="127"/>
      <c r="W154" t="str">
        <f>IFERROR(#REF!*J154,"")</f>
        <v/>
      </c>
      <c r="X154">
        <f t="shared" ref="X154" si="102">IFERROR(K154*J154,"")</f>
        <v>0.99</v>
      </c>
      <c r="Y154">
        <f t="shared" ref="Y154" si="103">IFERROR(+L154*J154,"")</f>
        <v>1</v>
      </c>
      <c r="Z154" s="127">
        <f t="shared" ref="Z154" si="104">IFERROR(+M154*J154,"")</f>
        <v>0.4</v>
      </c>
      <c r="AA154" s="127">
        <f t="shared" ref="AA154" si="105">IFERROR(+N154*J154,"")</f>
        <v>1.3900000000000001</v>
      </c>
      <c r="AB154" s="127">
        <f t="shared" ref="AB154" si="106">IFERROR(O154*$J154,"")</f>
        <v>0.14849999999999985</v>
      </c>
      <c r="AC154" s="127">
        <f t="shared" ref="AC154" si="107">IFERROR(P154*$J154,"")</f>
        <v>5.9999999999999942E-2</v>
      </c>
      <c r="AD154" s="127">
        <f t="shared" ref="AD154" si="108">IFERROR(+Q154*J154,"")</f>
        <v>1.5985</v>
      </c>
      <c r="AF154" s="127" t="str">
        <f>IFERROR(W154*'FlightConfig '!$K$3,"")</f>
        <v/>
      </c>
      <c r="AG154" s="127">
        <f>IFERROR(X154*'FlightConfig '!$K$17,"")</f>
        <v>360.36</v>
      </c>
      <c r="AH154" s="127">
        <f>IFERROR(Y154*'FlightConfig '!$K$17,"")</f>
        <v>364</v>
      </c>
      <c r="AI154" s="127">
        <f>IFERROR(Z154*'FlightConfig '!$K$17,"")</f>
        <v>145.6</v>
      </c>
      <c r="AJ154" s="127">
        <f>IFERROR(AA154*'FlightConfig '!$K$17,"")</f>
        <v>505.96000000000004</v>
      </c>
      <c r="AK154" s="127">
        <f>IFERROR(AB154*'FlightConfig '!$K$17,"")</f>
        <v>54.053999999999945</v>
      </c>
    </row>
    <row r="155" spans="1:37" ht="18" customHeight="1" x14ac:dyDescent="0.25">
      <c r="A155" t="s">
        <v>133</v>
      </c>
      <c r="B155" s="171">
        <v>1</v>
      </c>
      <c r="C155" s="176" t="str">
        <f t="shared" si="83"/>
        <v>BUSINESS CLASS1104</v>
      </c>
      <c r="D155" s="172"/>
      <c r="E155" s="305">
        <v>1093</v>
      </c>
      <c r="F155" s="311">
        <v>104</v>
      </c>
      <c r="G155" t="str">
        <f>VLOOKUP(E155,'FG MASTER'!$A$10:$AB$218,2,0)</f>
        <v>BC C1 DINNER ENTRÉE 1 LEMON CHICKEN BREAST, WILD MUSHROOM CONSERVA, LEMON CHICKEN JUS, ROASTED FINGERLING POTATOES, HARICOT VERT</v>
      </c>
      <c r="H155" s="286">
        <v>1</v>
      </c>
      <c r="I155" s="173">
        <v>0.6</v>
      </c>
      <c r="J155" s="292">
        <f>IFERROR(IF(I155="std",H155,HLOOKUP(A155,'FlightConfig '!$B$28:$G$29,2,0)*I155),"")</f>
        <v>20.399999999999999</v>
      </c>
      <c r="K155" s="245">
        <f>VLOOKUP(Food!E155,'FG MASTER'!$A$1:$AC$536,16,0)</f>
        <v>5.72</v>
      </c>
      <c r="L155" s="246">
        <f>VLOOKUP(Food!E155,'FG MASTER'!$A$10:$AC$536,17,0)</f>
        <v>5.75</v>
      </c>
      <c r="M155" s="132">
        <f t="shared" si="81"/>
        <v>2.3000000000000003</v>
      </c>
      <c r="N155" s="132">
        <f t="shared" si="82"/>
        <v>8.02</v>
      </c>
      <c r="O155" s="132">
        <f t="shared" si="84"/>
        <v>0.85799999999999965</v>
      </c>
      <c r="P155" s="132">
        <f t="shared" si="85"/>
        <v>0.34499999999999975</v>
      </c>
      <c r="Q155" s="474">
        <v>9.23</v>
      </c>
      <c r="R155" s="405">
        <f t="shared" si="87"/>
        <v>6.5779999999999994</v>
      </c>
      <c r="S155" s="405">
        <f t="shared" si="88"/>
        <v>2.645</v>
      </c>
      <c r="T155" s="474">
        <v>9.23</v>
      </c>
      <c r="U155" s="127"/>
      <c r="V155" s="127"/>
      <c r="W155" t="str">
        <f>IFERROR(#REF!*J155,"")</f>
        <v/>
      </c>
      <c r="X155">
        <f t="shared" si="90"/>
        <v>116.68799999999999</v>
      </c>
      <c r="Y155">
        <f t="shared" si="91"/>
        <v>117.3</v>
      </c>
      <c r="Z155" s="127">
        <f t="shared" si="92"/>
        <v>46.92</v>
      </c>
      <c r="AA155" s="127">
        <f t="shared" si="93"/>
        <v>163.60799999999998</v>
      </c>
      <c r="AB155" s="127">
        <f t="shared" si="94"/>
        <v>17.503199999999993</v>
      </c>
      <c r="AC155" s="127">
        <f t="shared" si="77"/>
        <v>7.037999999999994</v>
      </c>
      <c r="AD155" s="127">
        <f t="shared" si="78"/>
        <v>188.292</v>
      </c>
      <c r="AF155" s="127" t="str">
        <f>IFERROR(W155*'FlightConfig '!$K$3,"")</f>
        <v/>
      </c>
      <c r="AG155" s="127">
        <f>IFERROR(X155*'FlightConfig '!$K$17,"")</f>
        <v>42474.431999999993</v>
      </c>
      <c r="AH155" s="127">
        <f>IFERROR(Y155*'FlightConfig '!$K$17,"")</f>
        <v>42697.2</v>
      </c>
      <c r="AI155" s="127">
        <f>IFERROR(Z155*'FlightConfig '!$K$17,"")</f>
        <v>17078.88</v>
      </c>
      <c r="AJ155" s="127">
        <f>IFERROR(AA155*'FlightConfig '!$K$17,"")</f>
        <v>59553.311999999991</v>
      </c>
      <c r="AK155" s="127">
        <f>IFERROR(AB155*'FlightConfig '!$K$17,"")</f>
        <v>6371.1647999999968</v>
      </c>
    </row>
    <row r="156" spans="1:37" ht="18" customHeight="1" x14ac:dyDescent="0.25">
      <c r="A156" t="s">
        <v>133</v>
      </c>
      <c r="B156" s="171">
        <v>1</v>
      </c>
      <c r="C156" s="176" t="str">
        <f t="shared" si="83"/>
        <v>BUSINESS CLASS1104</v>
      </c>
      <c r="D156" s="172"/>
      <c r="E156" s="305">
        <v>1094</v>
      </c>
      <c r="F156" s="311">
        <v>104</v>
      </c>
      <c r="G156" t="str">
        <f>VLOOKUP(E156,'FG MASTER'!$A$10:$AB$218,2,0)</f>
        <v>BC C1 DINNER ENTRÉE 2 SEARED SEABASS, TOMATO CITRUS NAGE, FENNEL CAPER OLIVE RELISH, SAFFRON COUSCOUS, BLISTERED TOMATO</v>
      </c>
      <c r="H156" s="286">
        <v>1</v>
      </c>
      <c r="I156" s="173">
        <v>0.4</v>
      </c>
      <c r="J156" s="292">
        <f>IFERROR(IF(I156="std",H156,HLOOKUP(A156,'FlightConfig '!$B$28:$G$29,2,0)*I156),"")</f>
        <v>13.600000000000001</v>
      </c>
      <c r="K156" s="245">
        <f>VLOOKUP(Food!E156,'FG MASTER'!$A$1:$AC$536,16,0)</f>
        <v>17.55</v>
      </c>
      <c r="L156" s="246">
        <f>VLOOKUP(Food!E156,'FG MASTER'!$A$10:$AC$536,17,0)</f>
        <v>8</v>
      </c>
      <c r="M156" s="132">
        <f t="shared" si="81"/>
        <v>3.2</v>
      </c>
      <c r="N156" s="132">
        <f t="shared" si="82"/>
        <v>20.75</v>
      </c>
      <c r="O156" s="132">
        <f t="shared" si="84"/>
        <v>2.6325000000000003</v>
      </c>
      <c r="P156" s="132">
        <f t="shared" si="85"/>
        <v>0.47999999999999954</v>
      </c>
      <c r="Q156" s="132">
        <f>SUM(N156:P156)</f>
        <v>23.862500000000001</v>
      </c>
      <c r="R156" s="405">
        <f t="shared" si="87"/>
        <v>20.182500000000001</v>
      </c>
      <c r="S156" s="405">
        <f t="shared" si="88"/>
        <v>3.6799999999999997</v>
      </c>
      <c r="T156" s="405">
        <f t="shared" si="89"/>
        <v>23.862500000000001</v>
      </c>
      <c r="U156" s="127"/>
      <c r="V156" s="127"/>
      <c r="W156" t="str">
        <f>IFERROR(#REF!*J156,"")</f>
        <v/>
      </c>
      <c r="X156">
        <f t="shared" si="90"/>
        <v>238.68000000000004</v>
      </c>
      <c r="Y156">
        <f t="shared" si="91"/>
        <v>108.80000000000001</v>
      </c>
      <c r="Z156" s="127">
        <f t="shared" si="92"/>
        <v>43.52000000000001</v>
      </c>
      <c r="AA156" s="127">
        <f t="shared" si="93"/>
        <v>282.20000000000005</v>
      </c>
      <c r="AB156" s="127">
        <f t="shared" si="94"/>
        <v>35.802000000000007</v>
      </c>
      <c r="AC156" s="127">
        <f t="shared" si="77"/>
        <v>6.5279999999999943</v>
      </c>
      <c r="AD156" s="127">
        <f t="shared" si="78"/>
        <v>324.53000000000003</v>
      </c>
      <c r="AF156" s="127" t="str">
        <f>IFERROR(W156*'FlightConfig '!$K$3,"")</f>
        <v/>
      </c>
      <c r="AG156" s="127">
        <f>IFERROR(X156*'FlightConfig '!$K$17,"")</f>
        <v>86879.520000000019</v>
      </c>
      <c r="AH156" s="127">
        <f>IFERROR(Y156*'FlightConfig '!$K$17,"")</f>
        <v>39603.200000000004</v>
      </c>
      <c r="AI156" s="127">
        <f>IFERROR(Z156*'FlightConfig '!$K$17,"")</f>
        <v>15841.280000000004</v>
      </c>
      <c r="AJ156" s="127">
        <f>IFERROR(AA156*'FlightConfig '!$K$17,"")</f>
        <v>102720.80000000002</v>
      </c>
      <c r="AK156" s="127">
        <f>IFERROR(AB156*'FlightConfig '!$K$17,"")</f>
        <v>13031.928000000002</v>
      </c>
    </row>
    <row r="157" spans="1:37" ht="18" customHeight="1" x14ac:dyDescent="0.25">
      <c r="A157" t="s">
        <v>133</v>
      </c>
      <c r="B157" s="171">
        <v>1</v>
      </c>
      <c r="C157" s="176" t="str">
        <f t="shared" ref="C157" si="109">CONCATENATE(A157&amp;B157&amp;F157)</f>
        <v>BUSINESS CLASS1104</v>
      </c>
      <c r="D157" s="172"/>
      <c r="E157" s="306">
        <v>1095</v>
      </c>
      <c r="F157" s="311">
        <v>104</v>
      </c>
      <c r="G157" t="str">
        <f>VLOOKUP(E157,'FG MASTER'!$A$10:$AB$218,2,0)</f>
        <v>BC C1 DINNER ENTRÉE 3 TRUFFLE PARM RISSOTTO, GRILLED BABY ZUCCHINI, MUSHROOM VONSERVA, ASPARAGUS, BABY ARTICHOKE</v>
      </c>
      <c r="H157" s="286">
        <v>1</v>
      </c>
      <c r="I157" s="173">
        <v>0</v>
      </c>
      <c r="J157" s="292">
        <f>IFERROR(IF(I157="std",H157,HLOOKUP(A157,'FlightConfig '!$B$28:$G$29,2,0)*I157),"")</f>
        <v>0</v>
      </c>
      <c r="K157" s="245">
        <f>VLOOKUP(Food!E157,'FG MASTER'!$A$1:$AC$536,16,0)</f>
        <v>4.47</v>
      </c>
      <c r="L157" s="246">
        <f>VLOOKUP(Food!E157,'FG MASTER'!$A$10:$AC$536,17,0)</f>
        <v>3.75</v>
      </c>
      <c r="M157" s="132">
        <f t="shared" ref="M157" si="110">IFERROR(L157*$M$2,"")</f>
        <v>1.5</v>
      </c>
      <c r="N157" s="132">
        <f t="shared" ref="N157" si="111">IFERROR((K157)+M157,"")</f>
        <v>5.97</v>
      </c>
      <c r="O157" s="132">
        <f t="shared" si="84"/>
        <v>0.67049999999999965</v>
      </c>
      <c r="P157" s="132">
        <f t="shared" si="85"/>
        <v>0.22499999999999987</v>
      </c>
      <c r="Q157" s="132">
        <f t="shared" ref="Q157" si="112">SUM(N157:P157)</f>
        <v>6.865499999999999</v>
      </c>
      <c r="R157" s="405">
        <f t="shared" ref="R157" si="113">K157*(1+$O$2)</f>
        <v>5.1404999999999994</v>
      </c>
      <c r="S157" s="405">
        <f t="shared" ref="S157" si="114">M157*(1+$P$2)</f>
        <v>1.7249999999999999</v>
      </c>
      <c r="T157" s="405">
        <f t="shared" ref="T157" si="115">R157+S157</f>
        <v>6.865499999999999</v>
      </c>
      <c r="U157" s="127"/>
      <c r="V157" s="127"/>
      <c r="W157" t="str">
        <f>IFERROR(#REF!*J157,"")</f>
        <v/>
      </c>
      <c r="X157">
        <f t="shared" ref="X157" si="116">IFERROR(K157*J157,"")</f>
        <v>0</v>
      </c>
      <c r="Y157">
        <f t="shared" ref="Y157" si="117">IFERROR(+L157*J157,"")</f>
        <v>0</v>
      </c>
      <c r="Z157" s="127">
        <f t="shared" ref="Z157" si="118">IFERROR(+M157*J157,"")</f>
        <v>0</v>
      </c>
      <c r="AA157" s="127">
        <f t="shared" ref="AA157" si="119">IFERROR(+N157*J157,"")</f>
        <v>0</v>
      </c>
      <c r="AB157" s="127">
        <f t="shared" ref="AB157" si="120">IFERROR(O157*$J157,"")</f>
        <v>0</v>
      </c>
      <c r="AC157" s="127">
        <f t="shared" ref="AC157" si="121">IFERROR(P157*$J157,"")</f>
        <v>0</v>
      </c>
      <c r="AD157" s="127">
        <f t="shared" ref="AD157" si="122">IFERROR(+Q157*J157,"")</f>
        <v>0</v>
      </c>
      <c r="AF157" s="127" t="str">
        <f>IFERROR(W157*'FlightConfig '!$K$3,"")</f>
        <v/>
      </c>
      <c r="AG157" s="127">
        <f>IFERROR(X157*'FlightConfig '!$K$17,"")</f>
        <v>0</v>
      </c>
      <c r="AH157" s="127">
        <f>IFERROR(Y157*'FlightConfig '!$K$17,"")</f>
        <v>0</v>
      </c>
      <c r="AI157" s="127">
        <f>IFERROR(Z157*'FlightConfig '!$K$17,"")</f>
        <v>0</v>
      </c>
      <c r="AJ157" s="127">
        <f>IFERROR(AA157*'FlightConfig '!$K$17,"")</f>
        <v>0</v>
      </c>
      <c r="AK157" s="127">
        <f>IFERROR(AB157*'FlightConfig '!$K$17,"")</f>
        <v>0</v>
      </c>
    </row>
    <row r="158" spans="1:37" ht="18" customHeight="1" x14ac:dyDescent="0.25">
      <c r="A158" t="s">
        <v>133</v>
      </c>
      <c r="B158" s="171">
        <v>1</v>
      </c>
      <c r="C158" s="176" t="str">
        <f t="shared" si="83"/>
        <v>BUSINESS CLASS1104</v>
      </c>
      <c r="D158" s="172"/>
      <c r="E158" s="306">
        <v>1096</v>
      </c>
      <c r="F158" s="311">
        <v>104</v>
      </c>
      <c r="G158" t="str">
        <f>VLOOKUP(E158,'FG MASTER'!$A$10:$AB$218,2,0)</f>
        <v>BC C1 DINNER ENTRÉE 4 CHALLAH GRILLED TOAST, TRUFFLE CHEESE FILLING, PROVOLONE CHEESE SLICE, SMOKED TOMATO BISQUE</v>
      </c>
      <c r="H158" s="286">
        <v>1</v>
      </c>
      <c r="I158" s="173">
        <v>0.2</v>
      </c>
      <c r="J158" s="292">
        <f>IFERROR(IF(I158="std",H158,HLOOKUP(A158,'FlightConfig '!$B$28:$G$29,2,0)*I158),"")</f>
        <v>6.8000000000000007</v>
      </c>
      <c r="K158" s="245">
        <f>VLOOKUP(Food!E158,'FG MASTER'!$A$1:$AC$536,16,0)</f>
        <v>1.43</v>
      </c>
      <c r="L158" s="246">
        <f>VLOOKUP(Food!E158,'FG MASTER'!$A$10:$AC$536,17,0)</f>
        <v>4</v>
      </c>
      <c r="M158" s="132">
        <f t="shared" si="81"/>
        <v>1.6</v>
      </c>
      <c r="N158" s="132">
        <f t="shared" si="82"/>
        <v>3.0300000000000002</v>
      </c>
      <c r="O158" s="132">
        <f t="shared" si="84"/>
        <v>0.21449999999999991</v>
      </c>
      <c r="P158" s="132">
        <f t="shared" si="85"/>
        <v>0.23999999999999977</v>
      </c>
      <c r="Q158" s="132">
        <f t="shared" ref="Q158:Q161" si="123">SUM(N158:P158)</f>
        <v>3.4845000000000002</v>
      </c>
      <c r="R158" s="405">
        <f t="shared" si="87"/>
        <v>1.6444999999999999</v>
      </c>
      <c r="S158" s="405">
        <f t="shared" si="88"/>
        <v>1.8399999999999999</v>
      </c>
      <c r="T158" s="405">
        <f t="shared" si="89"/>
        <v>3.4844999999999997</v>
      </c>
      <c r="U158" s="127"/>
      <c r="V158" s="127"/>
      <c r="W158" t="str">
        <f>IFERROR(#REF!*J158,"")</f>
        <v/>
      </c>
      <c r="X158">
        <f t="shared" si="90"/>
        <v>9.7240000000000002</v>
      </c>
      <c r="Y158">
        <f t="shared" si="91"/>
        <v>27.200000000000003</v>
      </c>
      <c r="Z158" s="127">
        <f t="shared" si="92"/>
        <v>10.880000000000003</v>
      </c>
      <c r="AA158" s="127">
        <f t="shared" si="93"/>
        <v>20.604000000000003</v>
      </c>
      <c r="AB158" s="127">
        <f t="shared" si="94"/>
        <v>1.4585999999999995</v>
      </c>
      <c r="AC158" s="127">
        <f t="shared" si="77"/>
        <v>1.6319999999999986</v>
      </c>
      <c r="AD158" s="127">
        <f t="shared" si="78"/>
        <v>23.694600000000005</v>
      </c>
      <c r="AF158" s="127" t="str">
        <f>IFERROR(W158*'FlightConfig '!$K$3,"")</f>
        <v/>
      </c>
      <c r="AG158" s="127">
        <f>IFERROR(X158*'FlightConfig '!$K$17,"")</f>
        <v>3539.5360000000001</v>
      </c>
      <c r="AH158" s="127">
        <f>IFERROR(Y158*'FlightConfig '!$K$17,"")</f>
        <v>9900.8000000000011</v>
      </c>
      <c r="AI158" s="127">
        <f>IFERROR(Z158*'FlightConfig '!$K$17,"")</f>
        <v>3960.3200000000011</v>
      </c>
      <c r="AJ158" s="127">
        <f>IFERROR(AA158*'FlightConfig '!$K$17,"")</f>
        <v>7499.8560000000007</v>
      </c>
      <c r="AK158" s="127">
        <f>IFERROR(AB158*'FlightConfig '!$K$17,"")</f>
        <v>530.93039999999985</v>
      </c>
    </row>
    <row r="159" spans="1:37" ht="18" customHeight="1" x14ac:dyDescent="0.25">
      <c r="A159" t="s">
        <v>133</v>
      </c>
      <c r="B159" s="171">
        <v>1</v>
      </c>
      <c r="C159" s="176" t="str">
        <f>CONCATENATE(A159&amp;B159&amp;F159)</f>
        <v>BUSINESS CLASS1104</v>
      </c>
      <c r="D159" s="172"/>
      <c r="E159" s="304">
        <v>1097</v>
      </c>
      <c r="F159" s="311">
        <v>104</v>
      </c>
      <c r="G159" t="str">
        <f>VLOOKUP(E159,'FG MASTER'!$A$10:$AB$218,2,0)</f>
        <v xml:space="preserve">BC C1 DINNER ENTRÉE GARNISH BASIL OIL </v>
      </c>
      <c r="H159" s="286">
        <v>1</v>
      </c>
      <c r="I159" s="173" t="s">
        <v>516</v>
      </c>
      <c r="J159" s="292">
        <f>IFERROR(IF(I159="std",H159,HLOOKUP(A159,'FlightConfig '!$B$28:$G$29,2,0)*I159),"")</f>
        <v>1</v>
      </c>
      <c r="K159" s="245">
        <f>VLOOKUP(Food!E159,'FG MASTER'!$A$1:$AC$536,16,0)</f>
        <v>4.4400000000000004</v>
      </c>
      <c r="L159" s="246">
        <f>VLOOKUP(Food!E159,'FG MASTER'!$A$10:$AC$536,17,0)</f>
        <v>2</v>
      </c>
      <c r="M159" s="132">
        <f>IFERROR(L159*$M$2,"")</f>
        <v>0.8</v>
      </c>
      <c r="N159" s="132">
        <f>IFERROR((K159)+M159,"")</f>
        <v>5.24</v>
      </c>
      <c r="O159" s="132">
        <f>IFERROR($K159*(1+$O$2)-$K159,0)</f>
        <v>0.66599999999999948</v>
      </c>
      <c r="P159" s="132">
        <f>IFERROR($M159*(1+$P$2)-$M159,0)</f>
        <v>0.11999999999999988</v>
      </c>
      <c r="Q159" s="132">
        <f>SUM(N159:P159)</f>
        <v>6.0259999999999998</v>
      </c>
      <c r="R159" s="405">
        <f>K159*(1+$O$2)</f>
        <v>5.1059999999999999</v>
      </c>
      <c r="S159" s="405">
        <f>M159*(1+$P$2)</f>
        <v>0.91999999999999993</v>
      </c>
      <c r="T159" s="405">
        <f>R159+S159</f>
        <v>6.0259999999999998</v>
      </c>
      <c r="U159" s="127"/>
      <c r="V159" s="127"/>
      <c r="W159" t="str">
        <f>IFERROR(#REF!*J159,"")</f>
        <v/>
      </c>
      <c r="X159">
        <f>IFERROR(K159*J159,"")</f>
        <v>4.4400000000000004</v>
      </c>
      <c r="Y159">
        <f>IFERROR(+L159*J159,"")</f>
        <v>2</v>
      </c>
      <c r="Z159" s="127">
        <f>IFERROR(+M159*J159,"")</f>
        <v>0.8</v>
      </c>
      <c r="AA159" s="127">
        <f>IFERROR(+N159*J159,"")</f>
        <v>5.24</v>
      </c>
      <c r="AB159" s="127">
        <f>IFERROR(O159*$J159,"")</f>
        <v>0.66599999999999948</v>
      </c>
      <c r="AC159" s="127">
        <f>IFERROR(P159*$J159,"")</f>
        <v>0.11999999999999988</v>
      </c>
      <c r="AD159" s="127">
        <f>IFERROR(+Q159*J159,"")</f>
        <v>6.0259999999999998</v>
      </c>
      <c r="AF159" s="127" t="str">
        <f>IFERROR(W159*'FlightConfig '!$K$3,"")</f>
        <v/>
      </c>
      <c r="AG159" s="127">
        <f>IFERROR(X159*'FlightConfig '!$K$17,"")</f>
        <v>1616.16</v>
      </c>
      <c r="AH159" s="127">
        <f>IFERROR(Y159*'FlightConfig '!$K$17,"")</f>
        <v>728</v>
      </c>
      <c r="AI159" s="127">
        <f>IFERROR(Z159*'FlightConfig '!$K$17,"")</f>
        <v>291.2</v>
      </c>
      <c r="AJ159" s="127">
        <f>IFERROR(AA159*'FlightConfig '!$K$17,"")</f>
        <v>1907.3600000000001</v>
      </c>
      <c r="AK159" s="127">
        <f>IFERROR(AB159*'FlightConfig '!$K$17,"")</f>
        <v>242.42399999999981</v>
      </c>
    </row>
    <row r="160" spans="1:37" ht="18" customHeight="1" x14ac:dyDescent="0.25">
      <c r="A160" t="s">
        <v>133</v>
      </c>
      <c r="B160" s="171">
        <v>1</v>
      </c>
      <c r="C160" s="176" t="str">
        <f t="shared" si="83"/>
        <v>BUSINESS CLASS1104</v>
      </c>
      <c r="D160" s="172"/>
      <c r="E160" s="306">
        <v>1098</v>
      </c>
      <c r="F160" s="311">
        <v>104</v>
      </c>
      <c r="G160" t="str">
        <f>VLOOKUP(E160,'FG MASTER'!$A$10:$AB$218,2,0)</f>
        <v xml:space="preserve">BC C1 DINNER DESSERT 1 CHOCOLATE CAKE, COCOA BUTTER CREAM STRAWBERRY COULIS, CHOCOLATE PEARLS, CHANTILLY CREAM </v>
      </c>
      <c r="H160" s="286">
        <v>1</v>
      </c>
      <c r="I160" s="173">
        <v>0.5</v>
      </c>
      <c r="J160" s="292">
        <f>IFERROR(IF(I160="std",H160,HLOOKUP(A160,'FlightConfig '!$B$28:$G$29,2,0)*I160),"")</f>
        <v>17</v>
      </c>
      <c r="K160" s="245">
        <f>VLOOKUP(Food!E160,'FG MASTER'!$A$1:$AC$536,16,0)</f>
        <v>2.0299999999999998</v>
      </c>
      <c r="L160" s="246">
        <f>VLOOKUP(Food!E160,'FG MASTER'!$A$10:$AC$536,17,0)</f>
        <v>2.75</v>
      </c>
      <c r="M160" s="132">
        <f t="shared" si="81"/>
        <v>1.1000000000000001</v>
      </c>
      <c r="N160" s="132">
        <f t="shared" si="82"/>
        <v>3.13</v>
      </c>
      <c r="O160" s="132">
        <f t="shared" si="84"/>
        <v>0.30449999999999999</v>
      </c>
      <c r="P160" s="132">
        <f t="shared" si="85"/>
        <v>0.16499999999999981</v>
      </c>
      <c r="Q160" s="132">
        <f t="shared" si="123"/>
        <v>3.5994999999999999</v>
      </c>
      <c r="R160" s="405">
        <f t="shared" si="87"/>
        <v>2.3344999999999998</v>
      </c>
      <c r="S160" s="405">
        <f t="shared" si="88"/>
        <v>1.2649999999999999</v>
      </c>
      <c r="T160" s="405">
        <f t="shared" si="89"/>
        <v>3.5994999999999999</v>
      </c>
      <c r="U160" s="127"/>
      <c r="V160" s="127"/>
      <c r="W160" t="str">
        <f>IFERROR(#REF!*J160,"")</f>
        <v/>
      </c>
      <c r="X160">
        <f t="shared" si="90"/>
        <v>34.51</v>
      </c>
      <c r="Y160">
        <f t="shared" si="91"/>
        <v>46.75</v>
      </c>
      <c r="Z160" s="127">
        <f t="shared" si="92"/>
        <v>18.700000000000003</v>
      </c>
      <c r="AA160" s="127">
        <f t="shared" si="93"/>
        <v>53.21</v>
      </c>
      <c r="AB160" s="127">
        <f t="shared" si="94"/>
        <v>5.1764999999999999</v>
      </c>
      <c r="AC160" s="127">
        <f t="shared" si="77"/>
        <v>2.8049999999999971</v>
      </c>
      <c r="AD160" s="127">
        <f t="shared" si="78"/>
        <v>61.191499999999998</v>
      </c>
      <c r="AF160" s="127" t="str">
        <f>IFERROR(W160*'FlightConfig '!$K$3,"")</f>
        <v/>
      </c>
      <c r="AG160" s="127">
        <f>IFERROR(X160*'FlightConfig '!$K$17,"")</f>
        <v>12561.64</v>
      </c>
      <c r="AH160" s="127">
        <f>IFERROR(Y160*'FlightConfig '!$K$17,"")</f>
        <v>17017</v>
      </c>
      <c r="AI160" s="127">
        <f>IFERROR(Z160*'FlightConfig '!$K$17,"")</f>
        <v>6806.8000000000011</v>
      </c>
      <c r="AJ160" s="127">
        <f>IFERROR(AA160*'FlightConfig '!$K$17,"")</f>
        <v>19368.439999999999</v>
      </c>
      <c r="AK160" s="127">
        <f>IFERROR(AB160*'FlightConfig '!$K$17,"")</f>
        <v>1884.2459999999999</v>
      </c>
    </row>
    <row r="161" spans="1:37" ht="18" customHeight="1" x14ac:dyDescent="0.25">
      <c r="A161" t="s">
        <v>133</v>
      </c>
      <c r="B161" s="171">
        <v>1</v>
      </c>
      <c r="C161" s="176" t="str">
        <f t="shared" si="83"/>
        <v>BUSINESS CLASS1104</v>
      </c>
      <c r="D161" s="172"/>
      <c r="E161" s="304">
        <v>1099</v>
      </c>
      <c r="F161" s="311">
        <v>104</v>
      </c>
      <c r="G161" t="str">
        <f>VLOOKUP(E161,'FG MASTER'!$A$10:$AB$218,2,0)</f>
        <v xml:space="preserve">BC C1 DINNER DESSERT 2 STICKY TOFFEE PUDDINGM TOFFEE SAUCE, CHANTILLY CREAM </v>
      </c>
      <c r="H161" s="286">
        <v>1</v>
      </c>
      <c r="I161" s="173">
        <v>0</v>
      </c>
      <c r="J161" s="292">
        <f>IFERROR(IF(I161="std",H161,HLOOKUP(A161,'FlightConfig '!$B$28:$G$29,2,0)*I161),"")</f>
        <v>0</v>
      </c>
      <c r="K161" s="245">
        <f>VLOOKUP(Food!E161,'FG MASTER'!$A$1:$AC$536,16,0)</f>
        <v>1.02</v>
      </c>
      <c r="L161" s="246">
        <f>VLOOKUP(Food!E161,'FG MASTER'!$A$10:$AC$536,17,0)</f>
        <v>1.5</v>
      </c>
      <c r="M161" s="132">
        <f t="shared" si="81"/>
        <v>0.60000000000000009</v>
      </c>
      <c r="N161" s="132">
        <f t="shared" si="82"/>
        <v>1.62</v>
      </c>
      <c r="O161" s="132">
        <f t="shared" si="84"/>
        <v>0.1529999999999998</v>
      </c>
      <c r="P161" s="132">
        <f t="shared" si="85"/>
        <v>8.9999999999999969E-2</v>
      </c>
      <c r="Q161" s="132">
        <f t="shared" si="123"/>
        <v>1.863</v>
      </c>
      <c r="R161" s="405">
        <f t="shared" si="87"/>
        <v>1.1729999999999998</v>
      </c>
      <c r="S161" s="405">
        <f t="shared" si="88"/>
        <v>0.69000000000000006</v>
      </c>
      <c r="T161" s="405">
        <f t="shared" si="89"/>
        <v>1.863</v>
      </c>
      <c r="U161" s="127"/>
      <c r="V161" s="127"/>
      <c r="W161" t="str">
        <f>IFERROR(#REF!*J161,"")</f>
        <v/>
      </c>
      <c r="X161">
        <f t="shared" si="90"/>
        <v>0</v>
      </c>
      <c r="Y161">
        <f t="shared" si="91"/>
        <v>0</v>
      </c>
      <c r="Z161" s="127">
        <f t="shared" si="92"/>
        <v>0</v>
      </c>
      <c r="AA161" s="127">
        <f t="shared" si="93"/>
        <v>0</v>
      </c>
      <c r="AB161" s="127">
        <f t="shared" si="94"/>
        <v>0</v>
      </c>
      <c r="AC161" s="127">
        <f t="shared" si="77"/>
        <v>0</v>
      </c>
      <c r="AD161" s="127">
        <f t="shared" si="78"/>
        <v>0</v>
      </c>
      <c r="AF161" s="127" t="str">
        <f>IFERROR(W161*'FlightConfig '!$K$3,"")</f>
        <v/>
      </c>
      <c r="AG161" s="127">
        <f>IFERROR(X161*'FlightConfig '!$K$17,"")</f>
        <v>0</v>
      </c>
      <c r="AH161" s="127">
        <f>IFERROR(Y161*'FlightConfig '!$K$17,"")</f>
        <v>0</v>
      </c>
      <c r="AI161" s="127">
        <f>IFERROR(Z161*'FlightConfig '!$K$17,"")</f>
        <v>0</v>
      </c>
      <c r="AJ161" s="127">
        <f>IFERROR(AA161*'FlightConfig '!$K$17,"")</f>
        <v>0</v>
      </c>
      <c r="AK161" s="127">
        <f>IFERROR(AB161*'FlightConfig '!$K$17,"")</f>
        <v>0</v>
      </c>
    </row>
    <row r="162" spans="1:37" ht="18" customHeight="1" x14ac:dyDescent="0.25">
      <c r="A162" t="s">
        <v>133</v>
      </c>
      <c r="B162" s="171">
        <v>1</v>
      </c>
      <c r="C162" s="176" t="str">
        <f t="shared" si="83"/>
        <v>BUSINESS CLASS1104</v>
      </c>
      <c r="D162" s="172"/>
      <c r="E162" s="304">
        <v>1100</v>
      </c>
      <c r="F162" s="311">
        <v>104</v>
      </c>
      <c r="G162" t="str">
        <f>VLOOKUP(E162,'FG MASTER'!$A$10:$AB$218,2,0)</f>
        <v>BC C1 DINNER DESSERT 1 BANANA PUDDING CHEESECAKE, BISCOFF CRUMBLES, BLUEBERRIES, CARAMEL SAUCE, CHANTILLY CREAM</v>
      </c>
      <c r="H162" s="286">
        <v>1</v>
      </c>
      <c r="I162" s="173">
        <v>0</v>
      </c>
      <c r="J162" s="292">
        <f>IFERROR(IF(I162="std",H162,HLOOKUP(A162,'FlightConfig '!$B$28:$G$29,2,0)*I162),"")</f>
        <v>0</v>
      </c>
      <c r="K162" s="245">
        <f>VLOOKUP(Food!E162,'FG MASTER'!$A$1:$AC$536,16,0)</f>
        <v>1.52</v>
      </c>
      <c r="L162" s="246">
        <f>VLOOKUP(Food!E162,'FG MASTER'!$A$10:$AC$536,17,0)</f>
        <v>2</v>
      </c>
      <c r="M162" s="132">
        <f t="shared" si="81"/>
        <v>0.8</v>
      </c>
      <c r="N162" s="132">
        <f t="shared" si="82"/>
        <v>2.3200000000000003</v>
      </c>
      <c r="O162" s="132">
        <f t="shared" si="84"/>
        <v>0.22799999999999976</v>
      </c>
      <c r="P162" s="132">
        <f t="shared" si="85"/>
        <v>0.11999999999999988</v>
      </c>
      <c r="Q162" s="132">
        <f>SUM(N162:P162)</f>
        <v>2.6680000000000001</v>
      </c>
      <c r="R162" s="405">
        <f t="shared" si="87"/>
        <v>1.7479999999999998</v>
      </c>
      <c r="S162" s="405">
        <f t="shared" si="88"/>
        <v>0.91999999999999993</v>
      </c>
      <c r="T162" s="405">
        <f t="shared" si="89"/>
        <v>2.6679999999999997</v>
      </c>
      <c r="U162" s="127"/>
      <c r="W162" t="str">
        <f>IFERROR(#REF!*J162,"")</f>
        <v/>
      </c>
      <c r="X162">
        <f t="shared" si="90"/>
        <v>0</v>
      </c>
      <c r="Y162">
        <f t="shared" si="91"/>
        <v>0</v>
      </c>
      <c r="Z162" s="127">
        <f t="shared" si="92"/>
        <v>0</v>
      </c>
      <c r="AA162" s="127">
        <f t="shared" si="93"/>
        <v>0</v>
      </c>
      <c r="AB162" s="127">
        <f t="shared" si="94"/>
        <v>0</v>
      </c>
      <c r="AC162" s="127">
        <f t="shared" si="77"/>
        <v>0</v>
      </c>
      <c r="AD162" s="127">
        <f t="shared" si="78"/>
        <v>0</v>
      </c>
      <c r="AF162" s="127" t="str">
        <f>IFERROR(W162*'FlightConfig '!$K$3,"")</f>
        <v/>
      </c>
      <c r="AG162" s="127">
        <f>IFERROR(X162*'FlightConfig '!$K$17,"")</f>
        <v>0</v>
      </c>
      <c r="AH162" s="127">
        <f>IFERROR(Y162*'FlightConfig '!$K$17,"")</f>
        <v>0</v>
      </c>
      <c r="AI162" s="127">
        <f>IFERROR(Z162*'FlightConfig '!$K$17,"")</f>
        <v>0</v>
      </c>
      <c r="AJ162" s="127">
        <f>IFERROR(AA162*'FlightConfig '!$K$17,"")</f>
        <v>0</v>
      </c>
      <c r="AK162" s="127">
        <f>IFERROR(AB162*'FlightConfig '!$K$17,"")</f>
        <v>0</v>
      </c>
    </row>
    <row r="163" spans="1:37" ht="18" customHeight="1" x14ac:dyDescent="0.25">
      <c r="A163" t="s">
        <v>133</v>
      </c>
      <c r="B163" s="171">
        <v>1</v>
      </c>
      <c r="C163" s="176" t="str">
        <f t="shared" si="83"/>
        <v>BUSINESS CLASS1104</v>
      </c>
      <c r="D163" s="172"/>
      <c r="E163" s="304">
        <v>1101</v>
      </c>
      <c r="F163" s="311">
        <v>104</v>
      </c>
      <c r="G163" t="str">
        <f>VLOOKUP(E163,'FG MASTER'!$A$10:$AB$218,2,0)</f>
        <v>BC C1 DINNER DESSERT 2 BLACKBERRY PEACH COBBLER TART, BRULEE SLICED PEACHES, CRÈME FRAICHE</v>
      </c>
      <c r="H163" s="286">
        <v>1</v>
      </c>
      <c r="I163" s="173">
        <v>0.5</v>
      </c>
      <c r="J163" s="292">
        <f>IFERROR(IF(I163="std",H163,HLOOKUP(A163,'FlightConfig '!$B$28:$G$29,2,0)*I163),"")</f>
        <v>17</v>
      </c>
      <c r="K163" s="245">
        <f>VLOOKUP(Food!E163,'FG MASTER'!$A$1:$AC$536,16,0)</f>
        <v>1.31</v>
      </c>
      <c r="L163" s="246">
        <f>VLOOKUP(Food!E163,'FG MASTER'!$A$10:$AC$536,17,0)</f>
        <v>2.25</v>
      </c>
      <c r="M163" s="132">
        <f t="shared" si="81"/>
        <v>0.9</v>
      </c>
      <c r="N163" s="132">
        <f t="shared" si="82"/>
        <v>2.21</v>
      </c>
      <c r="O163" s="132">
        <f t="shared" si="84"/>
        <v>0.1964999999999999</v>
      </c>
      <c r="P163" s="132">
        <f t="shared" si="85"/>
        <v>0.1349999999999999</v>
      </c>
      <c r="Q163" s="474">
        <v>2.5499999999999998</v>
      </c>
      <c r="R163" s="405">
        <f t="shared" si="87"/>
        <v>1.5065</v>
      </c>
      <c r="S163" s="405">
        <f t="shared" si="88"/>
        <v>1.0349999999999999</v>
      </c>
      <c r="T163" s="474">
        <v>2.5499999999999998</v>
      </c>
      <c r="U163" s="127"/>
      <c r="V163" s="127"/>
      <c r="W163" t="str">
        <f>IFERROR(#REF!*J163,"")</f>
        <v/>
      </c>
      <c r="X163">
        <f t="shared" si="90"/>
        <v>22.27</v>
      </c>
      <c r="Y163">
        <f t="shared" si="91"/>
        <v>38.25</v>
      </c>
      <c r="Z163" s="127">
        <f t="shared" si="92"/>
        <v>15.3</v>
      </c>
      <c r="AA163" s="127">
        <f t="shared" si="93"/>
        <v>37.57</v>
      </c>
      <c r="AB163" s="127">
        <f t="shared" si="94"/>
        <v>3.3404999999999982</v>
      </c>
      <c r="AC163" s="127">
        <f t="shared" si="77"/>
        <v>2.2949999999999982</v>
      </c>
      <c r="AD163" s="127">
        <f t="shared" si="78"/>
        <v>43.349999999999994</v>
      </c>
      <c r="AF163" s="127" t="str">
        <f>IFERROR(W163*'FlightConfig '!$K$3,"")</f>
        <v/>
      </c>
      <c r="AG163" s="127">
        <f>IFERROR(X163*'FlightConfig '!$K$17,"")</f>
        <v>8106.28</v>
      </c>
      <c r="AH163" s="127">
        <f>IFERROR(Y163*'FlightConfig '!$K$17,"")</f>
        <v>13923</v>
      </c>
      <c r="AI163" s="127">
        <f>IFERROR(Z163*'FlightConfig '!$K$17,"")</f>
        <v>5569.2</v>
      </c>
      <c r="AJ163" s="127">
        <f>IFERROR(AA163*'FlightConfig '!$K$17,"")</f>
        <v>13675.48</v>
      </c>
      <c r="AK163" s="127">
        <f>IFERROR(AB163*'FlightConfig '!$K$17,"")</f>
        <v>1215.9419999999993</v>
      </c>
    </row>
    <row r="164" spans="1:37" ht="18" customHeight="1" x14ac:dyDescent="0.25">
      <c r="A164" t="s">
        <v>133</v>
      </c>
      <c r="B164" s="171">
        <v>1</v>
      </c>
      <c r="C164" s="176" t="str">
        <f t="shared" si="83"/>
        <v>BUSINESS CLASS1104</v>
      </c>
      <c r="D164" s="172"/>
      <c r="E164" s="304">
        <v>1102</v>
      </c>
      <c r="F164" s="311">
        <v>104</v>
      </c>
      <c r="G164" t="str">
        <f>VLOOKUP(E164,'FG MASTER'!$A$10:$AB$218,2,0)</f>
        <v>BC C1 DINNER CHEESE PLATE HUMBOLT GOF, LAMB CHOPPER, CHEDDAR, SOULSHINE CUCUMBERS, MUSCADINE JELLY, GRAPE, CRACKER</v>
      </c>
      <c r="H164" s="286">
        <v>1</v>
      </c>
      <c r="I164" s="173">
        <v>0.6</v>
      </c>
      <c r="J164" s="292">
        <f>IFERROR(IF(I164="std",H164,HLOOKUP(A164,'FlightConfig '!$B$28:$G$29,2,0)*I164),"")</f>
        <v>20.399999999999999</v>
      </c>
      <c r="K164" s="245">
        <f>VLOOKUP(Food!E164,'FG MASTER'!$A$1:$AC$536,16,0)</f>
        <v>4.42</v>
      </c>
      <c r="L164" s="246">
        <f>VLOOKUP(Food!E164,'FG MASTER'!$A$10:$AC$536,17,0)</f>
        <v>2.5</v>
      </c>
      <c r="M164" s="132">
        <f t="shared" ref="M164" si="124">IFERROR(L164*$M$2,"")</f>
        <v>1</v>
      </c>
      <c r="N164" s="132">
        <f t="shared" ref="N164" si="125">IFERROR((K164)+M164,"")</f>
        <v>5.42</v>
      </c>
      <c r="O164" s="132">
        <f t="shared" si="84"/>
        <v>0.66299999999999937</v>
      </c>
      <c r="P164" s="132">
        <f t="shared" si="85"/>
        <v>0.14999999999999991</v>
      </c>
      <c r="Q164" s="132">
        <f t="shared" ref="Q164" si="126">SUM(N164:P164)</f>
        <v>6.2329999999999988</v>
      </c>
      <c r="R164" s="405">
        <f t="shared" ref="R164" si="127">K164*(1+$O$2)</f>
        <v>5.0829999999999993</v>
      </c>
      <c r="S164" s="405">
        <f t="shared" ref="S164" si="128">M164*(1+$P$2)</f>
        <v>1.1499999999999999</v>
      </c>
      <c r="T164" s="405">
        <f t="shared" ref="T164" si="129">R164+S164</f>
        <v>6.2329999999999988</v>
      </c>
      <c r="U164" s="127"/>
      <c r="V164" s="127"/>
      <c r="W164" t="str">
        <f>IFERROR(#REF!*J164,"")</f>
        <v/>
      </c>
      <c r="X164">
        <f t="shared" si="90"/>
        <v>90.167999999999992</v>
      </c>
      <c r="Y164">
        <f t="shared" si="91"/>
        <v>51</v>
      </c>
      <c r="Z164" s="127">
        <f t="shared" si="92"/>
        <v>20.399999999999999</v>
      </c>
      <c r="AA164" s="127">
        <f t="shared" si="93"/>
        <v>110.568</v>
      </c>
      <c r="AB164" s="127">
        <f t="shared" si="94"/>
        <v>13.525199999999986</v>
      </c>
      <c r="AC164" s="127">
        <f t="shared" si="77"/>
        <v>3.0599999999999978</v>
      </c>
      <c r="AD164" s="127">
        <f t="shared" si="78"/>
        <v>127.15319999999997</v>
      </c>
      <c r="AF164" s="127" t="str">
        <f>IFERROR(W164*'FlightConfig '!$K$3,"")</f>
        <v/>
      </c>
      <c r="AG164" s="127">
        <f>IFERROR(X164*'FlightConfig '!$K$17,"")</f>
        <v>32821.151999999995</v>
      </c>
      <c r="AH164" s="127">
        <f>IFERROR(Y164*'FlightConfig '!$K$17,"")</f>
        <v>18564</v>
      </c>
      <c r="AI164" s="127">
        <f>IFERROR(Z164*'FlightConfig '!$K$17,"")</f>
        <v>7425.5999999999995</v>
      </c>
      <c r="AJ164" s="127">
        <f>IFERROR(AA164*'FlightConfig '!$K$17,"")</f>
        <v>40246.752</v>
      </c>
      <c r="AK164" s="127">
        <f>IFERROR(AB164*'FlightConfig '!$K$17,"")</f>
        <v>4923.1727999999948</v>
      </c>
    </row>
    <row r="165" spans="1:37" ht="18" customHeight="1" x14ac:dyDescent="0.25">
      <c r="A165" t="s">
        <v>133</v>
      </c>
      <c r="B165" s="171">
        <v>1</v>
      </c>
      <c r="C165" s="176" t="str">
        <f t="shared" si="83"/>
        <v>BUSINESS CLASS1104</v>
      </c>
      <c r="D165" s="172"/>
      <c r="E165" s="304">
        <v>1103</v>
      </c>
      <c r="F165" s="311">
        <v>104</v>
      </c>
      <c r="G165" t="str">
        <f>VLOOKUP(E165,'FG MASTER'!$A$10:$AB$218,2,0)</f>
        <v xml:space="preserve">BC C1 BREAKFAST ENTRÉE 1 CURED SALMON, EVERTHING CREAM CHEESE, HALF EGG, PICKLED ONION </v>
      </c>
      <c r="H165" s="286">
        <v>1</v>
      </c>
      <c r="I165" s="173">
        <v>0.5</v>
      </c>
      <c r="J165" s="292">
        <v>3.35</v>
      </c>
      <c r="K165" s="245">
        <f>VLOOKUP(Food!E165,'FG MASTER'!$A$1:$AC$536,16,0)</f>
        <v>3.47</v>
      </c>
      <c r="L165" s="246">
        <f>VLOOKUP(Food!E165,'FG MASTER'!$A$10:$AC$536,17,0)</f>
        <v>4.5</v>
      </c>
      <c r="M165" s="132">
        <f t="shared" si="81"/>
        <v>1.8</v>
      </c>
      <c r="N165" s="132">
        <f t="shared" si="82"/>
        <v>5.2700000000000005</v>
      </c>
      <c r="O165" s="132">
        <f t="shared" si="84"/>
        <v>0.52049999999999974</v>
      </c>
      <c r="P165" s="132">
        <f t="shared" si="85"/>
        <v>0.2699999999999998</v>
      </c>
      <c r="Q165" s="132">
        <f t="shared" ref="Q165:Q168" si="130">SUM(N165:P165)</f>
        <v>6.0604999999999993</v>
      </c>
      <c r="R165" s="405">
        <f t="shared" si="87"/>
        <v>3.9904999999999999</v>
      </c>
      <c r="S165" s="405">
        <f t="shared" si="88"/>
        <v>2.0699999999999998</v>
      </c>
      <c r="T165" s="405">
        <f t="shared" si="89"/>
        <v>6.0604999999999993</v>
      </c>
      <c r="U165" s="127"/>
      <c r="V165" s="127"/>
      <c r="W165" t="str">
        <f>IFERROR(#REF!*J165,"")</f>
        <v/>
      </c>
      <c r="X165">
        <f t="shared" si="90"/>
        <v>11.624500000000001</v>
      </c>
      <c r="Y165">
        <f t="shared" si="91"/>
        <v>15.075000000000001</v>
      </c>
      <c r="Z165" s="127">
        <f t="shared" si="92"/>
        <v>6.03</v>
      </c>
      <c r="AA165" s="127">
        <f t="shared" si="93"/>
        <v>17.654500000000002</v>
      </c>
      <c r="AB165" s="127">
        <f t="shared" si="94"/>
        <v>1.7436749999999992</v>
      </c>
      <c r="AC165" s="127">
        <f t="shared" si="77"/>
        <v>0.9044999999999993</v>
      </c>
      <c r="AD165" s="127">
        <f t="shared" si="78"/>
        <v>20.302674999999997</v>
      </c>
      <c r="AF165" s="127" t="str">
        <f>IFERROR(W165*'FlightConfig '!$K$3,"")</f>
        <v/>
      </c>
      <c r="AG165" s="127">
        <f>IFERROR(X165*'FlightConfig '!$K$17,"")</f>
        <v>4231.3180000000002</v>
      </c>
      <c r="AH165" s="127">
        <f>IFERROR(Y165*'FlightConfig '!$K$17,"")</f>
        <v>5487.3</v>
      </c>
      <c r="AI165" s="127">
        <f>IFERROR(Z165*'FlightConfig '!$K$17,"")</f>
        <v>2194.92</v>
      </c>
      <c r="AJ165" s="127">
        <f>IFERROR(AA165*'FlightConfig '!$K$17,"")</f>
        <v>6426.2380000000012</v>
      </c>
      <c r="AK165" s="127">
        <f>IFERROR(AB165*'FlightConfig '!$K$17,"")</f>
        <v>634.69769999999971</v>
      </c>
    </row>
    <row r="166" spans="1:37" ht="18" customHeight="1" x14ac:dyDescent="0.25">
      <c r="A166" t="s">
        <v>133</v>
      </c>
      <c r="B166" s="171">
        <v>1</v>
      </c>
      <c r="C166" s="176" t="str">
        <f t="shared" ref="C166" si="131">CONCATENATE(A166&amp;B166&amp;F166)</f>
        <v>BUSINESS CLASS1104</v>
      </c>
      <c r="D166" s="172"/>
      <c r="E166" s="304">
        <v>1104</v>
      </c>
      <c r="F166" s="311">
        <v>104</v>
      </c>
      <c r="G166" t="str">
        <f>VLOOKUP(E166,'FG MASTER'!$A$10:$AB$218,2,0)</f>
        <v xml:space="preserve">BC C1 BREAKFAST ENTRÉE 2 SCRAMBLED EGG, BAKED BEAN, BACON, PORK SAUSAGE, HALF ROASTED TOMATO, </v>
      </c>
      <c r="H166" s="286">
        <v>1</v>
      </c>
      <c r="I166" s="173">
        <v>0.2</v>
      </c>
      <c r="J166" s="292">
        <f>IFERROR(IF(I166="std",H166,HLOOKUP(A166,'FlightConfig '!$B$28:$G$29,2,0)*I166),"")</f>
        <v>6.8000000000000007</v>
      </c>
      <c r="K166" s="245">
        <f>VLOOKUP(Food!E166,'FG MASTER'!$A$1:$AC$536,16,0)</f>
        <v>4.04</v>
      </c>
      <c r="L166" s="246">
        <f>VLOOKUP(Food!E166,'FG MASTER'!$A$10:$AC$536,17,0)</f>
        <v>4.5</v>
      </c>
      <c r="M166" s="132">
        <f t="shared" ref="M166" si="132">IFERROR(L166*$M$2,"")</f>
        <v>1.8</v>
      </c>
      <c r="N166" s="132">
        <f t="shared" ref="N166" si="133">IFERROR((K166)+M166,"")</f>
        <v>5.84</v>
      </c>
      <c r="O166" s="132">
        <f t="shared" si="84"/>
        <v>0.60599999999999987</v>
      </c>
      <c r="P166" s="132">
        <f t="shared" si="85"/>
        <v>0.2699999999999998</v>
      </c>
      <c r="Q166" s="132">
        <f t="shared" ref="Q166" si="134">SUM(N166:P166)</f>
        <v>6.7159999999999993</v>
      </c>
      <c r="R166" s="405">
        <f t="shared" ref="R166" si="135">K166*(1+$O$2)</f>
        <v>4.6459999999999999</v>
      </c>
      <c r="S166" s="405">
        <f t="shared" ref="S166" si="136">M166*(1+$P$2)</f>
        <v>2.0699999999999998</v>
      </c>
      <c r="T166" s="405">
        <f t="shared" ref="T166" si="137">R166+S166</f>
        <v>6.7159999999999993</v>
      </c>
      <c r="U166" s="127"/>
      <c r="V166" s="127"/>
      <c r="W166" t="str">
        <f>IFERROR(#REF!*J166,"")</f>
        <v/>
      </c>
      <c r="X166">
        <f t="shared" ref="X166" si="138">IFERROR(K166*J166,"")</f>
        <v>27.472000000000005</v>
      </c>
      <c r="Y166">
        <f t="shared" ref="Y166" si="139">IFERROR(+L166*J166,"")</f>
        <v>30.6</v>
      </c>
      <c r="Z166" s="127">
        <f t="shared" ref="Z166" si="140">IFERROR(+M166*J166,"")</f>
        <v>12.240000000000002</v>
      </c>
      <c r="AA166" s="127">
        <f t="shared" ref="AA166" si="141">IFERROR(+N166*J166,"")</f>
        <v>39.712000000000003</v>
      </c>
      <c r="AB166" s="127">
        <f t="shared" ref="AB166" si="142">IFERROR(O166*$J166,"")</f>
        <v>4.1207999999999991</v>
      </c>
      <c r="AC166" s="127">
        <f t="shared" ref="AC166" si="143">IFERROR(P166*$J166,"")</f>
        <v>1.8359999999999987</v>
      </c>
      <c r="AD166" s="127">
        <f t="shared" ref="AD166" si="144">IFERROR(+Q166*J166,"")</f>
        <v>45.668799999999997</v>
      </c>
      <c r="AF166" s="127" t="str">
        <f>IFERROR(W166*'FlightConfig '!$K$3,"")</f>
        <v/>
      </c>
      <c r="AG166" s="127">
        <f>IFERROR(X166*'FlightConfig '!$K$17,"")</f>
        <v>9999.8080000000009</v>
      </c>
      <c r="AH166" s="127">
        <f>IFERROR(Y166*'FlightConfig '!$K$17,"")</f>
        <v>11138.4</v>
      </c>
      <c r="AI166" s="127">
        <f>IFERROR(Z166*'FlightConfig '!$K$17,"")</f>
        <v>4455.3600000000006</v>
      </c>
      <c r="AJ166" s="127">
        <f>IFERROR(AA166*'FlightConfig '!$K$17,"")</f>
        <v>14455.168000000001</v>
      </c>
      <c r="AK166" s="127">
        <f>IFERROR(AB166*'FlightConfig '!$K$17,"")</f>
        <v>1499.9711999999997</v>
      </c>
    </row>
    <row r="167" spans="1:37" ht="18" customHeight="1" x14ac:dyDescent="0.25">
      <c r="A167" t="s">
        <v>133</v>
      </c>
      <c r="B167" s="171">
        <v>1</v>
      </c>
      <c r="C167" s="176" t="str">
        <f t="shared" si="83"/>
        <v>BUSINESS CLASS1104</v>
      </c>
      <c r="D167" s="172"/>
      <c r="E167" s="304">
        <v>1105</v>
      </c>
      <c r="F167" s="311">
        <v>104</v>
      </c>
      <c r="G167" t="str">
        <f>VLOOKUP(E167,'FG MASTER'!$A$10:$AB$218,2,0)</f>
        <v>BC C1 BREAKFAST ENTRÉE 3 BANANA BREAD FRENCH TOAST, HALF TOAST POINTS, BLUBERRY COULIS, BRULEE PEACHES</v>
      </c>
      <c r="H167" s="286">
        <v>1</v>
      </c>
      <c r="I167" s="173">
        <v>0.2</v>
      </c>
      <c r="J167" s="292">
        <f>IFERROR(IF(I167="std",H167,HLOOKUP(A167,'FlightConfig '!$B$28:$G$29,2,0)*I167),"")</f>
        <v>6.8000000000000007</v>
      </c>
      <c r="K167" s="245">
        <f>VLOOKUP(Food!E167,'FG MASTER'!$A$1:$AC$536,16,0)</f>
        <v>1.8908519783774043</v>
      </c>
      <c r="L167" s="246">
        <f>VLOOKUP(Food!E167,'FG MASTER'!$A$10:$AC$536,17,0)</f>
        <v>3.25</v>
      </c>
      <c r="M167" s="132">
        <f t="shared" si="81"/>
        <v>1.3</v>
      </c>
      <c r="N167" s="132">
        <f t="shared" si="82"/>
        <v>3.1908519783774043</v>
      </c>
      <c r="O167" s="132">
        <f t="shared" si="84"/>
        <v>0.28362779675661032</v>
      </c>
      <c r="P167" s="132">
        <f t="shared" si="85"/>
        <v>0.19499999999999984</v>
      </c>
      <c r="Q167" s="132">
        <f t="shared" si="130"/>
        <v>3.6694797751340142</v>
      </c>
      <c r="R167" s="405">
        <f t="shared" si="87"/>
        <v>2.1744797751340146</v>
      </c>
      <c r="S167" s="405">
        <f t="shared" si="88"/>
        <v>1.4949999999999999</v>
      </c>
      <c r="T167" s="405">
        <f t="shared" si="89"/>
        <v>3.6694797751340147</v>
      </c>
      <c r="U167" s="127"/>
      <c r="V167" s="127"/>
      <c r="W167" t="str">
        <f>IFERROR(#REF!*J167,"")</f>
        <v/>
      </c>
      <c r="X167">
        <f t="shared" si="90"/>
        <v>12.85779345296635</v>
      </c>
      <c r="Y167">
        <f t="shared" si="91"/>
        <v>22.1</v>
      </c>
      <c r="Z167" s="127">
        <f t="shared" si="92"/>
        <v>8.8400000000000016</v>
      </c>
      <c r="AA167" s="127">
        <f t="shared" si="93"/>
        <v>21.697793452966351</v>
      </c>
      <c r="AB167" s="127">
        <f t="shared" si="94"/>
        <v>1.9286690179449504</v>
      </c>
      <c r="AC167" s="127">
        <f t="shared" si="77"/>
        <v>1.325999999999999</v>
      </c>
      <c r="AD167" s="127">
        <f t="shared" si="78"/>
        <v>24.9524624709113</v>
      </c>
      <c r="AF167" s="127" t="str">
        <f>IFERROR(W167*'FlightConfig '!$K$3,"")</f>
        <v/>
      </c>
      <c r="AG167" s="127">
        <f>IFERROR(X167*'FlightConfig '!$K$17,"")</f>
        <v>4680.2368168797511</v>
      </c>
      <c r="AH167" s="127">
        <f>IFERROR(Y167*'FlightConfig '!$K$17,"")</f>
        <v>8044.4000000000005</v>
      </c>
      <c r="AI167" s="127">
        <f>IFERROR(Z167*'FlightConfig '!$K$17,"")</f>
        <v>3217.7600000000007</v>
      </c>
      <c r="AJ167" s="127">
        <f>IFERROR(AA167*'FlightConfig '!$K$17,"")</f>
        <v>7897.9968168797523</v>
      </c>
      <c r="AK167" s="127">
        <f>IFERROR(AB167*'FlightConfig '!$K$17,"")</f>
        <v>702.03552253196199</v>
      </c>
    </row>
    <row r="168" spans="1:37" ht="18" customHeight="1" x14ac:dyDescent="0.25">
      <c r="A168" t="s">
        <v>133</v>
      </c>
      <c r="B168" s="171">
        <v>1</v>
      </c>
      <c r="C168" s="176" t="str">
        <f t="shared" si="83"/>
        <v>BUSINESS CLASS1104</v>
      </c>
      <c r="D168" s="172"/>
      <c r="E168" s="304">
        <v>1106</v>
      </c>
      <c r="F168" s="311">
        <v>104</v>
      </c>
      <c r="G168" t="str">
        <f>VLOOKUP(E168,'FG MASTER'!$A$10:$AB$218,2,0)</f>
        <v>BC C1 BREAKFAST ENTRÉE 4 ENGLEMANS ROLL, SPOTTED TROTTER - BACON, HP SAUCE</v>
      </c>
      <c r="H168" s="286">
        <v>1</v>
      </c>
      <c r="I168" s="173">
        <v>0.3</v>
      </c>
      <c r="J168" s="292">
        <f>IFERROR(IF(I168="std",H168,HLOOKUP(A168,'FlightConfig '!$B$28:$G$29,2,0)*I168),"")</f>
        <v>10.199999999999999</v>
      </c>
      <c r="K168" s="245">
        <f>VLOOKUP(Food!E168,'FG MASTER'!$A$1:$AC$536,16,0)</f>
        <v>1.97</v>
      </c>
      <c r="L168" s="246">
        <f>VLOOKUP(Food!E168,'FG MASTER'!$A$10:$AC$536,17,0)</f>
        <v>2.5</v>
      </c>
      <c r="M168" s="132">
        <f t="shared" si="81"/>
        <v>1</v>
      </c>
      <c r="N168" s="132">
        <f t="shared" si="82"/>
        <v>2.9699999999999998</v>
      </c>
      <c r="O168" s="132">
        <f t="shared" si="84"/>
        <v>0.29549999999999987</v>
      </c>
      <c r="P168" s="132">
        <f t="shared" si="85"/>
        <v>0.14999999999999991</v>
      </c>
      <c r="Q168" s="132">
        <f t="shared" si="130"/>
        <v>3.4154999999999993</v>
      </c>
      <c r="R168" s="405">
        <f t="shared" si="87"/>
        <v>2.2654999999999998</v>
      </c>
      <c r="S168" s="405">
        <f t="shared" si="88"/>
        <v>1.1499999999999999</v>
      </c>
      <c r="T168" s="405">
        <f t="shared" si="89"/>
        <v>3.4154999999999998</v>
      </c>
      <c r="U168" s="127"/>
      <c r="V168" s="127"/>
      <c r="W168" t="str">
        <f>IFERROR(#REF!*J168,"")</f>
        <v/>
      </c>
      <c r="X168">
        <f t="shared" si="90"/>
        <v>20.093999999999998</v>
      </c>
      <c r="Y168">
        <f t="shared" si="91"/>
        <v>25.5</v>
      </c>
      <c r="Z168" s="127">
        <f t="shared" si="92"/>
        <v>10.199999999999999</v>
      </c>
      <c r="AA168" s="127">
        <f t="shared" si="93"/>
        <v>30.293999999999997</v>
      </c>
      <c r="AB168" s="127">
        <f t="shared" si="94"/>
        <v>3.0140999999999987</v>
      </c>
      <c r="AC168" s="127">
        <f t="shared" si="77"/>
        <v>1.5299999999999989</v>
      </c>
      <c r="AD168" s="127">
        <f t="shared" si="78"/>
        <v>34.83809999999999</v>
      </c>
      <c r="AF168" s="127" t="str">
        <f>IFERROR(W168*'FlightConfig '!$K$3,"")</f>
        <v/>
      </c>
      <c r="AG168" s="127">
        <f>IFERROR(X168*'FlightConfig '!$K$17,"")</f>
        <v>7314.2159999999994</v>
      </c>
      <c r="AH168" s="127">
        <f>IFERROR(Y168*'FlightConfig '!$K$17,"")</f>
        <v>9282</v>
      </c>
      <c r="AI168" s="127">
        <f>IFERROR(Z168*'FlightConfig '!$K$17,"")</f>
        <v>3712.7999999999997</v>
      </c>
      <c r="AJ168" s="127">
        <f>IFERROR(AA168*'FlightConfig '!$K$17,"")</f>
        <v>11027.016</v>
      </c>
      <c r="AK168" s="127">
        <f>IFERROR(AB168*'FlightConfig '!$K$17,"")</f>
        <v>1097.1323999999995</v>
      </c>
    </row>
    <row r="169" spans="1:37" ht="18" customHeight="1" x14ac:dyDescent="0.25">
      <c r="A169" t="s">
        <v>133</v>
      </c>
      <c r="B169" s="171">
        <v>1</v>
      </c>
      <c r="C169" s="176" t="str">
        <f t="shared" si="83"/>
        <v>BUSINESS CLASS1104</v>
      </c>
      <c r="D169" s="172"/>
      <c r="E169" s="304">
        <v>1107</v>
      </c>
      <c r="F169" s="311">
        <v>104</v>
      </c>
      <c r="G169" t="str">
        <f>VLOOKUP(E169,'FG MASTER'!$A$10:$AB$218,2,0)</f>
        <v>BC C1 BREAKFAST SIDE 1 FRUIT PLATE KIWI, PINEAPPLE, ORANGE, BLUEBERRIES, STRAWBERRIES 140G</v>
      </c>
      <c r="H169" s="286">
        <v>1</v>
      </c>
      <c r="I169" s="173">
        <v>0.4</v>
      </c>
      <c r="J169" s="292">
        <f>IFERROR(IF(I169="std",H169,HLOOKUP(A169,'FlightConfig '!$B$28:$G$29,2,0)*I169),"")</f>
        <v>13.600000000000001</v>
      </c>
      <c r="K169" s="245">
        <f>VLOOKUP(Food!E169,'FG MASTER'!$A$1:$AC$536,16,0)</f>
        <v>1.29</v>
      </c>
      <c r="L169" s="246">
        <f>VLOOKUP(Food!E169,'FG MASTER'!$A$10:$AC$536,17,0)</f>
        <v>2.5</v>
      </c>
      <c r="M169" s="132">
        <f t="shared" si="81"/>
        <v>1</v>
      </c>
      <c r="N169" s="132">
        <f t="shared" si="82"/>
        <v>2.29</v>
      </c>
      <c r="O169" s="132">
        <f t="shared" si="84"/>
        <v>0.19349999999999978</v>
      </c>
      <c r="P169" s="132">
        <f t="shared" si="85"/>
        <v>0.14999999999999991</v>
      </c>
      <c r="Q169" s="132">
        <f>SUM(N169:P169)</f>
        <v>2.6334999999999997</v>
      </c>
      <c r="R169" s="405">
        <f t="shared" si="87"/>
        <v>1.4834999999999998</v>
      </c>
      <c r="S169" s="405">
        <f t="shared" si="88"/>
        <v>1.1499999999999999</v>
      </c>
      <c r="T169" s="405">
        <f t="shared" si="89"/>
        <v>2.6334999999999997</v>
      </c>
      <c r="U169" s="127"/>
      <c r="V169" s="127"/>
      <c r="W169" t="str">
        <f>IFERROR(#REF!*J169,"")</f>
        <v/>
      </c>
      <c r="X169">
        <f t="shared" si="90"/>
        <v>17.544000000000004</v>
      </c>
      <c r="Y169">
        <f t="shared" si="91"/>
        <v>34</v>
      </c>
      <c r="Z169" s="127">
        <f t="shared" si="92"/>
        <v>13.600000000000001</v>
      </c>
      <c r="AA169" s="127">
        <f t="shared" si="93"/>
        <v>31.144000000000005</v>
      </c>
      <c r="AB169" s="127">
        <f t="shared" si="94"/>
        <v>2.6315999999999975</v>
      </c>
      <c r="AC169" s="127">
        <f t="shared" si="77"/>
        <v>2.0399999999999991</v>
      </c>
      <c r="AD169" s="127">
        <f t="shared" si="78"/>
        <v>35.815600000000003</v>
      </c>
      <c r="AF169" s="127" t="str">
        <f>IFERROR(W169*'FlightConfig '!$K$3,"")</f>
        <v/>
      </c>
      <c r="AG169" s="127">
        <f>IFERROR(X169*'FlightConfig '!$K$17,"")</f>
        <v>6386.0160000000014</v>
      </c>
      <c r="AH169" s="127">
        <f>IFERROR(Y169*'FlightConfig '!$K$17,"")</f>
        <v>12376</v>
      </c>
      <c r="AI169" s="127">
        <f>IFERROR(Z169*'FlightConfig '!$K$17,"")</f>
        <v>4950.4000000000005</v>
      </c>
      <c r="AJ169" s="127">
        <f>IFERROR(AA169*'FlightConfig '!$K$17,"")</f>
        <v>11336.416000000001</v>
      </c>
      <c r="AK169" s="127">
        <f>IFERROR(AB169*'FlightConfig '!$K$17,"")</f>
        <v>957.90239999999903</v>
      </c>
    </row>
    <row r="170" spans="1:37" ht="18" customHeight="1" x14ac:dyDescent="0.25">
      <c r="A170" t="s">
        <v>133</v>
      </c>
      <c r="B170" s="171">
        <v>1</v>
      </c>
      <c r="C170" s="176" t="str">
        <f t="shared" ref="C170:C171" si="145">CONCATENATE(A170&amp;B170&amp;F170)</f>
        <v>BUSINESS CLASS1104</v>
      </c>
      <c r="D170" s="172"/>
      <c r="E170" s="304">
        <v>1108</v>
      </c>
      <c r="F170" s="311">
        <v>104</v>
      </c>
      <c r="G170" t="str">
        <f>VLOOKUP(E170,'FG MASTER'!$A$10:$AB$218,2,0)</f>
        <v>BC C1 BREAKFAST SIDE 2 PEACH AND PECAN SCONE</v>
      </c>
      <c r="H170" s="286">
        <v>1</v>
      </c>
      <c r="I170" s="173">
        <v>0.2</v>
      </c>
      <c r="J170" s="292">
        <f>IFERROR(IF(I170="std",H170,HLOOKUP(A170,'FlightConfig '!$B$28:$G$29,2,0)*I170),"")</f>
        <v>6.8000000000000007</v>
      </c>
      <c r="K170" s="245">
        <f>VLOOKUP(Food!E170,'FG MASTER'!$A$1:$AC$536,16,0)</f>
        <v>0.55000000000000004</v>
      </c>
      <c r="L170" s="246">
        <f>VLOOKUP(Food!E170,'FG MASTER'!$A$10:$AC$536,17,0)</f>
        <v>2</v>
      </c>
      <c r="M170" s="132">
        <f t="shared" si="81"/>
        <v>0.8</v>
      </c>
      <c r="N170" s="132">
        <f t="shared" si="82"/>
        <v>1.35</v>
      </c>
      <c r="O170" s="132">
        <f t="shared" si="84"/>
        <v>8.2499999999999907E-2</v>
      </c>
      <c r="P170" s="132">
        <f t="shared" si="85"/>
        <v>0.11999999999999988</v>
      </c>
      <c r="Q170" s="132">
        <f t="shared" ref="Q170" si="146">SUM(N170:P170)</f>
        <v>1.5525</v>
      </c>
      <c r="R170" s="405">
        <f t="shared" si="87"/>
        <v>0.63249999999999995</v>
      </c>
      <c r="S170" s="405">
        <f t="shared" si="88"/>
        <v>0.91999999999999993</v>
      </c>
      <c r="T170" s="405">
        <f t="shared" si="89"/>
        <v>1.5524999999999998</v>
      </c>
      <c r="U170" s="127"/>
      <c r="V170" s="127"/>
      <c r="W170" t="str">
        <f>IFERROR(#REF!*J170,"")</f>
        <v/>
      </c>
      <c r="X170">
        <f t="shared" si="90"/>
        <v>3.7400000000000007</v>
      </c>
      <c r="Y170">
        <f t="shared" si="91"/>
        <v>13.600000000000001</v>
      </c>
      <c r="Z170" s="127">
        <f t="shared" si="92"/>
        <v>5.4400000000000013</v>
      </c>
      <c r="AA170" s="127">
        <f t="shared" si="93"/>
        <v>9.1800000000000015</v>
      </c>
      <c r="AB170" s="127">
        <f t="shared" si="94"/>
        <v>0.56099999999999939</v>
      </c>
      <c r="AC170" s="127">
        <f t="shared" si="77"/>
        <v>0.81599999999999928</v>
      </c>
      <c r="AD170" s="127">
        <f t="shared" si="78"/>
        <v>10.557</v>
      </c>
      <c r="AF170" s="127" t="str">
        <f>IFERROR(W170*'FlightConfig '!$K$3,"")</f>
        <v/>
      </c>
      <c r="AG170" s="127">
        <f>IFERROR(X170*'FlightConfig '!$K$17,"")</f>
        <v>1361.3600000000001</v>
      </c>
      <c r="AH170" s="127">
        <f>IFERROR(Y170*'FlightConfig '!$K$17,"")</f>
        <v>4950.4000000000005</v>
      </c>
      <c r="AI170" s="127">
        <f>IFERROR(Z170*'FlightConfig '!$K$17,"")</f>
        <v>1980.1600000000005</v>
      </c>
      <c r="AJ170" s="127">
        <f>IFERROR(AA170*'FlightConfig '!$K$17,"")</f>
        <v>3341.5200000000004</v>
      </c>
      <c r="AK170" s="127">
        <f>IFERROR(AB170*'FlightConfig '!$K$17,"")</f>
        <v>204.20399999999978</v>
      </c>
    </row>
    <row r="171" spans="1:37" ht="18" customHeight="1" x14ac:dyDescent="0.25">
      <c r="A171" t="s">
        <v>133</v>
      </c>
      <c r="B171" s="171">
        <v>1</v>
      </c>
      <c r="C171" s="176" t="str">
        <f t="shared" si="145"/>
        <v>BUSINESS CLASS1104</v>
      </c>
      <c r="D171" s="172"/>
      <c r="E171" s="305">
        <v>1109</v>
      </c>
      <c r="F171" s="311">
        <v>104</v>
      </c>
      <c r="G171" t="str">
        <f>VLOOKUP(E171,'FG MASTER'!$A$10:$AB$218,2,0)</f>
        <v xml:space="preserve">BC C1 BREAKFAST SIDE 3 COCONUT YOGURT </v>
      </c>
      <c r="H171" s="286">
        <v>1</v>
      </c>
      <c r="I171" s="173">
        <v>0.2</v>
      </c>
      <c r="J171" s="292">
        <f>IFERROR(IF(I171="std",H171,HLOOKUP(A171,'FlightConfig '!$B$28:$G$29,2,0)*I171),"")</f>
        <v>6.8000000000000007</v>
      </c>
      <c r="K171" s="245">
        <f>VLOOKUP(Food!E171,'FG MASTER'!$A$1:$AC$536,16,0)</f>
        <v>8.33</v>
      </c>
      <c r="L171" s="246">
        <f>VLOOKUP(Food!E171,'FG MASTER'!$A$10:$AC$536,17,0)</f>
        <v>0.5</v>
      </c>
      <c r="M171" s="132">
        <f>IFERROR(L171*$M$2,"")</f>
        <v>0.2</v>
      </c>
      <c r="N171" s="132">
        <f t="shared" si="82"/>
        <v>8.5299999999999994</v>
      </c>
      <c r="O171" s="132">
        <f t="shared" si="84"/>
        <v>1.2494999999999994</v>
      </c>
      <c r="P171" s="132">
        <f t="shared" si="85"/>
        <v>2.9999999999999971E-2</v>
      </c>
      <c r="Q171" s="132">
        <f t="shared" ref="Q171" si="147">SUM(N171:P171)</f>
        <v>9.8094999999999981</v>
      </c>
      <c r="R171" s="405">
        <f t="shared" ref="R171" si="148">K171*(1+$O$2)</f>
        <v>9.5794999999999995</v>
      </c>
      <c r="S171" s="405">
        <f>M171*(1+$P$2)</f>
        <v>0.22999999999999998</v>
      </c>
      <c r="T171" s="405">
        <f t="shared" ref="T171" si="149">R171+S171</f>
        <v>9.8094999999999999</v>
      </c>
      <c r="U171" s="127"/>
      <c r="V171" s="127"/>
      <c r="W171" t="str">
        <f>IFERROR(#REF!*J171,"")</f>
        <v/>
      </c>
      <c r="X171">
        <f t="shared" ref="X171" si="150">IFERROR(K171*J171,"")</f>
        <v>56.644000000000005</v>
      </c>
      <c r="Y171">
        <f t="shared" ref="Y171" si="151">IFERROR(+L171*J171,"")</f>
        <v>3.4000000000000004</v>
      </c>
      <c r="Z171" s="127">
        <f t="shared" ref="Z171" si="152">IFERROR(+M171*J171,"")</f>
        <v>1.3600000000000003</v>
      </c>
      <c r="AA171" s="127">
        <f t="shared" ref="AA171" si="153">IFERROR(+N171*J171,"")</f>
        <v>58.004000000000005</v>
      </c>
      <c r="AB171" s="127">
        <f t="shared" ref="AB171" si="154">IFERROR(O171*$J171,"")</f>
        <v>8.4965999999999973</v>
      </c>
      <c r="AC171" s="127">
        <f t="shared" ref="AC171" si="155">IFERROR(P171*$J171,"")</f>
        <v>0.20399999999999982</v>
      </c>
      <c r="AD171" s="127">
        <f t="shared" ref="AD171" si="156">IFERROR(+Q171*J171,"")</f>
        <v>66.704599999999999</v>
      </c>
      <c r="AF171" s="127" t="str">
        <f>IFERROR(W171*'FlightConfig '!$K$3,"")</f>
        <v/>
      </c>
      <c r="AG171" s="127">
        <f>IFERROR(X171*'FlightConfig '!$K$17,"")</f>
        <v>20618.416000000001</v>
      </c>
      <c r="AH171" s="127">
        <f>IFERROR(Y171*'FlightConfig '!$K$17,"")</f>
        <v>1237.6000000000001</v>
      </c>
      <c r="AI171" s="127">
        <f>IFERROR(Z171*'FlightConfig '!$K$17,"")</f>
        <v>495.04000000000013</v>
      </c>
      <c r="AJ171" s="127">
        <f>IFERROR(AA171*'FlightConfig '!$K$17,"")</f>
        <v>21113.456000000002</v>
      </c>
      <c r="AK171" s="127">
        <f>IFERROR(AB171*'FlightConfig '!$K$17,"")</f>
        <v>3092.7623999999992</v>
      </c>
    </row>
    <row r="172" spans="1:37" ht="18" customHeight="1" x14ac:dyDescent="0.25">
      <c r="A172" t="s">
        <v>133</v>
      </c>
      <c r="B172" s="171">
        <v>1</v>
      </c>
      <c r="C172" s="176" t="str">
        <f t="shared" ref="C172:C189" si="157">CONCATENATE(A172&amp;B172&amp;F172)</f>
        <v>BUSINESS CLASS1104</v>
      </c>
      <c r="D172" s="172"/>
      <c r="E172" s="305">
        <v>1110</v>
      </c>
      <c r="F172" s="311">
        <v>104</v>
      </c>
      <c r="G172" t="str">
        <f>VLOOKUP(E172,'FG MASTER'!$A$10:$AB$218,2,0)</f>
        <v>BC C1 BREAKFAST SIDE 4 SUPER SEED GRANOLA</v>
      </c>
      <c r="H172" s="286">
        <v>1</v>
      </c>
      <c r="I172" s="173">
        <v>0.2</v>
      </c>
      <c r="J172" s="292">
        <f>IFERROR(IF(I172="std",H172,HLOOKUP(A172,'FlightConfig '!$B$28:$G$29,2,0)*I172),"")</f>
        <v>6.8000000000000007</v>
      </c>
      <c r="K172" s="245">
        <f>VLOOKUP(Food!E172,'FG MASTER'!$A$1:$AC$536,16,0)</f>
        <v>3.39</v>
      </c>
      <c r="L172" s="246">
        <f>VLOOKUP(Food!E172,'FG MASTER'!$A$10:$AC$536,17,0)</f>
        <v>1</v>
      </c>
      <c r="M172" s="132">
        <f t="shared" ref="M172:M186" si="158">IFERROR(L172*$M$2,"")</f>
        <v>0.4</v>
      </c>
      <c r="N172" s="132">
        <f t="shared" ref="N172:N189" si="159">IFERROR((K172)+M172,"")</f>
        <v>3.79</v>
      </c>
      <c r="O172" s="132">
        <f t="shared" si="84"/>
        <v>0.50849999999999973</v>
      </c>
      <c r="P172" s="132">
        <f t="shared" si="85"/>
        <v>5.9999999999999942E-2</v>
      </c>
      <c r="Q172" s="132">
        <f t="shared" ref="Q172" si="160">SUM(N172:P172)</f>
        <v>4.3584999999999994</v>
      </c>
      <c r="R172" s="405">
        <f t="shared" si="87"/>
        <v>3.8984999999999999</v>
      </c>
      <c r="S172" s="405">
        <f t="shared" si="88"/>
        <v>0.45999999999999996</v>
      </c>
      <c r="T172" s="405">
        <f t="shared" si="89"/>
        <v>4.3584999999999994</v>
      </c>
      <c r="U172" s="127"/>
      <c r="V172" s="127"/>
      <c r="W172" t="str">
        <f>IFERROR(#REF!*J172,"")</f>
        <v/>
      </c>
      <c r="X172">
        <f t="shared" si="90"/>
        <v>23.052000000000003</v>
      </c>
      <c r="Y172">
        <f t="shared" si="91"/>
        <v>6.8000000000000007</v>
      </c>
      <c r="Z172" s="127">
        <f t="shared" si="92"/>
        <v>2.7200000000000006</v>
      </c>
      <c r="AA172" s="127">
        <f t="shared" si="93"/>
        <v>25.772000000000002</v>
      </c>
      <c r="AB172" s="127">
        <f t="shared" si="94"/>
        <v>3.4577999999999984</v>
      </c>
      <c r="AC172" s="127">
        <f t="shared" si="77"/>
        <v>0.40799999999999964</v>
      </c>
      <c r="AD172" s="127">
        <f t="shared" si="78"/>
        <v>29.637799999999999</v>
      </c>
      <c r="AF172" s="127" t="str">
        <f>IFERROR(W172*'FlightConfig '!$K$3,"")</f>
        <v/>
      </c>
      <c r="AG172" s="127">
        <f>IFERROR(X172*'FlightConfig '!$K$17,"")</f>
        <v>8390.9280000000017</v>
      </c>
      <c r="AH172" s="127">
        <f>IFERROR(Y172*'FlightConfig '!$K$17,"")</f>
        <v>2475.2000000000003</v>
      </c>
      <c r="AI172" s="127">
        <f>IFERROR(Z172*'FlightConfig '!$K$17,"")</f>
        <v>990.08000000000027</v>
      </c>
      <c r="AJ172" s="127">
        <f>IFERROR(AA172*'FlightConfig '!$K$17,"")</f>
        <v>9381.0080000000016</v>
      </c>
      <c r="AK172" s="127">
        <f>IFERROR(AB172*'FlightConfig '!$K$17,"")</f>
        <v>1258.6391999999994</v>
      </c>
    </row>
    <row r="173" spans="1:37" ht="18" customHeight="1" x14ac:dyDescent="0.25">
      <c r="A173" t="s">
        <v>134</v>
      </c>
      <c r="B173" s="171">
        <v>1</v>
      </c>
      <c r="C173" s="176" t="str">
        <f t="shared" si="157"/>
        <v>PREMIUM ECONOMY CLASS1104</v>
      </c>
      <c r="D173" s="312"/>
      <c r="E173" s="305">
        <v>1111</v>
      </c>
      <c r="F173" s="311">
        <v>104</v>
      </c>
      <c r="G173" t="str">
        <f>VLOOKUP(E173,'FG MASTER'!$A$10:$AB$218,2,0)</f>
        <v>PY C1 DINNER TSU</v>
      </c>
      <c r="H173" s="286">
        <v>1</v>
      </c>
      <c r="I173" s="173">
        <v>1</v>
      </c>
      <c r="J173" s="292">
        <f>IFERROR(IF(I173="std",H173,HLOOKUP(A173,'FlightConfig '!$B$28:$G$29,2,0)*I173),"")</f>
        <v>48</v>
      </c>
      <c r="K173" s="245">
        <f>VLOOKUP(Food!E173,'FG MASTER'!$A$1:$AC$536,16,0)</f>
        <v>0</v>
      </c>
      <c r="L173" s="246">
        <f>VLOOKUP(Food!E173,'FG MASTER'!$A$10:$AC$536,17,0)</f>
        <v>2.75</v>
      </c>
      <c r="M173" s="132">
        <f t="shared" si="158"/>
        <v>1.1000000000000001</v>
      </c>
      <c r="N173" s="132">
        <f t="shared" si="159"/>
        <v>1.1000000000000001</v>
      </c>
      <c r="O173" s="132">
        <f t="shared" si="84"/>
        <v>0</v>
      </c>
      <c r="P173" s="132">
        <f t="shared" si="85"/>
        <v>0.16499999999999981</v>
      </c>
      <c r="Q173" s="132">
        <f t="shared" ref="Q173:Q190" si="161">SUM(N173:P173)</f>
        <v>1.2649999999999999</v>
      </c>
      <c r="R173" s="405">
        <f t="shared" si="87"/>
        <v>0</v>
      </c>
      <c r="S173" s="405">
        <f t="shared" si="88"/>
        <v>1.2649999999999999</v>
      </c>
      <c r="T173" s="405">
        <f t="shared" si="89"/>
        <v>1.2649999999999999</v>
      </c>
      <c r="U173" s="127">
        <f>Q173+Q174+Q175+Q176+Q180+Q181</f>
        <v>8.5184884374999985</v>
      </c>
      <c r="V173" s="127">
        <f>R173+R174+R175+R176+R180+R181</f>
        <v>4.9304884374999993</v>
      </c>
      <c r="W173" s="127">
        <f t="shared" ref="V173:W173" si="162">S173+S174+S175+S176+S180+S181</f>
        <v>3.5879999999999996</v>
      </c>
      <c r="X173">
        <f t="shared" si="90"/>
        <v>0</v>
      </c>
      <c r="Y173">
        <f t="shared" si="91"/>
        <v>132</v>
      </c>
      <c r="Z173" s="127">
        <f t="shared" si="92"/>
        <v>52.800000000000004</v>
      </c>
      <c r="AA173" s="127">
        <f t="shared" si="93"/>
        <v>52.800000000000004</v>
      </c>
      <c r="AB173" s="127">
        <f t="shared" si="94"/>
        <v>0</v>
      </c>
      <c r="AC173" s="127">
        <f t="shared" si="77"/>
        <v>7.919999999999991</v>
      </c>
      <c r="AD173" s="127">
        <f t="shared" si="78"/>
        <v>60.72</v>
      </c>
      <c r="AF173" s="127">
        <f>IFERROR(W173*'FlightConfig '!$K$3,"")</f>
        <v>0</v>
      </c>
      <c r="AG173" s="127">
        <f>IFERROR(X173*'FlightConfig '!$K$17,"")</f>
        <v>0</v>
      </c>
      <c r="AH173" s="127">
        <f>IFERROR(Y173*'FlightConfig '!$K$17,"")</f>
        <v>48048</v>
      </c>
      <c r="AI173" s="127">
        <f>IFERROR(Z173*'FlightConfig '!$K$17,"")</f>
        <v>19219.2</v>
      </c>
      <c r="AJ173" s="127">
        <f>IFERROR(AA173*'FlightConfig '!$K$17,"")</f>
        <v>19219.2</v>
      </c>
      <c r="AK173" s="127">
        <f>IFERROR(AB173*'FlightConfig '!$K$17,"")</f>
        <v>0</v>
      </c>
    </row>
    <row r="174" spans="1:37" ht="18" customHeight="1" x14ac:dyDescent="0.25">
      <c r="A174" t="s">
        <v>134</v>
      </c>
      <c r="B174" s="171">
        <v>1</v>
      </c>
      <c r="C174" s="176" t="str">
        <f t="shared" si="157"/>
        <v>PREMIUM ECONOMY CLASS1104</v>
      </c>
      <c r="D174" s="312"/>
      <c r="E174" s="305">
        <v>1112</v>
      </c>
      <c r="F174" s="311">
        <v>104</v>
      </c>
      <c r="G174" t="str">
        <f>VLOOKUP(E174,'FG MASTER'!$A$10:$AB$218,2,0)</f>
        <v>PY C1 DINNER BREAD HOUSEMADE SWEETWATER BEER AND CHEESE ROLL</v>
      </c>
      <c r="H174" s="286">
        <v>1</v>
      </c>
      <c r="I174" s="173">
        <v>1</v>
      </c>
      <c r="J174" s="292">
        <f>IFERROR(IF(I174="std",H174,HLOOKUP(A174,'FlightConfig '!$B$28:$G$29,2,0)*I174),"")</f>
        <v>48</v>
      </c>
      <c r="K174" s="245">
        <f>VLOOKUP(Food!E174,'FG MASTER'!$A$1:$AC$536,16,0)</f>
        <v>0.29738124999999999</v>
      </c>
      <c r="L174" s="246">
        <f>VLOOKUP(Food!E174,'FG MASTER'!$A$10:$AC$536,17,0)</f>
        <v>0.25</v>
      </c>
      <c r="M174" s="132">
        <f t="shared" si="158"/>
        <v>0.1</v>
      </c>
      <c r="N174" s="132">
        <f t="shared" si="159"/>
        <v>0.39738125000000002</v>
      </c>
      <c r="O174" s="132">
        <f t="shared" si="84"/>
        <v>4.4607187499999978E-2</v>
      </c>
      <c r="P174" s="132">
        <f t="shared" si="85"/>
        <v>1.4999999999999986E-2</v>
      </c>
      <c r="Q174" s="132">
        <f t="shared" si="161"/>
        <v>0.45698843749999996</v>
      </c>
      <c r="R174" s="405">
        <f t="shared" si="87"/>
        <v>0.34198843749999996</v>
      </c>
      <c r="S174" s="405">
        <f t="shared" si="88"/>
        <v>0.11499999999999999</v>
      </c>
      <c r="T174" s="405">
        <f t="shared" si="89"/>
        <v>0.45698843749999996</v>
      </c>
      <c r="U174" s="127"/>
      <c r="V174" s="127"/>
      <c r="W174" t="str">
        <f>IFERROR(#REF!*J174,"")</f>
        <v/>
      </c>
      <c r="X174">
        <f t="shared" si="90"/>
        <v>14.2743</v>
      </c>
      <c r="Y174">
        <f t="shared" si="91"/>
        <v>12</v>
      </c>
      <c r="Z174" s="127">
        <f t="shared" si="92"/>
        <v>4.8000000000000007</v>
      </c>
      <c r="AA174" s="127">
        <f t="shared" si="93"/>
        <v>19.074300000000001</v>
      </c>
      <c r="AB174" s="127">
        <f t="shared" si="94"/>
        <v>2.141144999999999</v>
      </c>
      <c r="AC174" s="127">
        <f t="shared" si="77"/>
        <v>0.71999999999999931</v>
      </c>
      <c r="AD174" s="127">
        <f t="shared" si="78"/>
        <v>21.935444999999998</v>
      </c>
      <c r="AF174" s="127" t="str">
        <f>IFERROR(W174*'FlightConfig '!$K$3,"")</f>
        <v/>
      </c>
      <c r="AG174" s="127">
        <f>IFERROR(X174*'FlightConfig '!$K$17,"")</f>
        <v>5195.8451999999997</v>
      </c>
      <c r="AH174" s="127">
        <f>IFERROR(Y174*'FlightConfig '!$K$17,"")</f>
        <v>4368</v>
      </c>
      <c r="AI174" s="127">
        <f>IFERROR(Z174*'FlightConfig '!$K$17,"")</f>
        <v>1747.2000000000003</v>
      </c>
      <c r="AJ174" s="127">
        <f>IFERROR(AA174*'FlightConfig '!$K$17,"")</f>
        <v>6943.0452000000005</v>
      </c>
      <c r="AK174" s="127">
        <f>IFERROR(AB174*'FlightConfig '!$K$17,"")</f>
        <v>779.3767799999996</v>
      </c>
    </row>
    <row r="175" spans="1:37" ht="18" customHeight="1" x14ac:dyDescent="0.25">
      <c r="A175" t="s">
        <v>134</v>
      </c>
      <c r="B175" s="171">
        <v>1</v>
      </c>
      <c r="C175" s="176" t="str">
        <f t="shared" si="157"/>
        <v>PREMIUM ECONOMY CLASS1104</v>
      </c>
      <c r="D175" s="312"/>
      <c r="E175" s="305">
        <v>1113</v>
      </c>
      <c r="F175" s="311">
        <v>104</v>
      </c>
      <c r="G175" t="str">
        <f>VLOOKUP(E175,'FG MASTER'!$A$10:$AB$218,2,0)</f>
        <v>PY C1 DINNER BUTTER</v>
      </c>
      <c r="H175" s="286">
        <v>1</v>
      </c>
      <c r="I175" s="173">
        <v>1</v>
      </c>
      <c r="J175" s="292">
        <f>IFERROR(IF(I175="std",H175,HLOOKUP(A175,'FlightConfig '!$B$28:$G$29,2,0)*I175),"")</f>
        <v>48</v>
      </c>
      <c r="K175" s="245">
        <f>VLOOKUP(Food!E175,'FG MASTER'!$A$1:$AC$536,16,0)</f>
        <v>0.3</v>
      </c>
      <c r="L175" s="246">
        <f>VLOOKUP(Food!E175,'FG MASTER'!$A$10:$AC$536,17,0)</f>
        <v>0.5</v>
      </c>
      <c r="M175" s="132">
        <f t="shared" si="158"/>
        <v>0.2</v>
      </c>
      <c r="N175" s="132">
        <f t="shared" si="159"/>
        <v>0.5</v>
      </c>
      <c r="O175" s="132">
        <f t="shared" si="84"/>
        <v>4.4999999999999984E-2</v>
      </c>
      <c r="P175" s="132">
        <f t="shared" si="85"/>
        <v>2.9999999999999971E-2</v>
      </c>
      <c r="Q175" s="132">
        <f t="shared" si="161"/>
        <v>0.57499999999999996</v>
      </c>
      <c r="R175" s="405">
        <f t="shared" si="87"/>
        <v>0.34499999999999997</v>
      </c>
      <c r="S175" s="405">
        <f t="shared" si="88"/>
        <v>0.22999999999999998</v>
      </c>
      <c r="T175" s="405">
        <f t="shared" si="89"/>
        <v>0.57499999999999996</v>
      </c>
      <c r="U175" s="127"/>
      <c r="V175" s="127"/>
      <c r="W175" t="str">
        <f>IFERROR(#REF!*J175,"")</f>
        <v/>
      </c>
      <c r="X175">
        <f t="shared" si="90"/>
        <v>14.399999999999999</v>
      </c>
      <c r="Y175">
        <f t="shared" si="91"/>
        <v>24</v>
      </c>
      <c r="Z175" s="127">
        <f t="shared" si="92"/>
        <v>9.6000000000000014</v>
      </c>
      <c r="AA175" s="127">
        <f t="shared" si="93"/>
        <v>24</v>
      </c>
      <c r="AB175" s="127">
        <f t="shared" si="94"/>
        <v>2.1599999999999993</v>
      </c>
      <c r="AC175" s="127">
        <f t="shared" si="77"/>
        <v>1.4399999999999986</v>
      </c>
      <c r="AD175" s="127">
        <f t="shared" si="78"/>
        <v>27.599999999999998</v>
      </c>
      <c r="AF175" s="127" t="str">
        <f>IFERROR(W175*'FlightConfig '!$K$3,"")</f>
        <v/>
      </c>
      <c r="AG175" s="127">
        <f>IFERROR(X175*'FlightConfig '!$K$17,"")</f>
        <v>5241.5999999999995</v>
      </c>
      <c r="AH175" s="127">
        <f>IFERROR(Y175*'FlightConfig '!$K$17,"")</f>
        <v>8736</v>
      </c>
      <c r="AI175" s="127">
        <f>IFERROR(Z175*'FlightConfig '!$K$17,"")</f>
        <v>3494.4000000000005</v>
      </c>
      <c r="AJ175" s="127">
        <f>IFERROR(AA175*'FlightConfig '!$K$17,"")</f>
        <v>8736</v>
      </c>
      <c r="AK175" s="127">
        <f>IFERROR(AB175*'FlightConfig '!$K$17,"")</f>
        <v>786.23999999999978</v>
      </c>
    </row>
    <row r="176" spans="1:37" ht="18" customHeight="1" x14ac:dyDescent="0.25">
      <c r="A176" t="s">
        <v>134</v>
      </c>
      <c r="B176" s="171">
        <v>1</v>
      </c>
      <c r="C176" s="176" t="str">
        <f t="shared" si="157"/>
        <v>PREMIUM ECONOMY CLASS1104</v>
      </c>
      <c r="D176" s="312"/>
      <c r="E176" s="305">
        <v>1114</v>
      </c>
      <c r="F176" s="311">
        <v>104</v>
      </c>
      <c r="G176" t="str">
        <f>VLOOKUP(E176,'FG MASTER'!$A$10:$AB$218,2,0)</f>
        <v xml:space="preserve">PY C1 DINNER STARTER MESCLUN MIX, CUCUMBER, GRAPE TOMATO, RADISH, BALSAMIC DRESSING </v>
      </c>
      <c r="H176" s="286">
        <v>1</v>
      </c>
      <c r="I176" s="173">
        <v>1</v>
      </c>
      <c r="J176" s="292">
        <f>IFERROR(IF(I176="std",H176,HLOOKUP(A176,'FlightConfig '!$B$28:$G$29,2,0)*I176),"")</f>
        <v>48</v>
      </c>
      <c r="K176" s="245">
        <f>VLOOKUP(Food!E176,'FG MASTER'!$A$1:$AC$536,16,0)</f>
        <v>1.24</v>
      </c>
      <c r="L176" s="246">
        <f>VLOOKUP(Food!E176,'FG MASTER'!$A$10:$AC$536,17,0)</f>
        <v>1.3</v>
      </c>
      <c r="M176" s="132">
        <f t="shared" si="158"/>
        <v>0.52</v>
      </c>
      <c r="N176" s="132">
        <f t="shared" si="159"/>
        <v>1.76</v>
      </c>
      <c r="O176" s="132">
        <f t="shared" si="84"/>
        <v>0.18599999999999994</v>
      </c>
      <c r="P176" s="132">
        <f t="shared" si="85"/>
        <v>7.7999999999999958E-2</v>
      </c>
      <c r="Q176" s="132">
        <f t="shared" si="161"/>
        <v>2.024</v>
      </c>
      <c r="R176" s="405">
        <f t="shared" si="87"/>
        <v>1.4259999999999999</v>
      </c>
      <c r="S176" s="405">
        <f t="shared" si="88"/>
        <v>0.59799999999999998</v>
      </c>
      <c r="T176" s="405">
        <f t="shared" si="89"/>
        <v>2.024</v>
      </c>
      <c r="U176" s="127"/>
      <c r="V176" s="127"/>
      <c r="W176" t="str">
        <f>IFERROR(#REF!*J176,"")</f>
        <v/>
      </c>
      <c r="X176">
        <f t="shared" si="90"/>
        <v>59.519999999999996</v>
      </c>
      <c r="Y176">
        <f t="shared" si="91"/>
        <v>62.400000000000006</v>
      </c>
      <c r="Z176" s="127">
        <f t="shared" si="92"/>
        <v>24.96</v>
      </c>
      <c r="AA176" s="127">
        <f t="shared" si="93"/>
        <v>84.48</v>
      </c>
      <c r="AB176" s="127">
        <f t="shared" si="94"/>
        <v>8.9279999999999973</v>
      </c>
      <c r="AC176" s="127">
        <f t="shared" si="77"/>
        <v>3.743999999999998</v>
      </c>
      <c r="AD176" s="127">
        <f t="shared" si="78"/>
        <v>97.152000000000001</v>
      </c>
      <c r="AF176" s="127" t="str">
        <f>IFERROR(W176*'FlightConfig '!$K$3,"")</f>
        <v/>
      </c>
      <c r="AG176" s="127">
        <f>IFERROR(X176*'FlightConfig '!$K$17,"")</f>
        <v>21665.279999999999</v>
      </c>
      <c r="AH176" s="127">
        <f>IFERROR(Y176*'FlightConfig '!$K$17,"")</f>
        <v>22713.600000000002</v>
      </c>
      <c r="AI176" s="127">
        <f>IFERROR(Z176*'FlightConfig '!$K$17,"")</f>
        <v>9085.44</v>
      </c>
      <c r="AJ176" s="127">
        <f>IFERROR(AA176*'FlightConfig '!$K$17,"")</f>
        <v>30750.720000000001</v>
      </c>
      <c r="AK176" s="127">
        <f>IFERROR(AB176*'FlightConfig '!$K$17,"")</f>
        <v>3249.791999999999</v>
      </c>
    </row>
    <row r="177" spans="1:37" ht="18" customHeight="1" x14ac:dyDescent="0.25">
      <c r="A177" t="s">
        <v>134</v>
      </c>
      <c r="B177" s="171">
        <v>1</v>
      </c>
      <c r="C177" s="176" t="str">
        <f t="shared" si="157"/>
        <v>PREMIUM ECONOMY CLASS1104</v>
      </c>
      <c r="D177" s="312"/>
      <c r="E177" s="305">
        <v>1115</v>
      </c>
      <c r="F177" s="311">
        <v>104</v>
      </c>
      <c r="G177" t="str">
        <f>VLOOKUP(E177,'FG MASTER'!$A$10:$AB$218,2,0)</f>
        <v xml:space="preserve">PY C1 DINNER ENTRÉE 1 CRAB CAKE, POTATO RED ONION HASH, ASPARAGUS, RED PEPPER CREAM SAUCE </v>
      </c>
      <c r="H177" s="286">
        <v>1</v>
      </c>
      <c r="I177" s="173">
        <v>0.5</v>
      </c>
      <c r="J177" s="292">
        <f>IFERROR(IF(I177="std",H177,HLOOKUP(A177,'FlightConfig '!$B$28:$G$29,2,0)*I177),"")</f>
        <v>24</v>
      </c>
      <c r="K177" s="245">
        <f>VLOOKUP(Food!E177,'FG MASTER'!$A$1:$AC$536,16,0)</f>
        <v>11.02</v>
      </c>
      <c r="L177" s="246">
        <f>VLOOKUP(Food!E177,'FG MASTER'!$A$10:$AC$536,17,0)</f>
        <v>5.5</v>
      </c>
      <c r="M177" s="132">
        <f t="shared" si="158"/>
        <v>2.2000000000000002</v>
      </c>
      <c r="N177" s="132">
        <f t="shared" si="159"/>
        <v>13.219999999999999</v>
      </c>
      <c r="O177" s="132">
        <f t="shared" si="84"/>
        <v>1.6529999999999987</v>
      </c>
      <c r="P177" s="132">
        <f t="shared" si="85"/>
        <v>0.32999999999999963</v>
      </c>
      <c r="Q177" s="132">
        <f t="shared" si="161"/>
        <v>15.202999999999998</v>
      </c>
      <c r="R177" s="405">
        <f t="shared" si="87"/>
        <v>12.672999999999998</v>
      </c>
      <c r="S177" s="405">
        <f t="shared" si="88"/>
        <v>2.5299999999999998</v>
      </c>
      <c r="T177" s="405">
        <f t="shared" si="89"/>
        <v>15.202999999999998</v>
      </c>
      <c r="U177" s="127"/>
      <c r="V177" s="127"/>
      <c r="W177" t="str">
        <f>IFERROR(#REF!*J177,"")</f>
        <v/>
      </c>
      <c r="X177">
        <f t="shared" si="90"/>
        <v>264.48</v>
      </c>
      <c r="Y177">
        <f t="shared" si="91"/>
        <v>132</v>
      </c>
      <c r="Z177" s="127">
        <f t="shared" si="92"/>
        <v>52.800000000000004</v>
      </c>
      <c r="AA177" s="127">
        <f t="shared" si="93"/>
        <v>317.27999999999997</v>
      </c>
      <c r="AB177" s="127">
        <f t="shared" si="94"/>
        <v>39.671999999999969</v>
      </c>
      <c r="AC177" s="127">
        <f t="shared" si="77"/>
        <v>7.919999999999991</v>
      </c>
      <c r="AD177" s="127">
        <f t="shared" si="78"/>
        <v>364.87199999999996</v>
      </c>
      <c r="AF177" s="127" t="str">
        <f>IFERROR(W177*'FlightConfig '!$K$3,"")</f>
        <v/>
      </c>
      <c r="AG177" s="127">
        <f>IFERROR(X177*'FlightConfig '!$K$17,"")</f>
        <v>96270.720000000001</v>
      </c>
      <c r="AH177" s="127">
        <f>IFERROR(Y177*'FlightConfig '!$K$17,"")</f>
        <v>48048</v>
      </c>
      <c r="AI177" s="127">
        <f>IFERROR(Z177*'FlightConfig '!$K$17,"")</f>
        <v>19219.2</v>
      </c>
      <c r="AJ177" s="127">
        <f>IFERROR(AA177*'FlightConfig '!$K$17,"")</f>
        <v>115489.91999999998</v>
      </c>
      <c r="AK177" s="127">
        <f>IFERROR(AB177*'FlightConfig '!$K$17,"")</f>
        <v>14440.607999999989</v>
      </c>
    </row>
    <row r="178" spans="1:37" ht="18" customHeight="1" x14ac:dyDescent="0.25">
      <c r="A178" t="s">
        <v>134</v>
      </c>
      <c r="B178" s="171">
        <v>1</v>
      </c>
      <c r="C178" s="176" t="str">
        <f t="shared" si="157"/>
        <v>PREMIUM ECONOMY CLASS1104</v>
      </c>
      <c r="D178" s="312"/>
      <c r="E178" s="305">
        <v>1116</v>
      </c>
      <c r="F178" s="311">
        <v>104</v>
      </c>
      <c r="G178" t="str">
        <f>VLOOKUP(E178,'FG MASTER'!$A$10:$AB$218,2,0)</f>
        <v>PY C1 DINNER ENTRÉE 2 CHICKEN KEBAB, HONEY HARISSA GLAZE, RED PEPPER, LEMON HERB RICE, FETA CHEESE</v>
      </c>
      <c r="H178" s="286">
        <v>1</v>
      </c>
      <c r="I178" s="173">
        <v>0.35</v>
      </c>
      <c r="J178" s="292">
        <f>IFERROR(IF(I178="std",H178,HLOOKUP(A178,'FlightConfig '!$B$28:$G$29,2,0)*I178),"")</f>
        <v>16.799999999999997</v>
      </c>
      <c r="K178" s="245">
        <f>VLOOKUP(Food!E178,'FG MASTER'!$A$1:$AC$536,16,0)</f>
        <v>3.19</v>
      </c>
      <c r="L178" s="246">
        <f>VLOOKUP(Food!E178,'FG MASTER'!$A$10:$AC$536,17,0)</f>
        <v>5.5</v>
      </c>
      <c r="M178" s="132">
        <f t="shared" si="158"/>
        <v>2.2000000000000002</v>
      </c>
      <c r="N178" s="132">
        <f t="shared" si="159"/>
        <v>5.3900000000000006</v>
      </c>
      <c r="O178" s="132">
        <f t="shared" si="84"/>
        <v>0.47849999999999993</v>
      </c>
      <c r="P178" s="132">
        <f t="shared" si="85"/>
        <v>0.32999999999999963</v>
      </c>
      <c r="Q178" s="132">
        <f t="shared" si="161"/>
        <v>6.198500000000001</v>
      </c>
      <c r="R178" s="405">
        <f t="shared" si="87"/>
        <v>3.6684999999999999</v>
      </c>
      <c r="S178" s="405">
        <f t="shared" si="88"/>
        <v>2.5299999999999998</v>
      </c>
      <c r="T178" s="405">
        <f t="shared" si="89"/>
        <v>6.1984999999999992</v>
      </c>
      <c r="U178" s="127"/>
      <c r="V178" s="127"/>
      <c r="W178" t="str">
        <f>IFERROR(#REF!*J178,"")</f>
        <v/>
      </c>
      <c r="X178">
        <f t="shared" si="90"/>
        <v>53.591999999999992</v>
      </c>
      <c r="Y178">
        <f t="shared" si="91"/>
        <v>92.399999999999977</v>
      </c>
      <c r="Z178" s="127">
        <f t="shared" si="92"/>
        <v>36.959999999999994</v>
      </c>
      <c r="AA178" s="127">
        <f t="shared" si="93"/>
        <v>90.551999999999992</v>
      </c>
      <c r="AB178" s="127">
        <f t="shared" si="94"/>
        <v>8.0387999999999966</v>
      </c>
      <c r="AC178" s="127">
        <f t="shared" si="77"/>
        <v>5.5439999999999925</v>
      </c>
      <c r="AD178" s="127">
        <f t="shared" si="78"/>
        <v>104.1348</v>
      </c>
      <c r="AF178" s="127" t="str">
        <f>IFERROR(W178*'FlightConfig '!$K$3,"")</f>
        <v/>
      </c>
      <c r="AG178" s="127">
        <f>IFERROR(X178*'FlightConfig '!$K$17,"")</f>
        <v>19507.487999999998</v>
      </c>
      <c r="AH178" s="127">
        <f>IFERROR(Y178*'FlightConfig '!$K$17,"")</f>
        <v>33633.599999999991</v>
      </c>
      <c r="AI178" s="127">
        <f>IFERROR(Z178*'FlightConfig '!$K$17,"")</f>
        <v>13453.439999999997</v>
      </c>
      <c r="AJ178" s="127">
        <f>IFERROR(AA178*'FlightConfig '!$K$17,"")</f>
        <v>32960.928</v>
      </c>
      <c r="AK178" s="127">
        <f>IFERROR(AB178*'FlightConfig '!$K$17,"")</f>
        <v>2926.1231999999986</v>
      </c>
    </row>
    <row r="179" spans="1:37" ht="18" customHeight="1" x14ac:dyDescent="0.25">
      <c r="A179" t="s">
        <v>134</v>
      </c>
      <c r="B179" s="171">
        <v>1</v>
      </c>
      <c r="C179" s="176" t="str">
        <f t="shared" si="157"/>
        <v>PREMIUM ECONOMY CLASS1104</v>
      </c>
      <c r="D179" s="312"/>
      <c r="E179" s="305">
        <v>1117</v>
      </c>
      <c r="F179" s="311">
        <v>104</v>
      </c>
      <c r="G179" t="str">
        <f>VLOOKUP(E179,'FG MASTER'!$A$10:$AB$218,2,0)</f>
        <v xml:space="preserve">PY C1 DINNER ENTRÉE 3 SMOKED MOZZARELLA RAVIOLI, MARINARA SAUCE, PESTO MARINATED BOCCONCINI MOZZARELLA, SHREDDED PARMESAN, SPINACH </v>
      </c>
      <c r="H179" s="286">
        <v>1</v>
      </c>
      <c r="I179" s="173">
        <v>0.2</v>
      </c>
      <c r="J179" s="292">
        <f>IFERROR(IF(I179="std",H179,HLOOKUP(A179,'FlightConfig '!$B$28:$G$29,2,0)*I179),"")</f>
        <v>9.6000000000000014</v>
      </c>
      <c r="K179" s="245">
        <f>VLOOKUP(Food!E179,'FG MASTER'!$A$1:$AC$536,16,0)</f>
        <v>4.29</v>
      </c>
      <c r="L179" s="246">
        <f>VLOOKUP(Food!E179,'FG MASTER'!$A$10:$AC$536,17,0)</f>
        <v>3.75</v>
      </c>
      <c r="M179" s="132">
        <f t="shared" si="158"/>
        <v>1.5</v>
      </c>
      <c r="N179" s="132">
        <f t="shared" si="159"/>
        <v>5.79</v>
      </c>
      <c r="O179" s="132">
        <f t="shared" si="84"/>
        <v>0.64349999999999952</v>
      </c>
      <c r="P179" s="132">
        <f t="shared" si="85"/>
        <v>0.22499999999999987</v>
      </c>
      <c r="Q179" s="132">
        <f t="shared" si="161"/>
        <v>6.6584999999999992</v>
      </c>
      <c r="R179" s="405">
        <f t="shared" si="87"/>
        <v>4.9334999999999996</v>
      </c>
      <c r="S179" s="405">
        <f t="shared" si="88"/>
        <v>1.7249999999999999</v>
      </c>
      <c r="T179" s="405">
        <f t="shared" si="89"/>
        <v>6.6584999999999992</v>
      </c>
      <c r="U179" s="127"/>
      <c r="V179" s="127"/>
      <c r="W179" t="str">
        <f>IFERROR(#REF!*J179,"")</f>
        <v/>
      </c>
      <c r="X179">
        <f t="shared" si="90"/>
        <v>41.184000000000005</v>
      </c>
      <c r="Y179">
        <f t="shared" si="91"/>
        <v>36.000000000000007</v>
      </c>
      <c r="Z179" s="127">
        <f t="shared" si="92"/>
        <v>14.400000000000002</v>
      </c>
      <c r="AA179" s="127">
        <f t="shared" si="93"/>
        <v>55.58400000000001</v>
      </c>
      <c r="AB179" s="127">
        <f t="shared" si="94"/>
        <v>6.1775999999999964</v>
      </c>
      <c r="AC179" s="127">
        <f t="shared" si="77"/>
        <v>2.1599999999999993</v>
      </c>
      <c r="AD179" s="127">
        <f t="shared" si="78"/>
        <v>63.921600000000005</v>
      </c>
      <c r="AF179" s="127" t="str">
        <f>IFERROR(W179*'FlightConfig '!$K$3,"")</f>
        <v/>
      </c>
      <c r="AG179" s="127">
        <f>IFERROR(X179*'FlightConfig '!$K$17,"")</f>
        <v>14990.976000000002</v>
      </c>
      <c r="AH179" s="127">
        <f>IFERROR(Y179*'FlightConfig '!$K$17,"")</f>
        <v>13104.000000000002</v>
      </c>
      <c r="AI179" s="127">
        <f>IFERROR(Z179*'FlightConfig '!$K$17,"")</f>
        <v>5241.6000000000004</v>
      </c>
      <c r="AJ179" s="127">
        <f>IFERROR(AA179*'FlightConfig '!$K$17,"")</f>
        <v>20232.576000000005</v>
      </c>
      <c r="AK179" s="127">
        <f>IFERROR(AB179*'FlightConfig '!$K$17,"")</f>
        <v>2248.6463999999987</v>
      </c>
    </row>
    <row r="180" spans="1:37" ht="18" customHeight="1" x14ac:dyDescent="0.25">
      <c r="A180" t="s">
        <v>134</v>
      </c>
      <c r="B180" s="171">
        <v>1</v>
      </c>
      <c r="C180" s="176" t="str">
        <f t="shared" ref="C180" si="163">CONCATENATE(A180&amp;B180&amp;F180)</f>
        <v>PREMIUM ECONOMY CLASS1104</v>
      </c>
      <c r="D180" s="312"/>
      <c r="E180" s="305">
        <v>1118</v>
      </c>
      <c r="F180" s="311">
        <v>104</v>
      </c>
      <c r="G180" t="str">
        <f>VLOOKUP(E180,'FG MASTER'!$A$10:$AB$218,2,0)</f>
        <v xml:space="preserve">PY C1 DINENR DESSERT PEACH COBBLEER TART, CRÈME FRAICHE </v>
      </c>
      <c r="H180" s="286">
        <v>1</v>
      </c>
      <c r="I180" s="173">
        <v>1</v>
      </c>
      <c r="J180" s="292">
        <f>IFERROR(IF(I180="std",H180,HLOOKUP(A180,'FlightConfig '!$B$28:$G$29,2,0)*I180),"")</f>
        <v>48</v>
      </c>
      <c r="K180" s="245">
        <f>VLOOKUP(Food!E180,'FG MASTER'!$A$1:$AC$536,16,0)</f>
        <v>0.89</v>
      </c>
      <c r="L180" s="246">
        <f>VLOOKUP(Food!E180,'FG MASTER'!$A$10:$AC$536,17,0)</f>
        <v>1.25</v>
      </c>
      <c r="M180" s="132">
        <f t="shared" ref="M180" si="164">IFERROR(L180*$M$2,"")</f>
        <v>0.5</v>
      </c>
      <c r="N180" s="132">
        <f t="shared" ref="N180" si="165">IFERROR((K180)+M180,"")</f>
        <v>1.3900000000000001</v>
      </c>
      <c r="O180" s="132">
        <f t="shared" si="84"/>
        <v>0.13349999999999984</v>
      </c>
      <c r="P180" s="132">
        <f t="shared" si="85"/>
        <v>7.4999999999999956E-2</v>
      </c>
      <c r="Q180" s="132">
        <f t="shared" ref="Q180" si="166">SUM(N180:P180)</f>
        <v>1.5984999999999998</v>
      </c>
      <c r="R180" s="405">
        <f t="shared" ref="R180" si="167">K180*(1+$O$2)</f>
        <v>1.0234999999999999</v>
      </c>
      <c r="S180" s="405">
        <f t="shared" ref="S180" si="168">M180*(1+$P$2)</f>
        <v>0.57499999999999996</v>
      </c>
      <c r="T180" s="405">
        <f t="shared" ref="T180" si="169">R180+S180</f>
        <v>1.5984999999999998</v>
      </c>
      <c r="U180" s="127"/>
      <c r="V180" s="127"/>
      <c r="W180" t="str">
        <f>IFERROR(#REF!*J180,"")</f>
        <v/>
      </c>
      <c r="X180">
        <f t="shared" ref="X180" si="170">IFERROR(K180*J180,"")</f>
        <v>42.72</v>
      </c>
      <c r="Y180">
        <f t="shared" ref="Y180" si="171">IFERROR(+L180*J180,"")</f>
        <v>60</v>
      </c>
      <c r="Z180" s="127">
        <f t="shared" ref="Z180" si="172">IFERROR(+M180*J180,"")</f>
        <v>24</v>
      </c>
      <c r="AA180" s="127">
        <f t="shared" ref="AA180" si="173">IFERROR(+N180*J180,"")</f>
        <v>66.72</v>
      </c>
      <c r="AB180" s="127">
        <f t="shared" ref="AB180" si="174">IFERROR(O180*$J180,"")</f>
        <v>6.4079999999999924</v>
      </c>
      <c r="AC180" s="127">
        <f t="shared" ref="AC180" si="175">IFERROR(P180*$J180,"")</f>
        <v>3.5999999999999979</v>
      </c>
      <c r="AD180" s="127">
        <f t="shared" ref="AD180" si="176">IFERROR(+Q180*J180,"")</f>
        <v>76.727999999999994</v>
      </c>
      <c r="AF180" s="127" t="str">
        <f>IFERROR(W180*'FlightConfig '!$K$3,"")</f>
        <v/>
      </c>
      <c r="AG180" s="127">
        <f>IFERROR(X180*'FlightConfig '!$K$17,"")</f>
        <v>15550.08</v>
      </c>
      <c r="AH180" s="127">
        <f>IFERROR(Y180*'FlightConfig '!$K$17,"")</f>
        <v>21840</v>
      </c>
      <c r="AI180" s="127">
        <f>IFERROR(Z180*'FlightConfig '!$K$17,"")</f>
        <v>8736</v>
      </c>
      <c r="AJ180" s="127">
        <f>IFERROR(AA180*'FlightConfig '!$K$17,"")</f>
        <v>24286.079999999998</v>
      </c>
      <c r="AK180" s="127">
        <f>IFERROR(AB180*'FlightConfig '!$K$17,"")</f>
        <v>2332.5119999999974</v>
      </c>
    </row>
    <row r="181" spans="1:37" ht="18" customHeight="1" x14ac:dyDescent="0.25">
      <c r="A181" t="s">
        <v>134</v>
      </c>
      <c r="B181" s="171">
        <v>1</v>
      </c>
      <c r="C181" s="176" t="str">
        <f t="shared" si="157"/>
        <v>PREMIUM ECONOMY CLASS1104</v>
      </c>
      <c r="D181" s="312"/>
      <c r="E181" s="305">
        <v>1119</v>
      </c>
      <c r="F181" s="311">
        <v>104</v>
      </c>
      <c r="G181" t="str">
        <f>VLOOKUP(E181,'FG MASTER'!$A$10:$AB$218,2,0)</f>
        <v>PY C1 DINENR CHEESE PLATE - CHEDDAR, MUENSTER CHEESE, DRIED APROCIT, JAM, CRACKER</v>
      </c>
      <c r="H181" s="286">
        <v>1</v>
      </c>
      <c r="I181" s="173">
        <v>1</v>
      </c>
      <c r="J181" s="292">
        <f>IFERROR(IF(I181="std",H181,HLOOKUP(A181,'FlightConfig '!$B$28:$G$29,2,0)*I181),"")</f>
        <v>48</v>
      </c>
      <c r="K181" s="245">
        <f>VLOOKUP(Food!E181,'FG MASTER'!$A$1:$AC$536,16,0)</f>
        <v>1.56</v>
      </c>
      <c r="L181" s="246">
        <f>VLOOKUP(Food!E181,'FG MASTER'!$A$10:$AC$536,17,0)</f>
        <v>1.75</v>
      </c>
      <c r="M181" s="132">
        <f t="shared" si="158"/>
        <v>0.70000000000000007</v>
      </c>
      <c r="N181" s="132">
        <f t="shared" si="159"/>
        <v>2.2600000000000002</v>
      </c>
      <c r="O181" s="132">
        <f t="shared" si="84"/>
        <v>0.23399999999999976</v>
      </c>
      <c r="P181" s="132">
        <f t="shared" si="85"/>
        <v>0.10499999999999998</v>
      </c>
      <c r="Q181" s="132">
        <f t="shared" si="161"/>
        <v>2.5989999999999998</v>
      </c>
      <c r="R181" s="405">
        <f t="shared" si="87"/>
        <v>1.7939999999999998</v>
      </c>
      <c r="S181" s="405">
        <f t="shared" si="88"/>
        <v>0.80500000000000005</v>
      </c>
      <c r="T181" s="405">
        <f t="shared" si="89"/>
        <v>2.5989999999999998</v>
      </c>
      <c r="U181" s="127"/>
      <c r="V181" s="127"/>
      <c r="W181" t="str">
        <f>IFERROR(#REF!*J181,"")</f>
        <v/>
      </c>
      <c r="X181">
        <f t="shared" si="90"/>
        <v>74.88</v>
      </c>
      <c r="Y181">
        <f t="shared" si="91"/>
        <v>84</v>
      </c>
      <c r="Z181" s="127">
        <f t="shared" si="92"/>
        <v>33.6</v>
      </c>
      <c r="AA181" s="127">
        <f t="shared" si="93"/>
        <v>108.48000000000002</v>
      </c>
      <c r="AB181" s="127">
        <f t="shared" si="94"/>
        <v>11.231999999999989</v>
      </c>
      <c r="AC181" s="127">
        <f t="shared" si="77"/>
        <v>5.0399999999999991</v>
      </c>
      <c r="AD181" s="127">
        <f t="shared" si="78"/>
        <v>124.75199999999998</v>
      </c>
      <c r="AF181" s="127" t="str">
        <f>IFERROR(W181*'FlightConfig '!$K$3,"")</f>
        <v/>
      </c>
      <c r="AG181" s="127">
        <f>IFERROR(X181*'FlightConfig '!$K$17,"")</f>
        <v>27256.32</v>
      </c>
      <c r="AH181" s="127">
        <f>IFERROR(Y181*'FlightConfig '!$K$17,"")</f>
        <v>30576</v>
      </c>
      <c r="AI181" s="127">
        <f>IFERROR(Z181*'FlightConfig '!$K$17,"")</f>
        <v>12230.4</v>
      </c>
      <c r="AJ181" s="127">
        <f>IFERROR(AA181*'FlightConfig '!$K$17,"")</f>
        <v>39486.720000000008</v>
      </c>
      <c r="AK181" s="127">
        <f>IFERROR(AB181*'FlightConfig '!$K$17,"")</f>
        <v>4088.4479999999958</v>
      </c>
    </row>
    <row r="182" spans="1:37" ht="18" customHeight="1" x14ac:dyDescent="0.25">
      <c r="A182" t="s">
        <v>134</v>
      </c>
      <c r="B182" s="171">
        <v>1</v>
      </c>
      <c r="C182" s="176" t="str">
        <f t="shared" si="157"/>
        <v>PREMIUM ECONOMY CLASS1104</v>
      </c>
      <c r="D182" s="312"/>
      <c r="E182" s="305">
        <v>1120</v>
      </c>
      <c r="F182" s="311">
        <v>104</v>
      </c>
      <c r="G182" t="str">
        <f>VLOOKUP(E182,'FG MASTER'!$A$10:$AB$218,2,0)</f>
        <v>PY C1 BREAKFAST TSU</v>
      </c>
      <c r="H182" s="286">
        <v>1</v>
      </c>
      <c r="I182" s="173">
        <v>0.5</v>
      </c>
      <c r="J182" s="292">
        <f>IFERROR(IF(I182="std",H182,HLOOKUP(A182,'FlightConfig '!$B$28:$G$29,2,0)*I182),"")</f>
        <v>24</v>
      </c>
      <c r="K182" s="245">
        <f>VLOOKUP(Food!E182,'FG MASTER'!$A$1:$AC$536,16,0)</f>
        <v>0</v>
      </c>
      <c r="L182" s="246">
        <f>VLOOKUP(Food!E182,'FG MASTER'!$A$10:$AC$536,17,0)</f>
        <v>2</v>
      </c>
      <c r="M182" s="132">
        <f t="shared" si="158"/>
        <v>0.8</v>
      </c>
      <c r="N182" s="132">
        <f t="shared" si="159"/>
        <v>0.8</v>
      </c>
      <c r="O182" s="132">
        <f t="shared" si="84"/>
        <v>0</v>
      </c>
      <c r="P182" s="132">
        <f t="shared" si="85"/>
        <v>0.11999999999999988</v>
      </c>
      <c r="Q182" s="132">
        <f t="shared" si="161"/>
        <v>0.91999999999999993</v>
      </c>
      <c r="R182" s="405">
        <f t="shared" si="87"/>
        <v>0</v>
      </c>
      <c r="S182" s="405">
        <f t="shared" si="88"/>
        <v>0.91999999999999993</v>
      </c>
      <c r="T182" s="405">
        <f t="shared" si="89"/>
        <v>0.91999999999999993</v>
      </c>
      <c r="U182" s="127">
        <f>Q182+Q186+Q187+Q188</f>
        <v>5.4165000000000001</v>
      </c>
      <c r="V182" s="127">
        <f t="shared" ref="V182:W182" si="177">R182+R186+R187+R188</f>
        <v>2.3114999999999997</v>
      </c>
      <c r="W182" s="127">
        <f t="shared" si="177"/>
        <v>3.105</v>
      </c>
      <c r="X182">
        <f t="shared" si="90"/>
        <v>0</v>
      </c>
      <c r="Y182">
        <f t="shared" si="91"/>
        <v>48</v>
      </c>
      <c r="Z182" s="127">
        <f t="shared" si="92"/>
        <v>19.200000000000003</v>
      </c>
      <c r="AA182" s="127">
        <f t="shared" si="93"/>
        <v>19.200000000000003</v>
      </c>
      <c r="AB182" s="127">
        <f t="shared" si="94"/>
        <v>0</v>
      </c>
      <c r="AC182" s="127">
        <f t="shared" si="77"/>
        <v>2.8799999999999972</v>
      </c>
      <c r="AD182" s="127">
        <f t="shared" si="78"/>
        <v>22.08</v>
      </c>
      <c r="AF182" s="127">
        <f>IFERROR(W182*'FlightConfig '!$K$3,"")</f>
        <v>0</v>
      </c>
      <c r="AG182" s="127">
        <f>IFERROR(X182*'FlightConfig '!$K$17,"")</f>
        <v>0</v>
      </c>
      <c r="AH182" s="127">
        <f>IFERROR(Y182*'FlightConfig '!$K$17,"")</f>
        <v>17472</v>
      </c>
      <c r="AI182" s="127">
        <f>IFERROR(Z182*'FlightConfig '!$K$17,"")</f>
        <v>6988.8000000000011</v>
      </c>
      <c r="AJ182" s="127">
        <f>IFERROR(AA182*'FlightConfig '!$K$17,"")</f>
        <v>6988.8000000000011</v>
      </c>
      <c r="AK182" s="127">
        <f>IFERROR(AB182*'FlightConfig '!$K$17,"")</f>
        <v>0</v>
      </c>
    </row>
    <row r="183" spans="1:37" ht="18" customHeight="1" x14ac:dyDescent="0.25">
      <c r="A183" t="s">
        <v>134</v>
      </c>
      <c r="B183" s="171">
        <v>1</v>
      </c>
      <c r="C183" s="176" t="str">
        <f t="shared" si="157"/>
        <v>PREMIUM ECONOMY CLASS1104</v>
      </c>
      <c r="D183" s="312"/>
      <c r="E183" s="305">
        <v>1121</v>
      </c>
      <c r="F183" s="311">
        <v>104</v>
      </c>
      <c r="G183" t="str">
        <f>VLOOKUP(E183,'FG MASTER'!$A$10:$AB$218,2,0)</f>
        <v xml:space="preserve">PY C1 BREAKFAST ENTRÉE 1 SCRAMBLED EGGS, BAKED BEANS, PORK SAUSAGE, USHROOMS AND GRAPE TOMATO </v>
      </c>
      <c r="H183" s="286">
        <v>1</v>
      </c>
      <c r="I183" s="173">
        <v>0.5</v>
      </c>
      <c r="J183" s="292">
        <f>IFERROR(IF(I183="std",H183,HLOOKUP(A183,'FlightConfig '!$B$28:$G$29,2,0)*I183),"")</f>
        <v>24</v>
      </c>
      <c r="K183" s="245">
        <f>VLOOKUP(Food!E183,'FG MASTER'!$A$1:$AC$536,16,0)</f>
        <v>1.87</v>
      </c>
      <c r="L183" s="246">
        <f>VLOOKUP(Food!E183,'FG MASTER'!$A$10:$AC$536,17,0)</f>
        <v>4</v>
      </c>
      <c r="M183" s="132">
        <f t="shared" si="158"/>
        <v>1.6</v>
      </c>
      <c r="N183" s="132">
        <f t="shared" si="159"/>
        <v>3.47</v>
      </c>
      <c r="O183" s="132">
        <f t="shared" si="84"/>
        <v>0.28049999999999997</v>
      </c>
      <c r="P183" s="132">
        <f t="shared" si="85"/>
        <v>0.23999999999999977</v>
      </c>
      <c r="Q183" s="132">
        <f t="shared" si="161"/>
        <v>3.9904999999999999</v>
      </c>
      <c r="R183" s="405">
        <f t="shared" si="87"/>
        <v>2.1505000000000001</v>
      </c>
      <c r="S183" s="405">
        <f t="shared" si="88"/>
        <v>1.8399999999999999</v>
      </c>
      <c r="T183" s="405">
        <f t="shared" si="89"/>
        <v>3.9904999999999999</v>
      </c>
      <c r="U183" s="127"/>
      <c r="V183" s="127"/>
      <c r="W183" t="str">
        <f>IFERROR(#REF!*J183,"")</f>
        <v/>
      </c>
      <c r="X183">
        <f t="shared" si="90"/>
        <v>44.88</v>
      </c>
      <c r="Y183">
        <f t="shared" si="91"/>
        <v>96</v>
      </c>
      <c r="Z183" s="127">
        <f t="shared" si="92"/>
        <v>38.400000000000006</v>
      </c>
      <c r="AA183" s="127">
        <f t="shared" si="93"/>
        <v>83.28</v>
      </c>
      <c r="AB183" s="127">
        <f t="shared" si="94"/>
        <v>6.7319999999999993</v>
      </c>
      <c r="AC183" s="127">
        <f t="shared" si="77"/>
        <v>5.7599999999999945</v>
      </c>
      <c r="AD183" s="127">
        <f t="shared" si="78"/>
        <v>95.771999999999991</v>
      </c>
      <c r="AF183" s="127" t="str">
        <f>IFERROR(W183*'FlightConfig '!$K$3,"")</f>
        <v/>
      </c>
      <c r="AG183" s="127">
        <f>IFERROR(X183*'FlightConfig '!$K$17,"")</f>
        <v>16336.320000000002</v>
      </c>
      <c r="AH183" s="127">
        <f>IFERROR(Y183*'FlightConfig '!$K$17,"")</f>
        <v>34944</v>
      </c>
      <c r="AI183" s="127">
        <f>IFERROR(Z183*'FlightConfig '!$K$17,"")</f>
        <v>13977.600000000002</v>
      </c>
      <c r="AJ183" s="127">
        <f>IFERROR(AA183*'FlightConfig '!$K$17,"")</f>
        <v>30313.920000000002</v>
      </c>
      <c r="AK183" s="127">
        <f>IFERROR(AB183*'FlightConfig '!$K$17,"")</f>
        <v>2450.4479999999999</v>
      </c>
    </row>
    <row r="184" spans="1:37" ht="18" customHeight="1" x14ac:dyDescent="0.25">
      <c r="A184" t="s">
        <v>134</v>
      </c>
      <c r="B184" s="171">
        <v>1</v>
      </c>
      <c r="C184" s="176" t="str">
        <f t="shared" si="157"/>
        <v>PREMIUM ECONOMY CLASS1104</v>
      </c>
      <c r="D184" s="312"/>
      <c r="E184" s="305">
        <v>1122</v>
      </c>
      <c r="F184" s="311">
        <v>104</v>
      </c>
      <c r="G184" t="str">
        <f>VLOOKUP(E184,'FG MASTER'!$A$10:$AB$218,2,0)</f>
        <v>PY C1 BREAKFAST ENTRÉE 2 FETA EGG BITES, POTATOES AND RED ONION HASH, SHAKSHUKA SAUCE, FETA CHEESE CRUMBLES</v>
      </c>
      <c r="H184" s="286">
        <v>1</v>
      </c>
      <c r="I184" s="173">
        <v>0.3</v>
      </c>
      <c r="J184" s="292">
        <f>IFERROR(IF(I184="std",H184,HLOOKUP(A184,'FlightConfig '!$B$28:$G$29,2,0)*I184),"")</f>
        <v>14.399999999999999</v>
      </c>
      <c r="K184" s="245">
        <f>VLOOKUP(Food!E184,'FG MASTER'!$A$1:$AC$536,16,0)</f>
        <v>2.56</v>
      </c>
      <c r="L184" s="246">
        <f>VLOOKUP(Food!E184,'FG MASTER'!$A$10:$AC$536,17,0)</f>
        <v>3.25</v>
      </c>
      <c r="M184" s="132">
        <f t="shared" si="158"/>
        <v>1.3</v>
      </c>
      <c r="N184" s="132">
        <f t="shared" si="159"/>
        <v>3.8600000000000003</v>
      </c>
      <c r="O184" s="132">
        <f t="shared" si="84"/>
        <v>0.3839999999999999</v>
      </c>
      <c r="P184" s="132">
        <f t="shared" si="85"/>
        <v>0.19499999999999984</v>
      </c>
      <c r="Q184" s="132">
        <f t="shared" si="161"/>
        <v>4.4390000000000001</v>
      </c>
      <c r="R184" s="405">
        <f t="shared" si="87"/>
        <v>2.944</v>
      </c>
      <c r="S184" s="405">
        <f t="shared" si="88"/>
        <v>1.4949999999999999</v>
      </c>
      <c r="T184" s="405">
        <f t="shared" si="89"/>
        <v>4.4390000000000001</v>
      </c>
      <c r="U184" s="127"/>
      <c r="V184" s="127"/>
      <c r="W184" t="str">
        <f>IFERROR(#REF!*J184,"")</f>
        <v/>
      </c>
      <c r="X184">
        <f t="shared" si="90"/>
        <v>36.863999999999997</v>
      </c>
      <c r="Y184">
        <f t="shared" si="91"/>
        <v>46.8</v>
      </c>
      <c r="Z184" s="127">
        <f t="shared" si="92"/>
        <v>18.72</v>
      </c>
      <c r="AA184" s="127">
        <f t="shared" si="93"/>
        <v>55.583999999999996</v>
      </c>
      <c r="AB184" s="127">
        <f t="shared" si="94"/>
        <v>5.5295999999999976</v>
      </c>
      <c r="AC184" s="127">
        <f t="shared" si="77"/>
        <v>2.8079999999999976</v>
      </c>
      <c r="AD184" s="127">
        <f t="shared" si="78"/>
        <v>63.921599999999998</v>
      </c>
      <c r="AF184" s="127" t="str">
        <f>IFERROR(W184*'FlightConfig '!$K$3,"")</f>
        <v/>
      </c>
      <c r="AG184" s="127">
        <f>IFERROR(X184*'FlightConfig '!$K$17,"")</f>
        <v>13418.495999999999</v>
      </c>
      <c r="AH184" s="127">
        <f>IFERROR(Y184*'FlightConfig '!$K$17,"")</f>
        <v>17035.2</v>
      </c>
      <c r="AI184" s="127">
        <f>IFERROR(Z184*'FlightConfig '!$K$17,"")</f>
        <v>6814.08</v>
      </c>
      <c r="AJ184" s="127">
        <f>IFERROR(AA184*'FlightConfig '!$K$17,"")</f>
        <v>20232.575999999997</v>
      </c>
      <c r="AK184" s="127">
        <f>IFERROR(AB184*'FlightConfig '!$K$17,"")</f>
        <v>2012.7743999999991</v>
      </c>
    </row>
    <row r="185" spans="1:37" ht="18" customHeight="1" x14ac:dyDescent="0.25">
      <c r="A185" t="s">
        <v>134</v>
      </c>
      <c r="B185" s="171">
        <v>1</v>
      </c>
      <c r="C185" s="176" t="str">
        <f t="shared" si="157"/>
        <v>PREMIUM ECONOMY CLASS1104</v>
      </c>
      <c r="D185" s="312"/>
      <c r="E185" s="305">
        <v>1123</v>
      </c>
      <c r="F185" s="311">
        <v>104</v>
      </c>
      <c r="G185" t="str">
        <f>VLOOKUP(E185,'FG MASTER'!$A$10:$AB$218,2,0)</f>
        <v xml:space="preserve">PY C1 BREAKFAST ENTRÉE 3 CHALLAH FRENCH TOAST CASSEROLE WITH ORANGE WHIPPED RICOTTA, AND MORELLO CHERRY COMPOTE </v>
      </c>
      <c r="H185" s="286">
        <v>1</v>
      </c>
      <c r="I185" s="173">
        <v>0.2</v>
      </c>
      <c r="J185" s="292">
        <f>IFERROR(IF(I185="std",H185,HLOOKUP(A185,'FlightConfig '!$B$28:$G$29,2,0)*I185),"")</f>
        <v>9.6000000000000014</v>
      </c>
      <c r="K185" s="245">
        <f>VLOOKUP(Food!E185,'FG MASTER'!$A$1:$AC$536,16,0)</f>
        <v>1.17</v>
      </c>
      <c r="L185" s="246">
        <f>VLOOKUP(Food!E185,'FG MASTER'!$A$10:$AC$536,17,0)</f>
        <v>2.75</v>
      </c>
      <c r="M185" s="132">
        <f t="shared" si="158"/>
        <v>1.1000000000000001</v>
      </c>
      <c r="N185" s="132">
        <f t="shared" si="159"/>
        <v>2.27</v>
      </c>
      <c r="O185" s="132">
        <f t="shared" si="84"/>
        <v>0.17549999999999999</v>
      </c>
      <c r="P185" s="132">
        <f t="shared" si="85"/>
        <v>0.16499999999999981</v>
      </c>
      <c r="Q185" s="132">
        <v>2.62</v>
      </c>
      <c r="R185" s="405">
        <f>K185*(1+$O$2)</f>
        <v>1.3454999999999999</v>
      </c>
      <c r="S185" s="405">
        <f t="shared" si="88"/>
        <v>1.2649999999999999</v>
      </c>
      <c r="T185" s="405">
        <v>2.62</v>
      </c>
      <c r="U185" s="127"/>
      <c r="V185" s="127"/>
      <c r="W185" t="str">
        <f>IFERROR(#REF!*J185,"")</f>
        <v/>
      </c>
      <c r="X185">
        <f t="shared" si="90"/>
        <v>11.232000000000001</v>
      </c>
      <c r="Y185">
        <f t="shared" si="91"/>
        <v>26.400000000000006</v>
      </c>
      <c r="Z185" s="127">
        <f t="shared" si="92"/>
        <v>10.560000000000002</v>
      </c>
      <c r="AA185" s="127">
        <f t="shared" si="93"/>
        <v>21.792000000000005</v>
      </c>
      <c r="AB185" s="127">
        <f t="shared" si="94"/>
        <v>1.6848000000000001</v>
      </c>
      <c r="AC185" s="127">
        <f t="shared" si="77"/>
        <v>1.5839999999999985</v>
      </c>
      <c r="AD185" s="127">
        <f t="shared" si="78"/>
        <v>25.152000000000005</v>
      </c>
      <c r="AF185" s="127" t="str">
        <f>IFERROR(W185*'FlightConfig '!$K$3,"")</f>
        <v/>
      </c>
      <c r="AG185" s="127">
        <f>IFERROR(X185*'FlightConfig '!$K$17,"")</f>
        <v>4088.4480000000003</v>
      </c>
      <c r="AH185" s="127">
        <f>IFERROR(Y185*'FlightConfig '!$K$17,"")</f>
        <v>9609.6000000000022</v>
      </c>
      <c r="AI185" s="127">
        <f>IFERROR(Z185*'FlightConfig '!$K$17,"")</f>
        <v>3843.8400000000011</v>
      </c>
      <c r="AJ185" s="127">
        <f>IFERROR(AA185*'FlightConfig '!$K$17,"")</f>
        <v>7932.2880000000023</v>
      </c>
      <c r="AK185" s="127">
        <f>IFERROR(AB185*'FlightConfig '!$K$17,"")</f>
        <v>613.2672</v>
      </c>
    </row>
    <row r="186" spans="1:37" ht="18" customHeight="1" x14ac:dyDescent="0.25">
      <c r="A186" t="s">
        <v>134</v>
      </c>
      <c r="B186" s="171">
        <v>1</v>
      </c>
      <c r="C186" s="176" t="str">
        <f t="shared" si="157"/>
        <v>PREMIUM ECONOMY CLASS1104</v>
      </c>
      <c r="D186" s="312"/>
      <c r="E186" s="305">
        <v>1124</v>
      </c>
      <c r="F186" s="311">
        <v>104</v>
      </c>
      <c r="G186" t="str">
        <f>VLOOKUP(E186,'FG MASTER'!$A$10:$AB$218,2,0)</f>
        <v xml:space="preserve">PY C1 BREAKFAST SIDE 1 PEACH SLICE, STRAWBERRIES, BLUEBERRIES, AND MINT </v>
      </c>
      <c r="H186" s="286">
        <v>1</v>
      </c>
      <c r="I186" s="173">
        <v>1</v>
      </c>
      <c r="J186" s="292">
        <f>IFERROR(IF(I186="std",H186,HLOOKUP(A186,'FlightConfig '!$B$28:$G$29,2,0)*I186),"")</f>
        <v>48</v>
      </c>
      <c r="K186" s="245">
        <f>VLOOKUP(Food!E186,'FG MASTER'!$A$1:$AC$536,16,0)</f>
        <v>1</v>
      </c>
      <c r="L186" s="246">
        <f>VLOOKUP(Food!E186,'FG MASTER'!$A$10:$AC$536,17,0)</f>
        <v>1.75</v>
      </c>
      <c r="M186" s="132">
        <f t="shared" si="158"/>
        <v>0.70000000000000007</v>
      </c>
      <c r="N186" s="132">
        <f t="shared" si="159"/>
        <v>1.7000000000000002</v>
      </c>
      <c r="O186" s="132">
        <f t="shared" si="84"/>
        <v>0.14999999999999991</v>
      </c>
      <c r="P186" s="132">
        <f t="shared" si="85"/>
        <v>0.10499999999999998</v>
      </c>
      <c r="Q186" s="132">
        <f t="shared" si="161"/>
        <v>1.9550000000000001</v>
      </c>
      <c r="R186" s="405">
        <f t="shared" si="87"/>
        <v>1.1499999999999999</v>
      </c>
      <c r="S186" s="405">
        <f t="shared" si="88"/>
        <v>0.80500000000000005</v>
      </c>
      <c r="T186" s="405">
        <f t="shared" si="89"/>
        <v>1.9550000000000001</v>
      </c>
      <c r="U186" s="127"/>
      <c r="V186" s="127"/>
      <c r="W186" t="str">
        <f>IFERROR(#REF!*J186,"")</f>
        <v/>
      </c>
      <c r="X186">
        <f t="shared" si="90"/>
        <v>48</v>
      </c>
      <c r="Y186">
        <f t="shared" si="91"/>
        <v>84</v>
      </c>
      <c r="Z186" s="127">
        <f t="shared" si="92"/>
        <v>33.6</v>
      </c>
      <c r="AA186" s="127">
        <f t="shared" si="93"/>
        <v>81.600000000000009</v>
      </c>
      <c r="AB186" s="127">
        <f t="shared" si="94"/>
        <v>7.1999999999999957</v>
      </c>
      <c r="AC186" s="127">
        <f t="shared" si="77"/>
        <v>5.0399999999999991</v>
      </c>
      <c r="AD186" s="127">
        <f t="shared" si="78"/>
        <v>93.84</v>
      </c>
      <c r="AF186" s="127" t="str">
        <f>IFERROR(W186*'FlightConfig '!$K$3,"")</f>
        <v/>
      </c>
      <c r="AG186" s="127">
        <f>IFERROR(X186*'FlightConfig '!$K$17,"")</f>
        <v>17472</v>
      </c>
      <c r="AH186" s="127">
        <f>IFERROR(Y186*'FlightConfig '!$K$17,"")</f>
        <v>30576</v>
      </c>
      <c r="AI186" s="127">
        <f>IFERROR(Z186*'FlightConfig '!$K$17,"")</f>
        <v>12230.4</v>
      </c>
      <c r="AJ186" s="127">
        <f>IFERROR(AA186*'FlightConfig '!$K$17,"")</f>
        <v>29702.400000000001</v>
      </c>
      <c r="AK186" s="127">
        <f>IFERROR(AB186*'FlightConfig '!$K$17,"")</f>
        <v>2620.7999999999984</v>
      </c>
    </row>
    <row r="187" spans="1:37" ht="18" customHeight="1" x14ac:dyDescent="0.25">
      <c r="A187" t="s">
        <v>134</v>
      </c>
      <c r="B187" s="171">
        <v>1</v>
      </c>
      <c r="C187" s="176" t="str">
        <f t="shared" ref="C187" si="178">CONCATENATE(A187&amp;B187&amp;F187)</f>
        <v>PREMIUM ECONOMY CLASS1104</v>
      </c>
      <c r="D187" s="312"/>
      <c r="E187" s="305">
        <v>1125</v>
      </c>
      <c r="F187" s="311">
        <v>104</v>
      </c>
      <c r="G187" t="str">
        <f>VLOOKUP(E187,'FG MASTER'!$A$10:$AB$218,2,0)</f>
        <v>PY C1 BREAKFAST SIDE 2 GREEK YOGURT 112G</v>
      </c>
      <c r="H187" s="286">
        <v>1</v>
      </c>
      <c r="I187" s="173">
        <v>0</v>
      </c>
      <c r="J187" s="292">
        <f>IFERROR(IF(I187="std",H187,HLOOKUP(A187,'FlightConfig '!$B$28:$G$29,2,0)*I187),"")</f>
        <v>0</v>
      </c>
      <c r="K187" s="245">
        <f>VLOOKUP(Food!E187,'FG MASTER'!$A$1:$AC$536,16,0)</f>
        <v>0.46</v>
      </c>
      <c r="L187" s="246">
        <f>VLOOKUP(Food!E187,'FG MASTER'!$A$10:$AC$536,17,0)</f>
        <v>0.5</v>
      </c>
      <c r="M187" s="132">
        <f>IFERROR(L187*$M$2,"")</f>
        <v>0.2</v>
      </c>
      <c r="N187" s="132">
        <f t="shared" ref="N187" si="179">IFERROR((K187)+M187,"")</f>
        <v>0.66</v>
      </c>
      <c r="O187" s="132">
        <f t="shared" si="84"/>
        <v>6.9000000000000006E-2</v>
      </c>
      <c r="P187" s="132">
        <f t="shared" si="85"/>
        <v>2.9999999999999971E-2</v>
      </c>
      <c r="Q187" s="132">
        <f t="shared" ref="Q187" si="180">SUM(N187:P187)</f>
        <v>0.75900000000000012</v>
      </c>
      <c r="R187" s="405">
        <f t="shared" ref="R187" si="181">K187*(1+$O$2)</f>
        <v>0.52900000000000003</v>
      </c>
      <c r="S187" s="405">
        <f t="shared" ref="S187" si="182">M187*(1+$P$2)</f>
        <v>0.22999999999999998</v>
      </c>
      <c r="T187" s="405">
        <f t="shared" ref="T187" si="183">R187+S187</f>
        <v>0.75900000000000001</v>
      </c>
      <c r="U187" s="127"/>
      <c r="V187" s="127"/>
      <c r="W187" t="str">
        <f>IFERROR(#REF!*J187,"")</f>
        <v/>
      </c>
      <c r="X187">
        <f t="shared" ref="X187" si="184">IFERROR(K187*J187,"")</f>
        <v>0</v>
      </c>
      <c r="Y187">
        <f t="shared" ref="Y187" si="185">IFERROR(+L187*J187,"")</f>
        <v>0</v>
      </c>
      <c r="Z187" s="127">
        <f t="shared" ref="Z187" si="186">IFERROR(+M187*J187,"")</f>
        <v>0</v>
      </c>
      <c r="AA187" s="127">
        <f t="shared" ref="AA187" si="187">IFERROR(+N187*J187,"")</f>
        <v>0</v>
      </c>
      <c r="AB187" s="127">
        <f t="shared" ref="AB187" si="188">IFERROR(O187*$J187,"")</f>
        <v>0</v>
      </c>
      <c r="AC187" s="127">
        <f t="shared" ref="AC187" si="189">IFERROR(P187*$J187,"")</f>
        <v>0</v>
      </c>
      <c r="AD187" s="127">
        <f t="shared" ref="AD187" si="190">IFERROR(+Q187*J187,"")</f>
        <v>0</v>
      </c>
      <c r="AF187" s="127" t="str">
        <f>IFERROR(W187*'FlightConfig '!$K$3,"")</f>
        <v/>
      </c>
      <c r="AG187" s="127">
        <f>IFERROR(X187*'FlightConfig '!$K$17,"")</f>
        <v>0</v>
      </c>
      <c r="AH187" s="127">
        <f>IFERROR(Y187*'FlightConfig '!$K$17,"")</f>
        <v>0</v>
      </c>
      <c r="AI187" s="127">
        <f>IFERROR(Z187*'FlightConfig '!$K$17,"")</f>
        <v>0</v>
      </c>
      <c r="AJ187" s="127">
        <f>IFERROR(AA187*'FlightConfig '!$K$17,"")</f>
        <v>0</v>
      </c>
      <c r="AK187" s="127">
        <f>IFERROR(AB187*'FlightConfig '!$K$17,"")</f>
        <v>0</v>
      </c>
    </row>
    <row r="188" spans="1:37" ht="18" customHeight="1" x14ac:dyDescent="0.25">
      <c r="A188" t="s">
        <v>134</v>
      </c>
      <c r="B188" s="171">
        <v>1</v>
      </c>
      <c r="C188" s="176" t="str">
        <f t="shared" si="157"/>
        <v>PREMIUM ECONOMY CLASS1104</v>
      </c>
      <c r="D188" s="312"/>
      <c r="E188" s="305">
        <v>1126</v>
      </c>
      <c r="F188" s="311">
        <v>104</v>
      </c>
      <c r="G188" t="str">
        <f>VLOOKUP(E188,'FG MASTER'!$A$10:$AB$218,2,0)</f>
        <v>PY C1 BREAKFAST SIDE 3 PEACH AND PECAN SCONE</v>
      </c>
      <c r="H188" s="286">
        <v>1</v>
      </c>
      <c r="I188" s="173">
        <v>0</v>
      </c>
      <c r="J188" s="292">
        <f>IFERROR(IF(I188="std",H188,HLOOKUP(A188,'FlightConfig '!$B$28:$G$29,2,0)*I188),"")</f>
        <v>0</v>
      </c>
      <c r="K188" s="245">
        <f>VLOOKUP(Food!E188,'FG MASTER'!$A$1:$AC$536,16,0)</f>
        <v>0.55000000000000004</v>
      </c>
      <c r="L188" s="246">
        <f>VLOOKUP(Food!E188,'FG MASTER'!$A$10:$AC$536,17,0)</f>
        <v>2.5</v>
      </c>
      <c r="M188" s="132">
        <f>IFERROR(L188*$M$2,"")</f>
        <v>1</v>
      </c>
      <c r="N188" s="132">
        <f t="shared" si="159"/>
        <v>1.55</v>
      </c>
      <c r="O188" s="132">
        <f t="shared" si="84"/>
        <v>8.2499999999999907E-2</v>
      </c>
      <c r="P188" s="132">
        <f t="shared" si="85"/>
        <v>0.14999999999999991</v>
      </c>
      <c r="Q188" s="132">
        <f t="shared" si="161"/>
        <v>1.7824999999999998</v>
      </c>
      <c r="R188" s="405">
        <f t="shared" si="87"/>
        <v>0.63249999999999995</v>
      </c>
      <c r="S188" s="405">
        <f t="shared" si="88"/>
        <v>1.1499999999999999</v>
      </c>
      <c r="T188" s="405">
        <f t="shared" si="89"/>
        <v>1.7824999999999998</v>
      </c>
      <c r="U188" s="127"/>
      <c r="V188" s="127"/>
      <c r="W188" t="str">
        <f>IFERROR(#REF!*J188,"")</f>
        <v/>
      </c>
      <c r="X188">
        <f t="shared" si="90"/>
        <v>0</v>
      </c>
      <c r="Y188">
        <f t="shared" si="91"/>
        <v>0</v>
      </c>
      <c r="Z188" s="127">
        <f t="shared" si="92"/>
        <v>0</v>
      </c>
      <c r="AA188" s="127">
        <f t="shared" si="93"/>
        <v>0</v>
      </c>
      <c r="AB188" s="127">
        <f t="shared" si="94"/>
        <v>0</v>
      </c>
      <c r="AC188" s="127">
        <f t="shared" si="77"/>
        <v>0</v>
      </c>
      <c r="AD188" s="127">
        <f t="shared" si="78"/>
        <v>0</v>
      </c>
      <c r="AF188" s="127" t="str">
        <f>IFERROR(W188*'FlightConfig '!$K$3,"")</f>
        <v/>
      </c>
      <c r="AG188" s="127">
        <f>IFERROR(X188*'FlightConfig '!$K$17,"")</f>
        <v>0</v>
      </c>
      <c r="AH188" s="127">
        <f>IFERROR(Y188*'FlightConfig '!$K$17,"")</f>
        <v>0</v>
      </c>
      <c r="AI188" s="127">
        <f>IFERROR(Z188*'FlightConfig '!$K$17,"")</f>
        <v>0</v>
      </c>
      <c r="AJ188" s="127">
        <f>IFERROR(AA188*'FlightConfig '!$K$17,"")</f>
        <v>0</v>
      </c>
      <c r="AK188" s="127">
        <f>IFERROR(AB188*'FlightConfig '!$K$17,"")</f>
        <v>0</v>
      </c>
    </row>
    <row r="189" spans="1:37" ht="18" customHeight="1" x14ac:dyDescent="0.25">
      <c r="A189" t="s">
        <v>135</v>
      </c>
      <c r="B189" s="171">
        <v>1</v>
      </c>
      <c r="C189" s="176" t="str">
        <f t="shared" si="157"/>
        <v>ECONOMY CLASS1104</v>
      </c>
      <c r="D189" s="312"/>
      <c r="E189" s="305">
        <v>1127</v>
      </c>
      <c r="F189" s="311">
        <v>104</v>
      </c>
      <c r="G189" t="str">
        <f>VLOOKUP(E189,'FG MASTER'!$A$10:$AB$218,2,0)</f>
        <v>YC C1 DINNER TSU</v>
      </c>
      <c r="H189" s="286">
        <v>1</v>
      </c>
      <c r="I189" s="173">
        <v>1</v>
      </c>
      <c r="J189" s="292">
        <f>IFERROR(IF(I189="std",H189,HLOOKUP(A189,'FlightConfig '!$B$28:$G$29,2,0)*I189),"")</f>
        <v>198</v>
      </c>
      <c r="K189" s="245">
        <f>VLOOKUP(Food!E189,'FG MASTER'!$A$1:$AC$536,16,0)</f>
        <v>0</v>
      </c>
      <c r="L189" s="246">
        <f>VLOOKUP(Food!E189,'FG MASTER'!$A$10:$AC$536,17,0)</f>
        <v>2</v>
      </c>
      <c r="M189" s="132">
        <f t="shared" ref="M189:M200" si="191">IFERROR(L189*$M$2,"")</f>
        <v>0.8</v>
      </c>
      <c r="N189" s="132">
        <f t="shared" si="159"/>
        <v>0.8</v>
      </c>
      <c r="O189" s="132">
        <f t="shared" si="84"/>
        <v>0</v>
      </c>
      <c r="P189" s="132">
        <f t="shared" si="85"/>
        <v>0.11999999999999988</v>
      </c>
      <c r="Q189" s="132">
        <f t="shared" si="161"/>
        <v>0.91999999999999993</v>
      </c>
      <c r="R189" s="405">
        <f t="shared" si="87"/>
        <v>0</v>
      </c>
      <c r="S189" s="405">
        <f t="shared" si="88"/>
        <v>0.91999999999999993</v>
      </c>
      <c r="T189" s="405">
        <f t="shared" si="89"/>
        <v>0.91999999999999993</v>
      </c>
      <c r="U189" s="127">
        <f>Q189+Q190+Q191+Q194+Q197+Q192+Q193</f>
        <v>6.3985431794684198</v>
      </c>
      <c r="V189" s="127">
        <f>R189+R190+R191+R194+R197+R192+R193</f>
        <v>3.7535431794684211</v>
      </c>
      <c r="W189" s="127">
        <f>S189+S190+S191+S194+S197+S192+S193</f>
        <v>2.6450000000000005</v>
      </c>
      <c r="X189">
        <f t="shared" si="90"/>
        <v>0</v>
      </c>
      <c r="Y189">
        <f t="shared" si="91"/>
        <v>396</v>
      </c>
      <c r="Z189" s="127">
        <f t="shared" si="92"/>
        <v>158.4</v>
      </c>
      <c r="AA189" s="127">
        <f t="shared" si="93"/>
        <v>158.4</v>
      </c>
      <c r="AB189" s="127">
        <f t="shared" si="94"/>
        <v>0</v>
      </c>
      <c r="AC189" s="127">
        <f t="shared" si="77"/>
        <v>23.759999999999977</v>
      </c>
      <c r="AD189" s="127">
        <f t="shared" si="78"/>
        <v>182.16</v>
      </c>
      <c r="AF189" s="127">
        <f>IFERROR(W189*'FlightConfig '!$K$3,"")</f>
        <v>0</v>
      </c>
      <c r="AG189" s="127">
        <f>IFERROR(X189*'FlightConfig '!$K$17,"")</f>
        <v>0</v>
      </c>
      <c r="AH189" s="127">
        <f>IFERROR(Y189*'FlightConfig '!$K$17,"")</f>
        <v>144144</v>
      </c>
      <c r="AI189" s="127">
        <f>IFERROR(Z189*'FlightConfig '!$K$17,"")</f>
        <v>57657.599999999999</v>
      </c>
      <c r="AJ189" s="127">
        <f>IFERROR(AA189*'FlightConfig '!$K$17,"")</f>
        <v>57657.599999999999</v>
      </c>
      <c r="AK189" s="127">
        <f>IFERROR(AB189*'FlightConfig '!$K$17,"")</f>
        <v>0</v>
      </c>
    </row>
    <row r="190" spans="1:37" ht="18" customHeight="1" x14ac:dyDescent="0.25">
      <c r="A190" t="s">
        <v>135</v>
      </c>
      <c r="B190" s="171">
        <v>1</v>
      </c>
      <c r="C190" s="176" t="str">
        <f>CONCATENATE(A190&amp;B190&amp;F190)</f>
        <v>ECONOMY CLASS1104</v>
      </c>
      <c r="D190" s="312"/>
      <c r="E190" s="305">
        <v>1128</v>
      </c>
      <c r="F190" s="311">
        <v>104</v>
      </c>
      <c r="G190" t="str">
        <f>VLOOKUP(E190,'FG MASTER'!$A$10:$AB$218,2,0)</f>
        <v xml:space="preserve">YC C1 DINNER BREAD SOURDOUGH ROLL </v>
      </c>
      <c r="H190" s="286">
        <v>1</v>
      </c>
      <c r="I190" s="173">
        <v>1</v>
      </c>
      <c r="J190" s="292">
        <f>IFERROR(IF(I190="std",H190,HLOOKUP(A190,'FlightConfig '!$B$28:$G$29,2,0)*I190),"")</f>
        <v>198</v>
      </c>
      <c r="K190" s="245">
        <f>VLOOKUP(Food!E190,'FG MASTER'!$A$1:$AC$536,16,0)</f>
        <v>0.3</v>
      </c>
      <c r="L190" s="246">
        <f>VLOOKUP(Food!E190,'FG MASTER'!$A$10:$AC$536,17,0)</f>
        <v>0.25</v>
      </c>
      <c r="M190" s="132">
        <f t="shared" si="191"/>
        <v>0.1</v>
      </c>
      <c r="N190" s="132">
        <f>IFERROR((K190)+M190,"")</f>
        <v>0.4</v>
      </c>
      <c r="O190" s="132">
        <f t="shared" si="84"/>
        <v>4.4999999999999984E-2</v>
      </c>
      <c r="P190" s="132">
        <f t="shared" si="85"/>
        <v>1.4999999999999986E-2</v>
      </c>
      <c r="Q190" s="132">
        <f t="shared" si="161"/>
        <v>0.45999999999999996</v>
      </c>
      <c r="R190" s="405">
        <f t="shared" si="87"/>
        <v>0.34499999999999997</v>
      </c>
      <c r="S190" s="405">
        <f t="shared" si="88"/>
        <v>0.11499999999999999</v>
      </c>
      <c r="T190" s="405">
        <f t="shared" si="89"/>
        <v>0.45999999999999996</v>
      </c>
      <c r="U190" s="127"/>
      <c r="V190" s="127"/>
      <c r="W190" t="str">
        <f>IFERROR(#REF!*J190,"")</f>
        <v/>
      </c>
      <c r="X190">
        <f t="shared" si="90"/>
        <v>59.4</v>
      </c>
      <c r="Y190">
        <f t="shared" si="91"/>
        <v>49.5</v>
      </c>
      <c r="Z190" s="127">
        <f t="shared" si="92"/>
        <v>19.8</v>
      </c>
      <c r="AA190" s="127">
        <f t="shared" si="93"/>
        <v>79.2</v>
      </c>
      <c r="AB190" s="127">
        <f t="shared" si="94"/>
        <v>8.9099999999999966</v>
      </c>
      <c r="AC190" s="127">
        <f t="shared" si="77"/>
        <v>2.9699999999999971</v>
      </c>
      <c r="AD190" s="127">
        <f t="shared" si="78"/>
        <v>91.08</v>
      </c>
      <c r="AF190" s="127" t="str">
        <f>IFERROR(W190*'FlightConfig '!$K$3,"")</f>
        <v/>
      </c>
      <c r="AG190" s="127">
        <f>IFERROR(X190*'FlightConfig '!$K$17,"")</f>
        <v>21621.599999999999</v>
      </c>
      <c r="AH190" s="127">
        <f>IFERROR(Y190*'FlightConfig '!$K$17,"")</f>
        <v>18018</v>
      </c>
      <c r="AI190" s="127">
        <f>IFERROR(Z190*'FlightConfig '!$K$17,"")</f>
        <v>7207.2</v>
      </c>
      <c r="AJ190" s="127">
        <f>IFERROR(AA190*'FlightConfig '!$K$17,"")</f>
        <v>28828.799999999999</v>
      </c>
      <c r="AK190" s="127">
        <f>IFERROR(AB190*'FlightConfig '!$K$17,"")</f>
        <v>3243.2399999999989</v>
      </c>
    </row>
    <row r="191" spans="1:37" ht="18" customHeight="1" x14ac:dyDescent="0.25">
      <c r="A191" t="s">
        <v>135</v>
      </c>
      <c r="B191" s="171">
        <v>1</v>
      </c>
      <c r="C191" s="176" t="str">
        <f>CONCATENATE(A191&amp;B191&amp;F191)</f>
        <v>ECONOMY CLASS1104</v>
      </c>
      <c r="D191" s="312"/>
      <c r="E191" s="305">
        <v>1129</v>
      </c>
      <c r="F191" s="311">
        <v>104</v>
      </c>
      <c r="G191" t="str">
        <f>VLOOKUP(E191,'FG MASTER'!$A$10:$AB$218,2,0)</f>
        <v>YC C1 DINNER BUTTER</v>
      </c>
      <c r="H191" s="286">
        <v>1</v>
      </c>
      <c r="I191" s="173">
        <v>1</v>
      </c>
      <c r="J191" s="292">
        <f>IFERROR(IF(I191="std",H191,HLOOKUP(A191,'FlightConfig '!$B$28:$G$29,2,0)*I191),"")</f>
        <v>198</v>
      </c>
      <c r="K191" s="245">
        <f>VLOOKUP(Food!E191,'FG MASTER'!$A$1:$AC$536,16,0)</f>
        <v>0.3</v>
      </c>
      <c r="L191" s="246">
        <f>VLOOKUP(Food!E191,'FG MASTER'!$A$10:$AC$536,17,0)</f>
        <v>0.25</v>
      </c>
      <c r="M191" s="132">
        <f t="shared" si="191"/>
        <v>0.1</v>
      </c>
      <c r="N191" s="132">
        <f>IFERROR((K191)+M191,"")</f>
        <v>0.4</v>
      </c>
      <c r="O191" s="132">
        <f t="shared" si="84"/>
        <v>4.4999999999999984E-2</v>
      </c>
      <c r="P191" s="132">
        <f t="shared" si="85"/>
        <v>1.4999999999999986E-2</v>
      </c>
      <c r="Q191" s="132">
        <f t="shared" ref="Q191:Q210" si="192">SUM(N191:P191)</f>
        <v>0.45999999999999996</v>
      </c>
      <c r="R191" s="405">
        <f t="shared" si="87"/>
        <v>0.34499999999999997</v>
      </c>
      <c r="S191" s="405">
        <f t="shared" si="88"/>
        <v>0.11499999999999999</v>
      </c>
      <c r="T191" s="405">
        <f t="shared" si="89"/>
        <v>0.45999999999999996</v>
      </c>
      <c r="U191" s="127"/>
      <c r="V191" s="127"/>
      <c r="W191" t="str">
        <f>IFERROR(#REF!*J191,"")</f>
        <v/>
      </c>
      <c r="X191">
        <f t="shared" si="90"/>
        <v>59.4</v>
      </c>
      <c r="Y191">
        <f t="shared" si="91"/>
        <v>49.5</v>
      </c>
      <c r="Z191" s="127">
        <f t="shared" si="92"/>
        <v>19.8</v>
      </c>
      <c r="AA191" s="127">
        <f t="shared" si="93"/>
        <v>79.2</v>
      </c>
      <c r="AB191" s="127">
        <f t="shared" si="94"/>
        <v>8.9099999999999966</v>
      </c>
      <c r="AC191" s="127">
        <f t="shared" si="77"/>
        <v>2.9699999999999971</v>
      </c>
      <c r="AD191" s="127">
        <f t="shared" si="78"/>
        <v>91.08</v>
      </c>
      <c r="AF191" s="127" t="str">
        <f>IFERROR(W191*'FlightConfig '!$K$3,"")</f>
        <v/>
      </c>
      <c r="AG191" s="127">
        <f>IFERROR(X191*'FlightConfig '!$K$17,"")</f>
        <v>21621.599999999999</v>
      </c>
      <c r="AH191" s="127">
        <f>IFERROR(Y191*'FlightConfig '!$K$17,"")</f>
        <v>18018</v>
      </c>
      <c r="AI191" s="127">
        <f>IFERROR(Z191*'FlightConfig '!$K$17,"")</f>
        <v>7207.2</v>
      </c>
      <c r="AJ191" s="127">
        <f>IFERROR(AA191*'FlightConfig '!$K$17,"")</f>
        <v>28828.799999999999</v>
      </c>
      <c r="AK191" s="127">
        <f>IFERROR(AB191*'FlightConfig '!$K$17,"")</f>
        <v>3243.2399999999989</v>
      </c>
    </row>
    <row r="192" spans="1:37" ht="18" customHeight="1" x14ac:dyDescent="0.25">
      <c r="A192" t="s">
        <v>135</v>
      </c>
      <c r="B192" s="171">
        <v>1</v>
      </c>
      <c r="C192" s="176" t="str">
        <f>CONCATENATE(A192&amp;B192&amp;F192)</f>
        <v>ECONOMY CLASS1104</v>
      </c>
      <c r="D192" s="312"/>
      <c r="E192" s="305">
        <v>1153</v>
      </c>
      <c r="F192" s="311">
        <v>104</v>
      </c>
      <c r="G192" t="str">
        <f>VLOOKUP(E192,'FG MASTER'!$A$10:$AB$218,2,0)</f>
        <v>YC C1 DINNER TILLAMOOK CHEESE</v>
      </c>
      <c r="H192" s="286">
        <v>1</v>
      </c>
      <c r="I192" s="173">
        <v>1</v>
      </c>
      <c r="J192" s="292">
        <f>IFERROR(IF(I192="std",H192,HLOOKUP(A192,'FlightConfig '!$B$28:$G$29,2,0)*I192),"")</f>
        <v>198</v>
      </c>
      <c r="K192" s="245">
        <f>VLOOKUP(Food!E192,'FG MASTER'!$A$1:$AC$536,16,0)</f>
        <v>0.5</v>
      </c>
      <c r="L192" s="246">
        <f>VLOOKUP(Food!E192,'FG MASTER'!$A$10:$AC$536,17,0)</f>
        <v>0.25</v>
      </c>
      <c r="M192" s="132">
        <f t="shared" ref="M192:M193" si="193">IFERROR(L192*$M$2,"")</f>
        <v>0.1</v>
      </c>
      <c r="N192" s="132">
        <f>IFERROR((K192)+M192,"")</f>
        <v>0.6</v>
      </c>
      <c r="O192" s="132">
        <f t="shared" si="84"/>
        <v>7.4999999999999956E-2</v>
      </c>
      <c r="P192" s="132">
        <f t="shared" si="85"/>
        <v>1.4999999999999986E-2</v>
      </c>
      <c r="Q192" s="132">
        <f t="shared" ref="Q192:Q193" si="194">SUM(N192:P192)</f>
        <v>0.69</v>
      </c>
      <c r="R192" s="405">
        <f t="shared" ref="R192:R193" si="195">K192*(1+$O$2)</f>
        <v>0.57499999999999996</v>
      </c>
      <c r="S192" s="405">
        <f t="shared" ref="S192:S193" si="196">M192*(1+$P$2)</f>
        <v>0.11499999999999999</v>
      </c>
      <c r="T192" s="405">
        <f t="shared" ref="T192:T193" si="197">R192+S192</f>
        <v>0.69</v>
      </c>
      <c r="U192" s="127"/>
      <c r="V192" s="127"/>
      <c r="W192" t="str">
        <f>IFERROR(#REF!*J192,"")</f>
        <v/>
      </c>
      <c r="X192">
        <f t="shared" ref="X192:X193" si="198">IFERROR(K192*J192,"")</f>
        <v>99</v>
      </c>
      <c r="Y192">
        <f t="shared" ref="Y192:Y193" si="199">IFERROR(+L192*J192,"")</f>
        <v>49.5</v>
      </c>
      <c r="Z192" s="127">
        <f t="shared" ref="Z192:Z193" si="200">IFERROR(+M192*J192,"")</f>
        <v>19.8</v>
      </c>
      <c r="AA192" s="127">
        <f t="shared" ref="AA192:AA193" si="201">IFERROR(+N192*J192,"")</f>
        <v>118.8</v>
      </c>
      <c r="AB192" s="127">
        <f t="shared" ref="AB192:AB193" si="202">IFERROR(O192*$J192,"")</f>
        <v>14.849999999999991</v>
      </c>
      <c r="AC192" s="127">
        <f t="shared" ref="AC192:AC193" si="203">IFERROR(P192*$J192,"")</f>
        <v>2.9699999999999971</v>
      </c>
      <c r="AD192" s="127">
        <f t="shared" ref="AD192:AD193" si="204">IFERROR(+Q192*J192,"")</f>
        <v>136.61999999999998</v>
      </c>
      <c r="AF192" s="127" t="str">
        <f>IFERROR(W192*'FlightConfig '!$K$3,"")</f>
        <v/>
      </c>
      <c r="AG192" s="127">
        <f>IFERROR(X192*'FlightConfig '!$K$17,"")</f>
        <v>36036</v>
      </c>
      <c r="AH192" s="127">
        <f>IFERROR(Y192*'FlightConfig '!$K$17,"")</f>
        <v>18018</v>
      </c>
      <c r="AI192" s="127">
        <f>IFERROR(Z192*'FlightConfig '!$K$17,"")</f>
        <v>7207.2</v>
      </c>
      <c r="AJ192" s="127">
        <f>IFERROR(AA192*'FlightConfig '!$K$17,"")</f>
        <v>43243.199999999997</v>
      </c>
      <c r="AK192" s="127">
        <f>IFERROR(AB192*'FlightConfig '!$K$17,"")</f>
        <v>5405.3999999999969</v>
      </c>
    </row>
    <row r="193" spans="1:37" ht="18" customHeight="1" x14ac:dyDescent="0.25">
      <c r="A193" t="s">
        <v>135</v>
      </c>
      <c r="B193" s="171">
        <v>1</v>
      </c>
      <c r="C193" s="176" t="str">
        <f>CONCATENATE(A193&amp;B193&amp;F193)</f>
        <v>ECONOMY CLASS1104</v>
      </c>
      <c r="D193" s="312"/>
      <c r="E193" s="305">
        <v>1154</v>
      </c>
      <c r="F193" s="311">
        <v>104</v>
      </c>
      <c r="G193" t="str">
        <f>VLOOKUP(E193,'FG MASTER'!$A$10:$AB$218,2,0)</f>
        <v xml:space="preserve">YC C1 DINNER SALAD DRESSING </v>
      </c>
      <c r="H193" s="286">
        <v>1</v>
      </c>
      <c r="I193" s="173">
        <v>1</v>
      </c>
      <c r="J193" s="292">
        <f>IFERROR(IF(I193="std",H193,HLOOKUP(A193,'FlightConfig '!$B$28:$G$29,2,0)*I193),"")</f>
        <v>198</v>
      </c>
      <c r="K193" s="245">
        <f>VLOOKUP(Food!E193,'FG MASTER'!$A$1:$AC$536,16,0)</f>
        <v>0.4</v>
      </c>
      <c r="L193" s="246">
        <f>VLOOKUP(Food!E193,'FG MASTER'!$A$10:$AC$536,17,0)</f>
        <v>0.25</v>
      </c>
      <c r="M193" s="132">
        <f t="shared" si="193"/>
        <v>0.1</v>
      </c>
      <c r="N193" s="132">
        <f>IFERROR((K193)+M193,"")</f>
        <v>0.5</v>
      </c>
      <c r="O193" s="132">
        <f t="shared" si="84"/>
        <v>5.9999999999999942E-2</v>
      </c>
      <c r="P193" s="132">
        <f t="shared" si="85"/>
        <v>1.4999999999999986E-2</v>
      </c>
      <c r="Q193" s="132">
        <f t="shared" si="194"/>
        <v>0.57499999999999996</v>
      </c>
      <c r="R193" s="405">
        <f t="shared" si="195"/>
        <v>0.45999999999999996</v>
      </c>
      <c r="S193" s="405">
        <f t="shared" si="196"/>
        <v>0.11499999999999999</v>
      </c>
      <c r="T193" s="405">
        <f t="shared" si="197"/>
        <v>0.57499999999999996</v>
      </c>
      <c r="U193" s="127"/>
      <c r="V193" s="127"/>
      <c r="W193" t="str">
        <f>IFERROR(#REF!*J193,"")</f>
        <v/>
      </c>
      <c r="X193">
        <f t="shared" si="198"/>
        <v>79.2</v>
      </c>
      <c r="Y193">
        <f t="shared" si="199"/>
        <v>49.5</v>
      </c>
      <c r="Z193" s="127">
        <f t="shared" si="200"/>
        <v>19.8</v>
      </c>
      <c r="AA193" s="127">
        <f t="shared" si="201"/>
        <v>99</v>
      </c>
      <c r="AB193" s="127">
        <f t="shared" si="202"/>
        <v>11.879999999999988</v>
      </c>
      <c r="AC193" s="127">
        <f t="shared" si="203"/>
        <v>2.9699999999999971</v>
      </c>
      <c r="AD193" s="127">
        <f t="shared" si="204"/>
        <v>113.85</v>
      </c>
      <c r="AF193" s="127" t="str">
        <f>IFERROR(W193*'FlightConfig '!$K$3,"")</f>
        <v/>
      </c>
      <c r="AG193" s="127">
        <f>IFERROR(X193*'FlightConfig '!$K$17,"")</f>
        <v>28828.799999999999</v>
      </c>
      <c r="AH193" s="127">
        <f>IFERROR(Y193*'FlightConfig '!$K$17,"")</f>
        <v>18018</v>
      </c>
      <c r="AI193" s="127">
        <f>IFERROR(Z193*'FlightConfig '!$K$17,"")</f>
        <v>7207.2</v>
      </c>
      <c r="AJ193" s="127">
        <f>IFERROR(AA193*'FlightConfig '!$K$17,"")</f>
        <v>36036</v>
      </c>
      <c r="AK193" s="127">
        <f>IFERROR(AB193*'FlightConfig '!$K$17,"")</f>
        <v>4324.3199999999961</v>
      </c>
    </row>
    <row r="194" spans="1:37" ht="18" customHeight="1" x14ac:dyDescent="0.25">
      <c r="A194" t="s">
        <v>135</v>
      </c>
      <c r="B194" s="171">
        <v>1</v>
      </c>
      <c r="C194" s="176" t="str">
        <f>CONCATENATE(A194&amp;B194&amp;F194)</f>
        <v>ECONOMY CLASS1104</v>
      </c>
      <c r="D194" s="312"/>
      <c r="E194" s="305">
        <v>1130</v>
      </c>
      <c r="F194" s="311">
        <v>104</v>
      </c>
      <c r="G194" t="str">
        <f>VLOOKUP(E194,'FG MASTER'!$A$10:$AB$218,2,0)</f>
        <v xml:space="preserve">YC C1 DINNER STARTER MIX GREENS, CUCUMBER AND GRAPE TOMATO </v>
      </c>
      <c r="H194" s="286">
        <v>1</v>
      </c>
      <c r="I194" s="173">
        <v>1</v>
      </c>
      <c r="J194" s="292">
        <f>IFERROR(IF(I194="std",H194,HLOOKUP(A194,'FlightConfig '!$B$28:$G$29,2,0)*I194),"")</f>
        <v>198</v>
      </c>
      <c r="K194" s="245">
        <f>VLOOKUP(Food!E194,'FG MASTER'!$A$1:$AC$536,16,0)</f>
        <v>0.45</v>
      </c>
      <c r="L194" s="246">
        <f>VLOOKUP(Food!E194,'FG MASTER'!$A$10:$AC$536,17,0)</f>
        <v>1.25</v>
      </c>
      <c r="M194" s="132">
        <f t="shared" si="191"/>
        <v>0.5</v>
      </c>
      <c r="N194" s="132">
        <f>IFERROR((K194)+M194,"")</f>
        <v>0.95</v>
      </c>
      <c r="O194" s="132">
        <f t="shared" si="84"/>
        <v>6.7499999999999949E-2</v>
      </c>
      <c r="P194" s="132">
        <f t="shared" si="85"/>
        <v>7.4999999999999956E-2</v>
      </c>
      <c r="Q194" s="132">
        <f t="shared" si="192"/>
        <v>1.0924999999999998</v>
      </c>
      <c r="R194" s="405">
        <f t="shared" si="87"/>
        <v>0.51749999999999996</v>
      </c>
      <c r="S194" s="405">
        <f t="shared" si="88"/>
        <v>0.57499999999999996</v>
      </c>
      <c r="T194" s="405">
        <f t="shared" si="89"/>
        <v>1.0924999999999998</v>
      </c>
      <c r="U194" s="127"/>
      <c r="V194" s="127"/>
      <c r="W194" t="str">
        <f>IFERROR(#REF!*J194,"")</f>
        <v/>
      </c>
      <c r="X194">
        <f t="shared" si="90"/>
        <v>89.100000000000009</v>
      </c>
      <c r="Y194">
        <f t="shared" si="91"/>
        <v>247.5</v>
      </c>
      <c r="Z194" s="127">
        <f t="shared" si="92"/>
        <v>99</v>
      </c>
      <c r="AA194" s="127">
        <f t="shared" si="93"/>
        <v>188.1</v>
      </c>
      <c r="AB194" s="127">
        <f t="shared" si="94"/>
        <v>13.36499999999999</v>
      </c>
      <c r="AC194" s="127">
        <f t="shared" si="77"/>
        <v>14.849999999999991</v>
      </c>
      <c r="AD194" s="127">
        <f t="shared" si="78"/>
        <v>216.31499999999997</v>
      </c>
      <c r="AF194" s="127" t="str">
        <f>IFERROR(W194*'FlightConfig '!$K$3,"")</f>
        <v/>
      </c>
      <c r="AG194" s="127">
        <f>IFERROR(X194*'FlightConfig '!$K$17,"")</f>
        <v>32432.400000000001</v>
      </c>
      <c r="AH194" s="127">
        <f>IFERROR(Y194*'FlightConfig '!$K$17,"")</f>
        <v>90090</v>
      </c>
      <c r="AI194" s="127">
        <f>IFERROR(Z194*'FlightConfig '!$K$17,"")</f>
        <v>36036</v>
      </c>
      <c r="AJ194" s="127">
        <f>IFERROR(AA194*'FlightConfig '!$K$17,"")</f>
        <v>68468.399999999994</v>
      </c>
      <c r="AK194" s="127">
        <f>IFERROR(AB194*'FlightConfig '!$K$17,"")</f>
        <v>4864.859999999996</v>
      </c>
    </row>
    <row r="195" spans="1:37" ht="18" customHeight="1" x14ac:dyDescent="0.25">
      <c r="A195" t="s">
        <v>135</v>
      </c>
      <c r="B195" s="171">
        <v>1</v>
      </c>
      <c r="C195" s="176" t="str">
        <f t="shared" ref="C195:C210" si="205">CONCATENATE(A195&amp;B195&amp;F195)</f>
        <v>ECONOMY CLASS1104</v>
      </c>
      <c r="D195" s="312"/>
      <c r="E195" s="305">
        <v>1131</v>
      </c>
      <c r="F195" s="311">
        <v>104</v>
      </c>
      <c r="G195" t="str">
        <f>VLOOKUP(E195,'FG MASTER'!$A$10:$AB$218,2,0)</f>
        <v xml:space="preserve">YC C1 DINNER ENTRÉE 1 THAI CHICKEN MEATBALL, GREEN CURRY, </v>
      </c>
      <c r="H195" s="286">
        <v>1</v>
      </c>
      <c r="I195" s="173">
        <v>0.7</v>
      </c>
      <c r="J195" s="292">
        <f>IFERROR(IF(I195="std",H195,HLOOKUP(A195,'FlightConfig '!$B$28:$G$29,2,0)*I195),"")</f>
        <v>138.6</v>
      </c>
      <c r="K195" s="245">
        <f>VLOOKUP(Food!E195,'FG MASTER'!$A$1:$AC$536,16,0)</f>
        <v>3.2439994674807027</v>
      </c>
      <c r="L195" s="246">
        <f>VLOOKUP(Food!E195,'FG MASTER'!$A$10:$AC$536,17,0)</f>
        <v>4.25</v>
      </c>
      <c r="M195" s="132">
        <f t="shared" si="191"/>
        <v>1.7000000000000002</v>
      </c>
      <c r="N195" s="132">
        <f t="shared" ref="N195:N206" si="206">IFERROR((K195)+M195,"")</f>
        <v>4.9439994674807028</v>
      </c>
      <c r="O195" s="132">
        <f t="shared" si="84"/>
        <v>0.48659992012210518</v>
      </c>
      <c r="P195" s="132">
        <f t="shared" si="85"/>
        <v>0.25499999999999989</v>
      </c>
      <c r="Q195" s="132">
        <f t="shared" si="192"/>
        <v>5.6855993876028075</v>
      </c>
      <c r="R195" s="405">
        <f t="shared" si="87"/>
        <v>3.7305993876028078</v>
      </c>
      <c r="S195" s="405">
        <f t="shared" si="88"/>
        <v>1.9550000000000001</v>
      </c>
      <c r="T195" s="405">
        <f t="shared" si="89"/>
        <v>5.6855993876028084</v>
      </c>
      <c r="U195" s="127"/>
      <c r="V195" s="127"/>
      <c r="W195" t="str">
        <f>IFERROR(#REF!*J195,"")</f>
        <v/>
      </c>
      <c r="X195">
        <f t="shared" si="90"/>
        <v>449.61832619282535</v>
      </c>
      <c r="Y195">
        <f t="shared" si="91"/>
        <v>589.04999999999995</v>
      </c>
      <c r="Z195" s="127">
        <f t="shared" si="92"/>
        <v>235.62</v>
      </c>
      <c r="AA195" s="127">
        <f t="shared" si="93"/>
        <v>685.23832619282541</v>
      </c>
      <c r="AB195" s="127">
        <f t="shared" si="94"/>
        <v>67.442748928923777</v>
      </c>
      <c r="AC195" s="127">
        <f t="shared" si="77"/>
        <v>35.342999999999982</v>
      </c>
      <c r="AD195" s="127">
        <f t="shared" si="78"/>
        <v>788.02407512174909</v>
      </c>
      <c r="AF195" s="127" t="str">
        <f>IFERROR(W195*'FlightConfig '!$K$3,"")</f>
        <v/>
      </c>
      <c r="AG195" s="127">
        <f>IFERROR(X195*'FlightConfig '!$K$17,"")</f>
        <v>163661.07073418843</v>
      </c>
      <c r="AH195" s="127">
        <f>IFERROR(Y195*'FlightConfig '!$K$17,"")</f>
        <v>214414.19999999998</v>
      </c>
      <c r="AI195" s="127">
        <f>IFERROR(Z195*'FlightConfig '!$K$17,"")</f>
        <v>85765.680000000008</v>
      </c>
      <c r="AJ195" s="127">
        <f>IFERROR(AA195*'FlightConfig '!$K$17,"")</f>
        <v>249426.75073418845</v>
      </c>
      <c r="AK195" s="127">
        <f>IFERROR(AB195*'FlightConfig '!$K$17,"")</f>
        <v>24549.160610128256</v>
      </c>
    </row>
    <row r="196" spans="1:37" ht="18" customHeight="1" x14ac:dyDescent="0.25">
      <c r="A196" t="s">
        <v>135</v>
      </c>
      <c r="B196" s="171">
        <v>1</v>
      </c>
      <c r="C196" s="176" t="str">
        <f t="shared" ref="C196" si="207">CONCATENATE(A196&amp;B196&amp;F196)</f>
        <v>ECONOMY CLASS1104</v>
      </c>
      <c r="D196" s="312"/>
      <c r="E196" s="305">
        <v>1132</v>
      </c>
      <c r="F196" s="311">
        <v>104</v>
      </c>
      <c r="G196" t="str">
        <f>VLOOKUP(E196,'FG MASTER'!$A$10:$AB$218,2,0)</f>
        <v>YC C1 DINNER ENTRÉE 2 ORRECHIETTE, MARINARA SAUCE, HERB WHIPPED RICOTTA, VEGETABLE BOLOGNESE SAUCE</v>
      </c>
      <c r="H196" s="286">
        <v>1</v>
      </c>
      <c r="I196" s="173">
        <v>0.3</v>
      </c>
      <c r="J196" s="292">
        <f>IFERROR(IF(I196="std",H196,HLOOKUP(A196,'FlightConfig '!$B$28:$G$29,2,0)*I196),"")</f>
        <v>59.4</v>
      </c>
      <c r="K196" s="245">
        <f>VLOOKUP(Food!E196,'FG MASTER'!$A$1:$AC$536,16,0)</f>
        <v>2.0352920501543865</v>
      </c>
      <c r="L196" s="246">
        <f>VLOOKUP(Food!E196,'FG MASTER'!$A$10:$AC$536,17,0)</f>
        <v>4</v>
      </c>
      <c r="M196" s="132">
        <f t="shared" ref="M196" si="208">IFERROR(L196*$M$2,"")</f>
        <v>1.6</v>
      </c>
      <c r="N196" s="132">
        <f t="shared" ref="N196" si="209">IFERROR((K196)+M196,"")</f>
        <v>3.6352920501543866</v>
      </c>
      <c r="O196" s="132">
        <f t="shared" si="84"/>
        <v>0.30529380752315793</v>
      </c>
      <c r="P196" s="132">
        <f t="shared" si="85"/>
        <v>0.23999999999999977</v>
      </c>
      <c r="Q196" s="132">
        <f t="shared" ref="Q196" si="210">SUM(N196:P196)</f>
        <v>4.1805858576775439</v>
      </c>
      <c r="R196" s="405">
        <f t="shared" ref="R196" si="211">K196*(1+$O$2)</f>
        <v>2.3405858576775445</v>
      </c>
      <c r="S196" s="405">
        <f t="shared" ref="S196" si="212">M196*(1+$P$2)</f>
        <v>1.8399999999999999</v>
      </c>
      <c r="T196" s="405">
        <f t="shared" ref="T196" si="213">R196+S196</f>
        <v>4.1805858576775439</v>
      </c>
      <c r="U196" s="127"/>
      <c r="V196" s="127"/>
      <c r="W196" t="str">
        <f>IFERROR(#REF!*J196,"")</f>
        <v/>
      </c>
      <c r="X196">
        <f t="shared" ref="X196" si="214">IFERROR(K196*J196,"")</f>
        <v>120.89634777917055</v>
      </c>
      <c r="Y196">
        <f t="shared" ref="Y196" si="215">IFERROR(+L196*J196,"")</f>
        <v>237.6</v>
      </c>
      <c r="Z196" s="127">
        <f t="shared" ref="Z196" si="216">IFERROR(+M196*J196,"")</f>
        <v>95.04</v>
      </c>
      <c r="AA196" s="127">
        <f t="shared" ref="AA196" si="217">IFERROR(+N196*J196,"")</f>
        <v>215.93634777917055</v>
      </c>
      <c r="AB196" s="127">
        <f t="shared" ref="AB196" si="218">IFERROR(O196*$J196,"")</f>
        <v>18.13445216687558</v>
      </c>
      <c r="AC196" s="127">
        <f t="shared" ref="AC196" si="219">IFERROR(P196*$J196,"")</f>
        <v>14.255999999999986</v>
      </c>
      <c r="AD196" s="127">
        <f t="shared" ref="AD196" si="220">IFERROR(+Q196*J196,"")</f>
        <v>248.32679994604609</v>
      </c>
      <c r="AF196" s="127" t="str">
        <f>IFERROR(W196*'FlightConfig '!$K$3,"")</f>
        <v/>
      </c>
      <c r="AG196" s="127">
        <f>IFERROR(X196*'FlightConfig '!$K$17,"")</f>
        <v>44006.270591618078</v>
      </c>
      <c r="AH196" s="127">
        <f>IFERROR(Y196*'FlightConfig '!$K$17,"")</f>
        <v>86486.399999999994</v>
      </c>
      <c r="AI196" s="127">
        <f>IFERROR(Z196*'FlightConfig '!$K$17,"")</f>
        <v>34594.560000000005</v>
      </c>
      <c r="AJ196" s="127">
        <f>IFERROR(AA196*'FlightConfig '!$K$17,"")</f>
        <v>78600.830591618083</v>
      </c>
      <c r="AK196" s="127">
        <f>IFERROR(AB196*'FlightConfig '!$K$17,"")</f>
        <v>6600.940588742711</v>
      </c>
    </row>
    <row r="197" spans="1:37" ht="18" customHeight="1" x14ac:dyDescent="0.25">
      <c r="A197" t="s">
        <v>135</v>
      </c>
      <c r="B197" s="171">
        <v>1</v>
      </c>
      <c r="C197" s="176" t="str">
        <f t="shared" si="205"/>
        <v>ECONOMY CLASS1104</v>
      </c>
      <c r="D197" s="312"/>
      <c r="E197" s="305">
        <v>1133</v>
      </c>
      <c r="F197" s="311">
        <v>104</v>
      </c>
      <c r="G197" t="str">
        <f>VLOOKUP(E197,'FG MASTER'!$A$10:$AB$218,2,0)</f>
        <v>YC C1 DINNER DESSERT BANANA PUDDING, NILLA WAFTER, NILLA WAFER CRUMBLE</v>
      </c>
      <c r="H197" s="286">
        <v>1</v>
      </c>
      <c r="I197" s="173">
        <v>1</v>
      </c>
      <c r="J197" s="292">
        <f>IFERROR(IF(I197="std",H197,HLOOKUP(A197,'FlightConfig '!$B$28:$G$29,2,0)*I197),"")</f>
        <v>198</v>
      </c>
      <c r="K197" s="245">
        <f>VLOOKUP(Food!E197,'FG MASTER'!$A$1:$AC$536,16,0)</f>
        <v>1.3139505908421054</v>
      </c>
      <c r="L197" s="246">
        <f>VLOOKUP(Food!E197,'FG MASTER'!$A$10:$AC$536,17,0)</f>
        <v>1.5</v>
      </c>
      <c r="M197" s="132">
        <f t="shared" si="191"/>
        <v>0.60000000000000009</v>
      </c>
      <c r="N197" s="132">
        <f t="shared" si="206"/>
        <v>1.9139505908421055</v>
      </c>
      <c r="O197" s="132">
        <f t="shared" si="84"/>
        <v>0.19709258862631573</v>
      </c>
      <c r="P197" s="132">
        <f t="shared" si="85"/>
        <v>8.9999999999999969E-2</v>
      </c>
      <c r="Q197" s="132">
        <f t="shared" si="192"/>
        <v>2.2010431794684209</v>
      </c>
      <c r="R197" s="405">
        <f t="shared" si="87"/>
        <v>1.5110431794684211</v>
      </c>
      <c r="S197" s="405">
        <f t="shared" si="88"/>
        <v>0.69000000000000006</v>
      </c>
      <c r="T197" s="405">
        <f t="shared" si="89"/>
        <v>2.2010431794684213</v>
      </c>
      <c r="U197" s="127"/>
      <c r="V197" s="127"/>
      <c r="W197" t="str">
        <f>IFERROR(#REF!*J197,"")</f>
        <v/>
      </c>
      <c r="X197">
        <f t="shared" si="90"/>
        <v>260.16221698673689</v>
      </c>
      <c r="Y197">
        <f t="shared" si="91"/>
        <v>297</v>
      </c>
      <c r="Z197" s="127">
        <f t="shared" si="92"/>
        <v>118.80000000000001</v>
      </c>
      <c r="AA197" s="127">
        <f t="shared" si="93"/>
        <v>378.96221698673691</v>
      </c>
      <c r="AB197" s="127">
        <f t="shared" si="94"/>
        <v>39.024332548010513</v>
      </c>
      <c r="AC197" s="127">
        <f t="shared" si="77"/>
        <v>17.819999999999993</v>
      </c>
      <c r="AD197" s="127">
        <f t="shared" si="78"/>
        <v>435.80654953474732</v>
      </c>
      <c r="AF197" s="127" t="str">
        <f>IFERROR(W197*'FlightConfig '!$K$3,"")</f>
        <v/>
      </c>
      <c r="AG197" s="127">
        <f>IFERROR(X197*'FlightConfig '!$K$17,"")</f>
        <v>94699.046983172229</v>
      </c>
      <c r="AH197" s="127">
        <f>IFERROR(Y197*'FlightConfig '!$K$17,"")</f>
        <v>108108</v>
      </c>
      <c r="AI197" s="127">
        <f>IFERROR(Z197*'FlightConfig '!$K$17,"")</f>
        <v>43243.200000000004</v>
      </c>
      <c r="AJ197" s="127">
        <f>IFERROR(AA197*'FlightConfig '!$K$17,"")</f>
        <v>137942.24698317223</v>
      </c>
      <c r="AK197" s="127">
        <f>IFERROR(AB197*'FlightConfig '!$K$17,"")</f>
        <v>14204.857047475827</v>
      </c>
    </row>
    <row r="198" spans="1:37" ht="18" customHeight="1" x14ac:dyDescent="0.25">
      <c r="A198" t="s">
        <v>135</v>
      </c>
      <c r="B198" s="171">
        <v>1</v>
      </c>
      <c r="C198" s="176" t="str">
        <f t="shared" si="205"/>
        <v>ECONOMY CLASS1104</v>
      </c>
      <c r="D198" s="312"/>
      <c r="E198" s="305">
        <v>1134</v>
      </c>
      <c r="F198" s="311">
        <v>104</v>
      </c>
      <c r="G198" t="str">
        <f>VLOOKUP(E198,'FG MASTER'!$A$10:$AB$218,2,0)</f>
        <v>YC C1 BREAKFAST TSU</v>
      </c>
      <c r="H198" s="286">
        <v>1</v>
      </c>
      <c r="I198" s="173">
        <v>1</v>
      </c>
      <c r="J198" s="292">
        <f>IFERROR(IF(I198="std",H198,HLOOKUP(A198,'FlightConfig '!$B$28:$G$29,2,0)*I198),"")</f>
        <v>198</v>
      </c>
      <c r="K198" s="245">
        <f>VLOOKUP(Food!E198,'FG MASTER'!$A$1:$AC$536,16,0)</f>
        <v>0</v>
      </c>
      <c r="L198" s="246">
        <f>VLOOKUP(Food!E198,'FG MASTER'!$A$10:$AC$536,17,0)</f>
        <v>0.5</v>
      </c>
      <c r="M198" s="132">
        <f t="shared" si="191"/>
        <v>0.2</v>
      </c>
      <c r="N198" s="132">
        <f t="shared" si="206"/>
        <v>0.2</v>
      </c>
      <c r="O198" s="132">
        <f t="shared" si="84"/>
        <v>0</v>
      </c>
      <c r="P198" s="132">
        <f t="shared" si="85"/>
        <v>2.9999999999999971E-2</v>
      </c>
      <c r="Q198" s="132">
        <f t="shared" si="192"/>
        <v>0.22999999999999998</v>
      </c>
      <c r="R198" s="405">
        <f t="shared" si="87"/>
        <v>0</v>
      </c>
      <c r="S198" s="405">
        <f t="shared" si="88"/>
        <v>0.22999999999999998</v>
      </c>
      <c r="T198" s="405">
        <f t="shared" si="89"/>
        <v>0.22999999999999998</v>
      </c>
      <c r="U198" s="127">
        <f>Q198+Q200+Q199</f>
        <v>3.5765000000000002</v>
      </c>
      <c r="V198" s="127">
        <f>R198+R200+R199</f>
        <v>2.5415000000000001</v>
      </c>
      <c r="W198" s="127">
        <f>S198+S200+S199</f>
        <v>1.0349999999999999</v>
      </c>
      <c r="X198">
        <f t="shared" si="90"/>
        <v>0</v>
      </c>
      <c r="Y198">
        <f t="shared" si="91"/>
        <v>99</v>
      </c>
      <c r="Z198" s="127">
        <f t="shared" si="92"/>
        <v>39.6</v>
      </c>
      <c r="AA198" s="127">
        <f t="shared" si="93"/>
        <v>39.6</v>
      </c>
      <c r="AB198" s="127">
        <f t="shared" si="94"/>
        <v>0</v>
      </c>
      <c r="AC198" s="127">
        <f t="shared" si="77"/>
        <v>5.9399999999999942</v>
      </c>
      <c r="AD198" s="127">
        <f t="shared" si="78"/>
        <v>45.54</v>
      </c>
      <c r="AF198" s="127">
        <f>IFERROR(W198*'FlightConfig '!$K$3,"")</f>
        <v>0</v>
      </c>
      <c r="AG198" s="127">
        <f>IFERROR(X198*'FlightConfig '!$K$17,"")</f>
        <v>0</v>
      </c>
      <c r="AH198" s="127">
        <f>IFERROR(Y198*'FlightConfig '!$K$17,"")</f>
        <v>36036</v>
      </c>
      <c r="AI198" s="127">
        <f>IFERROR(Z198*'FlightConfig '!$K$17,"")</f>
        <v>14414.4</v>
      </c>
      <c r="AJ198" s="127">
        <f>IFERROR(AA198*'FlightConfig '!$K$17,"")</f>
        <v>14414.4</v>
      </c>
      <c r="AK198" s="127">
        <f>IFERROR(AB198*'FlightConfig '!$K$17,"")</f>
        <v>0</v>
      </c>
    </row>
    <row r="199" spans="1:37" ht="18" customHeight="1" x14ac:dyDescent="0.25">
      <c r="A199" t="s">
        <v>135</v>
      </c>
      <c r="B199" s="171">
        <v>1</v>
      </c>
      <c r="C199" s="176" t="str">
        <f t="shared" si="205"/>
        <v>ECONOMY CLASS1104</v>
      </c>
      <c r="D199" s="312"/>
      <c r="E199" s="305">
        <v>1135</v>
      </c>
      <c r="F199" s="311">
        <v>104</v>
      </c>
      <c r="G199" t="str">
        <f>VLOOKUP(E199,'FG MASTER'!$A$10:$AB$218,2,0)</f>
        <v>YC C1 BREAKFAST SANDWICH BANANA MUFFIN</v>
      </c>
      <c r="H199" s="286">
        <v>1</v>
      </c>
      <c r="I199" s="173">
        <v>1</v>
      </c>
      <c r="J199" s="292">
        <f>IFERROR(IF(I199="std",H199,HLOOKUP(A199,'FlightConfig '!$B$28:$G$29,2,0)*I199),"")</f>
        <v>198</v>
      </c>
      <c r="K199" s="245">
        <f>VLOOKUP(Food!E199,'FG MASTER'!$A$1:$AC$536,16,0)</f>
        <v>0.98</v>
      </c>
      <c r="L199" s="246">
        <f>VLOOKUP(Food!E199,'FG MASTER'!$A$10:$AC$536,17,0)</f>
        <v>0.5</v>
      </c>
      <c r="M199" s="132">
        <f t="shared" si="191"/>
        <v>0.2</v>
      </c>
      <c r="N199" s="132">
        <f t="shared" si="206"/>
        <v>1.18</v>
      </c>
      <c r="O199" s="132">
        <f t="shared" si="84"/>
        <v>0.14700000000000002</v>
      </c>
      <c r="P199" s="132">
        <f t="shared" si="85"/>
        <v>2.9999999999999971E-2</v>
      </c>
      <c r="Q199" s="132">
        <f t="shared" si="192"/>
        <v>1.357</v>
      </c>
      <c r="R199" s="405">
        <f t="shared" si="87"/>
        <v>1.127</v>
      </c>
      <c r="S199" s="405">
        <f t="shared" si="88"/>
        <v>0.22999999999999998</v>
      </c>
      <c r="T199" s="405">
        <f t="shared" si="89"/>
        <v>1.357</v>
      </c>
      <c r="U199" s="127"/>
      <c r="V199" s="127"/>
      <c r="W199" t="str">
        <f>IFERROR(#REF!*J199,"")</f>
        <v/>
      </c>
      <c r="X199">
        <f t="shared" si="90"/>
        <v>194.04</v>
      </c>
      <c r="Y199">
        <f t="shared" si="91"/>
        <v>99</v>
      </c>
      <c r="Z199" s="127">
        <f t="shared" si="92"/>
        <v>39.6</v>
      </c>
      <c r="AA199" s="127">
        <f t="shared" si="93"/>
        <v>233.64</v>
      </c>
      <c r="AB199" s="127">
        <f t="shared" si="94"/>
        <v>29.106000000000005</v>
      </c>
      <c r="AC199" s="127">
        <f t="shared" ref="AC199:AC215" si="221">IFERROR(P199*$J199,"")</f>
        <v>5.9399999999999942</v>
      </c>
      <c r="AD199" s="127">
        <f t="shared" ref="AD199:AD215" si="222">IFERROR(+Q199*J199,"")</f>
        <v>268.68599999999998</v>
      </c>
      <c r="AF199" s="127" t="str">
        <f>IFERROR(W199*'FlightConfig '!$K$3,"")</f>
        <v/>
      </c>
      <c r="AG199" s="127">
        <f>IFERROR(X199*'FlightConfig '!$K$17,"")</f>
        <v>70630.559999999998</v>
      </c>
      <c r="AH199" s="127">
        <f>IFERROR(Y199*'FlightConfig '!$K$17,"")</f>
        <v>36036</v>
      </c>
      <c r="AI199" s="127">
        <f>IFERROR(Z199*'FlightConfig '!$K$17,"")</f>
        <v>14414.4</v>
      </c>
      <c r="AJ199" s="127">
        <f>IFERROR(AA199*'FlightConfig '!$K$17,"")</f>
        <v>85044.959999999992</v>
      </c>
      <c r="AK199" s="127">
        <f>IFERROR(AB199*'FlightConfig '!$K$17,"")</f>
        <v>10594.584000000003</v>
      </c>
    </row>
    <row r="200" spans="1:37" ht="18" customHeight="1" x14ac:dyDescent="0.25">
      <c r="A200" t="s">
        <v>135</v>
      </c>
      <c r="B200" s="171">
        <v>1</v>
      </c>
      <c r="C200" s="176" t="str">
        <f t="shared" si="205"/>
        <v>ECONOMY CLASS1104</v>
      </c>
      <c r="D200" s="312"/>
      <c r="E200" s="305">
        <v>1136</v>
      </c>
      <c r="F200" s="311">
        <v>104</v>
      </c>
      <c r="G200" t="str">
        <f>VLOOKUP(E200,'FG MASTER'!$A$10:$AB$218,2,0)</f>
        <v>YC C1 BREAKFAST BOX SIDES CHOBANI YOGURT, MIX GRUIT CUP</v>
      </c>
      <c r="H200" s="286">
        <v>1</v>
      </c>
      <c r="I200" s="173">
        <v>1</v>
      </c>
      <c r="J200" s="292">
        <f>IFERROR(IF(I200="std",H200,HLOOKUP(A200,'FlightConfig '!$B$28:$G$29,2,0)*I200),"")</f>
        <v>198</v>
      </c>
      <c r="K200" s="245">
        <f>VLOOKUP(Food!E200,'FG MASTER'!$A$1:$AC$536,16,0)</f>
        <v>1.23</v>
      </c>
      <c r="L200" s="246">
        <f>VLOOKUP(Food!E200,'FG MASTER'!$A$10:$AC$536,17,0)</f>
        <v>1.25</v>
      </c>
      <c r="M200" s="132">
        <f t="shared" si="191"/>
        <v>0.5</v>
      </c>
      <c r="N200" s="132">
        <f t="shared" si="206"/>
        <v>1.73</v>
      </c>
      <c r="O200" s="132">
        <f t="shared" si="84"/>
        <v>0.18449999999999989</v>
      </c>
      <c r="P200" s="132">
        <f t="shared" si="85"/>
        <v>7.4999999999999956E-2</v>
      </c>
      <c r="Q200" s="132">
        <f t="shared" si="192"/>
        <v>1.9894999999999998</v>
      </c>
      <c r="R200" s="405">
        <f t="shared" si="87"/>
        <v>1.4144999999999999</v>
      </c>
      <c r="S200" s="405">
        <f t="shared" si="88"/>
        <v>0.57499999999999996</v>
      </c>
      <c r="T200" s="405">
        <f t="shared" si="89"/>
        <v>1.9894999999999998</v>
      </c>
      <c r="U200" s="127"/>
      <c r="V200" s="127"/>
      <c r="W200" t="str">
        <f>IFERROR(#REF!*J200,"")</f>
        <v/>
      </c>
      <c r="X200">
        <f t="shared" si="90"/>
        <v>243.54</v>
      </c>
      <c r="Y200">
        <f t="shared" si="91"/>
        <v>247.5</v>
      </c>
      <c r="Z200" s="127">
        <f t="shared" si="92"/>
        <v>99</v>
      </c>
      <c r="AA200" s="127">
        <f t="shared" si="93"/>
        <v>342.54</v>
      </c>
      <c r="AB200" s="127">
        <f t="shared" si="94"/>
        <v>36.530999999999977</v>
      </c>
      <c r="AC200" s="127">
        <f t="shared" si="221"/>
        <v>14.849999999999991</v>
      </c>
      <c r="AD200" s="127">
        <f t="shared" si="222"/>
        <v>393.92099999999999</v>
      </c>
      <c r="AF200" s="127" t="str">
        <f>IFERROR(W200*'FlightConfig '!$K$3,"")</f>
        <v/>
      </c>
      <c r="AG200" s="127">
        <f>IFERROR(X200*'FlightConfig '!$K$17,"")</f>
        <v>88648.56</v>
      </c>
      <c r="AH200" s="127">
        <f>IFERROR(Y200*'FlightConfig '!$K$17,"")</f>
        <v>90090</v>
      </c>
      <c r="AI200" s="127">
        <f>IFERROR(Z200*'FlightConfig '!$K$17,"")</f>
        <v>36036</v>
      </c>
      <c r="AJ200" s="127">
        <f>IFERROR(AA200*'FlightConfig '!$K$17,"")</f>
        <v>124684.56000000001</v>
      </c>
      <c r="AK200" s="127">
        <f>IFERROR(AB200*'FlightConfig '!$K$17,"")</f>
        <v>13297.283999999992</v>
      </c>
    </row>
    <row r="201" spans="1:37" ht="18" customHeight="1" x14ac:dyDescent="0.25">
      <c r="A201" t="s">
        <v>234</v>
      </c>
      <c r="B201" s="171">
        <v>1</v>
      </c>
      <c r="C201" s="176" t="str">
        <f t="shared" si="205"/>
        <v>CABIN CREW CLASS1104</v>
      </c>
      <c r="D201" s="294"/>
      <c r="E201" s="306">
        <v>1137</v>
      </c>
      <c r="F201" s="311">
        <v>104</v>
      </c>
      <c r="G201" t="str">
        <f>VLOOKUP(E201,'FG MASTER'!$A$10:$AB$218,2,0)</f>
        <v>CREW C1 DINNER CHEESE &amp; CRACKER, CELERY STICK, CARROT, HUMMUS</v>
      </c>
      <c r="H201" s="286">
        <v>1</v>
      </c>
      <c r="I201" s="173">
        <v>1</v>
      </c>
      <c r="J201" s="292">
        <f>IFERROR(IF(I201="std",H201,HLOOKUP(A201,'FlightConfig '!$B$28:$G$29,2,0)*I201),"")</f>
        <v>6</v>
      </c>
      <c r="K201" s="245">
        <f>VLOOKUP(Food!E201,'FG MASTER'!$A$1:$AC$536,16,0)</f>
        <v>1.23</v>
      </c>
      <c r="L201" s="246">
        <f>VLOOKUP(Food!E201,'FG MASTER'!$A$10:$AC$536,17,0)</f>
        <v>1.5</v>
      </c>
      <c r="M201" s="132">
        <f>IFERROR(L201*$M$2,"")</f>
        <v>0.60000000000000009</v>
      </c>
      <c r="N201" s="132">
        <f t="shared" si="206"/>
        <v>1.83</v>
      </c>
      <c r="O201" s="132">
        <f t="shared" si="84"/>
        <v>0.18449999999999989</v>
      </c>
      <c r="P201" s="132">
        <f t="shared" si="85"/>
        <v>8.9999999999999969E-2</v>
      </c>
      <c r="Q201" s="132">
        <f t="shared" si="192"/>
        <v>2.1044999999999998</v>
      </c>
      <c r="R201" s="405">
        <f t="shared" si="87"/>
        <v>1.4144999999999999</v>
      </c>
      <c r="S201" s="405">
        <f t="shared" si="88"/>
        <v>0.69000000000000006</v>
      </c>
      <c r="T201" s="405">
        <f t="shared" si="89"/>
        <v>2.1044999999999998</v>
      </c>
      <c r="U201" s="127"/>
      <c r="V201" s="127"/>
      <c r="W201" t="str">
        <f>IFERROR(#REF!*J201,"")</f>
        <v/>
      </c>
      <c r="X201">
        <f t="shared" si="90"/>
        <v>7.38</v>
      </c>
      <c r="Y201">
        <f t="shared" si="91"/>
        <v>9</v>
      </c>
      <c r="Z201" s="127">
        <f t="shared" si="92"/>
        <v>3.6000000000000005</v>
      </c>
      <c r="AA201" s="127">
        <f t="shared" si="93"/>
        <v>10.98</v>
      </c>
      <c r="AB201" s="127">
        <f t="shared" si="94"/>
        <v>1.1069999999999993</v>
      </c>
      <c r="AC201" s="127">
        <f t="shared" si="221"/>
        <v>0.53999999999999981</v>
      </c>
      <c r="AD201" s="127">
        <f t="shared" si="222"/>
        <v>12.626999999999999</v>
      </c>
      <c r="AF201" s="127" t="str">
        <f>IFERROR(W201*'FlightConfig '!$K$3,"")</f>
        <v/>
      </c>
      <c r="AG201" s="127">
        <f>IFERROR(X201*'FlightConfig '!$K$17,"")</f>
        <v>2686.32</v>
      </c>
      <c r="AH201" s="127">
        <f>IFERROR(Y201*'FlightConfig '!$K$17,"")</f>
        <v>3276</v>
      </c>
      <c r="AI201" s="127">
        <f>IFERROR(Z201*'FlightConfig '!$K$17,"")</f>
        <v>1310.4000000000001</v>
      </c>
      <c r="AJ201" s="127">
        <f>IFERROR(AA201*'FlightConfig '!$K$17,"")</f>
        <v>3996.7200000000003</v>
      </c>
      <c r="AK201" s="127">
        <f>IFERROR(AB201*'FlightConfig '!$K$17,"")</f>
        <v>402.94799999999975</v>
      </c>
    </row>
    <row r="202" spans="1:37" ht="18" customHeight="1" x14ac:dyDescent="0.25">
      <c r="A202" t="s">
        <v>234</v>
      </c>
      <c r="B202" s="171">
        <v>1</v>
      </c>
      <c r="C202" s="176" t="str">
        <f t="shared" si="205"/>
        <v>CABIN CREW CLASS1104</v>
      </c>
      <c r="D202" s="294"/>
      <c r="E202" s="306">
        <v>1138</v>
      </c>
      <c r="F202" s="311">
        <v>104</v>
      </c>
      <c r="G202" t="str">
        <f>VLOOKUP(E202,'FG MASTER'!$A$10:$AB$218,2,0)</f>
        <v>CREW C1 DINNER HARD BOILED EGG WITH TURKEY CUBES AND CHEDDAR</v>
      </c>
      <c r="H202" s="286">
        <v>1</v>
      </c>
      <c r="I202" s="173">
        <v>1</v>
      </c>
      <c r="J202" s="292">
        <f>IFERROR(IF(I202="std",H202,HLOOKUP(A202,'FlightConfig '!$B$28:$G$29,2,0)*I202),"")</f>
        <v>6</v>
      </c>
      <c r="K202" s="245">
        <f>VLOOKUP(Food!E202,'FG MASTER'!$A$1:$AC$536,16,0)</f>
        <v>2.08</v>
      </c>
      <c r="L202" s="246">
        <f>VLOOKUP(Food!E202,'FG MASTER'!$A$10:$AC$536,17,0)</f>
        <v>1</v>
      </c>
      <c r="M202" s="132">
        <f t="shared" ref="M202:M215" si="223">IFERROR(L202*$M$2,"")</f>
        <v>0.4</v>
      </c>
      <c r="N202" s="132">
        <f t="shared" si="206"/>
        <v>2.48</v>
      </c>
      <c r="O202" s="132">
        <f t="shared" si="84"/>
        <v>0.31199999999999983</v>
      </c>
      <c r="P202" s="132">
        <f t="shared" si="85"/>
        <v>5.9999999999999942E-2</v>
      </c>
      <c r="Q202" s="132">
        <f t="shared" si="192"/>
        <v>2.8519999999999999</v>
      </c>
      <c r="R202" s="405">
        <f t="shared" si="87"/>
        <v>2.3919999999999999</v>
      </c>
      <c r="S202" s="405">
        <f t="shared" si="88"/>
        <v>0.45999999999999996</v>
      </c>
      <c r="T202" s="405">
        <f t="shared" si="89"/>
        <v>2.8519999999999999</v>
      </c>
      <c r="U202" s="127"/>
      <c r="V202" s="127"/>
      <c r="W202" t="str">
        <f>IFERROR(#REF!*J202,"")</f>
        <v/>
      </c>
      <c r="X202">
        <f t="shared" si="90"/>
        <v>12.48</v>
      </c>
      <c r="Y202">
        <f t="shared" si="91"/>
        <v>6</v>
      </c>
      <c r="Z202" s="127">
        <f t="shared" si="92"/>
        <v>2.4000000000000004</v>
      </c>
      <c r="AA202" s="127">
        <f t="shared" si="93"/>
        <v>14.879999999999999</v>
      </c>
      <c r="AB202" s="127">
        <f t="shared" si="94"/>
        <v>1.871999999999999</v>
      </c>
      <c r="AC202" s="127">
        <f t="shared" si="221"/>
        <v>0.35999999999999965</v>
      </c>
      <c r="AD202" s="127">
        <f t="shared" si="222"/>
        <v>17.111999999999998</v>
      </c>
      <c r="AF202" s="127" t="str">
        <f>IFERROR(W202*'FlightConfig '!$K$3,"")</f>
        <v/>
      </c>
      <c r="AG202" s="127">
        <f>IFERROR(X202*'FlightConfig '!$K$17,"")</f>
        <v>4542.72</v>
      </c>
      <c r="AH202" s="127">
        <f>IFERROR(Y202*'FlightConfig '!$K$17,"")</f>
        <v>2184</v>
      </c>
      <c r="AI202" s="127">
        <f>IFERROR(Z202*'FlightConfig '!$K$17,"")</f>
        <v>873.60000000000014</v>
      </c>
      <c r="AJ202" s="127">
        <f>IFERROR(AA202*'FlightConfig '!$K$17,"")</f>
        <v>5416.32</v>
      </c>
      <c r="AK202" s="127">
        <f>IFERROR(AB202*'FlightConfig '!$K$17,"")</f>
        <v>681.40799999999967</v>
      </c>
    </row>
    <row r="203" spans="1:37" ht="18" customHeight="1" x14ac:dyDescent="0.25">
      <c r="A203" t="s">
        <v>234</v>
      </c>
      <c r="B203" s="171">
        <v>1</v>
      </c>
      <c r="C203" s="176" t="str">
        <f t="shared" si="205"/>
        <v>CABIN CREW CLASS1104</v>
      </c>
      <c r="D203" s="294"/>
      <c r="E203" s="304">
        <v>1139</v>
      </c>
      <c r="F203" s="311">
        <v>104</v>
      </c>
      <c r="G203" t="str">
        <f>VLOOKUP(E203,'FG MASTER'!$A$10:$AB$218,2,0)</f>
        <v xml:space="preserve">CREW C1 DINNER WHOLE FRUIT APPLE AND ORANGE </v>
      </c>
      <c r="H203" s="286">
        <v>1</v>
      </c>
      <c r="I203" s="173">
        <v>1</v>
      </c>
      <c r="J203" s="292">
        <f>IFERROR(IF(I203="std",H203,HLOOKUP(A203,'FlightConfig '!$B$28:$G$29,2,0)*I203),"")</f>
        <v>6</v>
      </c>
      <c r="K203" s="245">
        <f>VLOOKUP(Food!E203,'FG MASTER'!$A$1:$AC$536,16,0)</f>
        <v>1.323</v>
      </c>
      <c r="L203" s="246">
        <f>VLOOKUP(Food!E203,'FG MASTER'!$A$10:$AC$536,17,0)</f>
        <v>1</v>
      </c>
      <c r="M203" s="132">
        <f t="shared" si="223"/>
        <v>0.4</v>
      </c>
      <c r="N203" s="132">
        <f t="shared" si="206"/>
        <v>1.7229999999999999</v>
      </c>
      <c r="O203" s="132">
        <f t="shared" si="84"/>
        <v>0.19844999999999979</v>
      </c>
      <c r="P203" s="132">
        <f t="shared" si="85"/>
        <v>5.9999999999999942E-2</v>
      </c>
      <c r="Q203" s="132">
        <f t="shared" si="192"/>
        <v>1.9814499999999997</v>
      </c>
      <c r="R203" s="405">
        <f t="shared" si="87"/>
        <v>1.5214499999999997</v>
      </c>
      <c r="S203" s="405">
        <f t="shared" si="88"/>
        <v>0.45999999999999996</v>
      </c>
      <c r="T203" s="405">
        <f t="shared" si="89"/>
        <v>1.9814499999999997</v>
      </c>
      <c r="U203" s="127"/>
      <c r="V203" s="127"/>
      <c r="W203" t="str">
        <f>IFERROR(#REF!*J203,"")</f>
        <v/>
      </c>
      <c r="X203">
        <f t="shared" si="90"/>
        <v>7.9379999999999997</v>
      </c>
      <c r="Y203">
        <f t="shared" si="91"/>
        <v>6</v>
      </c>
      <c r="Z203" s="127">
        <f t="shared" si="92"/>
        <v>2.4000000000000004</v>
      </c>
      <c r="AA203" s="127">
        <f t="shared" si="93"/>
        <v>10.337999999999999</v>
      </c>
      <c r="AB203" s="127">
        <f t="shared" si="94"/>
        <v>1.1906999999999988</v>
      </c>
      <c r="AC203" s="127">
        <f t="shared" si="221"/>
        <v>0.35999999999999965</v>
      </c>
      <c r="AD203" s="127">
        <f t="shared" si="222"/>
        <v>11.888699999999998</v>
      </c>
      <c r="AF203" s="127" t="str">
        <f>IFERROR(W203*'FlightConfig '!$K$3,"")</f>
        <v/>
      </c>
      <c r="AG203" s="127">
        <f>IFERROR(X203*'FlightConfig '!$K$17,"")</f>
        <v>2889.4319999999998</v>
      </c>
      <c r="AH203" s="127">
        <f>IFERROR(Y203*'FlightConfig '!$K$17,"")</f>
        <v>2184</v>
      </c>
      <c r="AI203" s="127">
        <f>IFERROR(Z203*'FlightConfig '!$K$17,"")</f>
        <v>873.60000000000014</v>
      </c>
      <c r="AJ203" s="127">
        <f>IFERROR(AA203*'FlightConfig '!$K$17,"")</f>
        <v>3763.0319999999997</v>
      </c>
      <c r="AK203" s="127">
        <f>IFERROR(AB203*'FlightConfig '!$K$17,"")</f>
        <v>433.41479999999956</v>
      </c>
    </row>
    <row r="204" spans="1:37" ht="18" customHeight="1" x14ac:dyDescent="0.25">
      <c r="A204" t="s">
        <v>234</v>
      </c>
      <c r="B204" s="171">
        <v>1</v>
      </c>
      <c r="C204" s="176" t="str">
        <f t="shared" si="205"/>
        <v>CABIN CREW CLASS1104</v>
      </c>
      <c r="D204" s="294"/>
      <c r="E204" s="305">
        <v>1140</v>
      </c>
      <c r="F204" s="311">
        <v>104</v>
      </c>
      <c r="G204" t="str">
        <f>VLOOKUP(E204,'FG MASTER'!$A$10:$AB$218,2,0)</f>
        <v>CREW C1 DINNER ENTRÉE 1 VEGAN TOFU THAI GREEN CURRY WITH WHITE RICE, STIR FRIED VEGETABLES</v>
      </c>
      <c r="H204" s="286">
        <v>1</v>
      </c>
      <c r="I204" s="173">
        <v>0.5</v>
      </c>
      <c r="J204" s="292">
        <f>IFERROR(IF(I204="std",H204,HLOOKUP(A204,'FlightConfig '!$B$28:$G$29,2,0)*I204),"")</f>
        <v>3</v>
      </c>
      <c r="K204" s="245">
        <f>VLOOKUP(Food!E204,'FG MASTER'!$A$1:$AC$536,16,0)</f>
        <v>2.16</v>
      </c>
      <c r="L204" s="246">
        <f>VLOOKUP(Food!E204,'FG MASTER'!$A$10:$AC$536,17,0)</f>
        <v>3.75</v>
      </c>
      <c r="M204" s="132">
        <f t="shared" si="223"/>
        <v>1.5</v>
      </c>
      <c r="N204" s="132">
        <f t="shared" si="206"/>
        <v>3.66</v>
      </c>
      <c r="O204" s="132">
        <f t="shared" si="84"/>
        <v>0.32399999999999984</v>
      </c>
      <c r="P204" s="132">
        <f t="shared" si="85"/>
        <v>0.22499999999999987</v>
      </c>
      <c r="Q204" s="132">
        <f t="shared" si="192"/>
        <v>4.2089999999999996</v>
      </c>
      <c r="R204" s="405">
        <f t="shared" si="87"/>
        <v>2.484</v>
      </c>
      <c r="S204" s="405">
        <f t="shared" si="88"/>
        <v>1.7249999999999999</v>
      </c>
      <c r="T204" s="405">
        <f t="shared" si="89"/>
        <v>4.2089999999999996</v>
      </c>
      <c r="U204" s="127"/>
      <c r="V204" s="127"/>
      <c r="W204" t="str">
        <f>IFERROR(#REF!*J204,"")</f>
        <v/>
      </c>
      <c r="X204">
        <f t="shared" si="90"/>
        <v>6.48</v>
      </c>
      <c r="Y204">
        <f t="shared" si="91"/>
        <v>11.25</v>
      </c>
      <c r="Z204" s="127">
        <f t="shared" si="92"/>
        <v>4.5</v>
      </c>
      <c r="AA204" s="127">
        <f t="shared" si="93"/>
        <v>10.98</v>
      </c>
      <c r="AB204" s="127">
        <f t="shared" si="94"/>
        <v>0.97199999999999953</v>
      </c>
      <c r="AC204" s="127">
        <f t="shared" si="221"/>
        <v>0.6749999999999996</v>
      </c>
      <c r="AD204" s="127">
        <f t="shared" si="222"/>
        <v>12.626999999999999</v>
      </c>
      <c r="AF204" s="127" t="str">
        <f>IFERROR(W204*'FlightConfig '!$K$3,"")</f>
        <v/>
      </c>
      <c r="AG204" s="127">
        <f>IFERROR(X204*'FlightConfig '!$K$17,"")</f>
        <v>2358.7200000000003</v>
      </c>
      <c r="AH204" s="127">
        <f>IFERROR(Y204*'FlightConfig '!$K$17,"")</f>
        <v>4095</v>
      </c>
      <c r="AI204" s="127">
        <f>IFERROR(Z204*'FlightConfig '!$K$17,"")</f>
        <v>1638</v>
      </c>
      <c r="AJ204" s="127">
        <f>IFERROR(AA204*'FlightConfig '!$K$17,"")</f>
        <v>3996.7200000000003</v>
      </c>
      <c r="AK204" s="127">
        <f>IFERROR(AB204*'FlightConfig '!$K$17,"")</f>
        <v>353.80799999999982</v>
      </c>
    </row>
    <row r="205" spans="1:37" ht="18" customHeight="1" x14ac:dyDescent="0.25">
      <c r="A205" t="s">
        <v>234</v>
      </c>
      <c r="B205" s="171">
        <v>1</v>
      </c>
      <c r="C205" s="176" t="str">
        <f t="shared" si="205"/>
        <v>CABIN CREW CLASS1104</v>
      </c>
      <c r="D205" s="294"/>
      <c r="E205" s="305">
        <v>1141</v>
      </c>
      <c r="F205" s="311">
        <v>104</v>
      </c>
      <c r="G205" t="str">
        <f>VLOOKUP(E205,'FG MASTER'!$A$10:$AB$218,2,0)</f>
        <v xml:space="preserve">CREW C1 DINNER ENTRÉE 2 CRUSTED SALMON, MISO GLAZE, SHITAKE STICKY RICE, ROOT VEG WIT PERILLA </v>
      </c>
      <c r="H205" s="286">
        <v>1</v>
      </c>
      <c r="I205" s="173">
        <v>0.3</v>
      </c>
      <c r="J205" s="292">
        <f>IFERROR(IF(I205="std",H205,HLOOKUP(A205,'FlightConfig '!$B$28:$G$29,2,0)*I205),"")</f>
        <v>1.7999999999999998</v>
      </c>
      <c r="K205" s="245">
        <f>VLOOKUP(Food!E205,'FG MASTER'!$A$1:$AC$536,16,0)</f>
        <v>6.93</v>
      </c>
      <c r="L205" s="246">
        <f>VLOOKUP(Food!E205,'FG MASTER'!$A$10:$AC$536,17,0)</f>
        <v>6.25</v>
      </c>
      <c r="M205" s="132">
        <f t="shared" si="223"/>
        <v>2.5</v>
      </c>
      <c r="N205" s="132">
        <f t="shared" si="206"/>
        <v>9.43</v>
      </c>
      <c r="O205" s="132">
        <f t="shared" si="84"/>
        <v>1.0394999999999994</v>
      </c>
      <c r="P205" s="132">
        <f t="shared" si="85"/>
        <v>0.375</v>
      </c>
      <c r="Q205" s="132">
        <f t="shared" si="192"/>
        <v>10.8445</v>
      </c>
      <c r="R205" s="405">
        <f t="shared" si="87"/>
        <v>7.9694999999999991</v>
      </c>
      <c r="S205" s="405">
        <f t="shared" si="88"/>
        <v>2.875</v>
      </c>
      <c r="T205" s="405">
        <f t="shared" si="89"/>
        <v>10.8445</v>
      </c>
      <c r="U205" s="127"/>
      <c r="V205" s="127"/>
      <c r="W205" t="str">
        <f>IFERROR(#REF!*J205,"")</f>
        <v/>
      </c>
      <c r="X205">
        <f t="shared" si="90"/>
        <v>12.473999999999998</v>
      </c>
      <c r="Y205">
        <f t="shared" si="91"/>
        <v>11.249999999999998</v>
      </c>
      <c r="Z205" s="127">
        <f t="shared" si="92"/>
        <v>4.5</v>
      </c>
      <c r="AA205" s="127">
        <f t="shared" si="93"/>
        <v>16.973999999999997</v>
      </c>
      <c r="AB205" s="127">
        <f t="shared" si="94"/>
        <v>1.8710999999999989</v>
      </c>
      <c r="AC205" s="127">
        <f t="shared" si="221"/>
        <v>0.67499999999999993</v>
      </c>
      <c r="AD205" s="127">
        <f t="shared" si="222"/>
        <v>19.520099999999999</v>
      </c>
      <c r="AF205" s="127" t="str">
        <f>IFERROR(W205*'FlightConfig '!$K$3,"")</f>
        <v/>
      </c>
      <c r="AG205" s="127">
        <f>IFERROR(X205*'FlightConfig '!$K$17,"")</f>
        <v>4540.5359999999991</v>
      </c>
      <c r="AH205" s="127">
        <f>IFERROR(Y205*'FlightConfig '!$K$17,"")</f>
        <v>4094.9999999999995</v>
      </c>
      <c r="AI205" s="127">
        <f>IFERROR(Z205*'FlightConfig '!$K$17,"")</f>
        <v>1638</v>
      </c>
      <c r="AJ205" s="127">
        <f>IFERROR(AA205*'FlightConfig '!$K$17,"")</f>
        <v>6178.5359999999991</v>
      </c>
      <c r="AK205" s="127">
        <f>IFERROR(AB205*'FlightConfig '!$K$17,"")</f>
        <v>681.0803999999996</v>
      </c>
    </row>
    <row r="206" spans="1:37" ht="18" customHeight="1" x14ac:dyDescent="0.25">
      <c r="A206" t="s">
        <v>234</v>
      </c>
      <c r="B206" s="171">
        <v>1</v>
      </c>
      <c r="C206" s="176" t="str">
        <f t="shared" si="205"/>
        <v>CABIN CREW CLASS1104</v>
      </c>
      <c r="D206" s="294"/>
      <c r="E206" s="305">
        <v>1142</v>
      </c>
      <c r="F206" s="311">
        <v>104</v>
      </c>
      <c r="G206" t="str">
        <f>VLOOKUP(E206,'FG MASTER'!$A$10:$AB$218,2,0)</f>
        <v>CREW C1 DINNER ENTRÉE 3 LEMON CONFIT CHICKEN BREAST, GRAPE DEMI GLACE, WITH MASHED POTATO AND GREEN BEANS</v>
      </c>
      <c r="H206" s="286">
        <v>1</v>
      </c>
      <c r="I206" s="173">
        <v>0.2</v>
      </c>
      <c r="J206" s="292">
        <f>IFERROR(IF(I206="std",H206,HLOOKUP(A206,'FlightConfig '!$B$28:$G$29,2,0)*I206),"")</f>
        <v>1.2000000000000002</v>
      </c>
      <c r="K206" s="245">
        <f>VLOOKUP(Food!E206,'FG MASTER'!$A$1:$AC$536,16,0)</f>
        <v>5.72</v>
      </c>
      <c r="L206" s="246">
        <f>VLOOKUP(Food!E206,'FG MASTER'!$A$10:$AC$536,17,0)</f>
        <v>5</v>
      </c>
      <c r="M206" s="132">
        <f t="shared" si="223"/>
        <v>2</v>
      </c>
      <c r="N206" s="132">
        <f t="shared" si="206"/>
        <v>7.72</v>
      </c>
      <c r="O206" s="132">
        <f t="shared" si="84"/>
        <v>0.85799999999999965</v>
      </c>
      <c r="P206" s="132">
        <f t="shared" si="85"/>
        <v>0.29999999999999982</v>
      </c>
      <c r="Q206" s="132">
        <f t="shared" si="192"/>
        <v>8.8780000000000001</v>
      </c>
      <c r="R206" s="405">
        <f t="shared" si="87"/>
        <v>6.5779999999999994</v>
      </c>
      <c r="S206" s="405">
        <f t="shared" si="88"/>
        <v>2.2999999999999998</v>
      </c>
      <c r="T206" s="405">
        <f t="shared" si="89"/>
        <v>8.8780000000000001</v>
      </c>
      <c r="U206" s="127"/>
      <c r="V206" s="127"/>
      <c r="W206" t="str">
        <f>IFERROR(#REF!*J206,"")</f>
        <v/>
      </c>
      <c r="X206">
        <f t="shared" si="90"/>
        <v>6.8640000000000008</v>
      </c>
      <c r="Y206">
        <f t="shared" si="91"/>
        <v>6.0000000000000009</v>
      </c>
      <c r="Z206" s="127">
        <f t="shared" si="92"/>
        <v>2.4000000000000004</v>
      </c>
      <c r="AA206" s="127">
        <f t="shared" si="93"/>
        <v>9.2640000000000011</v>
      </c>
      <c r="AB206" s="127">
        <f t="shared" si="94"/>
        <v>1.0295999999999996</v>
      </c>
      <c r="AC206" s="127">
        <f t="shared" si="221"/>
        <v>0.35999999999999982</v>
      </c>
      <c r="AD206" s="127">
        <f t="shared" si="222"/>
        <v>10.653600000000001</v>
      </c>
      <c r="AF206" s="127" t="str">
        <f>IFERROR(W206*'FlightConfig '!$K$3,"")</f>
        <v/>
      </c>
      <c r="AG206" s="127">
        <f>IFERROR(X206*'FlightConfig '!$K$17,"")</f>
        <v>2498.4960000000001</v>
      </c>
      <c r="AH206" s="127">
        <f>IFERROR(Y206*'FlightConfig '!$K$17,"")</f>
        <v>2184.0000000000005</v>
      </c>
      <c r="AI206" s="127">
        <f>IFERROR(Z206*'FlightConfig '!$K$17,"")</f>
        <v>873.60000000000014</v>
      </c>
      <c r="AJ206" s="127">
        <f>IFERROR(AA206*'FlightConfig '!$K$17,"")</f>
        <v>3372.0960000000005</v>
      </c>
      <c r="AK206" s="127">
        <f>IFERROR(AB206*'FlightConfig '!$K$17,"")</f>
        <v>374.77439999999984</v>
      </c>
    </row>
    <row r="207" spans="1:37" ht="18" customHeight="1" x14ac:dyDescent="0.25">
      <c r="A207" t="s">
        <v>234</v>
      </c>
      <c r="B207" s="171">
        <v>1</v>
      </c>
      <c r="C207" s="176" t="str">
        <f t="shared" si="205"/>
        <v>CABIN CREW CLASS1104</v>
      </c>
      <c r="D207" s="294"/>
      <c r="E207" s="305">
        <v>1143</v>
      </c>
      <c r="F207" s="311">
        <v>104</v>
      </c>
      <c r="G207" t="str">
        <f>VLOOKUP(E207,'FG MASTER'!$A$10:$AB$218,2,0)</f>
        <v xml:space="preserve">CREW C1 DINNER ENTRÉE 4 CAVATAPI WITH RED WINE TOMATO RAGU SAUCE, AND IMPOSSIBLE MEATBALL </v>
      </c>
      <c r="H207" s="286">
        <v>1</v>
      </c>
      <c r="I207" s="173">
        <v>0.1</v>
      </c>
      <c r="J207" s="292">
        <f>IFERROR(IF(I207="std",H207,HLOOKUP(A207,'FlightConfig '!$B$28:$G$29,2,0)*I207),"")</f>
        <v>0.60000000000000009</v>
      </c>
      <c r="K207" s="245">
        <f>VLOOKUP(Food!E207,'FG MASTER'!$A$1:$AC$536,16,0)</f>
        <v>6.09</v>
      </c>
      <c r="L207" s="246">
        <f>VLOOKUP(Food!E207,'FG MASTER'!$A$10:$AC$536,17,0)</f>
        <v>4</v>
      </c>
      <c r="M207" s="132">
        <f t="shared" si="223"/>
        <v>1.6</v>
      </c>
      <c r="N207" s="132">
        <f>IFERROR((K207)+M207,"")</f>
        <v>7.6899999999999995</v>
      </c>
      <c r="O207" s="132">
        <f t="shared" si="84"/>
        <v>0.91349999999999909</v>
      </c>
      <c r="P207" s="132">
        <f t="shared" si="85"/>
        <v>0.23999999999999977</v>
      </c>
      <c r="Q207" s="132">
        <f t="shared" si="192"/>
        <v>8.8434999999999988</v>
      </c>
      <c r="R207" s="405">
        <f t="shared" si="87"/>
        <v>7.0034999999999989</v>
      </c>
      <c r="S207" s="405">
        <f t="shared" si="88"/>
        <v>1.8399999999999999</v>
      </c>
      <c r="T207" s="405">
        <f t="shared" si="89"/>
        <v>8.8434999999999988</v>
      </c>
      <c r="U207" s="127"/>
      <c r="V207" s="127"/>
      <c r="W207" t="str">
        <f>IFERROR(#REF!*J207,"")</f>
        <v/>
      </c>
      <c r="X207">
        <f t="shared" si="90"/>
        <v>3.6540000000000004</v>
      </c>
      <c r="Y207">
        <f t="shared" si="91"/>
        <v>2.4000000000000004</v>
      </c>
      <c r="Z207" s="127">
        <f t="shared" si="92"/>
        <v>0.96000000000000019</v>
      </c>
      <c r="AA207" s="127">
        <f t="shared" si="93"/>
        <v>4.6140000000000008</v>
      </c>
      <c r="AB207" s="127">
        <f t="shared" si="94"/>
        <v>0.54809999999999959</v>
      </c>
      <c r="AC207" s="127">
        <f t="shared" si="221"/>
        <v>0.14399999999999988</v>
      </c>
      <c r="AD207" s="127">
        <f t="shared" si="222"/>
        <v>5.3060999999999998</v>
      </c>
      <c r="AF207" s="127" t="str">
        <f>IFERROR(W207*'FlightConfig '!$K$3,"")</f>
        <v/>
      </c>
      <c r="AG207" s="127">
        <f>IFERROR(X207*'FlightConfig '!$K$17,"")</f>
        <v>1330.056</v>
      </c>
      <c r="AH207" s="127">
        <f>IFERROR(Y207*'FlightConfig '!$K$17,"")</f>
        <v>873.60000000000014</v>
      </c>
      <c r="AI207" s="127">
        <f>IFERROR(Z207*'FlightConfig '!$K$17,"")</f>
        <v>349.44000000000005</v>
      </c>
      <c r="AJ207" s="127">
        <f>IFERROR(AA207*'FlightConfig '!$K$17,"")</f>
        <v>1679.4960000000003</v>
      </c>
      <c r="AK207" s="127">
        <f>IFERROR(AB207*'FlightConfig '!$K$17,"")</f>
        <v>199.50839999999985</v>
      </c>
    </row>
    <row r="208" spans="1:37" ht="18" customHeight="1" x14ac:dyDescent="0.25">
      <c r="A208" t="s">
        <v>234</v>
      </c>
      <c r="B208" s="171">
        <v>1</v>
      </c>
      <c r="C208" s="176" t="str">
        <f t="shared" si="205"/>
        <v>CABIN CREW CLASS1104</v>
      </c>
      <c r="D208" s="294"/>
      <c r="E208" s="305">
        <v>1144</v>
      </c>
      <c r="F208" s="311">
        <v>104</v>
      </c>
      <c r="G208" t="str">
        <f>VLOOKUP(E208,'FG MASTER'!$A$10:$AB$218,2,0)</f>
        <v xml:space="preserve">CREW C1 DINNER ENTRÉE 5 POTATO GNOCCHI WITH SAGE BROW BUTTER SAUCE AND MARINATED KALE </v>
      </c>
      <c r="H208" s="286">
        <v>1</v>
      </c>
      <c r="I208" s="173">
        <v>0</v>
      </c>
      <c r="J208" s="292">
        <f>IFERROR(IF(I208="std",H208,HLOOKUP(A208,'FlightConfig '!$B$28:$G$29,2,0)*I208),"")</f>
        <v>0</v>
      </c>
      <c r="K208" s="245">
        <f>VLOOKUP(Food!E208,'FG MASTER'!$A$1:$AC$536,16,0)</f>
        <v>2.0099999999999998</v>
      </c>
      <c r="L208" s="246">
        <f>VLOOKUP(Food!E208,'FG MASTER'!$A$10:$AC$536,17,0)</f>
        <v>3.75</v>
      </c>
      <c r="M208" s="132">
        <f t="shared" si="223"/>
        <v>1.5</v>
      </c>
      <c r="N208" s="132">
        <f t="shared" ref="N208:N215" si="224">IFERROR((K208)+M208,"")</f>
        <v>3.51</v>
      </c>
      <c r="O208" s="132">
        <f t="shared" si="84"/>
        <v>0.30149999999999988</v>
      </c>
      <c r="P208" s="132">
        <f t="shared" si="85"/>
        <v>0.22499999999999987</v>
      </c>
      <c r="Q208" s="132">
        <f t="shared" si="192"/>
        <v>4.0364999999999993</v>
      </c>
      <c r="R208" s="405">
        <f t="shared" si="87"/>
        <v>2.3114999999999997</v>
      </c>
      <c r="S208" s="405">
        <f t="shared" si="88"/>
        <v>1.7249999999999999</v>
      </c>
      <c r="T208" s="405">
        <f t="shared" si="89"/>
        <v>4.0364999999999993</v>
      </c>
      <c r="U208" s="127"/>
      <c r="V208" s="127"/>
      <c r="W208" t="str">
        <f>IFERROR(#REF!*J208,"")</f>
        <v/>
      </c>
      <c r="X208">
        <f t="shared" si="90"/>
        <v>0</v>
      </c>
      <c r="Y208">
        <f t="shared" si="91"/>
        <v>0</v>
      </c>
      <c r="Z208" s="127">
        <f t="shared" si="92"/>
        <v>0</v>
      </c>
      <c r="AA208" s="127">
        <f t="shared" si="93"/>
        <v>0</v>
      </c>
      <c r="AB208" s="127">
        <f t="shared" si="94"/>
        <v>0</v>
      </c>
      <c r="AC208" s="127">
        <f t="shared" si="221"/>
        <v>0</v>
      </c>
      <c r="AD208" s="127">
        <f t="shared" si="222"/>
        <v>0</v>
      </c>
      <c r="AF208" s="127" t="str">
        <f>IFERROR(W208*'FlightConfig '!$K$3,"")</f>
        <v/>
      </c>
      <c r="AG208" s="127">
        <f>IFERROR(X208*'FlightConfig '!$K$17,"")</f>
        <v>0</v>
      </c>
      <c r="AH208" s="127">
        <f>IFERROR(Y208*'FlightConfig '!$K$17,"")</f>
        <v>0</v>
      </c>
      <c r="AI208" s="127">
        <f>IFERROR(Z208*'FlightConfig '!$K$17,"")</f>
        <v>0</v>
      </c>
      <c r="AJ208" s="127">
        <f>IFERROR(AA208*'FlightConfig '!$K$17,"")</f>
        <v>0</v>
      </c>
      <c r="AK208" s="127">
        <f>IFERROR(AB208*'FlightConfig '!$K$17,"")</f>
        <v>0</v>
      </c>
    </row>
    <row r="209" spans="1:37" ht="18" customHeight="1" x14ac:dyDescent="0.25">
      <c r="A209" t="s">
        <v>234</v>
      </c>
      <c r="B209" s="171">
        <v>1</v>
      </c>
      <c r="C209" s="176" t="str">
        <f t="shared" si="205"/>
        <v>CABIN CREW CLASS1104</v>
      </c>
      <c r="D209" s="294"/>
      <c r="E209" s="305">
        <v>1145</v>
      </c>
      <c r="F209" s="311">
        <v>104</v>
      </c>
      <c r="G209" t="str">
        <f>VLOOKUP(E209,'FG MASTER'!$A$10:$AB$218,2,0)</f>
        <v>CREW C1 SANDWICH 1 HUMMUS, SPROUT TORTILLA WRAP</v>
      </c>
      <c r="H209" s="286">
        <v>1</v>
      </c>
      <c r="I209" s="173">
        <v>0.5</v>
      </c>
      <c r="J209" s="292">
        <f>IFERROR(IF(I209="std",H209,HLOOKUP(A209,'FlightConfig '!$B$28:$G$29,2,0)*I209),"")</f>
        <v>3</v>
      </c>
      <c r="K209" s="245">
        <f>VLOOKUP(Food!E209,'FG MASTER'!$A$1:$AC$536,16,0)</f>
        <v>1.96</v>
      </c>
      <c r="L209" s="246">
        <f>VLOOKUP(Food!E209,'FG MASTER'!$A$10:$AC$536,17,0)</f>
        <v>1.5</v>
      </c>
      <c r="M209" s="132">
        <f t="shared" si="223"/>
        <v>0.60000000000000009</v>
      </c>
      <c r="N209" s="132">
        <f t="shared" si="224"/>
        <v>2.56</v>
      </c>
      <c r="O209" s="132">
        <f t="shared" si="84"/>
        <v>0.29400000000000004</v>
      </c>
      <c r="P209" s="132">
        <f t="shared" si="85"/>
        <v>8.9999999999999969E-2</v>
      </c>
      <c r="Q209" s="132">
        <f t="shared" si="192"/>
        <v>2.944</v>
      </c>
      <c r="R209" s="405">
        <f t="shared" si="87"/>
        <v>2.254</v>
      </c>
      <c r="S209" s="405">
        <f t="shared" si="88"/>
        <v>0.69000000000000006</v>
      </c>
      <c r="T209" s="405">
        <f t="shared" si="89"/>
        <v>2.944</v>
      </c>
      <c r="U209" s="127"/>
      <c r="V209" s="127"/>
      <c r="W209" t="str">
        <f>IFERROR(#REF!*J209,"")</f>
        <v/>
      </c>
      <c r="X209">
        <f t="shared" si="90"/>
        <v>5.88</v>
      </c>
      <c r="Y209">
        <f t="shared" si="91"/>
        <v>4.5</v>
      </c>
      <c r="Z209" s="127">
        <f t="shared" si="92"/>
        <v>1.8000000000000003</v>
      </c>
      <c r="AA209" s="127">
        <f t="shared" si="93"/>
        <v>7.68</v>
      </c>
      <c r="AB209" s="127">
        <f t="shared" si="94"/>
        <v>0.88200000000000012</v>
      </c>
      <c r="AC209" s="127">
        <f t="shared" si="221"/>
        <v>0.26999999999999991</v>
      </c>
      <c r="AD209" s="127">
        <f t="shared" si="222"/>
        <v>8.8320000000000007</v>
      </c>
      <c r="AF209" s="127" t="str">
        <f>IFERROR(W209*'FlightConfig '!$K$3,"")</f>
        <v/>
      </c>
      <c r="AG209" s="127">
        <f>IFERROR(X209*'FlightConfig '!$K$17,"")</f>
        <v>2140.3200000000002</v>
      </c>
      <c r="AH209" s="127">
        <f>IFERROR(Y209*'FlightConfig '!$K$17,"")</f>
        <v>1638</v>
      </c>
      <c r="AI209" s="127">
        <f>IFERROR(Z209*'FlightConfig '!$K$17,"")</f>
        <v>655.20000000000005</v>
      </c>
      <c r="AJ209" s="127">
        <f>IFERROR(AA209*'FlightConfig '!$K$17,"")</f>
        <v>2795.52</v>
      </c>
      <c r="AK209" s="127">
        <f>IFERROR(AB209*'FlightConfig '!$K$17,"")</f>
        <v>321.04800000000006</v>
      </c>
    </row>
    <row r="210" spans="1:37" ht="18" customHeight="1" x14ac:dyDescent="0.25">
      <c r="A210" t="s">
        <v>234</v>
      </c>
      <c r="B210" s="171">
        <v>1</v>
      </c>
      <c r="C210" s="176" t="str">
        <f t="shared" si="205"/>
        <v>CABIN CREW CLASS1104</v>
      </c>
      <c r="D210" s="294"/>
      <c r="E210" s="305">
        <v>1146</v>
      </c>
      <c r="F210" s="311">
        <v>104</v>
      </c>
      <c r="G210" t="str">
        <f>VLOOKUP(E210,'FG MASTER'!$A$10:$AB$218,2,0)</f>
        <v xml:space="preserve">CREW C1 SANDWICH 2 HAM AND PROVOLINE ON WHITE </v>
      </c>
      <c r="H210" s="286">
        <v>1</v>
      </c>
      <c r="I210" s="173">
        <v>0.3</v>
      </c>
      <c r="J210" s="292">
        <f>IFERROR(IF(I210="std",H210,HLOOKUP(A210,'FlightConfig '!$B$28:$G$29,2,0)*I210),"")</f>
        <v>1.7999999999999998</v>
      </c>
      <c r="K210" s="245">
        <f>VLOOKUP(Food!E210,'FG MASTER'!$A$1:$AC$536,16,0)</f>
        <v>1.68</v>
      </c>
      <c r="L210" s="246">
        <f>VLOOKUP(Food!E210,'FG MASTER'!$A$10:$AC$536,17,0)</f>
        <v>1.5</v>
      </c>
      <c r="M210" s="132">
        <f t="shared" si="223"/>
        <v>0.60000000000000009</v>
      </c>
      <c r="N210" s="132">
        <f t="shared" si="224"/>
        <v>2.2800000000000002</v>
      </c>
      <c r="O210" s="132">
        <f t="shared" si="84"/>
        <v>0.25199999999999978</v>
      </c>
      <c r="P210" s="132">
        <f t="shared" si="85"/>
        <v>8.9999999999999969E-2</v>
      </c>
      <c r="Q210" s="132">
        <f t="shared" si="192"/>
        <v>2.6219999999999999</v>
      </c>
      <c r="R210" s="405">
        <f t="shared" si="87"/>
        <v>1.9319999999999997</v>
      </c>
      <c r="S210" s="405">
        <f t="shared" si="88"/>
        <v>0.69000000000000006</v>
      </c>
      <c r="T210" s="405">
        <f t="shared" si="89"/>
        <v>2.6219999999999999</v>
      </c>
      <c r="U210" s="127"/>
      <c r="V210" s="127"/>
      <c r="W210" t="str">
        <f>IFERROR(#REF!*J210,"")</f>
        <v/>
      </c>
      <c r="X210">
        <f t="shared" si="90"/>
        <v>3.0239999999999996</v>
      </c>
      <c r="Y210">
        <f t="shared" si="91"/>
        <v>2.6999999999999997</v>
      </c>
      <c r="Z210" s="127">
        <f t="shared" si="92"/>
        <v>1.08</v>
      </c>
      <c r="AA210" s="127">
        <f t="shared" si="93"/>
        <v>4.1040000000000001</v>
      </c>
      <c r="AB210" s="127">
        <f t="shared" si="94"/>
        <v>0.45359999999999956</v>
      </c>
      <c r="AC210" s="127">
        <f t="shared" si="221"/>
        <v>0.16199999999999992</v>
      </c>
      <c r="AD210" s="127">
        <f t="shared" si="222"/>
        <v>4.7195999999999989</v>
      </c>
      <c r="AF210" s="127" t="str">
        <f>IFERROR(W210*'FlightConfig '!$K$3,"")</f>
        <v/>
      </c>
      <c r="AG210" s="127">
        <f>IFERROR(X210*'FlightConfig '!$K$17,"")</f>
        <v>1100.7359999999999</v>
      </c>
      <c r="AH210" s="127">
        <f>IFERROR(Y210*'FlightConfig '!$K$17,"")</f>
        <v>982.8</v>
      </c>
      <c r="AI210" s="127">
        <f>IFERROR(Z210*'FlightConfig '!$K$17,"")</f>
        <v>393.12</v>
      </c>
      <c r="AJ210" s="127">
        <f>IFERROR(AA210*'FlightConfig '!$K$17,"")</f>
        <v>1493.856</v>
      </c>
      <c r="AK210" s="127">
        <f>IFERROR(AB210*'FlightConfig '!$K$17,"")</f>
        <v>165.11039999999983</v>
      </c>
    </row>
    <row r="211" spans="1:37" ht="18" customHeight="1" x14ac:dyDescent="0.25">
      <c r="A211" t="s">
        <v>234</v>
      </c>
      <c r="B211" s="171">
        <v>1</v>
      </c>
      <c r="C211" s="176" t="str">
        <f>CONCATENATE(A211&amp;B211&amp;F211)</f>
        <v>CABIN CREW CLASS1104</v>
      </c>
      <c r="D211" s="294"/>
      <c r="E211" s="305">
        <v>1147</v>
      </c>
      <c r="F211" s="311">
        <v>104</v>
      </c>
      <c r="G211" t="str">
        <f>VLOOKUP(E211,'FG MASTER'!$A$10:$AB$218,2,0)</f>
        <v>CREW C1 SANDWICH 3 ROAST BEEF AND CHEDDAR ON HOAGIE</v>
      </c>
      <c r="H211" s="286">
        <v>1</v>
      </c>
      <c r="I211" s="173">
        <v>0.2</v>
      </c>
      <c r="J211" s="292">
        <f>IFERROR(IF(I211="std",H211,HLOOKUP(A211,'FlightConfig '!$B$28:$G$29,2,0)*I211),"")</f>
        <v>1.2000000000000002</v>
      </c>
      <c r="K211" s="245">
        <f>VLOOKUP(Food!E211,'FG MASTER'!$A$1:$AC$536,16,0)</f>
        <v>2.2999999999999998</v>
      </c>
      <c r="L211" s="246">
        <f>VLOOKUP(Food!E211,'FG MASTER'!$A$10:$AC$536,17,0)</f>
        <v>1.5</v>
      </c>
      <c r="M211" s="132">
        <f t="shared" si="223"/>
        <v>0.60000000000000009</v>
      </c>
      <c r="N211" s="132">
        <f t="shared" si="224"/>
        <v>2.9</v>
      </c>
      <c r="O211" s="132">
        <f t="shared" ref="O211:O216" si="225">IFERROR($K211*(1+$O$2)-$K211,0)</f>
        <v>0.34499999999999975</v>
      </c>
      <c r="P211" s="132">
        <f t="shared" ref="P211:P216" si="226">IFERROR($M211*(1+$P$2)-$M211,0)</f>
        <v>8.9999999999999969E-2</v>
      </c>
      <c r="Q211" s="132">
        <f t="shared" ref="Q211:Q215" si="227">SUM(N211:P211)</f>
        <v>3.3349999999999995</v>
      </c>
      <c r="R211" s="405">
        <f t="shared" ref="R211:R215" si="228">K211*(1+$O$2)</f>
        <v>2.6449999999999996</v>
      </c>
      <c r="S211" s="405">
        <f t="shared" ref="S211:S215" si="229">M211*(1+$P$2)</f>
        <v>0.69000000000000006</v>
      </c>
      <c r="T211" s="405">
        <f t="shared" ref="T211:T215" si="230">R211+S211</f>
        <v>3.3349999999999995</v>
      </c>
      <c r="U211" s="127"/>
      <c r="V211" s="127"/>
      <c r="W211" t="str">
        <f>IFERROR(#REF!*J211,"")</f>
        <v/>
      </c>
      <c r="X211">
        <f t="shared" ref="X211:X215" si="231">IFERROR(K211*J211,"")</f>
        <v>2.7600000000000002</v>
      </c>
      <c r="Y211">
        <f t="shared" ref="Y211:Y215" si="232">IFERROR(+L211*J211,"")</f>
        <v>1.8000000000000003</v>
      </c>
      <c r="Z211" s="127">
        <f t="shared" ref="Z211:Z215" si="233">IFERROR(+M211*J211,"")</f>
        <v>0.7200000000000002</v>
      </c>
      <c r="AA211" s="127">
        <f t="shared" ref="AA211:AA215" si="234">IFERROR(+N211*J211,"")</f>
        <v>3.4800000000000004</v>
      </c>
      <c r="AB211" s="127">
        <f t="shared" ref="AB211:AB215" si="235">IFERROR(O211*$J211,"")</f>
        <v>0.41399999999999976</v>
      </c>
      <c r="AC211" s="127">
        <f t="shared" si="221"/>
        <v>0.10799999999999998</v>
      </c>
      <c r="AD211" s="127">
        <f t="shared" si="222"/>
        <v>4.0019999999999998</v>
      </c>
      <c r="AF211" s="127" t="str">
        <f>IFERROR(W211*'FlightConfig '!$K$3,"")</f>
        <v/>
      </c>
      <c r="AG211" s="127">
        <f>IFERROR(X211*'FlightConfig '!$K$17,"")</f>
        <v>1004.6400000000001</v>
      </c>
      <c r="AH211" s="127">
        <f>IFERROR(Y211*'FlightConfig '!$K$17,"")</f>
        <v>655.20000000000005</v>
      </c>
      <c r="AI211" s="127">
        <f>IFERROR(Z211*'FlightConfig '!$K$17,"")</f>
        <v>262.0800000000001</v>
      </c>
      <c r="AJ211" s="127">
        <f>IFERROR(AA211*'FlightConfig '!$K$17,"")</f>
        <v>1266.7200000000003</v>
      </c>
      <c r="AK211" s="127">
        <f>IFERROR(AB211*'FlightConfig '!$K$17,"")</f>
        <v>150.69599999999991</v>
      </c>
    </row>
    <row r="212" spans="1:37" ht="18" customHeight="1" x14ac:dyDescent="0.25">
      <c r="A212" t="s">
        <v>234</v>
      </c>
      <c r="B212" s="171">
        <v>1</v>
      </c>
      <c r="C212" s="176" t="str">
        <f t="shared" ref="C212:C215" si="236">CONCATENATE(A212&amp;B212&amp;F212)</f>
        <v>CABIN CREW CLASS1104</v>
      </c>
      <c r="D212" s="294"/>
      <c r="E212" s="305">
        <v>1148</v>
      </c>
      <c r="F212" s="311">
        <v>104</v>
      </c>
      <c r="G212" t="str">
        <f>VLOOKUP(E212,'FG MASTER'!$A$10:$AB$218,2,0)</f>
        <v>CREW C1 SANDWICH 4 CAPRESES SANDWICH ON CIABATA</v>
      </c>
      <c r="H212" s="286">
        <v>1</v>
      </c>
      <c r="I212" s="173">
        <v>0.1</v>
      </c>
      <c r="J212" s="292">
        <f>IFERROR(IF(I212="std",H212,HLOOKUP(A212,'FlightConfig '!$B$28:$G$29,2,0)*I212),"")</f>
        <v>0.60000000000000009</v>
      </c>
      <c r="K212" s="245">
        <f>VLOOKUP(Food!E212,'FG MASTER'!$A$1:$AC$536,16,0)</f>
        <v>1.63</v>
      </c>
      <c r="L212" s="246">
        <f>VLOOKUP(Food!E212,'FG MASTER'!$A$10:$AC$536,17,0)</f>
        <v>1.5</v>
      </c>
      <c r="M212" s="132">
        <f t="shared" si="223"/>
        <v>0.60000000000000009</v>
      </c>
      <c r="N212" s="132">
        <f t="shared" si="224"/>
        <v>2.23</v>
      </c>
      <c r="O212" s="132">
        <f t="shared" si="225"/>
        <v>0.24449999999999994</v>
      </c>
      <c r="P212" s="132">
        <f t="shared" si="226"/>
        <v>8.9999999999999969E-2</v>
      </c>
      <c r="Q212" s="132">
        <f t="shared" si="227"/>
        <v>2.5644999999999998</v>
      </c>
      <c r="R212" s="405">
        <f t="shared" si="228"/>
        <v>1.8744999999999998</v>
      </c>
      <c r="S212" s="405">
        <f t="shared" si="229"/>
        <v>0.69000000000000006</v>
      </c>
      <c r="T212" s="405">
        <f t="shared" si="230"/>
        <v>2.5644999999999998</v>
      </c>
      <c r="U212" s="127"/>
      <c r="V212" s="127"/>
      <c r="W212" t="str">
        <f>IFERROR(#REF!*J212,"")</f>
        <v/>
      </c>
      <c r="X212">
        <f t="shared" si="231"/>
        <v>0.97800000000000009</v>
      </c>
      <c r="Y212">
        <f t="shared" si="232"/>
        <v>0.90000000000000013</v>
      </c>
      <c r="Z212" s="127">
        <f t="shared" si="233"/>
        <v>0.3600000000000001</v>
      </c>
      <c r="AA212" s="127">
        <f t="shared" si="234"/>
        <v>1.3380000000000001</v>
      </c>
      <c r="AB212" s="127">
        <f t="shared" si="235"/>
        <v>0.1467</v>
      </c>
      <c r="AC212" s="127">
        <f t="shared" si="221"/>
        <v>5.3999999999999992E-2</v>
      </c>
      <c r="AD212" s="127">
        <f t="shared" si="222"/>
        <v>1.5387000000000002</v>
      </c>
      <c r="AF212" s="127" t="str">
        <f>IFERROR(W212*'FlightConfig '!$K$3,"")</f>
        <v/>
      </c>
      <c r="AG212" s="127">
        <f>IFERROR(X212*'FlightConfig '!$K$17,"")</f>
        <v>355.99200000000002</v>
      </c>
      <c r="AH212" s="127">
        <f>IFERROR(Y212*'FlightConfig '!$K$17,"")</f>
        <v>327.60000000000002</v>
      </c>
      <c r="AI212" s="127">
        <f>IFERROR(Z212*'FlightConfig '!$K$17,"")</f>
        <v>131.04000000000005</v>
      </c>
      <c r="AJ212" s="127">
        <f>IFERROR(AA212*'FlightConfig '!$K$17,"")</f>
        <v>487.03200000000004</v>
      </c>
      <c r="AK212" s="127">
        <f>IFERROR(AB212*'FlightConfig '!$K$17,"")</f>
        <v>53.398800000000001</v>
      </c>
    </row>
    <row r="213" spans="1:37" ht="18" customHeight="1" x14ac:dyDescent="0.25">
      <c r="A213" t="s">
        <v>234</v>
      </c>
      <c r="B213" s="171">
        <v>1</v>
      </c>
      <c r="C213" s="176" t="str">
        <f t="shared" si="236"/>
        <v>CABIN CREW CLASS1104</v>
      </c>
      <c r="D213" s="294"/>
      <c r="E213" s="305">
        <v>1149</v>
      </c>
      <c r="F213" s="311">
        <v>104</v>
      </c>
      <c r="G213" t="str">
        <f>VLOOKUP(E213,'FG MASTER'!$A$10:$AB$218,2,0)</f>
        <v>CREW C1 SANDWICH 5 TUNA SALAD ON WHEAT</v>
      </c>
      <c r="H213" s="286">
        <v>1</v>
      </c>
      <c r="I213" s="173">
        <v>0</v>
      </c>
      <c r="J213" s="292">
        <f>IFERROR(IF(I213="std",H213,HLOOKUP(A213,'FlightConfig '!$B$28:$G$29,2,0)*I213),"")</f>
        <v>0</v>
      </c>
      <c r="K213" s="245">
        <f>VLOOKUP(Food!E213,'FG MASTER'!$A$1:$AC$536,16,0)</f>
        <v>1.99</v>
      </c>
      <c r="L213" s="246">
        <f>VLOOKUP(Food!E213,'FG MASTER'!$A$10:$AC$536,17,0)</f>
        <v>1.5</v>
      </c>
      <c r="M213" s="132">
        <f t="shared" si="223"/>
        <v>0.60000000000000009</v>
      </c>
      <c r="N213" s="132">
        <f t="shared" si="224"/>
        <v>2.59</v>
      </c>
      <c r="O213" s="132">
        <f t="shared" si="225"/>
        <v>0.29849999999999999</v>
      </c>
      <c r="P213" s="132">
        <f t="shared" si="226"/>
        <v>8.9999999999999969E-2</v>
      </c>
      <c r="Q213" s="132">
        <f t="shared" si="227"/>
        <v>2.9784999999999995</v>
      </c>
      <c r="R213" s="405">
        <f t="shared" si="228"/>
        <v>2.2885</v>
      </c>
      <c r="S213" s="405">
        <f t="shared" si="229"/>
        <v>0.69000000000000006</v>
      </c>
      <c r="T213" s="405">
        <f t="shared" si="230"/>
        <v>2.9784999999999999</v>
      </c>
      <c r="U213" s="127"/>
      <c r="V213" s="127"/>
      <c r="W213" t="str">
        <f>IFERROR(#REF!*J213,"")</f>
        <v/>
      </c>
      <c r="X213">
        <f t="shared" si="231"/>
        <v>0</v>
      </c>
      <c r="Y213">
        <f t="shared" si="232"/>
        <v>0</v>
      </c>
      <c r="Z213" s="127">
        <f t="shared" si="233"/>
        <v>0</v>
      </c>
      <c r="AA213" s="127">
        <f t="shared" si="234"/>
        <v>0</v>
      </c>
      <c r="AB213" s="127">
        <f t="shared" si="235"/>
        <v>0</v>
      </c>
      <c r="AC213" s="127">
        <f t="shared" si="221"/>
        <v>0</v>
      </c>
      <c r="AD213" s="127">
        <f t="shared" si="222"/>
        <v>0</v>
      </c>
      <c r="AF213" s="127" t="str">
        <f>IFERROR(W213*'FlightConfig '!$K$3,"")</f>
        <v/>
      </c>
      <c r="AG213" s="127">
        <f>IFERROR(X213*'FlightConfig '!$K$17,"")</f>
        <v>0</v>
      </c>
      <c r="AH213" s="127">
        <f>IFERROR(Y213*'FlightConfig '!$K$17,"")</f>
        <v>0</v>
      </c>
      <c r="AI213" s="127">
        <f>IFERROR(Z213*'FlightConfig '!$K$17,"")</f>
        <v>0</v>
      </c>
      <c r="AJ213" s="127">
        <f>IFERROR(AA213*'FlightConfig '!$K$17,"")</f>
        <v>0</v>
      </c>
      <c r="AK213" s="127">
        <f>IFERROR(AB213*'FlightConfig '!$K$17,"")</f>
        <v>0</v>
      </c>
    </row>
    <row r="214" spans="1:37" ht="18" customHeight="1" x14ac:dyDescent="0.25">
      <c r="A214" t="s">
        <v>234</v>
      </c>
      <c r="B214" s="171">
        <v>1</v>
      </c>
      <c r="C214" s="176" t="str">
        <f t="shared" si="236"/>
        <v>CABIN CREW CLASS1104</v>
      </c>
      <c r="D214" s="294"/>
      <c r="E214" s="305">
        <v>1150</v>
      </c>
      <c r="F214" s="311">
        <v>104</v>
      </c>
      <c r="G214" t="str">
        <f>VLOOKUP(E214,'FG MASTER'!$A$10:$AB$218,2,0)</f>
        <v>CREW C1 BREAKFAST HOT SANDWICH 1 CROISSANT AND AGED CHEDDAR</v>
      </c>
      <c r="H214" s="286">
        <v>1</v>
      </c>
      <c r="I214" s="173">
        <v>0.4</v>
      </c>
      <c r="J214" s="292">
        <f>IFERROR(IF(I214="std",H214,HLOOKUP(A214,'FlightConfig '!$B$28:$G$29,2,0)*I214),"")</f>
        <v>2.4000000000000004</v>
      </c>
      <c r="K214" s="245">
        <f>VLOOKUP(Food!E214,'FG MASTER'!$A$1:$AC$536,16,0)</f>
        <v>1.45</v>
      </c>
      <c r="L214" s="246">
        <f>VLOOKUP(Food!E214,'FG MASTER'!$A$10:$AC$536,17,0)</f>
        <v>2</v>
      </c>
      <c r="M214" s="132">
        <f t="shared" si="223"/>
        <v>0.8</v>
      </c>
      <c r="N214" s="132">
        <f t="shared" si="224"/>
        <v>2.25</v>
      </c>
      <c r="O214" s="132">
        <f t="shared" si="225"/>
        <v>0.2174999999999998</v>
      </c>
      <c r="P214" s="132">
        <f t="shared" si="226"/>
        <v>0.11999999999999988</v>
      </c>
      <c r="Q214" s="132">
        <f t="shared" si="227"/>
        <v>2.5874999999999995</v>
      </c>
      <c r="R214" s="405">
        <f t="shared" si="228"/>
        <v>1.6674999999999998</v>
      </c>
      <c r="S214" s="405">
        <f t="shared" si="229"/>
        <v>0.91999999999999993</v>
      </c>
      <c r="T214" s="405">
        <f t="shared" si="230"/>
        <v>2.5874999999999995</v>
      </c>
      <c r="U214" s="127"/>
      <c r="V214" s="127"/>
      <c r="W214" t="str">
        <f>IFERROR(#REF!*J214,"")</f>
        <v/>
      </c>
      <c r="X214">
        <f t="shared" si="231"/>
        <v>3.4800000000000004</v>
      </c>
      <c r="Y214">
        <f t="shared" si="232"/>
        <v>4.8000000000000007</v>
      </c>
      <c r="Z214" s="127">
        <f t="shared" si="233"/>
        <v>1.9200000000000004</v>
      </c>
      <c r="AA214" s="127">
        <f t="shared" si="234"/>
        <v>5.4</v>
      </c>
      <c r="AB214" s="127">
        <f t="shared" si="235"/>
        <v>0.52199999999999958</v>
      </c>
      <c r="AC214" s="127">
        <f t="shared" si="221"/>
        <v>0.28799999999999976</v>
      </c>
      <c r="AD214" s="127">
        <f t="shared" si="222"/>
        <v>6.21</v>
      </c>
      <c r="AF214" s="127" t="str">
        <f>IFERROR(W214*'FlightConfig '!$K$3,"")</f>
        <v/>
      </c>
      <c r="AG214" s="127">
        <f>IFERROR(X214*'FlightConfig '!$K$17,"")</f>
        <v>1266.7200000000003</v>
      </c>
      <c r="AH214" s="127">
        <f>IFERROR(Y214*'FlightConfig '!$K$17,"")</f>
        <v>1747.2000000000003</v>
      </c>
      <c r="AI214" s="127">
        <f>IFERROR(Z214*'FlightConfig '!$K$17,"")</f>
        <v>698.88000000000011</v>
      </c>
      <c r="AJ214" s="127">
        <f>IFERROR(AA214*'FlightConfig '!$K$17,"")</f>
        <v>1965.6000000000001</v>
      </c>
      <c r="AK214" s="127">
        <f>IFERROR(AB214*'FlightConfig '!$K$17,"")</f>
        <v>190.00799999999984</v>
      </c>
    </row>
    <row r="215" spans="1:37" ht="18" customHeight="1" x14ac:dyDescent="0.25">
      <c r="A215" t="s">
        <v>234</v>
      </c>
      <c r="B215" s="171">
        <v>1</v>
      </c>
      <c r="C215" s="176" t="str">
        <f t="shared" si="236"/>
        <v>CABIN CREW CLASS1104</v>
      </c>
      <c r="D215" s="294"/>
      <c r="E215" s="305">
        <v>1151</v>
      </c>
      <c r="F215" s="311">
        <v>104</v>
      </c>
      <c r="G215" t="str">
        <f>VLOOKUP(E215,'FG MASTER'!$A$10:$AB$218,2,0)</f>
        <v>CREW C1 BREAKFAST HOT SANDWICH 2 CHICKEN SAUSAGE BISCUIT</v>
      </c>
      <c r="H215" s="286">
        <v>1</v>
      </c>
      <c r="I215" s="173">
        <v>0.3</v>
      </c>
      <c r="J215" s="292">
        <f>IFERROR(IF(I215="std",H215,HLOOKUP(A215,'FlightConfig '!$B$28:$G$29,2,0)*I215),"")</f>
        <v>1.7999999999999998</v>
      </c>
      <c r="K215" s="245">
        <f>VLOOKUP(Food!E215,'FG MASTER'!$A$1:$AC$536,16,0)</f>
        <v>1.45</v>
      </c>
      <c r="L215" s="246">
        <f>VLOOKUP(Food!E215,'FG MASTER'!$A$10:$AC$536,17,0)</f>
        <v>2</v>
      </c>
      <c r="M215" s="132">
        <f t="shared" si="223"/>
        <v>0.8</v>
      </c>
      <c r="N215" s="132">
        <f t="shared" si="224"/>
        <v>2.25</v>
      </c>
      <c r="O215" s="132">
        <f t="shared" si="225"/>
        <v>0.2174999999999998</v>
      </c>
      <c r="P215" s="132">
        <f t="shared" si="226"/>
        <v>0.11999999999999988</v>
      </c>
      <c r="Q215" s="132">
        <f t="shared" si="227"/>
        <v>2.5874999999999995</v>
      </c>
      <c r="R215" s="405">
        <f t="shared" si="228"/>
        <v>1.6674999999999998</v>
      </c>
      <c r="S215" s="405">
        <f t="shared" si="229"/>
        <v>0.91999999999999993</v>
      </c>
      <c r="T215" s="405">
        <f t="shared" si="230"/>
        <v>2.5874999999999995</v>
      </c>
      <c r="U215" s="127"/>
      <c r="V215" s="127"/>
      <c r="W215" t="str">
        <f>IFERROR(#REF!*J215,"")</f>
        <v/>
      </c>
      <c r="X215">
        <f t="shared" si="231"/>
        <v>2.61</v>
      </c>
      <c r="Y215">
        <f t="shared" si="232"/>
        <v>3.5999999999999996</v>
      </c>
      <c r="Z215" s="127">
        <f t="shared" si="233"/>
        <v>1.44</v>
      </c>
      <c r="AA215" s="127">
        <f t="shared" si="234"/>
        <v>4.05</v>
      </c>
      <c r="AB215" s="127">
        <f t="shared" si="235"/>
        <v>0.39149999999999963</v>
      </c>
      <c r="AC215" s="127">
        <f t="shared" si="221"/>
        <v>0.21599999999999978</v>
      </c>
      <c r="AD215" s="127">
        <f t="shared" si="222"/>
        <v>4.6574999999999989</v>
      </c>
      <c r="AF215" s="127" t="str">
        <f>IFERROR(W215*'FlightConfig '!$K$3,"")</f>
        <v/>
      </c>
      <c r="AG215" s="127">
        <f>IFERROR(X215*'FlightConfig '!$K$17,"")</f>
        <v>950.04</v>
      </c>
      <c r="AH215" s="127">
        <f>IFERROR(Y215*'FlightConfig '!$K$17,"")</f>
        <v>1310.3999999999999</v>
      </c>
      <c r="AI215" s="127">
        <f>IFERROR(Z215*'FlightConfig '!$K$17,"")</f>
        <v>524.16</v>
      </c>
      <c r="AJ215" s="127">
        <f>IFERROR(AA215*'FlightConfig '!$K$17,"")</f>
        <v>1474.2</v>
      </c>
      <c r="AK215" s="127">
        <f>IFERROR(AB215*'FlightConfig '!$K$17,"")</f>
        <v>142.50599999999986</v>
      </c>
    </row>
    <row r="216" spans="1:37" ht="18" customHeight="1" x14ac:dyDescent="0.25">
      <c r="A216" t="s">
        <v>234</v>
      </c>
      <c r="B216" s="171">
        <v>1</v>
      </c>
      <c r="C216" s="176" t="str">
        <f t="shared" ref="C216" si="237">CONCATENATE(A216&amp;B216&amp;F216)</f>
        <v>CABIN CREW CLASS1104</v>
      </c>
      <c r="D216" s="294"/>
      <c r="E216" s="305">
        <v>1152</v>
      </c>
      <c r="F216" s="311">
        <v>104</v>
      </c>
      <c r="G216" t="str">
        <f>VLOOKUP(E216,'FG MASTER'!$A$10:$AB$218,2,0)</f>
        <v xml:space="preserve">CREW C1 BREAKFAST HOT SANDWICH 3 BACON ROLL </v>
      </c>
      <c r="H216" s="286">
        <v>1</v>
      </c>
      <c r="I216" s="173">
        <v>0.3</v>
      </c>
      <c r="J216" s="292">
        <f>IFERROR(IF(I216="std",H216,HLOOKUP(A216,'FlightConfig '!$B$28:$G$29,2,0)*I216),"")</f>
        <v>1.7999999999999998</v>
      </c>
      <c r="K216" s="245">
        <f>VLOOKUP(Food!E216,'FG MASTER'!$A$1:$AC$536,16,0)</f>
        <v>1.65</v>
      </c>
      <c r="L216" s="246">
        <f>VLOOKUP(Food!E216,'FG MASTER'!$A$10:$AC$536,17,0)</f>
        <v>2</v>
      </c>
      <c r="M216" s="132">
        <f t="shared" ref="M216" si="238">IFERROR(L216*$M$2,"")</f>
        <v>0.8</v>
      </c>
      <c r="N216" s="132">
        <f t="shared" ref="N216" si="239">IFERROR((K216)+M216,"")</f>
        <v>2.4500000000000002</v>
      </c>
      <c r="O216" s="132">
        <f t="shared" si="225"/>
        <v>0.24749999999999983</v>
      </c>
      <c r="P216" s="132">
        <f t="shared" si="226"/>
        <v>0.11999999999999988</v>
      </c>
      <c r="Q216" s="132">
        <f t="shared" ref="Q216" si="240">SUM(N216:P216)</f>
        <v>2.8174999999999999</v>
      </c>
      <c r="R216" s="405">
        <f t="shared" ref="R216" si="241">K216*(1+$O$2)</f>
        <v>1.8974999999999997</v>
      </c>
      <c r="S216" s="405">
        <f t="shared" ref="S216" si="242">M216*(1+$P$2)</f>
        <v>0.91999999999999993</v>
      </c>
      <c r="T216" s="405">
        <f t="shared" ref="T216" si="243">R216+S216</f>
        <v>2.8174999999999999</v>
      </c>
      <c r="U216" s="127"/>
      <c r="V216" s="127"/>
      <c r="W216" t="str">
        <f>IFERROR(#REF!*J216,"")</f>
        <v/>
      </c>
      <c r="X216">
        <f t="shared" ref="X216" si="244">IFERROR(K216*J216,"")</f>
        <v>2.9699999999999998</v>
      </c>
      <c r="Y216">
        <f t="shared" ref="Y216" si="245">IFERROR(+L216*J216,"")</f>
        <v>3.5999999999999996</v>
      </c>
      <c r="Z216" s="127">
        <f t="shared" ref="Z216" si="246">IFERROR(+M216*J216,"")</f>
        <v>1.44</v>
      </c>
      <c r="AA216" s="127">
        <f t="shared" ref="AA216" si="247">IFERROR(+N216*J216,"")</f>
        <v>4.41</v>
      </c>
      <c r="AB216" s="127">
        <f t="shared" ref="AB216" si="248">IFERROR(O216*$J216,"")</f>
        <v>0.44549999999999967</v>
      </c>
      <c r="AC216" s="127">
        <f t="shared" ref="AC216" si="249">IFERROR(P216*$J216,"")</f>
        <v>0.21599999999999978</v>
      </c>
      <c r="AD216" s="127">
        <f t="shared" ref="AD216" si="250">IFERROR(+Q216*J216,"")</f>
        <v>5.0714999999999995</v>
      </c>
      <c r="AF216" s="127" t="str">
        <f>IFERROR(W216*'FlightConfig '!$K$3,"")</f>
        <v/>
      </c>
      <c r="AG216" s="127">
        <f>IFERROR(X216*'FlightConfig '!$K$17,"")</f>
        <v>1081.08</v>
      </c>
      <c r="AH216" s="127">
        <f>IFERROR(Y216*'FlightConfig '!$K$17,"")</f>
        <v>1310.3999999999999</v>
      </c>
      <c r="AI216" s="127">
        <f>IFERROR(Z216*'FlightConfig '!$K$17,"")</f>
        <v>524.16</v>
      </c>
      <c r="AJ216" s="127">
        <f>IFERROR(AA216*'FlightConfig '!$K$17,"")</f>
        <v>1605.24</v>
      </c>
      <c r="AK216" s="127">
        <f>IFERROR(AB216*'FlightConfig '!$K$17,"")</f>
        <v>162.16199999999989</v>
      </c>
    </row>
    <row r="217" spans="1:37" ht="17.25" customHeight="1" x14ac:dyDescent="0.25">
      <c r="B217" s="171">
        <v>1</v>
      </c>
      <c r="C217" s="176" t="str">
        <f t="shared" ref="C217:C272" si="251">CONCATENATE(A217&amp;B217&amp;F217)</f>
        <v>1</v>
      </c>
      <c r="D217" s="316"/>
      <c r="E217" s="305"/>
      <c r="F217" s="311"/>
      <c r="G217" t="e">
        <f>VLOOKUP(E217,'FG MASTER'!$A$10:$AB$218,2,0)</f>
        <v>#N/A</v>
      </c>
      <c r="H217" s="286">
        <v>1</v>
      </c>
      <c r="I217" s="173">
        <v>1</v>
      </c>
      <c r="J217" s="292" t="str">
        <f>IFERROR(IF(I217="std",H217,HLOOKUP(A217,'FlightConfig '!$B$34:$G$35,2,0)*I217),"")</f>
        <v/>
      </c>
      <c r="K217" s="245" t="e">
        <f>VLOOKUP(Food!E217,'FG MASTER'!$A$1:$AC$536,16,0)</f>
        <v>#N/A</v>
      </c>
      <c r="L217" s="246" t="e">
        <f>VLOOKUP(Food!E217,'FG MASTER'!$A$10:$AC$536,17,0)</f>
        <v>#N/A</v>
      </c>
      <c r="M217" s="132" t="str">
        <f t="shared" ref="M217:M272" si="252">IFERROR(L217*$M$2,"")</f>
        <v/>
      </c>
      <c r="N217" s="132" t="str">
        <f t="shared" ref="N217:N272" si="253">IFERROR((K217)+M217,"")</f>
        <v/>
      </c>
      <c r="O217" s="132">
        <f t="shared" ref="O217:O261" si="254">IFERROR($K217*(1+$O$2)-$K217,0)</f>
        <v>0</v>
      </c>
      <c r="P217" s="132">
        <f t="shared" ref="P217:P261" si="255">IFERROR($M217*(1+$P$2)-$M217,0)</f>
        <v>0</v>
      </c>
      <c r="Q217" s="132">
        <f t="shared" ref="Q217:Q272" si="256">SUM(N217:P217)</f>
        <v>0</v>
      </c>
      <c r="R217" s="405" t="e">
        <f t="shared" ref="R217:R261" si="257">K217*(1+$O$2)</f>
        <v>#N/A</v>
      </c>
      <c r="S217" s="405" t="e">
        <f t="shared" ref="S217:S273" si="258">M217*(1+$P$2)</f>
        <v>#VALUE!</v>
      </c>
      <c r="T217" s="405" t="e">
        <f t="shared" ref="T217:T273" si="259">R217+S217</f>
        <v>#N/A</v>
      </c>
      <c r="U217" s="127"/>
      <c r="V217" s="127"/>
      <c r="W217" s="127"/>
      <c r="X217" s="127"/>
      <c r="Y217" s="210"/>
      <c r="Z217" s="127"/>
      <c r="AA217" s="127"/>
      <c r="AB217" s="127"/>
      <c r="AC217" s="127"/>
      <c r="AD217" s="127"/>
      <c r="AG217" s="127"/>
      <c r="AH217" s="127"/>
      <c r="AI217" s="127"/>
      <c r="AJ217" s="127"/>
      <c r="AK217" s="127"/>
    </row>
    <row r="218" spans="1:37" ht="17.25" customHeight="1" x14ac:dyDescent="0.25">
      <c r="B218" s="171">
        <v>1</v>
      </c>
      <c r="C218" s="176" t="str">
        <f t="shared" si="251"/>
        <v>1</v>
      </c>
      <c r="D218" s="316"/>
      <c r="E218" s="305"/>
      <c r="F218" s="311"/>
      <c r="G218" t="e">
        <f>VLOOKUP(E218,'FG MASTER'!$A$10:$AB$218,2,0)</f>
        <v>#N/A</v>
      </c>
      <c r="H218" s="286">
        <v>1</v>
      </c>
      <c r="I218" s="173">
        <v>1</v>
      </c>
      <c r="J218" s="292" t="str">
        <f>IFERROR(IF(I218="std",H218,HLOOKUP(A218,'FlightConfig '!$B$34:$G$35,2,0)*I218),"")</f>
        <v/>
      </c>
      <c r="K218" s="245" t="e">
        <f>VLOOKUP(Food!E218,'FG MASTER'!$A$1:$AC$536,16,0)</f>
        <v>#N/A</v>
      </c>
      <c r="L218" s="246" t="e">
        <f>VLOOKUP(Food!E218,'FG MASTER'!$A$10:$AC$536,17,0)</f>
        <v>#N/A</v>
      </c>
      <c r="M218" s="132" t="str">
        <f t="shared" si="252"/>
        <v/>
      </c>
      <c r="N218" s="132" t="str">
        <f t="shared" si="253"/>
        <v/>
      </c>
      <c r="O218" s="132">
        <f t="shared" si="254"/>
        <v>0</v>
      </c>
      <c r="P218" s="132">
        <f t="shared" si="255"/>
        <v>0</v>
      </c>
      <c r="Q218" s="132">
        <f t="shared" si="256"/>
        <v>0</v>
      </c>
      <c r="R218" s="405" t="e">
        <f t="shared" si="257"/>
        <v>#N/A</v>
      </c>
      <c r="S218" s="405" t="e">
        <f t="shared" si="258"/>
        <v>#VALUE!</v>
      </c>
      <c r="T218" s="405" t="e">
        <f t="shared" si="259"/>
        <v>#N/A</v>
      </c>
      <c r="U218" s="127"/>
      <c r="V218" s="127"/>
      <c r="W218" s="127"/>
      <c r="X218" s="127"/>
      <c r="Y218" s="210"/>
      <c r="Z218" s="127"/>
      <c r="AA218" s="127"/>
      <c r="AB218" s="127"/>
      <c r="AC218" s="127"/>
      <c r="AD218" s="127"/>
      <c r="AG218" s="127"/>
      <c r="AH218" s="127"/>
      <c r="AI218" s="127"/>
      <c r="AJ218" s="127"/>
      <c r="AK218" s="127"/>
    </row>
    <row r="219" spans="1:37" ht="17.25" customHeight="1" x14ac:dyDescent="0.25">
      <c r="B219" s="171">
        <v>1</v>
      </c>
      <c r="C219" s="176" t="str">
        <f t="shared" si="251"/>
        <v>1</v>
      </c>
      <c r="D219" s="316"/>
      <c r="E219" s="305"/>
      <c r="F219" s="311"/>
      <c r="G219" t="e">
        <f>VLOOKUP(E219,'FG MASTER'!$A$10:$AB$218,2,0)</f>
        <v>#N/A</v>
      </c>
      <c r="H219" s="286">
        <v>1</v>
      </c>
      <c r="I219" s="173">
        <v>1</v>
      </c>
      <c r="J219" s="292" t="str">
        <f>IFERROR(IF(I219="std",H219,HLOOKUP(A219,'FlightConfig '!$B$34:$G$35,2,0)*I219),"")</f>
        <v/>
      </c>
      <c r="K219" s="245" t="e">
        <f>VLOOKUP(Food!E219,'FG MASTER'!$A$1:$AC$536,16,0)</f>
        <v>#N/A</v>
      </c>
      <c r="L219" s="246" t="e">
        <f>VLOOKUP(Food!E219,'FG MASTER'!$A$10:$AC$536,17,0)</f>
        <v>#N/A</v>
      </c>
      <c r="M219" s="132" t="str">
        <f t="shared" si="252"/>
        <v/>
      </c>
      <c r="N219" s="132" t="str">
        <f t="shared" si="253"/>
        <v/>
      </c>
      <c r="O219" s="132">
        <f t="shared" si="254"/>
        <v>0</v>
      </c>
      <c r="P219" s="132">
        <f t="shared" si="255"/>
        <v>0</v>
      </c>
      <c r="Q219" s="132">
        <f t="shared" si="256"/>
        <v>0</v>
      </c>
      <c r="R219" s="405" t="e">
        <f t="shared" si="257"/>
        <v>#N/A</v>
      </c>
      <c r="S219" s="405" t="e">
        <f t="shared" si="258"/>
        <v>#VALUE!</v>
      </c>
      <c r="T219" s="405" t="e">
        <f t="shared" si="259"/>
        <v>#N/A</v>
      </c>
      <c r="U219" s="127"/>
      <c r="V219" s="127"/>
      <c r="W219" s="127"/>
      <c r="X219" s="127"/>
      <c r="Y219" s="210"/>
      <c r="Z219" s="127"/>
      <c r="AA219" s="127"/>
      <c r="AB219" s="127"/>
      <c r="AC219" s="127"/>
      <c r="AD219" s="127"/>
      <c r="AG219" s="127"/>
      <c r="AH219" s="127"/>
      <c r="AI219" s="127"/>
      <c r="AJ219" s="127"/>
      <c r="AK219" s="127"/>
    </row>
    <row r="220" spans="1:37" ht="17.25" customHeight="1" x14ac:dyDescent="0.25">
      <c r="B220" s="171">
        <v>1</v>
      </c>
      <c r="C220" s="176" t="str">
        <f t="shared" si="251"/>
        <v>1</v>
      </c>
      <c r="D220" s="316"/>
      <c r="E220" s="305"/>
      <c r="F220" s="311"/>
      <c r="G220" t="e">
        <f>VLOOKUP(E220,'FG MASTER'!$A$10:$AB$218,2,0)</f>
        <v>#N/A</v>
      </c>
      <c r="H220" s="286">
        <v>1</v>
      </c>
      <c r="I220" s="173">
        <v>1</v>
      </c>
      <c r="J220" s="292" t="str">
        <f>IFERROR(IF(I220="std",H220,HLOOKUP(A220,'FlightConfig '!$B$34:$G$35,2,0)*I220),"")</f>
        <v/>
      </c>
      <c r="K220" s="245" t="e">
        <f>VLOOKUP(Food!E220,'FG MASTER'!$A$1:$AC$536,16,0)</f>
        <v>#N/A</v>
      </c>
      <c r="L220" s="246" t="e">
        <f>VLOOKUP(Food!E220,'FG MASTER'!$A$10:$AC$536,17,0)</f>
        <v>#N/A</v>
      </c>
      <c r="M220" s="132" t="str">
        <f t="shared" si="252"/>
        <v/>
      </c>
      <c r="N220" s="132" t="str">
        <f t="shared" si="253"/>
        <v/>
      </c>
      <c r="O220" s="132">
        <f t="shared" si="254"/>
        <v>0</v>
      </c>
      <c r="P220" s="132">
        <f t="shared" si="255"/>
        <v>0</v>
      </c>
      <c r="Q220" s="132">
        <f t="shared" si="256"/>
        <v>0</v>
      </c>
      <c r="R220" s="405" t="e">
        <f t="shared" si="257"/>
        <v>#N/A</v>
      </c>
      <c r="S220" s="405" t="e">
        <f t="shared" si="258"/>
        <v>#VALUE!</v>
      </c>
      <c r="T220" s="405" t="e">
        <f t="shared" si="259"/>
        <v>#N/A</v>
      </c>
      <c r="U220" s="127"/>
      <c r="V220" s="127"/>
      <c r="W220" s="127"/>
      <c r="X220" s="127"/>
      <c r="Y220" s="210"/>
      <c r="Z220" s="127"/>
      <c r="AA220" s="127"/>
      <c r="AB220" s="127"/>
      <c r="AC220" s="127"/>
      <c r="AD220" s="127"/>
      <c r="AG220" s="127"/>
      <c r="AH220" s="127"/>
      <c r="AI220" s="127"/>
      <c r="AJ220" s="127"/>
      <c r="AK220" s="127"/>
    </row>
    <row r="221" spans="1:37" ht="17.25" customHeight="1" x14ac:dyDescent="0.25">
      <c r="B221" s="171">
        <v>1</v>
      </c>
      <c r="C221" s="176" t="str">
        <f t="shared" si="251"/>
        <v>1</v>
      </c>
      <c r="D221" s="316"/>
      <c r="E221" s="305"/>
      <c r="F221" s="311"/>
      <c r="G221" t="e">
        <f>VLOOKUP(E221,'FG MASTER'!$A$10:$AB$218,2,0)</f>
        <v>#N/A</v>
      </c>
      <c r="H221" s="286">
        <v>1</v>
      </c>
      <c r="I221" s="173">
        <v>1</v>
      </c>
      <c r="J221" s="292" t="str">
        <f>IFERROR(IF(I221="std",H221,HLOOKUP(A221,'FlightConfig '!$B$34:$G$35,2,0)*I221),"")</f>
        <v/>
      </c>
      <c r="K221" s="245" t="e">
        <f>VLOOKUP(Food!E221,'FG MASTER'!$A$1:$AC$536,16,0)</f>
        <v>#N/A</v>
      </c>
      <c r="L221" s="246" t="e">
        <f>VLOOKUP(Food!E221,'FG MASTER'!$A$10:$AC$536,17,0)</f>
        <v>#N/A</v>
      </c>
      <c r="M221" s="132" t="str">
        <f t="shared" si="252"/>
        <v/>
      </c>
      <c r="N221" s="132" t="str">
        <f t="shared" si="253"/>
        <v/>
      </c>
      <c r="O221" s="132">
        <f t="shared" si="254"/>
        <v>0</v>
      </c>
      <c r="P221" s="132">
        <f t="shared" si="255"/>
        <v>0</v>
      </c>
      <c r="Q221" s="132">
        <f t="shared" si="256"/>
        <v>0</v>
      </c>
      <c r="R221" s="405" t="e">
        <f t="shared" si="257"/>
        <v>#N/A</v>
      </c>
      <c r="S221" s="405" t="e">
        <f t="shared" si="258"/>
        <v>#VALUE!</v>
      </c>
      <c r="T221" s="405" t="e">
        <f t="shared" si="259"/>
        <v>#N/A</v>
      </c>
      <c r="U221" s="127"/>
      <c r="V221" s="127"/>
      <c r="W221" s="127"/>
      <c r="X221" s="127"/>
      <c r="Y221" s="210"/>
      <c r="Z221" s="127"/>
      <c r="AA221" s="127"/>
      <c r="AB221" s="127"/>
      <c r="AC221" s="127"/>
      <c r="AD221" s="127"/>
      <c r="AG221" s="127"/>
      <c r="AH221" s="127"/>
      <c r="AI221" s="127"/>
      <c r="AJ221" s="127"/>
      <c r="AK221" s="127"/>
    </row>
    <row r="222" spans="1:37" ht="17.25" customHeight="1" x14ac:dyDescent="0.25">
      <c r="B222" s="171">
        <v>1</v>
      </c>
      <c r="C222" s="176" t="str">
        <f t="shared" si="251"/>
        <v>1</v>
      </c>
      <c r="D222" s="316"/>
      <c r="E222" s="305"/>
      <c r="F222" s="311"/>
      <c r="G222" t="e">
        <f>VLOOKUP(E222,'FG MASTER'!$A$10:$AB$218,2,0)</f>
        <v>#N/A</v>
      </c>
      <c r="H222" s="286">
        <v>1</v>
      </c>
      <c r="I222" s="173">
        <v>1</v>
      </c>
      <c r="J222" s="292" t="str">
        <f>IFERROR(IF(I222="std",H222,HLOOKUP(A222,'FlightConfig '!$B$34:$G$35,2,0)*I222),"")</f>
        <v/>
      </c>
      <c r="K222" s="245" t="e">
        <f>VLOOKUP(Food!E222,'FG MASTER'!$A$1:$AC$536,16,0)</f>
        <v>#N/A</v>
      </c>
      <c r="L222" s="246" t="e">
        <f>VLOOKUP(Food!E222,'FG MASTER'!$A$10:$AC$536,17,0)</f>
        <v>#N/A</v>
      </c>
      <c r="M222" s="132" t="str">
        <f t="shared" si="252"/>
        <v/>
      </c>
      <c r="N222" s="132" t="str">
        <f t="shared" si="253"/>
        <v/>
      </c>
      <c r="O222" s="132">
        <f t="shared" si="254"/>
        <v>0</v>
      </c>
      <c r="P222" s="132">
        <f t="shared" si="255"/>
        <v>0</v>
      </c>
      <c r="Q222" s="132">
        <f t="shared" si="256"/>
        <v>0</v>
      </c>
      <c r="R222" s="405" t="e">
        <f t="shared" si="257"/>
        <v>#N/A</v>
      </c>
      <c r="S222" s="405" t="e">
        <f t="shared" si="258"/>
        <v>#VALUE!</v>
      </c>
      <c r="T222" s="405" t="e">
        <f t="shared" si="259"/>
        <v>#N/A</v>
      </c>
      <c r="U222" s="127"/>
      <c r="V222" s="127"/>
      <c r="W222" s="127"/>
      <c r="X222" s="127"/>
      <c r="Y222" s="210"/>
      <c r="Z222" s="127"/>
      <c r="AA222" s="127"/>
      <c r="AB222" s="127"/>
      <c r="AC222" s="127"/>
      <c r="AD222" s="127"/>
      <c r="AG222" s="127"/>
      <c r="AH222" s="127"/>
      <c r="AI222" s="127"/>
      <c r="AJ222" s="127"/>
      <c r="AK222" s="127"/>
    </row>
    <row r="223" spans="1:37" ht="17.25" customHeight="1" x14ac:dyDescent="0.25">
      <c r="B223" s="171">
        <v>1</v>
      </c>
      <c r="C223" s="176" t="str">
        <f t="shared" si="251"/>
        <v>1</v>
      </c>
      <c r="D223" s="316"/>
      <c r="E223" s="305"/>
      <c r="F223" s="311"/>
      <c r="G223" t="e">
        <f>VLOOKUP(E223,'FG MASTER'!$A$10:$AB$218,2,0)</f>
        <v>#N/A</v>
      </c>
      <c r="H223" s="286">
        <v>1</v>
      </c>
      <c r="I223" s="173">
        <v>1</v>
      </c>
      <c r="J223" s="292" t="str">
        <f>IFERROR(IF(I223="std",H223,HLOOKUP(A223,'FlightConfig '!$B$34:$G$35,2,0)*I223),"")</f>
        <v/>
      </c>
      <c r="K223" s="245" t="e">
        <f>VLOOKUP(Food!E223,'FG MASTER'!$A$1:$AC$536,16,0)</f>
        <v>#N/A</v>
      </c>
      <c r="L223" s="246" t="e">
        <f>VLOOKUP(Food!E223,'FG MASTER'!$A$10:$AC$536,17,0)</f>
        <v>#N/A</v>
      </c>
      <c r="M223" s="132" t="str">
        <f t="shared" si="252"/>
        <v/>
      </c>
      <c r="N223" s="132" t="str">
        <f t="shared" si="253"/>
        <v/>
      </c>
      <c r="O223" s="132">
        <f t="shared" si="254"/>
        <v>0</v>
      </c>
      <c r="P223" s="132">
        <f t="shared" si="255"/>
        <v>0</v>
      </c>
      <c r="Q223" s="132">
        <f t="shared" si="256"/>
        <v>0</v>
      </c>
      <c r="R223" s="405" t="e">
        <f t="shared" si="257"/>
        <v>#N/A</v>
      </c>
      <c r="S223" s="405" t="e">
        <f t="shared" si="258"/>
        <v>#VALUE!</v>
      </c>
      <c r="T223" s="405" t="e">
        <f t="shared" si="259"/>
        <v>#N/A</v>
      </c>
      <c r="U223" s="127"/>
      <c r="V223" s="127"/>
      <c r="W223" s="127"/>
      <c r="X223" s="127"/>
      <c r="Y223" s="210"/>
      <c r="Z223" s="127"/>
      <c r="AA223" s="127"/>
      <c r="AB223" s="127"/>
      <c r="AC223" s="127"/>
      <c r="AD223" s="127"/>
      <c r="AG223" s="127"/>
      <c r="AH223" s="127"/>
      <c r="AI223" s="127"/>
      <c r="AJ223" s="127"/>
      <c r="AK223" s="127"/>
    </row>
    <row r="224" spans="1:37" ht="17.25" customHeight="1" x14ac:dyDescent="0.25">
      <c r="B224" s="171">
        <v>1</v>
      </c>
      <c r="C224" s="176" t="str">
        <f t="shared" si="251"/>
        <v>1</v>
      </c>
      <c r="D224" s="316"/>
      <c r="E224" s="305"/>
      <c r="F224" s="311"/>
      <c r="G224" t="e">
        <f>VLOOKUP(E224,'FG MASTER'!$A$10:$AB$218,2,0)</f>
        <v>#N/A</v>
      </c>
      <c r="H224" s="286">
        <v>1</v>
      </c>
      <c r="I224" s="173">
        <v>1</v>
      </c>
      <c r="J224" s="292" t="str">
        <f>IFERROR(IF(I224="std",H224,HLOOKUP(A224,'FlightConfig '!$B$34:$G$35,2,0)*I224),"")</f>
        <v/>
      </c>
      <c r="K224" s="245" t="e">
        <f>VLOOKUP(Food!E224,'FG MASTER'!$A$1:$AC$536,16,0)</f>
        <v>#N/A</v>
      </c>
      <c r="L224" s="246" t="e">
        <f>VLOOKUP(Food!E224,'FG MASTER'!$A$10:$AC$536,17,0)</f>
        <v>#N/A</v>
      </c>
      <c r="M224" s="132" t="str">
        <f t="shared" si="252"/>
        <v/>
      </c>
      <c r="N224" s="132" t="str">
        <f t="shared" si="253"/>
        <v/>
      </c>
      <c r="O224" s="132">
        <f t="shared" si="254"/>
        <v>0</v>
      </c>
      <c r="P224" s="132">
        <f t="shared" si="255"/>
        <v>0</v>
      </c>
      <c r="Q224" s="132">
        <f t="shared" si="256"/>
        <v>0</v>
      </c>
      <c r="R224" s="405" t="e">
        <f t="shared" si="257"/>
        <v>#N/A</v>
      </c>
      <c r="S224" s="405" t="e">
        <f t="shared" si="258"/>
        <v>#VALUE!</v>
      </c>
      <c r="T224" s="405" t="e">
        <f t="shared" si="259"/>
        <v>#N/A</v>
      </c>
      <c r="U224" s="127"/>
      <c r="V224" s="127"/>
      <c r="W224" s="127"/>
      <c r="X224" s="127"/>
      <c r="Y224" s="210"/>
      <c r="Z224" s="127"/>
      <c r="AA224" s="127"/>
      <c r="AB224" s="127"/>
      <c r="AC224" s="127"/>
      <c r="AD224" s="127"/>
      <c r="AG224" s="127"/>
      <c r="AH224" s="127"/>
      <c r="AI224" s="127"/>
      <c r="AJ224" s="127"/>
      <c r="AK224" s="127"/>
    </row>
    <row r="225" spans="2:37" ht="17.25" customHeight="1" x14ac:dyDescent="0.25">
      <c r="B225" s="171">
        <v>1</v>
      </c>
      <c r="C225" s="176" t="str">
        <f t="shared" si="251"/>
        <v>1</v>
      </c>
      <c r="D225" s="316"/>
      <c r="E225" s="305"/>
      <c r="F225" s="311"/>
      <c r="G225" t="e">
        <f>VLOOKUP(E225,'FG MASTER'!$A$10:$AB$218,2,0)</f>
        <v>#N/A</v>
      </c>
      <c r="H225" s="286">
        <v>1</v>
      </c>
      <c r="I225" s="173">
        <v>1</v>
      </c>
      <c r="J225" s="292" t="str">
        <f>IFERROR(IF(I225="std",H225,HLOOKUP(A225,'FlightConfig '!$B$34:$G$35,2,0)*I225),"")</f>
        <v/>
      </c>
      <c r="K225" s="245" t="e">
        <f>VLOOKUP(Food!E225,'FG MASTER'!$A$1:$AC$536,16,0)</f>
        <v>#N/A</v>
      </c>
      <c r="L225" s="246" t="e">
        <f>VLOOKUP(Food!E225,'FG MASTER'!$A$10:$AC$536,17,0)</f>
        <v>#N/A</v>
      </c>
      <c r="M225" s="132" t="str">
        <f t="shared" si="252"/>
        <v/>
      </c>
      <c r="N225" s="132" t="str">
        <f t="shared" si="253"/>
        <v/>
      </c>
      <c r="O225" s="132">
        <f t="shared" si="254"/>
        <v>0</v>
      </c>
      <c r="P225" s="132">
        <f t="shared" si="255"/>
        <v>0</v>
      </c>
      <c r="Q225" s="132">
        <f t="shared" si="256"/>
        <v>0</v>
      </c>
      <c r="R225" s="405" t="e">
        <f t="shared" si="257"/>
        <v>#N/A</v>
      </c>
      <c r="S225" s="405" t="e">
        <f t="shared" si="258"/>
        <v>#VALUE!</v>
      </c>
      <c r="T225" s="405" t="e">
        <f t="shared" si="259"/>
        <v>#N/A</v>
      </c>
      <c r="U225" s="127"/>
      <c r="V225" s="127"/>
      <c r="W225" s="127"/>
      <c r="X225" s="127"/>
      <c r="Y225" s="210"/>
      <c r="Z225" s="127"/>
      <c r="AA225" s="127"/>
      <c r="AB225" s="127"/>
      <c r="AC225" s="127"/>
      <c r="AD225" s="127"/>
      <c r="AG225" s="127"/>
      <c r="AH225" s="127"/>
      <c r="AI225" s="127"/>
      <c r="AJ225" s="127"/>
      <c r="AK225" s="127"/>
    </row>
    <row r="226" spans="2:37" ht="17.25" customHeight="1" x14ac:dyDescent="0.25">
      <c r="B226" s="171">
        <v>1</v>
      </c>
      <c r="C226" s="176" t="str">
        <f t="shared" si="251"/>
        <v>1</v>
      </c>
      <c r="D226" s="316"/>
      <c r="E226" s="305"/>
      <c r="F226" s="311"/>
      <c r="G226" t="e">
        <f>VLOOKUP(E226,'FG MASTER'!$A$10:$AB$218,2,0)</f>
        <v>#N/A</v>
      </c>
      <c r="H226" s="286">
        <v>1</v>
      </c>
      <c r="I226" s="173">
        <v>1</v>
      </c>
      <c r="J226" s="292" t="str">
        <f>IFERROR(IF(I226="std",H226,HLOOKUP(A226,'FlightConfig '!$B$34:$G$35,2,0)*I226),"")</f>
        <v/>
      </c>
      <c r="K226" s="245" t="e">
        <f>VLOOKUP(Food!E226,'FG MASTER'!$A$1:$AC$536,16,0)</f>
        <v>#N/A</v>
      </c>
      <c r="L226" s="246" t="e">
        <f>VLOOKUP(Food!E226,'FG MASTER'!$A$10:$AC$536,17,0)</f>
        <v>#N/A</v>
      </c>
      <c r="M226" s="132" t="str">
        <f t="shared" si="252"/>
        <v/>
      </c>
      <c r="N226" s="132" t="str">
        <f t="shared" si="253"/>
        <v/>
      </c>
      <c r="O226" s="132">
        <f t="shared" si="254"/>
        <v>0</v>
      </c>
      <c r="P226" s="132">
        <f t="shared" si="255"/>
        <v>0</v>
      </c>
      <c r="Q226" s="132">
        <f t="shared" si="256"/>
        <v>0</v>
      </c>
      <c r="R226" s="405" t="e">
        <f t="shared" si="257"/>
        <v>#N/A</v>
      </c>
      <c r="S226" s="405" t="e">
        <f t="shared" si="258"/>
        <v>#VALUE!</v>
      </c>
      <c r="T226" s="405" t="e">
        <f t="shared" si="259"/>
        <v>#N/A</v>
      </c>
      <c r="U226" s="127"/>
      <c r="V226" s="127"/>
      <c r="W226" s="127"/>
      <c r="X226" s="127"/>
      <c r="Y226" s="210"/>
      <c r="Z226" s="127"/>
      <c r="AA226" s="127"/>
      <c r="AB226" s="127"/>
      <c r="AC226" s="127"/>
      <c r="AD226" s="127"/>
      <c r="AG226" s="127"/>
      <c r="AH226" s="127"/>
      <c r="AI226" s="127"/>
      <c r="AJ226" s="127"/>
      <c r="AK226" s="127"/>
    </row>
    <row r="227" spans="2:37" ht="17.25" customHeight="1" x14ac:dyDescent="0.25">
      <c r="B227" s="171">
        <v>1</v>
      </c>
      <c r="C227" s="176" t="str">
        <f t="shared" si="251"/>
        <v>1</v>
      </c>
      <c r="D227" s="316"/>
      <c r="E227" s="305"/>
      <c r="F227" s="311"/>
      <c r="G227" t="e">
        <f>VLOOKUP(E227,'FG MASTER'!$A$10:$AB$218,2,0)</f>
        <v>#N/A</v>
      </c>
      <c r="H227" s="286">
        <v>1</v>
      </c>
      <c r="I227" s="173">
        <v>1</v>
      </c>
      <c r="J227" s="292" t="str">
        <f>IFERROR(IF(I227="std",H227,HLOOKUP(A227,'FlightConfig '!$B$34:$G$35,2,0)*I227),"")</f>
        <v/>
      </c>
      <c r="K227" s="245" t="e">
        <f>VLOOKUP(Food!E227,'FG MASTER'!$A$1:$AC$536,16,0)</f>
        <v>#N/A</v>
      </c>
      <c r="L227" s="246" t="e">
        <f>VLOOKUP(Food!E227,'FG MASTER'!$A$10:$AC$536,17,0)</f>
        <v>#N/A</v>
      </c>
      <c r="M227" s="132" t="str">
        <f t="shared" si="252"/>
        <v/>
      </c>
      <c r="N227" s="132" t="str">
        <f t="shared" si="253"/>
        <v/>
      </c>
      <c r="O227" s="132">
        <f t="shared" si="254"/>
        <v>0</v>
      </c>
      <c r="P227" s="132">
        <f t="shared" si="255"/>
        <v>0</v>
      </c>
      <c r="Q227" s="132">
        <f t="shared" si="256"/>
        <v>0</v>
      </c>
      <c r="R227" s="405" t="e">
        <f t="shared" si="257"/>
        <v>#N/A</v>
      </c>
      <c r="S227" s="405" t="e">
        <f t="shared" si="258"/>
        <v>#VALUE!</v>
      </c>
      <c r="T227" s="405" t="e">
        <f t="shared" si="259"/>
        <v>#N/A</v>
      </c>
      <c r="U227" s="127"/>
      <c r="V227" s="127"/>
      <c r="W227" s="127"/>
      <c r="X227" s="127"/>
      <c r="Y227" s="210"/>
      <c r="Z227" s="127"/>
      <c r="AA227" s="127"/>
      <c r="AB227" s="127"/>
      <c r="AC227" s="127"/>
      <c r="AD227" s="127"/>
      <c r="AG227" s="127"/>
      <c r="AH227" s="127"/>
      <c r="AI227" s="127"/>
      <c r="AJ227" s="127"/>
      <c r="AK227" s="127"/>
    </row>
    <row r="228" spans="2:37" ht="17.25" customHeight="1" x14ac:dyDescent="0.25">
      <c r="B228" s="171">
        <v>1</v>
      </c>
      <c r="C228" s="176" t="str">
        <f t="shared" si="251"/>
        <v>1</v>
      </c>
      <c r="D228" s="316"/>
      <c r="E228" s="305"/>
      <c r="F228" s="311"/>
      <c r="G228" t="e">
        <f>VLOOKUP(E228,'FG MASTER'!$A$10:$AB$218,2,0)</f>
        <v>#N/A</v>
      </c>
      <c r="H228" s="286">
        <v>1</v>
      </c>
      <c r="I228" s="173">
        <v>1</v>
      </c>
      <c r="J228" s="292" t="str">
        <f>IFERROR(IF(I228="std",H228,HLOOKUP(A228,'FlightConfig '!$B$34:$G$35,2,0)*I228),"")</f>
        <v/>
      </c>
      <c r="K228" s="245" t="e">
        <f>VLOOKUP(Food!E228,'FG MASTER'!$A$1:$AC$536,16,0)</f>
        <v>#N/A</v>
      </c>
      <c r="L228" s="246" t="e">
        <f>VLOOKUP(Food!E228,'FG MASTER'!$A$10:$AC$536,17,0)</f>
        <v>#N/A</v>
      </c>
      <c r="M228" s="132" t="str">
        <f t="shared" si="252"/>
        <v/>
      </c>
      <c r="N228" s="132" t="str">
        <f t="shared" si="253"/>
        <v/>
      </c>
      <c r="O228" s="132">
        <f t="shared" si="254"/>
        <v>0</v>
      </c>
      <c r="P228" s="132">
        <f t="shared" si="255"/>
        <v>0</v>
      </c>
      <c r="Q228" s="132">
        <f t="shared" si="256"/>
        <v>0</v>
      </c>
      <c r="R228" s="405" t="e">
        <f t="shared" si="257"/>
        <v>#N/A</v>
      </c>
      <c r="S228" s="405" t="e">
        <f t="shared" si="258"/>
        <v>#VALUE!</v>
      </c>
      <c r="T228" s="405" t="e">
        <f t="shared" si="259"/>
        <v>#N/A</v>
      </c>
      <c r="U228" s="127"/>
      <c r="V228" s="127"/>
      <c r="W228" s="127"/>
      <c r="X228" s="127"/>
      <c r="Y228" s="210"/>
      <c r="Z228" s="127"/>
      <c r="AA228" s="127"/>
      <c r="AB228" s="127"/>
      <c r="AC228" s="127"/>
      <c r="AD228" s="127"/>
      <c r="AG228" s="127"/>
      <c r="AH228" s="127"/>
      <c r="AI228" s="127"/>
      <c r="AJ228" s="127"/>
      <c r="AK228" s="127"/>
    </row>
    <row r="229" spans="2:37" ht="17.25" customHeight="1" x14ac:dyDescent="0.25">
      <c r="B229" s="171">
        <v>1</v>
      </c>
      <c r="C229" s="176" t="str">
        <f t="shared" si="251"/>
        <v>1</v>
      </c>
      <c r="D229" s="316"/>
      <c r="E229" s="305"/>
      <c r="F229" s="311"/>
      <c r="G229" t="e">
        <f>VLOOKUP(E229,'FG MASTER'!$A$10:$AB$218,2,0)</f>
        <v>#N/A</v>
      </c>
      <c r="H229" s="286">
        <v>1</v>
      </c>
      <c r="I229" s="173">
        <v>1</v>
      </c>
      <c r="J229" s="292" t="str">
        <f>IFERROR(IF(I229="std",H229,HLOOKUP(A229,'FlightConfig '!$B$34:$G$35,2,0)*I229),"")</f>
        <v/>
      </c>
      <c r="K229" s="245" t="e">
        <f>VLOOKUP(Food!E229,'FG MASTER'!$A$1:$AC$536,16,0)</f>
        <v>#N/A</v>
      </c>
      <c r="L229" s="246" t="e">
        <f>VLOOKUP(Food!E229,'FG MASTER'!$A$10:$AC$536,17,0)</f>
        <v>#N/A</v>
      </c>
      <c r="M229" s="132" t="str">
        <f t="shared" si="252"/>
        <v/>
      </c>
      <c r="N229" s="132" t="str">
        <f t="shared" si="253"/>
        <v/>
      </c>
      <c r="O229" s="132">
        <f t="shared" si="254"/>
        <v>0</v>
      </c>
      <c r="P229" s="132">
        <f t="shared" si="255"/>
        <v>0</v>
      </c>
      <c r="Q229" s="132">
        <f t="shared" si="256"/>
        <v>0</v>
      </c>
      <c r="R229" s="405" t="e">
        <f t="shared" si="257"/>
        <v>#N/A</v>
      </c>
      <c r="S229" s="405" t="e">
        <f t="shared" si="258"/>
        <v>#VALUE!</v>
      </c>
      <c r="T229" s="405" t="e">
        <f t="shared" si="259"/>
        <v>#N/A</v>
      </c>
      <c r="U229" s="127"/>
      <c r="V229" s="127"/>
      <c r="W229" s="127"/>
      <c r="X229" s="127"/>
      <c r="Y229" s="210"/>
      <c r="Z229" s="127"/>
      <c r="AA229" s="127"/>
      <c r="AB229" s="127"/>
      <c r="AC229" s="127"/>
      <c r="AD229" s="127"/>
      <c r="AG229" s="127"/>
      <c r="AH229" s="127"/>
      <c r="AI229" s="127"/>
      <c r="AJ229" s="127"/>
      <c r="AK229" s="127"/>
    </row>
    <row r="230" spans="2:37" ht="17.25" customHeight="1" x14ac:dyDescent="0.25">
      <c r="B230" s="171">
        <v>1</v>
      </c>
      <c r="C230" s="176" t="str">
        <f t="shared" si="251"/>
        <v>1</v>
      </c>
      <c r="D230" s="316"/>
      <c r="E230" s="305"/>
      <c r="F230" s="311"/>
      <c r="G230" t="e">
        <f>VLOOKUP(E230,'FG MASTER'!$A$10:$AB$218,2,0)</f>
        <v>#N/A</v>
      </c>
      <c r="H230" s="286">
        <v>1</v>
      </c>
      <c r="I230" s="173">
        <v>1</v>
      </c>
      <c r="J230" s="292" t="str">
        <f>IFERROR(IF(I230="std",H230,HLOOKUP(A230,'FlightConfig '!$B$34:$G$35,2,0)*I230),"")</f>
        <v/>
      </c>
      <c r="K230" s="245" t="e">
        <f>VLOOKUP(Food!E230,'FG MASTER'!$A$1:$AC$536,16,0)</f>
        <v>#N/A</v>
      </c>
      <c r="L230" s="246" t="e">
        <f>VLOOKUP(Food!E230,'FG MASTER'!$A$10:$AC$536,17,0)</f>
        <v>#N/A</v>
      </c>
      <c r="M230" s="132" t="str">
        <f t="shared" si="252"/>
        <v/>
      </c>
      <c r="N230" s="132" t="str">
        <f t="shared" si="253"/>
        <v/>
      </c>
      <c r="O230" s="132">
        <f t="shared" si="254"/>
        <v>0</v>
      </c>
      <c r="P230" s="132">
        <f t="shared" si="255"/>
        <v>0</v>
      </c>
      <c r="Q230" s="132">
        <f t="shared" si="256"/>
        <v>0</v>
      </c>
      <c r="R230" s="405" t="e">
        <f t="shared" si="257"/>
        <v>#N/A</v>
      </c>
      <c r="S230" s="405" t="e">
        <f t="shared" si="258"/>
        <v>#VALUE!</v>
      </c>
      <c r="T230" s="405" t="e">
        <f t="shared" si="259"/>
        <v>#N/A</v>
      </c>
      <c r="U230" s="127"/>
      <c r="V230" s="127"/>
      <c r="W230" s="127"/>
      <c r="X230" s="127"/>
      <c r="Y230" s="210"/>
      <c r="Z230" s="127"/>
      <c r="AA230" s="127"/>
      <c r="AB230" s="127"/>
      <c r="AC230" s="127"/>
      <c r="AD230" s="127"/>
      <c r="AG230" s="127"/>
      <c r="AH230" s="127"/>
      <c r="AI230" s="127"/>
      <c r="AJ230" s="127"/>
      <c r="AK230" s="127"/>
    </row>
    <row r="231" spans="2:37" ht="17.25" customHeight="1" x14ac:dyDescent="0.25">
      <c r="B231" s="171">
        <v>1</v>
      </c>
      <c r="C231" s="176" t="str">
        <f t="shared" si="251"/>
        <v>1</v>
      </c>
      <c r="D231" s="316"/>
      <c r="E231" s="305"/>
      <c r="F231" s="311"/>
      <c r="G231" t="e">
        <f>VLOOKUP(E231,'FG MASTER'!$A$10:$AB$218,2,0)</f>
        <v>#N/A</v>
      </c>
      <c r="H231" s="286">
        <v>1</v>
      </c>
      <c r="I231" s="173">
        <v>1</v>
      </c>
      <c r="J231" s="292" t="str">
        <f>IFERROR(IF(I231="std",H231,HLOOKUP(A231,'FlightConfig '!$B$34:$G$35,2,0)*I231),"")</f>
        <v/>
      </c>
      <c r="K231" s="245" t="e">
        <f>VLOOKUP(Food!E231,'FG MASTER'!$A$1:$AC$536,16,0)</f>
        <v>#N/A</v>
      </c>
      <c r="L231" s="246" t="e">
        <f>VLOOKUP(Food!E231,'FG MASTER'!$A$10:$AC$536,17,0)</f>
        <v>#N/A</v>
      </c>
      <c r="M231" s="132" t="str">
        <f t="shared" si="252"/>
        <v/>
      </c>
      <c r="N231" s="132" t="str">
        <f t="shared" si="253"/>
        <v/>
      </c>
      <c r="O231" s="132">
        <f t="shared" si="254"/>
        <v>0</v>
      </c>
      <c r="P231" s="132">
        <f t="shared" si="255"/>
        <v>0</v>
      </c>
      <c r="Q231" s="132">
        <f t="shared" si="256"/>
        <v>0</v>
      </c>
      <c r="R231" s="405" t="e">
        <f t="shared" si="257"/>
        <v>#N/A</v>
      </c>
      <c r="S231" s="405" t="e">
        <f t="shared" si="258"/>
        <v>#VALUE!</v>
      </c>
      <c r="T231" s="405" t="e">
        <f t="shared" si="259"/>
        <v>#N/A</v>
      </c>
      <c r="U231" s="127"/>
      <c r="V231" s="127"/>
      <c r="W231" s="127"/>
      <c r="X231" s="127"/>
      <c r="Y231" s="210"/>
      <c r="Z231" s="127"/>
      <c r="AA231" s="127"/>
      <c r="AB231" s="127"/>
      <c r="AC231" s="127"/>
      <c r="AD231" s="127"/>
      <c r="AG231" s="127"/>
      <c r="AH231" s="127"/>
      <c r="AI231" s="127"/>
      <c r="AJ231" s="127"/>
      <c r="AK231" s="127"/>
    </row>
    <row r="232" spans="2:37" ht="17.25" customHeight="1" x14ac:dyDescent="0.25">
      <c r="B232" s="171">
        <v>1</v>
      </c>
      <c r="C232" s="176" t="str">
        <f t="shared" si="251"/>
        <v>1</v>
      </c>
      <c r="D232" s="316"/>
      <c r="E232" s="305"/>
      <c r="F232" s="311"/>
      <c r="G232" t="e">
        <f>VLOOKUP(E232,'FG MASTER'!$A$10:$AB$218,2,0)</f>
        <v>#N/A</v>
      </c>
      <c r="H232" s="286">
        <v>1</v>
      </c>
      <c r="I232" s="173">
        <v>1</v>
      </c>
      <c r="J232" s="292" t="str">
        <f>IFERROR(IF(I232="std",H232,HLOOKUP(A232,'FlightConfig '!$B$34:$G$35,2,0)*I232),"")</f>
        <v/>
      </c>
      <c r="K232" s="245" t="e">
        <f>VLOOKUP(Food!E232,'FG MASTER'!$A$1:$AC$536,16,0)</f>
        <v>#N/A</v>
      </c>
      <c r="L232" s="246" t="e">
        <f>VLOOKUP(Food!E232,'FG MASTER'!$A$10:$AC$536,17,0)</f>
        <v>#N/A</v>
      </c>
      <c r="M232" s="132" t="str">
        <f t="shared" si="252"/>
        <v/>
      </c>
      <c r="N232" s="132" t="str">
        <f t="shared" si="253"/>
        <v/>
      </c>
      <c r="O232" s="132">
        <f t="shared" si="254"/>
        <v>0</v>
      </c>
      <c r="P232" s="132">
        <f t="shared" si="255"/>
        <v>0</v>
      </c>
      <c r="Q232" s="132">
        <f t="shared" si="256"/>
        <v>0</v>
      </c>
      <c r="R232" s="405" t="e">
        <f t="shared" si="257"/>
        <v>#N/A</v>
      </c>
      <c r="S232" s="405" t="e">
        <f t="shared" si="258"/>
        <v>#VALUE!</v>
      </c>
      <c r="T232" s="405" t="e">
        <f t="shared" si="259"/>
        <v>#N/A</v>
      </c>
      <c r="U232" s="127"/>
      <c r="V232" s="127"/>
      <c r="W232" s="127"/>
      <c r="X232" s="127"/>
      <c r="Y232" s="210"/>
      <c r="Z232" s="127"/>
      <c r="AA232" s="127"/>
      <c r="AB232" s="127"/>
      <c r="AC232" s="127"/>
      <c r="AD232" s="127"/>
      <c r="AG232" s="127"/>
      <c r="AH232" s="127"/>
      <c r="AI232" s="127"/>
      <c r="AJ232" s="127"/>
      <c r="AK232" s="127"/>
    </row>
    <row r="233" spans="2:37" ht="17.25" customHeight="1" x14ac:dyDescent="0.25">
      <c r="B233" s="171">
        <v>1</v>
      </c>
      <c r="C233" s="176" t="str">
        <f t="shared" si="251"/>
        <v>1</v>
      </c>
      <c r="D233" s="316"/>
      <c r="E233" s="305"/>
      <c r="F233" s="311"/>
      <c r="G233" t="e">
        <f>VLOOKUP(E233,'FG MASTER'!$A$10:$AB$218,2,0)</f>
        <v>#N/A</v>
      </c>
      <c r="H233" s="286">
        <v>1</v>
      </c>
      <c r="I233" s="173">
        <v>1</v>
      </c>
      <c r="J233" s="292" t="str">
        <f>IFERROR(IF(I233="std",H233,HLOOKUP(A233,'FlightConfig '!$B$34:$G$35,2,0)*I233),"")</f>
        <v/>
      </c>
      <c r="K233" s="245" t="e">
        <f>VLOOKUP(Food!E233,'FG MASTER'!$A$1:$AC$536,16,0)</f>
        <v>#N/A</v>
      </c>
      <c r="L233" s="246" t="e">
        <f>VLOOKUP(Food!E233,'FG MASTER'!$A$10:$AC$536,17,0)</f>
        <v>#N/A</v>
      </c>
      <c r="M233" s="132" t="str">
        <f t="shared" si="252"/>
        <v/>
      </c>
      <c r="N233" s="132" t="str">
        <f t="shared" si="253"/>
        <v/>
      </c>
      <c r="O233" s="132">
        <f t="shared" si="254"/>
        <v>0</v>
      </c>
      <c r="P233" s="132">
        <f t="shared" si="255"/>
        <v>0</v>
      </c>
      <c r="Q233" s="132">
        <f t="shared" si="256"/>
        <v>0</v>
      </c>
      <c r="R233" s="405" t="e">
        <f t="shared" si="257"/>
        <v>#N/A</v>
      </c>
      <c r="S233" s="405" t="e">
        <f t="shared" si="258"/>
        <v>#VALUE!</v>
      </c>
      <c r="T233" s="405" t="e">
        <f t="shared" si="259"/>
        <v>#N/A</v>
      </c>
      <c r="U233" s="127"/>
      <c r="V233" s="127"/>
      <c r="W233" s="127"/>
      <c r="X233" s="127"/>
      <c r="Y233" s="210"/>
      <c r="Z233" s="127"/>
      <c r="AA233" s="127"/>
      <c r="AB233" s="127"/>
      <c r="AC233" s="127"/>
      <c r="AD233" s="127"/>
      <c r="AG233" s="127"/>
      <c r="AH233" s="127"/>
      <c r="AI233" s="127"/>
      <c r="AJ233" s="127"/>
      <c r="AK233" s="127"/>
    </row>
    <row r="234" spans="2:37" ht="17.25" customHeight="1" x14ac:dyDescent="0.25">
      <c r="B234" s="171">
        <v>1</v>
      </c>
      <c r="C234" s="176" t="str">
        <f t="shared" si="251"/>
        <v>1</v>
      </c>
      <c r="D234" s="316"/>
      <c r="E234" s="305"/>
      <c r="F234" s="311"/>
      <c r="G234" t="e">
        <f>VLOOKUP(E234,'FG MASTER'!$A$10:$AB$218,2,0)</f>
        <v>#N/A</v>
      </c>
      <c r="H234" s="286">
        <v>1</v>
      </c>
      <c r="I234" s="173">
        <v>1</v>
      </c>
      <c r="J234" s="292" t="str">
        <f>IFERROR(IF(I234="std",H234,HLOOKUP(A234,'FlightConfig '!$B$34:$G$35,2,0)*I234),"")</f>
        <v/>
      </c>
      <c r="K234" s="245" t="e">
        <f>VLOOKUP(Food!E234,'FG MASTER'!$A$1:$AC$536,16,0)</f>
        <v>#N/A</v>
      </c>
      <c r="L234" s="246" t="e">
        <f>VLOOKUP(Food!E234,'FG MASTER'!$A$10:$AC$536,17,0)</f>
        <v>#N/A</v>
      </c>
      <c r="M234" s="132" t="str">
        <f t="shared" si="252"/>
        <v/>
      </c>
      <c r="N234" s="132" t="str">
        <f t="shared" si="253"/>
        <v/>
      </c>
      <c r="O234" s="132">
        <f t="shared" si="254"/>
        <v>0</v>
      </c>
      <c r="P234" s="132">
        <f t="shared" si="255"/>
        <v>0</v>
      </c>
      <c r="Q234" s="132">
        <f t="shared" si="256"/>
        <v>0</v>
      </c>
      <c r="R234" s="405" t="e">
        <f t="shared" si="257"/>
        <v>#N/A</v>
      </c>
      <c r="S234" s="405" t="e">
        <f t="shared" si="258"/>
        <v>#VALUE!</v>
      </c>
      <c r="T234" s="405" t="e">
        <f t="shared" si="259"/>
        <v>#N/A</v>
      </c>
      <c r="U234" s="127"/>
      <c r="V234" s="127"/>
      <c r="W234" s="127"/>
      <c r="X234" s="127"/>
      <c r="Y234" s="210"/>
      <c r="Z234" s="127"/>
      <c r="AA234" s="127"/>
      <c r="AB234" s="127"/>
      <c r="AC234" s="127"/>
      <c r="AD234" s="127"/>
      <c r="AG234" s="127"/>
      <c r="AH234" s="127"/>
      <c r="AI234" s="127"/>
      <c r="AJ234" s="127"/>
      <c r="AK234" s="127"/>
    </row>
    <row r="235" spans="2:37" ht="17.25" customHeight="1" x14ac:dyDescent="0.25">
      <c r="B235" s="171">
        <v>1</v>
      </c>
      <c r="C235" s="176" t="str">
        <f t="shared" si="251"/>
        <v>1</v>
      </c>
      <c r="D235" s="316"/>
      <c r="E235" s="305"/>
      <c r="F235" s="311"/>
      <c r="G235" t="e">
        <f>VLOOKUP(E235,'FG MASTER'!$A$10:$AB$218,2,0)</f>
        <v>#N/A</v>
      </c>
      <c r="H235" s="286">
        <v>1</v>
      </c>
      <c r="I235" s="173">
        <v>1</v>
      </c>
      <c r="J235" s="292" t="str">
        <f>IFERROR(IF(I235="std",H235,HLOOKUP(A235,'FlightConfig '!$B$34:$G$35,2,0)*I235),"")</f>
        <v/>
      </c>
      <c r="K235" s="245" t="e">
        <f>VLOOKUP(Food!E235,'FG MASTER'!$A$1:$AC$536,16,0)</f>
        <v>#N/A</v>
      </c>
      <c r="L235" s="246" t="e">
        <f>VLOOKUP(Food!E235,'FG MASTER'!$A$10:$AC$536,17,0)</f>
        <v>#N/A</v>
      </c>
      <c r="M235" s="132" t="str">
        <f t="shared" si="252"/>
        <v/>
      </c>
      <c r="N235" s="132" t="str">
        <f t="shared" si="253"/>
        <v/>
      </c>
      <c r="O235" s="132">
        <f t="shared" si="254"/>
        <v>0</v>
      </c>
      <c r="P235" s="132">
        <f t="shared" si="255"/>
        <v>0</v>
      </c>
      <c r="Q235" s="132">
        <f t="shared" si="256"/>
        <v>0</v>
      </c>
      <c r="R235" s="405" t="e">
        <f t="shared" si="257"/>
        <v>#N/A</v>
      </c>
      <c r="S235" s="405" t="e">
        <f t="shared" si="258"/>
        <v>#VALUE!</v>
      </c>
      <c r="T235" s="405" t="e">
        <f t="shared" si="259"/>
        <v>#N/A</v>
      </c>
      <c r="U235" s="127"/>
      <c r="V235" s="127"/>
      <c r="W235" s="127"/>
      <c r="X235" s="127"/>
      <c r="Y235" s="210"/>
      <c r="Z235" s="127"/>
      <c r="AA235" s="127"/>
      <c r="AB235" s="127"/>
      <c r="AC235" s="127"/>
      <c r="AD235" s="127"/>
      <c r="AG235" s="127"/>
      <c r="AH235" s="127"/>
      <c r="AI235" s="127"/>
      <c r="AJ235" s="127"/>
      <c r="AK235" s="127"/>
    </row>
    <row r="236" spans="2:37" ht="17.25" customHeight="1" x14ac:dyDescent="0.25">
      <c r="B236" s="171">
        <v>1</v>
      </c>
      <c r="C236" s="176" t="str">
        <f t="shared" si="251"/>
        <v>1</v>
      </c>
      <c r="D236" s="316"/>
      <c r="E236" s="305"/>
      <c r="F236" s="311"/>
      <c r="G236" t="e">
        <f>VLOOKUP(E236,'FG MASTER'!$A$10:$AB$218,2,0)</f>
        <v>#N/A</v>
      </c>
      <c r="H236" s="286">
        <v>1</v>
      </c>
      <c r="I236" s="173">
        <v>1</v>
      </c>
      <c r="J236" s="292" t="str">
        <f>IFERROR(IF(I236="std",H236,HLOOKUP(A236,'FlightConfig '!$B$34:$G$35,2,0)*I236),"")</f>
        <v/>
      </c>
      <c r="K236" s="245" t="e">
        <f>VLOOKUP(Food!E236,'FG MASTER'!$A$1:$AC$536,16,0)</f>
        <v>#N/A</v>
      </c>
      <c r="L236" s="246" t="e">
        <f>VLOOKUP(Food!E236,'FG MASTER'!$A$10:$AC$536,17,0)</f>
        <v>#N/A</v>
      </c>
      <c r="M236" s="132" t="str">
        <f t="shared" si="252"/>
        <v/>
      </c>
      <c r="N236" s="132" t="str">
        <f t="shared" si="253"/>
        <v/>
      </c>
      <c r="O236" s="132">
        <f t="shared" si="254"/>
        <v>0</v>
      </c>
      <c r="P236" s="132">
        <f t="shared" si="255"/>
        <v>0</v>
      </c>
      <c r="Q236" s="132">
        <f t="shared" si="256"/>
        <v>0</v>
      </c>
      <c r="R236" s="405" t="e">
        <f t="shared" si="257"/>
        <v>#N/A</v>
      </c>
      <c r="S236" s="405" t="e">
        <f t="shared" si="258"/>
        <v>#VALUE!</v>
      </c>
      <c r="T236" s="405" t="e">
        <f t="shared" si="259"/>
        <v>#N/A</v>
      </c>
      <c r="U236" s="127"/>
      <c r="V236" s="127"/>
      <c r="W236" s="127"/>
      <c r="X236" s="127"/>
      <c r="Y236" s="210"/>
      <c r="Z236" s="127"/>
      <c r="AA236" s="127"/>
      <c r="AB236" s="127"/>
      <c r="AC236" s="127"/>
      <c r="AD236" s="127"/>
      <c r="AG236" s="127"/>
      <c r="AH236" s="127"/>
      <c r="AI236" s="127"/>
      <c r="AJ236" s="127"/>
      <c r="AK236" s="127"/>
    </row>
    <row r="237" spans="2:37" ht="17.25" customHeight="1" x14ac:dyDescent="0.25">
      <c r="B237" s="171">
        <v>1</v>
      </c>
      <c r="C237" s="176" t="str">
        <f t="shared" si="251"/>
        <v>1</v>
      </c>
      <c r="D237" s="316"/>
      <c r="E237" s="305"/>
      <c r="F237" s="311"/>
      <c r="G237" t="e">
        <f>VLOOKUP(E237,'FG MASTER'!$A$10:$AB$218,2,0)</f>
        <v>#N/A</v>
      </c>
      <c r="H237" s="286">
        <v>1</v>
      </c>
      <c r="I237" s="173">
        <v>1</v>
      </c>
      <c r="J237" s="292" t="str">
        <f>IFERROR(IF(I237="std",H237,HLOOKUP(A237,'FlightConfig '!$B$34:$G$35,2,0)*I237),"")</f>
        <v/>
      </c>
      <c r="K237" s="245" t="e">
        <f>VLOOKUP(Food!E237,'FG MASTER'!$A$1:$AC$536,16,0)</f>
        <v>#N/A</v>
      </c>
      <c r="L237" s="246" t="e">
        <f>VLOOKUP(Food!E237,'FG MASTER'!$A$10:$AC$536,17,0)</f>
        <v>#N/A</v>
      </c>
      <c r="M237" s="132" t="str">
        <f t="shared" si="252"/>
        <v/>
      </c>
      <c r="N237" s="132" t="str">
        <f t="shared" si="253"/>
        <v/>
      </c>
      <c r="O237" s="132">
        <f t="shared" si="254"/>
        <v>0</v>
      </c>
      <c r="P237" s="132">
        <f t="shared" si="255"/>
        <v>0</v>
      </c>
      <c r="Q237" s="132">
        <f t="shared" si="256"/>
        <v>0</v>
      </c>
      <c r="R237" s="405" t="e">
        <f t="shared" si="257"/>
        <v>#N/A</v>
      </c>
      <c r="S237" s="405" t="e">
        <f t="shared" si="258"/>
        <v>#VALUE!</v>
      </c>
      <c r="T237" s="405" t="e">
        <f t="shared" si="259"/>
        <v>#N/A</v>
      </c>
      <c r="U237" s="127"/>
      <c r="V237" s="127"/>
      <c r="W237" s="127"/>
      <c r="X237" s="127"/>
      <c r="Y237" s="210"/>
      <c r="Z237" s="127"/>
      <c r="AA237" s="127"/>
      <c r="AB237" s="127"/>
      <c r="AC237" s="127"/>
      <c r="AD237" s="127"/>
      <c r="AG237" s="127"/>
      <c r="AH237" s="127"/>
      <c r="AI237" s="127"/>
      <c r="AJ237" s="127"/>
      <c r="AK237" s="127"/>
    </row>
    <row r="238" spans="2:37" ht="17.25" customHeight="1" x14ac:dyDescent="0.25">
      <c r="B238" s="171">
        <v>1</v>
      </c>
      <c r="C238" s="176" t="str">
        <f t="shared" si="251"/>
        <v>1</v>
      </c>
      <c r="D238" s="316"/>
      <c r="E238" s="305"/>
      <c r="F238" s="311"/>
      <c r="G238" t="e">
        <f>VLOOKUP(E238,'FG MASTER'!$A$10:$AB$218,2,0)</f>
        <v>#N/A</v>
      </c>
      <c r="H238" s="286">
        <v>1</v>
      </c>
      <c r="I238" s="173">
        <v>1</v>
      </c>
      <c r="J238" s="292" t="str">
        <f>IFERROR(IF(I238="std",H238,HLOOKUP(A238,'FlightConfig '!$B$34:$G$35,2,0)*I238),"")</f>
        <v/>
      </c>
      <c r="K238" s="245" t="e">
        <f>VLOOKUP(Food!E238,'FG MASTER'!$A$1:$AC$536,16,0)</f>
        <v>#N/A</v>
      </c>
      <c r="L238" s="246" t="e">
        <f>VLOOKUP(Food!E238,'FG MASTER'!$A$10:$AC$536,17,0)</f>
        <v>#N/A</v>
      </c>
      <c r="M238" s="132" t="str">
        <f t="shared" si="252"/>
        <v/>
      </c>
      <c r="N238" s="132" t="str">
        <f t="shared" si="253"/>
        <v/>
      </c>
      <c r="O238" s="132">
        <f t="shared" si="254"/>
        <v>0</v>
      </c>
      <c r="P238" s="132">
        <f t="shared" si="255"/>
        <v>0</v>
      </c>
      <c r="Q238" s="132">
        <f t="shared" si="256"/>
        <v>0</v>
      </c>
      <c r="R238" s="405" t="e">
        <f t="shared" si="257"/>
        <v>#N/A</v>
      </c>
      <c r="S238" s="405" t="e">
        <f t="shared" si="258"/>
        <v>#VALUE!</v>
      </c>
      <c r="T238" s="405" t="e">
        <f t="shared" si="259"/>
        <v>#N/A</v>
      </c>
      <c r="U238" s="127"/>
      <c r="V238" s="127"/>
      <c r="W238" s="127"/>
      <c r="X238" s="127"/>
      <c r="Y238" s="210"/>
      <c r="Z238" s="127"/>
      <c r="AA238" s="127"/>
      <c r="AB238" s="127"/>
      <c r="AC238" s="127"/>
      <c r="AD238" s="127"/>
      <c r="AG238" s="127"/>
      <c r="AH238" s="127"/>
      <c r="AI238" s="127"/>
      <c r="AJ238" s="127"/>
      <c r="AK238" s="127"/>
    </row>
    <row r="239" spans="2:37" ht="17.25" customHeight="1" x14ac:dyDescent="0.25">
      <c r="B239" s="171">
        <v>1</v>
      </c>
      <c r="C239" s="176" t="str">
        <f t="shared" si="251"/>
        <v>1</v>
      </c>
      <c r="D239" s="316"/>
      <c r="E239" s="305"/>
      <c r="F239" s="311"/>
      <c r="G239" t="e">
        <f>VLOOKUP(E239,'FG MASTER'!$A$10:$AB$218,2,0)</f>
        <v>#N/A</v>
      </c>
      <c r="H239" s="286">
        <v>1</v>
      </c>
      <c r="I239" s="173">
        <v>1</v>
      </c>
      <c r="J239" s="292" t="str">
        <f>IFERROR(IF(I239="std",H239,HLOOKUP(A239,'FlightConfig '!$B$34:$G$35,2,0)*I239),"")</f>
        <v/>
      </c>
      <c r="K239" s="245" t="e">
        <f>VLOOKUP(Food!E239,'FG MASTER'!$A$1:$AC$536,16,0)</f>
        <v>#N/A</v>
      </c>
      <c r="L239" s="246" t="e">
        <f>VLOOKUP(Food!E239,'FG MASTER'!$A$10:$AC$536,17,0)</f>
        <v>#N/A</v>
      </c>
      <c r="M239" s="132" t="str">
        <f t="shared" si="252"/>
        <v/>
      </c>
      <c r="N239" s="132" t="str">
        <f t="shared" si="253"/>
        <v/>
      </c>
      <c r="O239" s="132">
        <f t="shared" si="254"/>
        <v>0</v>
      </c>
      <c r="P239" s="132">
        <f t="shared" si="255"/>
        <v>0</v>
      </c>
      <c r="Q239" s="132">
        <f t="shared" si="256"/>
        <v>0</v>
      </c>
      <c r="R239" s="405" t="e">
        <f t="shared" si="257"/>
        <v>#N/A</v>
      </c>
      <c r="S239" s="405" t="e">
        <f t="shared" si="258"/>
        <v>#VALUE!</v>
      </c>
      <c r="T239" s="405" t="e">
        <f t="shared" si="259"/>
        <v>#N/A</v>
      </c>
      <c r="U239" s="127"/>
      <c r="V239" s="127"/>
      <c r="W239" s="127"/>
      <c r="X239" s="127"/>
      <c r="Y239" s="210"/>
      <c r="Z239" s="127"/>
      <c r="AA239" s="127"/>
      <c r="AB239" s="127"/>
      <c r="AC239" s="127"/>
      <c r="AD239" s="127"/>
      <c r="AG239" s="127"/>
      <c r="AH239" s="127"/>
      <c r="AI239" s="127"/>
      <c r="AJ239" s="127"/>
      <c r="AK239" s="127"/>
    </row>
    <row r="240" spans="2:37" ht="17.25" customHeight="1" x14ac:dyDescent="0.25">
      <c r="B240" s="171">
        <v>1</v>
      </c>
      <c r="C240" s="176" t="str">
        <f t="shared" si="251"/>
        <v>1</v>
      </c>
      <c r="D240" s="316"/>
      <c r="E240" s="305"/>
      <c r="F240" s="311"/>
      <c r="G240" t="e">
        <f>VLOOKUP(E240,'FG MASTER'!$A$10:$AB$218,2,0)</f>
        <v>#N/A</v>
      </c>
      <c r="H240" s="286">
        <v>1</v>
      </c>
      <c r="I240" s="173">
        <v>1</v>
      </c>
      <c r="J240" s="292" t="str">
        <f>IFERROR(IF(I240="std",H240,HLOOKUP(A240,'FlightConfig '!$B$34:$G$35,2,0)*I240),"")</f>
        <v/>
      </c>
      <c r="K240" s="245" t="e">
        <f>VLOOKUP(Food!E240,'FG MASTER'!$A$1:$AC$536,16,0)</f>
        <v>#N/A</v>
      </c>
      <c r="L240" s="246" t="e">
        <f>VLOOKUP(Food!E240,'FG MASTER'!$A$10:$AC$536,17,0)</f>
        <v>#N/A</v>
      </c>
      <c r="M240" s="132" t="str">
        <f t="shared" si="252"/>
        <v/>
      </c>
      <c r="N240" s="132" t="str">
        <f t="shared" si="253"/>
        <v/>
      </c>
      <c r="O240" s="132">
        <f t="shared" si="254"/>
        <v>0</v>
      </c>
      <c r="P240" s="132">
        <f t="shared" si="255"/>
        <v>0</v>
      </c>
      <c r="Q240" s="132">
        <f t="shared" si="256"/>
        <v>0</v>
      </c>
      <c r="R240" s="405" t="e">
        <f t="shared" si="257"/>
        <v>#N/A</v>
      </c>
      <c r="S240" s="405" t="e">
        <f t="shared" si="258"/>
        <v>#VALUE!</v>
      </c>
      <c r="T240" s="405" t="e">
        <f t="shared" si="259"/>
        <v>#N/A</v>
      </c>
      <c r="U240" s="127"/>
      <c r="V240" s="127"/>
      <c r="W240" s="127"/>
      <c r="X240" s="127"/>
      <c r="Z240" s="127"/>
      <c r="AA240" s="127"/>
      <c r="AB240" s="127"/>
      <c r="AC240" s="127"/>
      <c r="AD240" s="127"/>
      <c r="AG240" s="127"/>
      <c r="AH240" s="127"/>
      <c r="AI240" s="127"/>
      <c r="AJ240" s="127"/>
      <c r="AK240" s="127"/>
    </row>
    <row r="241" spans="2:37" ht="17.25" customHeight="1" x14ac:dyDescent="0.25">
      <c r="B241" s="171">
        <v>1</v>
      </c>
      <c r="C241" s="176" t="str">
        <f t="shared" si="251"/>
        <v>1</v>
      </c>
      <c r="D241" s="316"/>
      <c r="E241" s="305"/>
      <c r="F241" s="311"/>
      <c r="G241" t="e">
        <f>VLOOKUP(E241,'FG MASTER'!$A$10:$AB$218,2,0)</f>
        <v>#N/A</v>
      </c>
      <c r="H241" s="286">
        <v>1</v>
      </c>
      <c r="I241" s="173">
        <v>1</v>
      </c>
      <c r="J241" s="292" t="str">
        <f>IFERROR(IF(I241="std",H241,HLOOKUP(A241,'FlightConfig '!$B$34:$G$35,2,0)*I241),"")</f>
        <v/>
      </c>
      <c r="K241" s="245" t="e">
        <f>VLOOKUP(Food!E241,'FG MASTER'!$A$1:$AC$536,16,0)</f>
        <v>#N/A</v>
      </c>
      <c r="L241" s="246" t="e">
        <f>VLOOKUP(Food!E241,'FG MASTER'!$A$10:$AC$536,17,0)</f>
        <v>#N/A</v>
      </c>
      <c r="M241" s="132" t="str">
        <f t="shared" si="252"/>
        <v/>
      </c>
      <c r="N241" s="132" t="str">
        <f t="shared" si="253"/>
        <v/>
      </c>
      <c r="O241" s="132">
        <f t="shared" si="254"/>
        <v>0</v>
      </c>
      <c r="P241" s="132">
        <f t="shared" si="255"/>
        <v>0</v>
      </c>
      <c r="Q241" s="132">
        <f t="shared" si="256"/>
        <v>0</v>
      </c>
      <c r="R241" s="405" t="e">
        <f t="shared" si="257"/>
        <v>#N/A</v>
      </c>
      <c r="S241" s="405" t="e">
        <f t="shared" si="258"/>
        <v>#VALUE!</v>
      </c>
      <c r="T241" s="405" t="e">
        <f t="shared" si="259"/>
        <v>#N/A</v>
      </c>
      <c r="U241" s="127"/>
      <c r="V241" s="127"/>
      <c r="W241" s="127"/>
      <c r="X241" s="127"/>
      <c r="Z241" s="127"/>
      <c r="AA241" s="127"/>
      <c r="AB241" s="127"/>
      <c r="AC241" s="127"/>
      <c r="AD241" s="127"/>
      <c r="AG241" s="127"/>
      <c r="AH241" s="127"/>
      <c r="AI241" s="127"/>
      <c r="AJ241" s="127"/>
      <c r="AK241" s="127"/>
    </row>
    <row r="242" spans="2:37" ht="17.25" customHeight="1" x14ac:dyDescent="0.25">
      <c r="B242" s="171">
        <v>1</v>
      </c>
      <c r="C242" s="176" t="str">
        <f t="shared" si="251"/>
        <v>1</v>
      </c>
      <c r="D242" s="316"/>
      <c r="E242" s="305"/>
      <c r="F242" s="311"/>
      <c r="G242" t="e">
        <f>VLOOKUP(E242,'FG MASTER'!$A$10:$AB$218,2,0)</f>
        <v>#N/A</v>
      </c>
      <c r="H242" s="286">
        <v>1</v>
      </c>
      <c r="I242" s="173">
        <v>1</v>
      </c>
      <c r="J242" s="292" t="str">
        <f>IFERROR(IF(I242="std",H242,HLOOKUP(A242,'FlightConfig '!$B$34:$G$35,2,0)*I242),"")</f>
        <v/>
      </c>
      <c r="K242" s="245" t="e">
        <f>VLOOKUP(Food!E242,'FG MASTER'!$A$1:$AC$536,16,0)</f>
        <v>#N/A</v>
      </c>
      <c r="L242" s="246" t="e">
        <f>VLOOKUP(Food!E242,'FG MASTER'!$A$10:$AC$536,17,0)</f>
        <v>#N/A</v>
      </c>
      <c r="M242" s="132" t="str">
        <f t="shared" si="252"/>
        <v/>
      </c>
      <c r="N242" s="132" t="str">
        <f t="shared" si="253"/>
        <v/>
      </c>
      <c r="O242" s="132">
        <f t="shared" si="254"/>
        <v>0</v>
      </c>
      <c r="P242" s="132">
        <f t="shared" si="255"/>
        <v>0</v>
      </c>
      <c r="Q242" s="132">
        <f t="shared" si="256"/>
        <v>0</v>
      </c>
      <c r="R242" s="405" t="e">
        <f t="shared" si="257"/>
        <v>#N/A</v>
      </c>
      <c r="S242" s="405" t="e">
        <f t="shared" si="258"/>
        <v>#VALUE!</v>
      </c>
      <c r="T242" s="405" t="e">
        <f t="shared" si="259"/>
        <v>#N/A</v>
      </c>
      <c r="U242" s="127"/>
      <c r="V242" s="127"/>
      <c r="W242" s="127"/>
      <c r="X242" s="127"/>
      <c r="Z242" s="127"/>
      <c r="AA242" s="127"/>
      <c r="AB242" s="127"/>
      <c r="AC242" s="127"/>
      <c r="AD242" s="127"/>
      <c r="AG242" s="127"/>
      <c r="AH242" s="127"/>
      <c r="AI242" s="127"/>
      <c r="AJ242" s="127"/>
      <c r="AK242" s="127"/>
    </row>
    <row r="243" spans="2:37" ht="17.25" customHeight="1" x14ac:dyDescent="0.25">
      <c r="B243" s="171">
        <v>1</v>
      </c>
      <c r="C243" s="176" t="str">
        <f t="shared" si="251"/>
        <v>1</v>
      </c>
      <c r="D243" s="316"/>
      <c r="E243" s="305"/>
      <c r="F243" s="311"/>
      <c r="G243" t="e">
        <f>VLOOKUP(E243,'FG MASTER'!$A$10:$AB$218,2,0)</f>
        <v>#N/A</v>
      </c>
      <c r="H243" s="286">
        <v>1</v>
      </c>
      <c r="I243" s="173">
        <v>1</v>
      </c>
      <c r="J243" s="292" t="str">
        <f>IFERROR(IF(I243="std",H243,HLOOKUP(A243,'FlightConfig '!$B$34:$G$35,2,0)*I243),"")</f>
        <v/>
      </c>
      <c r="K243" s="245" t="e">
        <f>VLOOKUP(Food!E243,'FG MASTER'!$A$1:$AC$536,16,0)</f>
        <v>#N/A</v>
      </c>
      <c r="L243" s="246" t="e">
        <f>VLOOKUP(Food!E243,'FG MASTER'!$A$10:$AC$536,17,0)</f>
        <v>#N/A</v>
      </c>
      <c r="M243" s="132" t="str">
        <f t="shared" si="252"/>
        <v/>
      </c>
      <c r="N243" s="132" t="str">
        <f t="shared" si="253"/>
        <v/>
      </c>
      <c r="O243" s="132">
        <f t="shared" si="254"/>
        <v>0</v>
      </c>
      <c r="P243" s="132">
        <f t="shared" si="255"/>
        <v>0</v>
      </c>
      <c r="Q243" s="132">
        <f t="shared" si="256"/>
        <v>0</v>
      </c>
      <c r="R243" s="405" t="e">
        <f t="shared" si="257"/>
        <v>#N/A</v>
      </c>
      <c r="S243" s="405" t="e">
        <f t="shared" si="258"/>
        <v>#VALUE!</v>
      </c>
      <c r="T243" s="405" t="e">
        <f t="shared" si="259"/>
        <v>#N/A</v>
      </c>
      <c r="U243" s="127"/>
      <c r="V243" s="127"/>
      <c r="W243" s="127"/>
      <c r="X243" s="127"/>
      <c r="Z243" s="127"/>
      <c r="AA243" s="127"/>
      <c r="AB243" s="127"/>
      <c r="AC243" s="127"/>
      <c r="AD243" s="127"/>
      <c r="AG243" s="127"/>
      <c r="AH243" s="127"/>
      <c r="AI243" s="127"/>
      <c r="AJ243" s="127"/>
      <c r="AK243" s="127"/>
    </row>
    <row r="244" spans="2:37" ht="17.25" customHeight="1" x14ac:dyDescent="0.25">
      <c r="B244" s="171">
        <v>1</v>
      </c>
      <c r="C244" s="176" t="str">
        <f t="shared" si="251"/>
        <v>1</v>
      </c>
      <c r="D244" s="316"/>
      <c r="E244" s="305"/>
      <c r="F244" s="311"/>
      <c r="G244" t="e">
        <f>VLOOKUP(E244,'FG MASTER'!$A$10:$AB$218,2,0)</f>
        <v>#N/A</v>
      </c>
      <c r="H244" s="286">
        <v>1</v>
      </c>
      <c r="I244" s="173">
        <v>1</v>
      </c>
      <c r="J244" s="292" t="str">
        <f>IFERROR(IF(I244="std",H244,HLOOKUP(A244,'FlightConfig '!$B$34:$G$35,2,0)*I244),"")</f>
        <v/>
      </c>
      <c r="K244" s="245" t="e">
        <f>VLOOKUP(Food!E244,'FG MASTER'!$A$1:$AC$536,16,0)</f>
        <v>#N/A</v>
      </c>
      <c r="L244" s="246" t="e">
        <f>VLOOKUP(Food!E244,'FG MASTER'!$A$10:$AC$536,17,0)</f>
        <v>#N/A</v>
      </c>
      <c r="M244" s="132" t="str">
        <f t="shared" si="252"/>
        <v/>
      </c>
      <c r="N244" s="132" t="str">
        <f t="shared" si="253"/>
        <v/>
      </c>
      <c r="O244" s="132">
        <f t="shared" si="254"/>
        <v>0</v>
      </c>
      <c r="P244" s="132">
        <f t="shared" si="255"/>
        <v>0</v>
      </c>
      <c r="Q244" s="132">
        <f t="shared" si="256"/>
        <v>0</v>
      </c>
      <c r="R244" s="405" t="e">
        <f t="shared" si="257"/>
        <v>#N/A</v>
      </c>
      <c r="S244" s="405" t="e">
        <f t="shared" si="258"/>
        <v>#VALUE!</v>
      </c>
      <c r="T244" s="405" t="e">
        <f t="shared" si="259"/>
        <v>#N/A</v>
      </c>
      <c r="U244" s="127"/>
      <c r="V244" s="127"/>
      <c r="W244" s="127"/>
      <c r="X244" s="127"/>
      <c r="Z244" s="127"/>
      <c r="AA244" s="127"/>
      <c r="AB244" s="127"/>
      <c r="AC244" s="127"/>
      <c r="AD244" s="127"/>
      <c r="AG244" s="127"/>
      <c r="AH244" s="127"/>
      <c r="AI244" s="127"/>
      <c r="AJ244" s="127"/>
      <c r="AK244" s="127"/>
    </row>
    <row r="245" spans="2:37" ht="17.25" customHeight="1" x14ac:dyDescent="0.25">
      <c r="B245" s="171">
        <v>1</v>
      </c>
      <c r="C245" s="176" t="str">
        <f t="shared" si="251"/>
        <v>1</v>
      </c>
      <c r="D245" s="316"/>
      <c r="E245" s="305"/>
      <c r="F245" s="311"/>
      <c r="G245" t="e">
        <f>VLOOKUP(E245,'FG MASTER'!$A$10:$AB$218,2,0)</f>
        <v>#N/A</v>
      </c>
      <c r="H245" s="286">
        <v>1</v>
      </c>
      <c r="I245" s="173">
        <v>1</v>
      </c>
      <c r="J245" s="292" t="str">
        <f>IFERROR(IF(I245="std",H245,HLOOKUP(A245,'FlightConfig '!$B$34:$G$35,2,0)*I245),"")</f>
        <v/>
      </c>
      <c r="K245" s="245" t="e">
        <f>VLOOKUP(Food!E245,'FG MASTER'!$A$1:$AC$536,16,0)</f>
        <v>#N/A</v>
      </c>
      <c r="L245" s="246" t="e">
        <f>VLOOKUP(Food!E245,'FG MASTER'!$A$10:$AC$536,17,0)</f>
        <v>#N/A</v>
      </c>
      <c r="M245" s="132" t="str">
        <f t="shared" si="252"/>
        <v/>
      </c>
      <c r="N245" s="132" t="str">
        <f t="shared" si="253"/>
        <v/>
      </c>
      <c r="O245" s="132">
        <f t="shared" si="254"/>
        <v>0</v>
      </c>
      <c r="P245" s="132">
        <f t="shared" si="255"/>
        <v>0</v>
      </c>
      <c r="Q245" s="132">
        <f t="shared" si="256"/>
        <v>0</v>
      </c>
      <c r="R245" s="405" t="e">
        <f t="shared" si="257"/>
        <v>#N/A</v>
      </c>
      <c r="S245" s="405" t="e">
        <f t="shared" si="258"/>
        <v>#VALUE!</v>
      </c>
      <c r="T245" s="405" t="e">
        <f t="shared" si="259"/>
        <v>#N/A</v>
      </c>
      <c r="U245" s="127"/>
      <c r="V245" s="127"/>
      <c r="W245" s="127"/>
      <c r="X245" s="127"/>
      <c r="Z245" s="127"/>
      <c r="AA245" s="127"/>
      <c r="AB245" s="127"/>
      <c r="AC245" s="127"/>
      <c r="AD245" s="127"/>
      <c r="AG245" s="127"/>
      <c r="AH245" s="127"/>
      <c r="AI245" s="127"/>
      <c r="AJ245" s="127"/>
      <c r="AK245" s="127"/>
    </row>
    <row r="246" spans="2:37" ht="17.25" customHeight="1" x14ac:dyDescent="0.25">
      <c r="B246" s="171">
        <v>1</v>
      </c>
      <c r="C246" s="176" t="str">
        <f t="shared" si="251"/>
        <v>1</v>
      </c>
      <c r="D246" s="316"/>
      <c r="E246" s="305"/>
      <c r="F246" s="311"/>
      <c r="G246" t="e">
        <f>VLOOKUP(E246,'FG MASTER'!$A$10:$AB$218,2,0)</f>
        <v>#N/A</v>
      </c>
      <c r="H246" s="286">
        <v>1</v>
      </c>
      <c r="I246" s="173">
        <v>1</v>
      </c>
      <c r="J246" s="292" t="str">
        <f>IFERROR(IF(I246="std",H246,HLOOKUP(A246,'FlightConfig '!$B$34:$G$35,2,0)*I246),"")</f>
        <v/>
      </c>
      <c r="K246" s="245" t="e">
        <f>VLOOKUP(Food!E246,'FG MASTER'!$A$1:$AC$536,16,0)</f>
        <v>#N/A</v>
      </c>
      <c r="L246" s="246" t="e">
        <f>VLOOKUP(Food!E246,'FG MASTER'!$A$10:$AC$536,17,0)</f>
        <v>#N/A</v>
      </c>
      <c r="M246" s="132" t="str">
        <f t="shared" si="252"/>
        <v/>
      </c>
      <c r="N246" s="132" t="str">
        <f t="shared" si="253"/>
        <v/>
      </c>
      <c r="O246" s="132">
        <f t="shared" si="254"/>
        <v>0</v>
      </c>
      <c r="P246" s="132">
        <f t="shared" si="255"/>
        <v>0</v>
      </c>
      <c r="Q246" s="132">
        <f t="shared" si="256"/>
        <v>0</v>
      </c>
      <c r="R246" s="405" t="e">
        <f t="shared" si="257"/>
        <v>#N/A</v>
      </c>
      <c r="S246" s="405" t="e">
        <f t="shared" si="258"/>
        <v>#VALUE!</v>
      </c>
      <c r="T246" s="405" t="e">
        <f t="shared" si="259"/>
        <v>#N/A</v>
      </c>
      <c r="U246" s="127"/>
      <c r="V246" s="127"/>
      <c r="W246" s="127"/>
      <c r="X246" s="127"/>
      <c r="Z246" s="127"/>
      <c r="AA246" s="127"/>
      <c r="AB246" s="127"/>
      <c r="AC246" s="127"/>
      <c r="AD246" s="127"/>
      <c r="AG246" s="127"/>
      <c r="AH246" s="127"/>
      <c r="AI246" s="127"/>
      <c r="AJ246" s="127"/>
      <c r="AK246" s="127"/>
    </row>
    <row r="247" spans="2:37" ht="17.25" customHeight="1" x14ac:dyDescent="0.25">
      <c r="B247" s="171">
        <v>1</v>
      </c>
      <c r="C247" s="176" t="str">
        <f t="shared" si="251"/>
        <v>1</v>
      </c>
      <c r="D247" s="316"/>
      <c r="E247" s="305"/>
      <c r="F247" s="311"/>
      <c r="G247" t="e">
        <f>VLOOKUP(E247,'FG MASTER'!$A$10:$AB$218,2,0)</f>
        <v>#N/A</v>
      </c>
      <c r="H247" s="286">
        <v>1</v>
      </c>
      <c r="I247" s="173">
        <v>1</v>
      </c>
      <c r="J247" s="292" t="str">
        <f>IFERROR(IF(I247="std",H247,HLOOKUP(A247,'FlightConfig '!$B$34:$G$35,2,0)*I247),"")</f>
        <v/>
      </c>
      <c r="K247" s="245" t="e">
        <f>VLOOKUP(Food!E247,'FG MASTER'!$A$1:$AC$536,16,0)</f>
        <v>#N/A</v>
      </c>
      <c r="L247" s="246" t="e">
        <f>VLOOKUP(Food!E247,'FG MASTER'!$A$10:$AC$536,17,0)</f>
        <v>#N/A</v>
      </c>
      <c r="M247" s="132" t="str">
        <f t="shared" si="252"/>
        <v/>
      </c>
      <c r="N247" s="132" t="str">
        <f t="shared" si="253"/>
        <v/>
      </c>
      <c r="O247" s="132">
        <f t="shared" si="254"/>
        <v>0</v>
      </c>
      <c r="P247" s="132">
        <f t="shared" si="255"/>
        <v>0</v>
      </c>
      <c r="Q247" s="132">
        <f t="shared" si="256"/>
        <v>0</v>
      </c>
      <c r="R247" s="405" t="e">
        <f t="shared" si="257"/>
        <v>#N/A</v>
      </c>
      <c r="S247" s="405" t="e">
        <f t="shared" si="258"/>
        <v>#VALUE!</v>
      </c>
      <c r="T247" s="405" t="e">
        <f t="shared" si="259"/>
        <v>#N/A</v>
      </c>
      <c r="U247" s="127"/>
      <c r="V247" s="127"/>
      <c r="W247" s="127"/>
      <c r="X247" s="127"/>
      <c r="Z247" s="127"/>
      <c r="AA247" s="127"/>
      <c r="AB247" s="127"/>
      <c r="AC247" s="127"/>
      <c r="AD247" s="127"/>
      <c r="AG247" s="127"/>
      <c r="AH247" s="127"/>
      <c r="AI247" s="127"/>
      <c r="AJ247" s="127"/>
      <c r="AK247" s="127"/>
    </row>
    <row r="248" spans="2:37" ht="17.25" customHeight="1" x14ac:dyDescent="0.25">
      <c r="B248" s="171">
        <v>1</v>
      </c>
      <c r="C248" s="176" t="str">
        <f t="shared" si="251"/>
        <v>1</v>
      </c>
      <c r="D248" s="316"/>
      <c r="E248" s="305"/>
      <c r="F248" s="311"/>
      <c r="G248" t="e">
        <f>VLOOKUP(E248,'FG MASTER'!$A$10:$AB$218,2,0)</f>
        <v>#N/A</v>
      </c>
      <c r="H248" s="286">
        <v>1</v>
      </c>
      <c r="I248" s="173">
        <v>1</v>
      </c>
      <c r="J248" s="292" t="str">
        <f>IFERROR(IF(I248="std",H248,HLOOKUP(A248,'FlightConfig '!$B$34:$G$35,2,0)*I248),"")</f>
        <v/>
      </c>
      <c r="K248" s="245" t="e">
        <f>VLOOKUP(Food!E248,'FG MASTER'!$A$1:$AC$536,16,0)</f>
        <v>#N/A</v>
      </c>
      <c r="L248" s="246" t="e">
        <f>VLOOKUP(Food!E248,'FG MASTER'!$A$10:$AC$536,17,0)</f>
        <v>#N/A</v>
      </c>
      <c r="M248" s="132" t="str">
        <f t="shared" si="252"/>
        <v/>
      </c>
      <c r="N248" s="132" t="str">
        <f t="shared" si="253"/>
        <v/>
      </c>
      <c r="O248" s="132">
        <f t="shared" si="254"/>
        <v>0</v>
      </c>
      <c r="P248" s="132">
        <f t="shared" si="255"/>
        <v>0</v>
      </c>
      <c r="Q248" s="132">
        <f t="shared" si="256"/>
        <v>0</v>
      </c>
      <c r="R248" s="405" t="e">
        <f t="shared" si="257"/>
        <v>#N/A</v>
      </c>
      <c r="S248" s="405" t="e">
        <f t="shared" si="258"/>
        <v>#VALUE!</v>
      </c>
      <c r="T248" s="405" t="e">
        <f t="shared" si="259"/>
        <v>#N/A</v>
      </c>
      <c r="U248" s="127"/>
      <c r="V248" s="127"/>
      <c r="W248" s="127"/>
      <c r="X248" s="127"/>
      <c r="Z248" s="127"/>
      <c r="AA248" s="127"/>
      <c r="AB248" s="127"/>
      <c r="AC248" s="127"/>
      <c r="AD248" s="127"/>
      <c r="AG248" s="127"/>
      <c r="AH248" s="127"/>
      <c r="AI248" s="127"/>
      <c r="AJ248" s="127"/>
      <c r="AK248" s="127"/>
    </row>
    <row r="249" spans="2:37" ht="17.25" customHeight="1" x14ac:dyDescent="0.25">
      <c r="B249" s="171">
        <v>1</v>
      </c>
      <c r="C249" s="176" t="str">
        <f t="shared" si="251"/>
        <v>1</v>
      </c>
      <c r="D249" s="316"/>
      <c r="E249" s="305"/>
      <c r="F249" s="311"/>
      <c r="G249" t="e">
        <f>VLOOKUP(E249,'FG MASTER'!$A$10:$AB$218,2,0)</f>
        <v>#N/A</v>
      </c>
      <c r="H249" s="286">
        <v>1</v>
      </c>
      <c r="I249" s="173">
        <v>1</v>
      </c>
      <c r="J249" s="292" t="str">
        <f>IFERROR(IF(I249="std",H249,HLOOKUP(A249,'FlightConfig '!$B$34:$G$35,2,0)*I249),"")</f>
        <v/>
      </c>
      <c r="K249" s="245" t="e">
        <f>VLOOKUP(Food!E249,'FG MASTER'!$A$1:$AC$536,16,0)</f>
        <v>#N/A</v>
      </c>
      <c r="L249" s="246" t="e">
        <f>VLOOKUP(Food!E249,'FG MASTER'!$A$10:$AC$536,17,0)</f>
        <v>#N/A</v>
      </c>
      <c r="M249" s="132" t="str">
        <f t="shared" si="252"/>
        <v/>
      </c>
      <c r="N249" s="132" t="str">
        <f t="shared" si="253"/>
        <v/>
      </c>
      <c r="O249" s="132">
        <f t="shared" si="254"/>
        <v>0</v>
      </c>
      <c r="P249" s="132">
        <f t="shared" si="255"/>
        <v>0</v>
      </c>
      <c r="Q249" s="132">
        <f t="shared" si="256"/>
        <v>0</v>
      </c>
      <c r="R249" s="405" t="e">
        <f t="shared" si="257"/>
        <v>#N/A</v>
      </c>
      <c r="S249" s="405" t="e">
        <f t="shared" si="258"/>
        <v>#VALUE!</v>
      </c>
      <c r="T249" s="405" t="e">
        <f t="shared" si="259"/>
        <v>#N/A</v>
      </c>
      <c r="U249" s="127"/>
      <c r="V249" s="127"/>
      <c r="W249" s="127"/>
      <c r="X249" s="127"/>
      <c r="Z249" s="127"/>
      <c r="AA249" s="127"/>
      <c r="AB249" s="127"/>
      <c r="AC249" s="127"/>
      <c r="AD249" s="127"/>
      <c r="AG249" s="127"/>
      <c r="AH249" s="127"/>
      <c r="AI249" s="127"/>
      <c r="AJ249" s="127"/>
      <c r="AK249" s="127"/>
    </row>
    <row r="250" spans="2:37" ht="17.25" customHeight="1" x14ac:dyDescent="0.25">
      <c r="B250" s="171">
        <v>1</v>
      </c>
      <c r="C250" s="176" t="str">
        <f t="shared" si="251"/>
        <v>1</v>
      </c>
      <c r="D250" s="316"/>
      <c r="E250" s="305"/>
      <c r="F250" s="311"/>
      <c r="G250" t="e">
        <f>VLOOKUP(E250,'FG MASTER'!$A$10:$AB$218,2,0)</f>
        <v>#N/A</v>
      </c>
      <c r="H250" s="286">
        <v>1</v>
      </c>
      <c r="I250" s="173">
        <v>1</v>
      </c>
      <c r="J250" s="292" t="str">
        <f>IFERROR(IF(I250="std",H250,HLOOKUP(A250,'FlightConfig '!$B$34:$G$35,2,0)*I250),"")</f>
        <v/>
      </c>
      <c r="K250" s="245" t="e">
        <f>VLOOKUP(Food!E250,'FG MASTER'!$A$1:$AC$536,16,0)</f>
        <v>#N/A</v>
      </c>
      <c r="L250" s="246" t="e">
        <f>VLOOKUP(Food!E250,'FG MASTER'!$A$10:$AC$536,17,0)</f>
        <v>#N/A</v>
      </c>
      <c r="M250" s="132" t="str">
        <f t="shared" si="252"/>
        <v/>
      </c>
      <c r="N250" s="132" t="str">
        <f t="shared" si="253"/>
        <v/>
      </c>
      <c r="O250" s="132">
        <f t="shared" si="254"/>
        <v>0</v>
      </c>
      <c r="P250" s="132">
        <f t="shared" si="255"/>
        <v>0</v>
      </c>
      <c r="Q250" s="132">
        <f t="shared" si="256"/>
        <v>0</v>
      </c>
      <c r="R250" s="405" t="e">
        <f t="shared" si="257"/>
        <v>#N/A</v>
      </c>
      <c r="S250" s="405" t="e">
        <f t="shared" si="258"/>
        <v>#VALUE!</v>
      </c>
      <c r="T250" s="405" t="e">
        <f t="shared" si="259"/>
        <v>#N/A</v>
      </c>
      <c r="U250" s="127"/>
      <c r="V250" s="127"/>
      <c r="W250" s="127"/>
      <c r="X250" s="127"/>
      <c r="Z250" s="127"/>
      <c r="AA250" s="127"/>
      <c r="AB250" s="127"/>
      <c r="AC250" s="127"/>
      <c r="AD250" s="127"/>
      <c r="AG250" s="127"/>
      <c r="AH250" s="127"/>
      <c r="AI250" s="127"/>
      <c r="AJ250" s="127"/>
      <c r="AK250" s="127"/>
    </row>
    <row r="251" spans="2:37" ht="17.25" customHeight="1" x14ac:dyDescent="0.25">
      <c r="B251" s="171">
        <v>1</v>
      </c>
      <c r="C251" s="176" t="str">
        <f t="shared" si="251"/>
        <v>1</v>
      </c>
      <c r="D251" s="316"/>
      <c r="E251" s="305"/>
      <c r="F251" s="311"/>
      <c r="G251" t="e">
        <f>VLOOKUP(E251,'FG MASTER'!$A$10:$AB$218,2,0)</f>
        <v>#N/A</v>
      </c>
      <c r="H251" s="286">
        <v>1</v>
      </c>
      <c r="I251" s="173">
        <v>1</v>
      </c>
      <c r="J251" s="292" t="str">
        <f>IFERROR(IF(I251="std",H251,HLOOKUP(A251,'FlightConfig '!$B$34:$G$35,2,0)*I251),"")</f>
        <v/>
      </c>
      <c r="K251" s="245" t="e">
        <f>VLOOKUP(Food!E251,'FG MASTER'!$A$1:$AC$536,16,0)</f>
        <v>#N/A</v>
      </c>
      <c r="L251" s="246" t="e">
        <f>VLOOKUP(Food!E251,'FG MASTER'!$A$10:$AC$536,17,0)</f>
        <v>#N/A</v>
      </c>
      <c r="M251" s="132" t="str">
        <f t="shared" si="252"/>
        <v/>
      </c>
      <c r="N251" s="132" t="str">
        <f t="shared" si="253"/>
        <v/>
      </c>
      <c r="O251" s="132">
        <f t="shared" si="254"/>
        <v>0</v>
      </c>
      <c r="P251" s="132">
        <f t="shared" si="255"/>
        <v>0</v>
      </c>
      <c r="Q251" s="132">
        <f t="shared" si="256"/>
        <v>0</v>
      </c>
      <c r="R251" s="405" t="e">
        <f t="shared" si="257"/>
        <v>#N/A</v>
      </c>
      <c r="S251" s="405" t="e">
        <f t="shared" si="258"/>
        <v>#VALUE!</v>
      </c>
      <c r="T251" s="405" t="e">
        <f t="shared" si="259"/>
        <v>#N/A</v>
      </c>
      <c r="U251" s="127"/>
      <c r="V251" s="127"/>
      <c r="W251" s="127"/>
      <c r="X251" s="127"/>
      <c r="Z251" s="127"/>
      <c r="AA251" s="127"/>
      <c r="AB251" s="127"/>
      <c r="AC251" s="127"/>
      <c r="AD251" s="127"/>
      <c r="AG251" s="127"/>
      <c r="AH251" s="127"/>
      <c r="AI251" s="127"/>
      <c r="AJ251" s="127"/>
      <c r="AK251" s="127"/>
    </row>
    <row r="252" spans="2:37" ht="17.25" customHeight="1" x14ac:dyDescent="0.25">
      <c r="B252" s="171">
        <v>1</v>
      </c>
      <c r="C252" s="176" t="str">
        <f t="shared" si="251"/>
        <v>1</v>
      </c>
      <c r="D252" s="316"/>
      <c r="E252" s="305"/>
      <c r="F252" s="311"/>
      <c r="G252" t="e">
        <f>VLOOKUP(E252,'FG MASTER'!$A$10:$AB$218,2,0)</f>
        <v>#N/A</v>
      </c>
      <c r="H252" s="286">
        <v>1</v>
      </c>
      <c r="I252" s="173">
        <v>1</v>
      </c>
      <c r="J252" s="292" t="str">
        <f>IFERROR(IF(I252="std",H252,HLOOKUP(A252,'FlightConfig '!$B$34:$G$35,2,0)*I252),"")</f>
        <v/>
      </c>
      <c r="K252" s="245" t="e">
        <f>VLOOKUP(Food!E252,'FG MASTER'!$A$1:$AC$536,16,0)</f>
        <v>#N/A</v>
      </c>
      <c r="L252" s="246" t="e">
        <f>VLOOKUP(Food!E252,'FG MASTER'!$A$10:$AC$536,17,0)</f>
        <v>#N/A</v>
      </c>
      <c r="M252" s="132" t="str">
        <f t="shared" si="252"/>
        <v/>
      </c>
      <c r="N252" s="132" t="str">
        <f t="shared" si="253"/>
        <v/>
      </c>
      <c r="O252" s="132">
        <f t="shared" si="254"/>
        <v>0</v>
      </c>
      <c r="P252" s="132">
        <f t="shared" si="255"/>
        <v>0</v>
      </c>
      <c r="Q252" s="132">
        <f t="shared" si="256"/>
        <v>0</v>
      </c>
      <c r="R252" s="405" t="e">
        <f t="shared" si="257"/>
        <v>#N/A</v>
      </c>
      <c r="S252" s="405" t="e">
        <f t="shared" si="258"/>
        <v>#VALUE!</v>
      </c>
      <c r="T252" s="405" t="e">
        <f t="shared" si="259"/>
        <v>#N/A</v>
      </c>
      <c r="U252" s="127"/>
      <c r="V252" s="127"/>
      <c r="W252" s="127"/>
      <c r="X252" s="127"/>
      <c r="Z252" s="127"/>
      <c r="AA252" s="127"/>
      <c r="AB252" s="127"/>
      <c r="AC252" s="127"/>
      <c r="AD252" s="127"/>
      <c r="AG252" s="127"/>
      <c r="AH252" s="127"/>
      <c r="AI252" s="127"/>
      <c r="AJ252" s="127"/>
      <c r="AK252" s="127"/>
    </row>
    <row r="253" spans="2:37" ht="17.25" customHeight="1" x14ac:dyDescent="0.25">
      <c r="B253" s="171">
        <v>1</v>
      </c>
      <c r="C253" s="176" t="str">
        <f t="shared" si="251"/>
        <v>1</v>
      </c>
      <c r="D253" s="316"/>
      <c r="E253" s="305"/>
      <c r="F253" s="311"/>
      <c r="G253" t="e">
        <f>VLOOKUP(E253,'FG MASTER'!$A$10:$AB$218,2,0)</f>
        <v>#N/A</v>
      </c>
      <c r="H253" s="286">
        <v>1</v>
      </c>
      <c r="I253" s="173">
        <v>1</v>
      </c>
      <c r="J253" s="292" t="str">
        <f>IFERROR(IF(I253="std",H253,HLOOKUP(A253,'FlightConfig '!$B$34:$G$35,2,0)*I253),"")</f>
        <v/>
      </c>
      <c r="K253" s="245" t="e">
        <f>VLOOKUP(Food!E253,'FG MASTER'!$A$1:$AC$536,16,0)</f>
        <v>#N/A</v>
      </c>
      <c r="L253" s="246" t="e">
        <f>VLOOKUP(Food!E253,'FG MASTER'!$A$10:$AC$536,17,0)</f>
        <v>#N/A</v>
      </c>
      <c r="M253" s="132" t="str">
        <f t="shared" si="252"/>
        <v/>
      </c>
      <c r="N253" s="132" t="str">
        <f t="shared" si="253"/>
        <v/>
      </c>
      <c r="O253" s="132">
        <f t="shared" si="254"/>
        <v>0</v>
      </c>
      <c r="P253" s="132">
        <f t="shared" si="255"/>
        <v>0</v>
      </c>
      <c r="Q253" s="132">
        <f t="shared" si="256"/>
        <v>0</v>
      </c>
      <c r="R253" s="405" t="e">
        <f t="shared" si="257"/>
        <v>#N/A</v>
      </c>
      <c r="S253" s="405" t="e">
        <f t="shared" si="258"/>
        <v>#VALUE!</v>
      </c>
      <c r="T253" s="405" t="e">
        <f t="shared" si="259"/>
        <v>#N/A</v>
      </c>
      <c r="U253" s="127"/>
      <c r="V253" s="127"/>
      <c r="W253" s="127"/>
      <c r="X253" s="127"/>
      <c r="Z253" s="127"/>
      <c r="AA253" s="127"/>
      <c r="AB253" s="127"/>
      <c r="AC253" s="127"/>
      <c r="AD253" s="127"/>
      <c r="AG253" s="127"/>
      <c r="AH253" s="127"/>
      <c r="AI253" s="127"/>
      <c r="AJ253" s="127"/>
      <c r="AK253" s="127"/>
    </row>
    <row r="254" spans="2:37" ht="17.25" customHeight="1" x14ac:dyDescent="0.25">
      <c r="B254" s="171">
        <v>1</v>
      </c>
      <c r="C254" s="176" t="str">
        <f t="shared" si="251"/>
        <v>1</v>
      </c>
      <c r="D254" s="316"/>
      <c r="E254" s="305"/>
      <c r="F254" s="311"/>
      <c r="G254" t="e">
        <f>VLOOKUP(E254,'FG MASTER'!$A$10:$AB$218,2,0)</f>
        <v>#N/A</v>
      </c>
      <c r="H254" s="286">
        <v>1</v>
      </c>
      <c r="I254" s="173">
        <v>1</v>
      </c>
      <c r="J254" s="292" t="str">
        <f>IFERROR(IF(I254="std",H254,HLOOKUP(A254,'FlightConfig '!$B$34:$G$35,2,0)*I254),"")</f>
        <v/>
      </c>
      <c r="K254" s="245" t="e">
        <f>VLOOKUP(Food!E254,'FG MASTER'!$A$1:$AC$536,16,0)</f>
        <v>#N/A</v>
      </c>
      <c r="L254" s="246" t="e">
        <f>VLOOKUP(Food!E254,'FG MASTER'!$A$10:$AC$536,17,0)</f>
        <v>#N/A</v>
      </c>
      <c r="M254" s="132" t="str">
        <f t="shared" si="252"/>
        <v/>
      </c>
      <c r="N254" s="132" t="str">
        <f t="shared" si="253"/>
        <v/>
      </c>
      <c r="O254" s="132">
        <f t="shared" si="254"/>
        <v>0</v>
      </c>
      <c r="P254" s="132">
        <f t="shared" si="255"/>
        <v>0</v>
      </c>
      <c r="Q254" s="132">
        <f t="shared" si="256"/>
        <v>0</v>
      </c>
      <c r="R254" s="405" t="e">
        <f t="shared" si="257"/>
        <v>#N/A</v>
      </c>
      <c r="S254" s="405" t="e">
        <f t="shared" si="258"/>
        <v>#VALUE!</v>
      </c>
      <c r="T254" s="405" t="e">
        <f t="shared" si="259"/>
        <v>#N/A</v>
      </c>
      <c r="U254" s="127"/>
      <c r="V254" s="127"/>
      <c r="W254" s="127"/>
      <c r="X254" s="127"/>
      <c r="Z254" s="127"/>
      <c r="AA254" s="127"/>
      <c r="AB254" s="127"/>
      <c r="AC254" s="127"/>
      <c r="AD254" s="127"/>
      <c r="AG254" s="127"/>
      <c r="AH254" s="127"/>
      <c r="AI254" s="127"/>
      <c r="AJ254" s="127"/>
      <c r="AK254" s="127"/>
    </row>
    <row r="255" spans="2:37" ht="17.25" customHeight="1" x14ac:dyDescent="0.25">
      <c r="B255" s="171">
        <v>1</v>
      </c>
      <c r="C255" s="176" t="str">
        <f t="shared" si="251"/>
        <v>1</v>
      </c>
      <c r="D255" s="316"/>
      <c r="E255" s="305"/>
      <c r="F255" s="311"/>
      <c r="G255" t="e">
        <f>VLOOKUP(E255,'FG MASTER'!$A$10:$AB$218,2,0)</f>
        <v>#N/A</v>
      </c>
      <c r="H255" s="286">
        <v>1</v>
      </c>
      <c r="I255" s="173">
        <v>1</v>
      </c>
      <c r="J255" s="292" t="str">
        <f>IFERROR(IF(I255="std",H255,HLOOKUP(A255,'FlightConfig '!$B$34:$G$35,2,0)*I255),"")</f>
        <v/>
      </c>
      <c r="K255" s="245" t="e">
        <f>VLOOKUP(Food!E255,'FG MASTER'!$A$1:$AC$536,16,0)</f>
        <v>#N/A</v>
      </c>
      <c r="L255" s="246" t="e">
        <f>VLOOKUP(Food!E255,'FG MASTER'!$A$10:$AC$536,17,0)</f>
        <v>#N/A</v>
      </c>
      <c r="M255" s="132" t="str">
        <f t="shared" si="252"/>
        <v/>
      </c>
      <c r="N255" s="132" t="str">
        <f t="shared" si="253"/>
        <v/>
      </c>
      <c r="O255" s="132">
        <f t="shared" si="254"/>
        <v>0</v>
      </c>
      <c r="P255" s="132">
        <f t="shared" si="255"/>
        <v>0</v>
      </c>
      <c r="Q255" s="132">
        <f t="shared" si="256"/>
        <v>0</v>
      </c>
      <c r="R255" s="405" t="e">
        <f t="shared" si="257"/>
        <v>#N/A</v>
      </c>
      <c r="S255" s="405" t="e">
        <f t="shared" si="258"/>
        <v>#VALUE!</v>
      </c>
      <c r="T255" s="405" t="e">
        <f t="shared" si="259"/>
        <v>#N/A</v>
      </c>
      <c r="U255" s="127"/>
      <c r="V255" s="127"/>
      <c r="W255" s="127"/>
      <c r="X255" s="127"/>
      <c r="Z255" s="127"/>
      <c r="AA255" s="127"/>
      <c r="AB255" s="127"/>
      <c r="AC255" s="127"/>
      <c r="AD255" s="127"/>
      <c r="AG255" s="127"/>
      <c r="AH255" s="127"/>
      <c r="AI255" s="127"/>
      <c r="AJ255" s="127"/>
      <c r="AK255" s="127"/>
    </row>
    <row r="256" spans="2:37" ht="17.25" customHeight="1" x14ac:dyDescent="0.25">
      <c r="B256" s="171">
        <v>1</v>
      </c>
      <c r="C256" s="176" t="str">
        <f t="shared" si="251"/>
        <v>1</v>
      </c>
      <c r="D256" s="316"/>
      <c r="E256" s="305"/>
      <c r="F256" s="311"/>
      <c r="G256" t="e">
        <f>VLOOKUP(E256,'FG MASTER'!$A$10:$AB$218,2,0)</f>
        <v>#N/A</v>
      </c>
      <c r="H256" s="286">
        <v>1</v>
      </c>
      <c r="I256" s="173">
        <v>1</v>
      </c>
      <c r="J256" s="292" t="str">
        <f>IFERROR(IF(I256="std",H256,HLOOKUP(A256,'FlightConfig '!$B$34:$G$35,2,0)*I256),"")</f>
        <v/>
      </c>
      <c r="K256" s="245" t="e">
        <f>VLOOKUP(Food!E256,'FG MASTER'!$A$1:$AC$536,16,0)</f>
        <v>#N/A</v>
      </c>
      <c r="L256" s="246" t="e">
        <f>VLOOKUP(Food!E256,'FG MASTER'!$A$10:$AC$536,17,0)</f>
        <v>#N/A</v>
      </c>
      <c r="M256" s="132" t="str">
        <f t="shared" si="252"/>
        <v/>
      </c>
      <c r="N256" s="132" t="str">
        <f t="shared" si="253"/>
        <v/>
      </c>
      <c r="O256" s="132">
        <f t="shared" si="254"/>
        <v>0</v>
      </c>
      <c r="P256" s="132">
        <f t="shared" si="255"/>
        <v>0</v>
      </c>
      <c r="Q256" s="132">
        <f t="shared" si="256"/>
        <v>0</v>
      </c>
      <c r="R256" s="405" t="e">
        <f t="shared" si="257"/>
        <v>#N/A</v>
      </c>
      <c r="S256" s="405" t="e">
        <f t="shared" si="258"/>
        <v>#VALUE!</v>
      </c>
      <c r="T256" s="405" t="e">
        <f t="shared" si="259"/>
        <v>#N/A</v>
      </c>
      <c r="U256" s="127"/>
      <c r="V256" s="127"/>
      <c r="W256" s="127"/>
      <c r="X256" s="127"/>
      <c r="Z256" s="127"/>
      <c r="AA256" s="127"/>
      <c r="AB256" s="127"/>
      <c r="AC256" s="127"/>
      <c r="AD256" s="127"/>
      <c r="AG256" s="127"/>
      <c r="AH256" s="127"/>
      <c r="AI256" s="127"/>
      <c r="AJ256" s="127"/>
      <c r="AK256" s="127"/>
    </row>
    <row r="257" spans="2:37" ht="17.25" customHeight="1" x14ac:dyDescent="0.25">
      <c r="B257" s="171">
        <v>1</v>
      </c>
      <c r="C257" s="176" t="str">
        <f t="shared" si="251"/>
        <v>1</v>
      </c>
      <c r="D257" s="316"/>
      <c r="E257" s="305"/>
      <c r="F257" s="311"/>
      <c r="G257" t="e">
        <f>VLOOKUP(E257,'FG MASTER'!$A$10:$AB$218,2,0)</f>
        <v>#N/A</v>
      </c>
      <c r="H257" s="286">
        <v>1</v>
      </c>
      <c r="I257" s="173">
        <v>1</v>
      </c>
      <c r="J257" s="292" t="str">
        <f>IFERROR(IF(I257="std",H257,HLOOKUP(A257,'FlightConfig '!$B$34:$G$35,2,0)*I257),"")</f>
        <v/>
      </c>
      <c r="K257" s="245" t="e">
        <f>VLOOKUP(Food!E257,'FG MASTER'!$A$1:$AC$536,16,0)</f>
        <v>#N/A</v>
      </c>
      <c r="L257" s="246" t="e">
        <f>VLOOKUP(Food!E257,'FG MASTER'!$A$10:$AC$536,17,0)</f>
        <v>#N/A</v>
      </c>
      <c r="M257" s="132" t="str">
        <f t="shared" si="252"/>
        <v/>
      </c>
      <c r="N257" s="132" t="str">
        <f t="shared" si="253"/>
        <v/>
      </c>
      <c r="O257" s="132">
        <f t="shared" si="254"/>
        <v>0</v>
      </c>
      <c r="P257" s="132">
        <f t="shared" si="255"/>
        <v>0</v>
      </c>
      <c r="Q257" s="132">
        <f t="shared" si="256"/>
        <v>0</v>
      </c>
      <c r="R257" s="405" t="e">
        <f t="shared" si="257"/>
        <v>#N/A</v>
      </c>
      <c r="S257" s="405" t="e">
        <f t="shared" si="258"/>
        <v>#VALUE!</v>
      </c>
      <c r="T257" s="405" t="e">
        <f t="shared" si="259"/>
        <v>#N/A</v>
      </c>
      <c r="U257" s="127"/>
      <c r="V257" s="127"/>
      <c r="W257" s="127"/>
      <c r="X257" s="127"/>
      <c r="Z257" s="127"/>
      <c r="AA257" s="127"/>
      <c r="AB257" s="127"/>
      <c r="AC257" s="127"/>
      <c r="AD257" s="127"/>
      <c r="AG257" s="127"/>
      <c r="AH257" s="127"/>
      <c r="AI257" s="127"/>
      <c r="AJ257" s="127"/>
      <c r="AK257" s="127"/>
    </row>
    <row r="258" spans="2:37" ht="17.25" customHeight="1" x14ac:dyDescent="0.25">
      <c r="B258" s="171">
        <v>1</v>
      </c>
      <c r="C258" s="176" t="str">
        <f t="shared" si="251"/>
        <v>1</v>
      </c>
      <c r="D258" s="316"/>
      <c r="E258" s="305"/>
      <c r="F258" s="311"/>
      <c r="G258" t="e">
        <f>VLOOKUP(E258,'FG MASTER'!$A$10:$AB$218,2,0)</f>
        <v>#N/A</v>
      </c>
      <c r="H258" s="286">
        <v>1</v>
      </c>
      <c r="I258" s="173">
        <v>1</v>
      </c>
      <c r="J258" s="292" t="str">
        <f>IFERROR(IF(I258="std",H258,HLOOKUP(A258,'FlightConfig '!$B$34:$G$35,2,0)*I258),"")</f>
        <v/>
      </c>
      <c r="K258" s="245" t="e">
        <f>VLOOKUP(Food!E258,'FG MASTER'!$A$1:$AC$536,16,0)</f>
        <v>#N/A</v>
      </c>
      <c r="L258" s="246" t="e">
        <f>VLOOKUP(Food!E258,'FG MASTER'!$A$10:$AC$536,17,0)</f>
        <v>#N/A</v>
      </c>
      <c r="M258" s="132" t="str">
        <f t="shared" si="252"/>
        <v/>
      </c>
      <c r="N258" s="132" t="str">
        <f t="shared" si="253"/>
        <v/>
      </c>
      <c r="O258" s="132">
        <f t="shared" si="254"/>
        <v>0</v>
      </c>
      <c r="P258" s="132">
        <f t="shared" si="255"/>
        <v>0</v>
      </c>
      <c r="Q258" s="132">
        <f t="shared" si="256"/>
        <v>0</v>
      </c>
      <c r="R258" s="405" t="e">
        <f t="shared" si="257"/>
        <v>#N/A</v>
      </c>
      <c r="S258" s="405" t="e">
        <f t="shared" si="258"/>
        <v>#VALUE!</v>
      </c>
      <c r="T258" s="405" t="e">
        <f t="shared" si="259"/>
        <v>#N/A</v>
      </c>
      <c r="U258" s="127"/>
      <c r="V258" s="127"/>
      <c r="W258" s="127"/>
      <c r="X258" s="127"/>
      <c r="Z258" s="127"/>
      <c r="AA258" s="127"/>
      <c r="AB258" s="127"/>
      <c r="AC258" s="127"/>
      <c r="AD258" s="127"/>
      <c r="AG258" s="127"/>
      <c r="AH258" s="127"/>
      <c r="AI258" s="127"/>
      <c r="AJ258" s="127"/>
      <c r="AK258" s="127"/>
    </row>
    <row r="259" spans="2:37" ht="17.25" customHeight="1" x14ac:dyDescent="0.25">
      <c r="B259" s="171">
        <v>1</v>
      </c>
      <c r="C259" s="176" t="str">
        <f t="shared" si="251"/>
        <v>1</v>
      </c>
      <c r="D259" s="316"/>
      <c r="E259" s="305"/>
      <c r="F259" s="311"/>
      <c r="G259" t="e">
        <f>VLOOKUP(E259,'FG MASTER'!$A$10:$AB$218,2,0)</f>
        <v>#N/A</v>
      </c>
      <c r="H259" s="286">
        <v>1</v>
      </c>
      <c r="I259" s="173">
        <v>1</v>
      </c>
      <c r="J259" s="292" t="str">
        <f>IFERROR(IF(I259="std",H259,HLOOKUP(A259,'FlightConfig '!$B$34:$G$35,2,0)*I259),"")</f>
        <v/>
      </c>
      <c r="K259" s="245" t="e">
        <f>VLOOKUP(Food!E259,'FG MASTER'!$A$1:$AC$536,16,0)</f>
        <v>#N/A</v>
      </c>
      <c r="L259" s="246" t="e">
        <f>VLOOKUP(Food!E259,'FG MASTER'!$A$10:$AC$536,17,0)</f>
        <v>#N/A</v>
      </c>
      <c r="M259" s="132" t="str">
        <f t="shared" si="252"/>
        <v/>
      </c>
      <c r="N259" s="132" t="str">
        <f t="shared" si="253"/>
        <v/>
      </c>
      <c r="O259" s="132">
        <f t="shared" si="254"/>
        <v>0</v>
      </c>
      <c r="P259" s="132">
        <f t="shared" si="255"/>
        <v>0</v>
      </c>
      <c r="Q259" s="132">
        <f t="shared" si="256"/>
        <v>0</v>
      </c>
      <c r="R259" s="405" t="e">
        <f t="shared" si="257"/>
        <v>#N/A</v>
      </c>
      <c r="S259" s="405" t="e">
        <f t="shared" si="258"/>
        <v>#VALUE!</v>
      </c>
      <c r="T259" s="405" t="e">
        <f t="shared" si="259"/>
        <v>#N/A</v>
      </c>
      <c r="U259" s="127"/>
      <c r="V259" s="127"/>
      <c r="W259" s="127"/>
      <c r="X259" s="127"/>
      <c r="Z259" s="127"/>
      <c r="AA259" s="127"/>
      <c r="AB259" s="127"/>
      <c r="AC259" s="127"/>
      <c r="AD259" s="127"/>
      <c r="AG259" s="127"/>
      <c r="AH259" s="127"/>
      <c r="AI259" s="127"/>
      <c r="AJ259" s="127"/>
      <c r="AK259" s="127"/>
    </row>
    <row r="260" spans="2:37" ht="17.25" customHeight="1" x14ac:dyDescent="0.25">
      <c r="B260" s="171">
        <v>1</v>
      </c>
      <c r="C260" s="176" t="str">
        <f t="shared" si="251"/>
        <v>1</v>
      </c>
      <c r="D260" s="316"/>
      <c r="E260" s="305"/>
      <c r="F260" s="311"/>
      <c r="G260" t="e">
        <f>VLOOKUP(E260,'FG MASTER'!$A$10:$AB$218,2,0)</f>
        <v>#N/A</v>
      </c>
      <c r="H260" s="286">
        <v>1</v>
      </c>
      <c r="I260" s="173">
        <v>1</v>
      </c>
      <c r="J260" s="292" t="str">
        <f>IFERROR(IF(I260="std",H260,HLOOKUP(A260,'FlightConfig '!$B$34:$G$35,2,0)*I260),"")</f>
        <v/>
      </c>
      <c r="K260" s="245" t="e">
        <f>VLOOKUP(Food!E260,'FG MASTER'!$A$1:$AC$536,16,0)</f>
        <v>#N/A</v>
      </c>
      <c r="L260" s="246" t="e">
        <f>VLOOKUP(Food!E260,'FG MASTER'!$A$10:$AC$536,17,0)</f>
        <v>#N/A</v>
      </c>
      <c r="M260" s="132" t="str">
        <f t="shared" si="252"/>
        <v/>
      </c>
      <c r="N260" s="132" t="str">
        <f t="shared" si="253"/>
        <v/>
      </c>
      <c r="O260" s="132">
        <f t="shared" si="254"/>
        <v>0</v>
      </c>
      <c r="P260" s="132">
        <f t="shared" si="255"/>
        <v>0</v>
      </c>
      <c r="Q260" s="132">
        <f t="shared" si="256"/>
        <v>0</v>
      </c>
      <c r="R260" s="405" t="e">
        <f t="shared" si="257"/>
        <v>#N/A</v>
      </c>
      <c r="S260" s="405" t="e">
        <f t="shared" si="258"/>
        <v>#VALUE!</v>
      </c>
      <c r="T260" s="405" t="e">
        <f t="shared" si="259"/>
        <v>#N/A</v>
      </c>
      <c r="U260" s="127"/>
      <c r="V260" s="127"/>
      <c r="W260" s="127"/>
      <c r="X260" s="127"/>
      <c r="Z260" s="127"/>
      <c r="AA260" s="127"/>
      <c r="AB260" s="127"/>
      <c r="AC260" s="127"/>
      <c r="AD260" s="127"/>
      <c r="AG260" s="127"/>
      <c r="AH260" s="127"/>
      <c r="AI260" s="127"/>
      <c r="AJ260" s="127"/>
      <c r="AK260" s="127"/>
    </row>
    <row r="261" spans="2:37" ht="17.25" customHeight="1" x14ac:dyDescent="0.25">
      <c r="B261" s="171">
        <v>1</v>
      </c>
      <c r="C261" s="176" t="str">
        <f t="shared" si="251"/>
        <v>1</v>
      </c>
      <c r="D261" s="316"/>
      <c r="E261" s="305"/>
      <c r="F261" s="311"/>
      <c r="G261" t="e">
        <f>VLOOKUP(E261,'FG MASTER'!$A$10:$AB$218,2,0)</f>
        <v>#N/A</v>
      </c>
      <c r="H261" s="286">
        <v>1</v>
      </c>
      <c r="I261" s="173">
        <v>1</v>
      </c>
      <c r="J261" s="292" t="str">
        <f>IFERROR(IF(I261="std",H261,HLOOKUP(A261,'FlightConfig '!$B$34:$G$35,2,0)*I261),"")</f>
        <v/>
      </c>
      <c r="K261" s="245" t="e">
        <f>VLOOKUP(Food!E261,'FG MASTER'!$A$1:$AC$536,16,0)</f>
        <v>#N/A</v>
      </c>
      <c r="L261" s="246" t="e">
        <f>VLOOKUP(Food!E261,'FG MASTER'!$A$10:$AC$536,17,0)</f>
        <v>#N/A</v>
      </c>
      <c r="M261" s="132" t="str">
        <f t="shared" si="252"/>
        <v/>
      </c>
      <c r="N261" s="132" t="str">
        <f t="shared" si="253"/>
        <v/>
      </c>
      <c r="O261" s="132">
        <f t="shared" si="254"/>
        <v>0</v>
      </c>
      <c r="P261" s="132">
        <f t="shared" si="255"/>
        <v>0</v>
      </c>
      <c r="Q261" s="132">
        <f t="shared" si="256"/>
        <v>0</v>
      </c>
      <c r="R261" s="405" t="e">
        <f t="shared" si="257"/>
        <v>#N/A</v>
      </c>
      <c r="S261" s="405" t="e">
        <f t="shared" si="258"/>
        <v>#VALUE!</v>
      </c>
      <c r="T261" s="405" t="e">
        <f t="shared" si="259"/>
        <v>#N/A</v>
      </c>
      <c r="U261" s="127"/>
      <c r="V261" s="127"/>
      <c r="W261" s="127"/>
      <c r="X261" s="127"/>
      <c r="Z261" s="127"/>
      <c r="AA261" s="127"/>
      <c r="AB261" s="127"/>
      <c r="AC261" s="127"/>
      <c r="AD261" s="127"/>
      <c r="AG261" s="127"/>
      <c r="AH261" s="127"/>
      <c r="AI261" s="127"/>
      <c r="AJ261" s="127"/>
      <c r="AK261" s="127"/>
    </row>
    <row r="262" spans="2:37" ht="17.25" customHeight="1" x14ac:dyDescent="0.25">
      <c r="B262" s="171">
        <v>1</v>
      </c>
      <c r="C262" s="176" t="str">
        <f t="shared" si="251"/>
        <v>1</v>
      </c>
      <c r="D262" s="316"/>
      <c r="E262" s="305"/>
      <c r="F262" s="311"/>
      <c r="G262" t="e">
        <f>VLOOKUP(E262,'FG MASTER'!$A$10:$AB$218,2,0)</f>
        <v>#N/A</v>
      </c>
      <c r="H262" s="286">
        <v>1</v>
      </c>
      <c r="I262" s="173">
        <v>1</v>
      </c>
      <c r="J262" s="292" t="str">
        <f>IFERROR(IF(I262="std",H262,HLOOKUP(A262,'FlightConfig '!$B$34:$G$35,2,0)*I262),"")</f>
        <v/>
      </c>
      <c r="K262" s="245" t="e">
        <f>VLOOKUP(Food!E262,'FG MASTER'!$A$1:$AC$536,16,0)</f>
        <v>#N/A</v>
      </c>
      <c r="L262" s="246" t="e">
        <f>VLOOKUP(Food!E262,'FG MASTER'!$A$10:$AC$536,17,0)</f>
        <v>#N/A</v>
      </c>
      <c r="M262" s="132" t="str">
        <f t="shared" si="252"/>
        <v/>
      </c>
      <c r="N262" s="132" t="str">
        <f t="shared" si="253"/>
        <v/>
      </c>
      <c r="O262" s="132">
        <f t="shared" ref="O262:O325" si="260">IFERROR($K262*(1+$O$2)-$K262,0)</f>
        <v>0</v>
      </c>
      <c r="P262" s="132">
        <f t="shared" ref="P262:P325" si="261">IFERROR($M262*(1+$P$2)-$M262,0)</f>
        <v>0</v>
      </c>
      <c r="Q262" s="132">
        <f t="shared" si="256"/>
        <v>0</v>
      </c>
      <c r="R262" s="405" t="e">
        <f t="shared" ref="R262:R325" si="262">K262*(1+$O$2)</f>
        <v>#N/A</v>
      </c>
      <c r="S262" s="405" t="e">
        <f t="shared" si="258"/>
        <v>#VALUE!</v>
      </c>
      <c r="T262" s="405" t="e">
        <f t="shared" si="259"/>
        <v>#N/A</v>
      </c>
      <c r="U262" s="127"/>
      <c r="V262" s="127"/>
      <c r="W262" s="127"/>
      <c r="X262" s="127"/>
      <c r="Z262" s="127"/>
      <c r="AA262" s="127"/>
      <c r="AB262" s="127"/>
      <c r="AC262" s="127"/>
      <c r="AD262" s="127"/>
      <c r="AG262" s="127"/>
      <c r="AH262" s="127"/>
      <c r="AI262" s="127"/>
      <c r="AJ262" s="127"/>
      <c r="AK262" s="127"/>
    </row>
    <row r="263" spans="2:37" ht="17.25" customHeight="1" x14ac:dyDescent="0.25">
      <c r="B263" s="171">
        <v>1</v>
      </c>
      <c r="C263" s="176" t="str">
        <f t="shared" si="251"/>
        <v>1</v>
      </c>
      <c r="D263" s="316"/>
      <c r="E263" s="305"/>
      <c r="F263" s="311"/>
      <c r="G263" t="e">
        <f>VLOOKUP(E263,'FG MASTER'!$A$10:$AB$218,2,0)</f>
        <v>#N/A</v>
      </c>
      <c r="H263" s="286">
        <v>1</v>
      </c>
      <c r="I263" s="173">
        <v>1</v>
      </c>
      <c r="J263" s="292" t="str">
        <f>IFERROR(IF(I263="std",H263,HLOOKUP(A263,'FlightConfig '!$B$34:$G$35,2,0)*I263),"")</f>
        <v/>
      </c>
      <c r="K263" s="245" t="e">
        <f>VLOOKUP(Food!E263,'FG MASTER'!$A$1:$AC$536,16,0)</f>
        <v>#N/A</v>
      </c>
      <c r="L263" s="246" t="e">
        <f>VLOOKUP(Food!E263,'FG MASTER'!$A$10:$AC$536,17,0)</f>
        <v>#N/A</v>
      </c>
      <c r="M263" s="132" t="str">
        <f t="shared" si="252"/>
        <v/>
      </c>
      <c r="N263" s="132" t="str">
        <f t="shared" si="253"/>
        <v/>
      </c>
      <c r="O263" s="132">
        <f t="shared" si="260"/>
        <v>0</v>
      </c>
      <c r="P263" s="132">
        <f t="shared" si="261"/>
        <v>0</v>
      </c>
      <c r="Q263" s="132">
        <f t="shared" si="256"/>
        <v>0</v>
      </c>
      <c r="R263" s="405" t="e">
        <f t="shared" si="262"/>
        <v>#N/A</v>
      </c>
      <c r="S263" s="405" t="e">
        <f t="shared" si="258"/>
        <v>#VALUE!</v>
      </c>
      <c r="T263" s="405" t="e">
        <f t="shared" si="259"/>
        <v>#N/A</v>
      </c>
      <c r="U263" s="127"/>
      <c r="V263" s="127"/>
      <c r="W263" s="127"/>
      <c r="X263" s="127"/>
      <c r="Z263" s="127"/>
      <c r="AA263" s="127"/>
      <c r="AB263" s="127"/>
      <c r="AC263" s="127"/>
      <c r="AD263" s="127"/>
      <c r="AG263" s="127"/>
      <c r="AH263" s="127"/>
      <c r="AI263" s="127"/>
      <c r="AJ263" s="127"/>
      <c r="AK263" s="127"/>
    </row>
    <row r="264" spans="2:37" ht="17.25" customHeight="1" x14ac:dyDescent="0.25">
      <c r="B264" s="171">
        <v>1</v>
      </c>
      <c r="C264" s="176" t="str">
        <f t="shared" si="251"/>
        <v>1</v>
      </c>
      <c r="D264" s="316"/>
      <c r="E264" s="305"/>
      <c r="F264" s="311"/>
      <c r="G264" t="e">
        <f>VLOOKUP(E264,'FG MASTER'!$A$10:$AB$218,2,0)</f>
        <v>#N/A</v>
      </c>
      <c r="H264" s="286">
        <v>1</v>
      </c>
      <c r="I264" s="173">
        <v>1</v>
      </c>
      <c r="J264" s="292" t="str">
        <f>IFERROR(IF(I264="std",H264,HLOOKUP(A264,'FlightConfig '!$B$34:$G$35,2,0)*I264),"")</f>
        <v/>
      </c>
      <c r="K264" s="245" t="e">
        <f>VLOOKUP(Food!E264,'FG MASTER'!$A$1:$AC$536,16,0)</f>
        <v>#N/A</v>
      </c>
      <c r="L264" s="246" t="e">
        <f>VLOOKUP(Food!E264,'FG MASTER'!$A$10:$AC$536,17,0)</f>
        <v>#N/A</v>
      </c>
      <c r="M264" s="132" t="str">
        <f t="shared" si="252"/>
        <v/>
      </c>
      <c r="N264" s="132" t="str">
        <f t="shared" si="253"/>
        <v/>
      </c>
      <c r="O264" s="132">
        <f t="shared" si="260"/>
        <v>0</v>
      </c>
      <c r="P264" s="132">
        <f t="shared" si="261"/>
        <v>0</v>
      </c>
      <c r="Q264" s="132">
        <f t="shared" si="256"/>
        <v>0</v>
      </c>
      <c r="R264" s="405" t="e">
        <f t="shared" si="262"/>
        <v>#N/A</v>
      </c>
      <c r="S264" s="405" t="e">
        <f t="shared" si="258"/>
        <v>#VALUE!</v>
      </c>
      <c r="T264" s="405" t="e">
        <f t="shared" si="259"/>
        <v>#N/A</v>
      </c>
      <c r="U264" s="127"/>
      <c r="V264" s="127"/>
      <c r="W264" s="127"/>
      <c r="X264" s="127"/>
      <c r="Z264" s="127"/>
      <c r="AA264" s="127"/>
      <c r="AB264" s="127"/>
      <c r="AC264" s="127"/>
      <c r="AD264" s="127"/>
      <c r="AG264" s="127"/>
      <c r="AH264" s="127"/>
      <c r="AI264" s="127"/>
      <c r="AJ264" s="127"/>
      <c r="AK264" s="127"/>
    </row>
    <row r="265" spans="2:37" ht="17.25" customHeight="1" x14ac:dyDescent="0.25">
      <c r="B265" s="171">
        <v>1</v>
      </c>
      <c r="C265" s="176" t="str">
        <f t="shared" si="251"/>
        <v>1</v>
      </c>
      <c r="D265" s="316"/>
      <c r="E265" s="305"/>
      <c r="F265" s="311"/>
      <c r="G265" t="e">
        <f>VLOOKUP(E265,'FG MASTER'!$A$10:$AB$218,2,0)</f>
        <v>#N/A</v>
      </c>
      <c r="H265" s="286">
        <v>1</v>
      </c>
      <c r="I265" s="173">
        <v>1</v>
      </c>
      <c r="J265" s="292" t="str">
        <f>IFERROR(IF(I265="std",H265,HLOOKUP(A265,'FlightConfig '!$B$34:$G$35,2,0)*I265),"")</f>
        <v/>
      </c>
      <c r="K265" s="245" t="e">
        <f>VLOOKUP(Food!E265,'FG MASTER'!$A$1:$AC$536,16,0)</f>
        <v>#N/A</v>
      </c>
      <c r="L265" s="246" t="e">
        <f>VLOOKUP(Food!E265,'FG MASTER'!$A$10:$AC$536,17,0)</f>
        <v>#N/A</v>
      </c>
      <c r="M265" s="132" t="str">
        <f t="shared" si="252"/>
        <v/>
      </c>
      <c r="N265" s="132" t="str">
        <f t="shared" si="253"/>
        <v/>
      </c>
      <c r="O265" s="132">
        <f t="shared" si="260"/>
        <v>0</v>
      </c>
      <c r="P265" s="132">
        <f t="shared" si="261"/>
        <v>0</v>
      </c>
      <c r="Q265" s="132">
        <f t="shared" si="256"/>
        <v>0</v>
      </c>
      <c r="R265" s="405" t="e">
        <f t="shared" si="262"/>
        <v>#N/A</v>
      </c>
      <c r="S265" s="405" t="e">
        <f t="shared" si="258"/>
        <v>#VALUE!</v>
      </c>
      <c r="T265" s="405" t="e">
        <f t="shared" si="259"/>
        <v>#N/A</v>
      </c>
      <c r="U265" s="127"/>
      <c r="V265" s="127"/>
      <c r="W265" s="127"/>
      <c r="X265" s="127"/>
      <c r="Z265" s="127"/>
      <c r="AA265" s="127"/>
      <c r="AB265" s="127"/>
      <c r="AC265" s="127"/>
      <c r="AD265" s="127"/>
      <c r="AG265" s="127"/>
      <c r="AH265" s="127"/>
      <c r="AI265" s="127"/>
      <c r="AJ265" s="127"/>
      <c r="AK265" s="127"/>
    </row>
    <row r="266" spans="2:37" ht="17.25" customHeight="1" x14ac:dyDescent="0.25">
      <c r="B266" s="171">
        <v>1</v>
      </c>
      <c r="C266" s="176" t="str">
        <f t="shared" si="251"/>
        <v>1</v>
      </c>
      <c r="D266" s="316"/>
      <c r="E266" s="305"/>
      <c r="F266" s="311"/>
      <c r="G266" t="e">
        <f>VLOOKUP(E266,'FG MASTER'!$A$10:$AB$218,2,0)</f>
        <v>#N/A</v>
      </c>
      <c r="H266" s="286">
        <v>1</v>
      </c>
      <c r="I266" s="173">
        <v>1</v>
      </c>
      <c r="J266" s="292" t="str">
        <f>IFERROR(IF(I266="std",H266,HLOOKUP(A266,'FlightConfig '!$B$34:$G$35,2,0)*I266),"")</f>
        <v/>
      </c>
      <c r="K266" s="245" t="e">
        <f>VLOOKUP(Food!E266,'FG MASTER'!$A$1:$AC$536,16,0)</f>
        <v>#N/A</v>
      </c>
      <c r="L266" s="246" t="e">
        <f>VLOOKUP(Food!E266,'FG MASTER'!$A$10:$AC$536,17,0)</f>
        <v>#N/A</v>
      </c>
      <c r="M266" s="132" t="str">
        <f t="shared" si="252"/>
        <v/>
      </c>
      <c r="N266" s="132" t="str">
        <f t="shared" si="253"/>
        <v/>
      </c>
      <c r="O266" s="132">
        <f t="shared" si="260"/>
        <v>0</v>
      </c>
      <c r="P266" s="132">
        <f t="shared" si="261"/>
        <v>0</v>
      </c>
      <c r="Q266" s="132">
        <f t="shared" si="256"/>
        <v>0</v>
      </c>
      <c r="R266" s="405" t="e">
        <f t="shared" si="262"/>
        <v>#N/A</v>
      </c>
      <c r="S266" s="405" t="e">
        <f t="shared" si="258"/>
        <v>#VALUE!</v>
      </c>
      <c r="T266" s="405" t="e">
        <f t="shared" si="259"/>
        <v>#N/A</v>
      </c>
      <c r="U266" s="127"/>
      <c r="V266" s="127"/>
      <c r="W266" s="127"/>
      <c r="X266" s="127"/>
      <c r="Z266" s="127"/>
      <c r="AA266" s="127"/>
      <c r="AB266" s="127"/>
      <c r="AC266" s="127"/>
      <c r="AD266" s="127"/>
      <c r="AG266" s="127"/>
      <c r="AH266" s="127"/>
      <c r="AI266" s="127"/>
      <c r="AJ266" s="127"/>
      <c r="AK266" s="127"/>
    </row>
    <row r="267" spans="2:37" ht="17.25" customHeight="1" x14ac:dyDescent="0.25">
      <c r="B267" s="171">
        <v>1</v>
      </c>
      <c r="C267" s="176" t="str">
        <f t="shared" si="251"/>
        <v>1</v>
      </c>
      <c r="D267" s="316"/>
      <c r="E267" s="305"/>
      <c r="F267" s="311"/>
      <c r="G267" t="e">
        <f>VLOOKUP(E267,'FG MASTER'!$A$10:$AB$218,2,0)</f>
        <v>#N/A</v>
      </c>
      <c r="H267" s="286">
        <v>1</v>
      </c>
      <c r="I267" s="173">
        <v>1</v>
      </c>
      <c r="J267" s="292" t="str">
        <f>IFERROR(IF(I267="std",H267,HLOOKUP(A267,'FlightConfig '!$B$34:$G$35,2,0)*I267),"")</f>
        <v/>
      </c>
      <c r="K267" s="245" t="e">
        <f>VLOOKUP(Food!E267,'FG MASTER'!$A$1:$AC$536,16,0)</f>
        <v>#N/A</v>
      </c>
      <c r="L267" s="246" t="e">
        <f>VLOOKUP(Food!E267,'FG MASTER'!$A$10:$AC$536,17,0)</f>
        <v>#N/A</v>
      </c>
      <c r="M267" s="132" t="str">
        <f t="shared" si="252"/>
        <v/>
      </c>
      <c r="N267" s="132" t="str">
        <f t="shared" si="253"/>
        <v/>
      </c>
      <c r="O267" s="132">
        <f t="shared" si="260"/>
        <v>0</v>
      </c>
      <c r="P267" s="132">
        <f t="shared" si="261"/>
        <v>0</v>
      </c>
      <c r="Q267" s="132">
        <f t="shared" si="256"/>
        <v>0</v>
      </c>
      <c r="R267" s="405" t="e">
        <f t="shared" si="262"/>
        <v>#N/A</v>
      </c>
      <c r="S267" s="405" t="e">
        <f t="shared" si="258"/>
        <v>#VALUE!</v>
      </c>
      <c r="T267" s="405" t="e">
        <f t="shared" si="259"/>
        <v>#N/A</v>
      </c>
      <c r="U267" s="127"/>
      <c r="V267" s="127"/>
      <c r="W267" s="127"/>
      <c r="X267" s="127"/>
      <c r="Z267" s="127"/>
      <c r="AA267" s="127"/>
      <c r="AB267" s="127"/>
      <c r="AC267" s="127"/>
      <c r="AD267" s="127"/>
      <c r="AG267" s="127"/>
      <c r="AH267" s="127"/>
      <c r="AI267" s="127"/>
      <c r="AJ267" s="127"/>
      <c r="AK267" s="127"/>
    </row>
    <row r="268" spans="2:37" ht="17.25" customHeight="1" x14ac:dyDescent="0.25">
      <c r="B268" s="171">
        <v>1</v>
      </c>
      <c r="C268" s="176" t="str">
        <f t="shared" si="251"/>
        <v>1</v>
      </c>
      <c r="D268" s="316"/>
      <c r="E268" s="305"/>
      <c r="F268" s="311"/>
      <c r="G268" t="e">
        <f>VLOOKUP(E268,'FG MASTER'!$A$10:$AB$218,2,0)</f>
        <v>#N/A</v>
      </c>
      <c r="H268" s="286">
        <v>1</v>
      </c>
      <c r="I268" s="173">
        <v>1</v>
      </c>
      <c r="J268" s="292" t="str">
        <f>IFERROR(IF(I268="std",H268,HLOOKUP(A268,'FlightConfig '!$B$34:$G$35,2,0)*I268),"")</f>
        <v/>
      </c>
      <c r="K268" s="245" t="e">
        <f>VLOOKUP(Food!E268,'FG MASTER'!$A$1:$AC$536,16,0)</f>
        <v>#N/A</v>
      </c>
      <c r="L268" s="246" t="e">
        <f>VLOOKUP(Food!E268,'FG MASTER'!$A$10:$AC$536,17,0)</f>
        <v>#N/A</v>
      </c>
      <c r="M268" s="132" t="str">
        <f t="shared" si="252"/>
        <v/>
      </c>
      <c r="N268" s="132" t="str">
        <f t="shared" si="253"/>
        <v/>
      </c>
      <c r="O268" s="132">
        <f t="shared" si="260"/>
        <v>0</v>
      </c>
      <c r="P268" s="132">
        <f t="shared" si="261"/>
        <v>0</v>
      </c>
      <c r="Q268" s="132">
        <f t="shared" si="256"/>
        <v>0</v>
      </c>
      <c r="R268" s="405" t="e">
        <f t="shared" si="262"/>
        <v>#N/A</v>
      </c>
      <c r="S268" s="405" t="e">
        <f t="shared" si="258"/>
        <v>#VALUE!</v>
      </c>
      <c r="T268" s="405" t="e">
        <f t="shared" si="259"/>
        <v>#N/A</v>
      </c>
      <c r="U268" s="127"/>
      <c r="V268" s="127"/>
      <c r="W268" s="127"/>
      <c r="X268" s="127"/>
      <c r="Z268" s="127"/>
      <c r="AA268" s="127"/>
      <c r="AB268" s="127"/>
      <c r="AC268" s="127"/>
      <c r="AD268" s="127"/>
      <c r="AG268" s="127"/>
      <c r="AH268" s="127"/>
      <c r="AI268" s="127"/>
      <c r="AJ268" s="127"/>
      <c r="AK268" s="127"/>
    </row>
    <row r="269" spans="2:37" ht="17.25" customHeight="1" x14ac:dyDescent="0.25">
      <c r="B269" s="171">
        <v>1</v>
      </c>
      <c r="C269" s="176" t="str">
        <f t="shared" si="251"/>
        <v>1</v>
      </c>
      <c r="D269" s="316"/>
      <c r="E269" s="305"/>
      <c r="F269" s="311"/>
      <c r="G269" t="e">
        <f>VLOOKUP(E269,'FG MASTER'!$A$10:$AB$218,2,0)</f>
        <v>#N/A</v>
      </c>
      <c r="H269" s="286">
        <v>1</v>
      </c>
      <c r="I269" s="173">
        <v>1</v>
      </c>
      <c r="J269" s="292" t="str">
        <f>IFERROR(IF(I269="std",H269,HLOOKUP(A269,'FlightConfig '!$B$34:$G$35,2,0)*I269),"")</f>
        <v/>
      </c>
      <c r="K269" s="245" t="e">
        <f>VLOOKUP(Food!E269,'FG MASTER'!$A$1:$AC$536,16,0)</f>
        <v>#N/A</v>
      </c>
      <c r="L269" s="246" t="e">
        <f>VLOOKUP(Food!E269,'FG MASTER'!$A$10:$AC$536,17,0)</f>
        <v>#N/A</v>
      </c>
      <c r="M269" s="132" t="str">
        <f t="shared" si="252"/>
        <v/>
      </c>
      <c r="N269" s="132" t="str">
        <f t="shared" si="253"/>
        <v/>
      </c>
      <c r="O269" s="132">
        <f t="shared" si="260"/>
        <v>0</v>
      </c>
      <c r="P269" s="132">
        <f t="shared" si="261"/>
        <v>0</v>
      </c>
      <c r="Q269" s="132">
        <f t="shared" si="256"/>
        <v>0</v>
      </c>
      <c r="R269" s="405" t="e">
        <f t="shared" si="262"/>
        <v>#N/A</v>
      </c>
      <c r="S269" s="405" t="e">
        <f t="shared" si="258"/>
        <v>#VALUE!</v>
      </c>
      <c r="T269" s="405" t="e">
        <f t="shared" si="259"/>
        <v>#N/A</v>
      </c>
      <c r="U269" s="127"/>
      <c r="V269" s="127"/>
      <c r="W269" s="127"/>
      <c r="X269" s="127"/>
      <c r="Z269" s="127"/>
      <c r="AA269" s="127"/>
      <c r="AB269" s="127"/>
      <c r="AC269" s="127"/>
      <c r="AD269" s="127"/>
      <c r="AG269" s="127"/>
      <c r="AH269" s="127"/>
      <c r="AI269" s="127"/>
      <c r="AJ269" s="127"/>
      <c r="AK269" s="127"/>
    </row>
    <row r="270" spans="2:37" ht="17.25" customHeight="1" x14ac:dyDescent="0.25">
      <c r="B270" s="171">
        <v>1</v>
      </c>
      <c r="C270" s="176" t="str">
        <f t="shared" si="251"/>
        <v>1</v>
      </c>
      <c r="D270" s="316"/>
      <c r="E270" s="305"/>
      <c r="F270" s="311"/>
      <c r="G270" t="e">
        <f>VLOOKUP(E270,'FG MASTER'!$A$10:$AB$218,2,0)</f>
        <v>#N/A</v>
      </c>
      <c r="H270" s="286">
        <v>1</v>
      </c>
      <c r="I270" s="173">
        <v>1</v>
      </c>
      <c r="J270" s="292" t="str">
        <f>IFERROR(IF(I270="std",H270,HLOOKUP(A270,'FlightConfig '!$B$34:$G$35,2,0)*I270),"")</f>
        <v/>
      </c>
      <c r="K270" s="245" t="e">
        <f>VLOOKUP(Food!E270,'FG MASTER'!$A$1:$AC$536,16,0)</f>
        <v>#N/A</v>
      </c>
      <c r="L270" s="246" t="e">
        <f>VLOOKUP(Food!E270,'FG MASTER'!$A$10:$AC$536,17,0)</f>
        <v>#N/A</v>
      </c>
      <c r="M270" s="132" t="str">
        <f t="shared" si="252"/>
        <v/>
      </c>
      <c r="N270" s="132" t="str">
        <f t="shared" si="253"/>
        <v/>
      </c>
      <c r="O270" s="132">
        <f t="shared" si="260"/>
        <v>0</v>
      </c>
      <c r="P270" s="132">
        <f t="shared" si="261"/>
        <v>0</v>
      </c>
      <c r="Q270" s="132">
        <f t="shared" si="256"/>
        <v>0</v>
      </c>
      <c r="R270" s="405" t="e">
        <f t="shared" si="262"/>
        <v>#N/A</v>
      </c>
      <c r="S270" s="405" t="e">
        <f t="shared" si="258"/>
        <v>#VALUE!</v>
      </c>
      <c r="T270" s="405" t="e">
        <f t="shared" si="259"/>
        <v>#N/A</v>
      </c>
      <c r="U270" s="127"/>
      <c r="V270" s="127"/>
      <c r="W270" s="127"/>
      <c r="X270" s="127"/>
      <c r="Z270" s="127"/>
      <c r="AA270" s="127"/>
      <c r="AB270" s="127"/>
      <c r="AC270" s="127"/>
      <c r="AD270" s="127"/>
      <c r="AG270" s="127"/>
      <c r="AH270" s="127"/>
      <c r="AI270" s="127"/>
      <c r="AJ270" s="127"/>
      <c r="AK270" s="127"/>
    </row>
    <row r="271" spans="2:37" ht="17.25" customHeight="1" x14ac:dyDescent="0.25">
      <c r="B271" s="171">
        <v>1</v>
      </c>
      <c r="C271" s="176" t="str">
        <f t="shared" si="251"/>
        <v>1</v>
      </c>
      <c r="D271" s="316"/>
      <c r="E271" s="305"/>
      <c r="F271" s="311"/>
      <c r="G271" t="e">
        <f>VLOOKUP(E271,'FG MASTER'!$A$10:$AB$218,2,0)</f>
        <v>#N/A</v>
      </c>
      <c r="H271" s="286">
        <v>1</v>
      </c>
      <c r="I271" s="173">
        <v>1</v>
      </c>
      <c r="J271" s="292" t="str">
        <f>IFERROR(IF(I271="std",H271,HLOOKUP(A271,'FlightConfig '!$B$34:$G$35,2,0)*I271),"")</f>
        <v/>
      </c>
      <c r="K271" s="245" t="e">
        <f>VLOOKUP(Food!E271,'FG MASTER'!$A$1:$AC$536,16,0)</f>
        <v>#N/A</v>
      </c>
      <c r="L271" s="246" t="e">
        <f>VLOOKUP(Food!E271,'FG MASTER'!$A$10:$AC$536,17,0)</f>
        <v>#N/A</v>
      </c>
      <c r="M271" s="132" t="str">
        <f t="shared" si="252"/>
        <v/>
      </c>
      <c r="N271" s="132" t="str">
        <f t="shared" si="253"/>
        <v/>
      </c>
      <c r="O271" s="132">
        <f t="shared" si="260"/>
        <v>0</v>
      </c>
      <c r="P271" s="132">
        <f t="shared" si="261"/>
        <v>0</v>
      </c>
      <c r="Q271" s="132">
        <f t="shared" si="256"/>
        <v>0</v>
      </c>
      <c r="R271" s="405" t="e">
        <f t="shared" si="262"/>
        <v>#N/A</v>
      </c>
      <c r="S271" s="405" t="e">
        <f t="shared" si="258"/>
        <v>#VALUE!</v>
      </c>
      <c r="T271" s="405" t="e">
        <f t="shared" si="259"/>
        <v>#N/A</v>
      </c>
      <c r="U271" s="127"/>
      <c r="V271" s="127"/>
      <c r="W271" s="127"/>
      <c r="X271" s="127"/>
      <c r="Z271" s="127"/>
      <c r="AA271" s="127"/>
      <c r="AB271" s="127"/>
      <c r="AC271" s="127"/>
      <c r="AD271" s="127"/>
      <c r="AG271" s="127"/>
      <c r="AH271" s="127"/>
      <c r="AI271" s="127"/>
      <c r="AJ271" s="127"/>
      <c r="AK271" s="127"/>
    </row>
    <row r="272" spans="2:37" ht="17.25" customHeight="1" x14ac:dyDescent="0.25">
      <c r="B272" s="171">
        <v>1</v>
      </c>
      <c r="C272" s="176" t="str">
        <f t="shared" si="251"/>
        <v>1</v>
      </c>
      <c r="D272" s="316"/>
      <c r="E272" s="305"/>
      <c r="F272" s="311"/>
      <c r="G272" t="e">
        <f>VLOOKUP(E272,'FG MASTER'!$A$10:$AB$218,2,0)</f>
        <v>#N/A</v>
      </c>
      <c r="H272" s="286">
        <v>1</v>
      </c>
      <c r="I272" s="173">
        <v>1</v>
      </c>
      <c r="J272" s="292" t="str">
        <f>IFERROR(IF(I272="std",H272,HLOOKUP(A272,'FlightConfig '!$B$34:$G$35,2,0)*I272),"")</f>
        <v/>
      </c>
      <c r="K272" s="245" t="e">
        <f>VLOOKUP(Food!E272,'FG MASTER'!$A$1:$AC$536,16,0)</f>
        <v>#N/A</v>
      </c>
      <c r="L272" s="246" t="e">
        <f>VLOOKUP(Food!E272,'FG MASTER'!$A$10:$AC$536,17,0)</f>
        <v>#N/A</v>
      </c>
      <c r="M272" s="132" t="str">
        <f t="shared" si="252"/>
        <v/>
      </c>
      <c r="N272" s="132" t="str">
        <f t="shared" si="253"/>
        <v/>
      </c>
      <c r="O272" s="132">
        <f t="shared" si="260"/>
        <v>0</v>
      </c>
      <c r="P272" s="132">
        <f t="shared" si="261"/>
        <v>0</v>
      </c>
      <c r="Q272" s="132">
        <f t="shared" si="256"/>
        <v>0</v>
      </c>
      <c r="R272" s="405" t="e">
        <f t="shared" si="262"/>
        <v>#N/A</v>
      </c>
      <c r="S272" s="405" t="e">
        <f t="shared" si="258"/>
        <v>#VALUE!</v>
      </c>
      <c r="T272" s="405" t="e">
        <f t="shared" si="259"/>
        <v>#N/A</v>
      </c>
      <c r="U272" s="127"/>
      <c r="V272" s="127"/>
      <c r="W272" s="127"/>
      <c r="X272" s="127"/>
      <c r="Z272" s="127"/>
      <c r="AA272" s="127"/>
      <c r="AB272" s="127"/>
      <c r="AC272" s="127"/>
      <c r="AD272" s="127"/>
      <c r="AG272" s="127"/>
      <c r="AH272" s="127"/>
      <c r="AI272" s="127"/>
      <c r="AJ272" s="127"/>
      <c r="AK272" s="127"/>
    </row>
    <row r="273" spans="2:37" ht="17.25" customHeight="1" x14ac:dyDescent="0.25">
      <c r="B273" s="171">
        <v>1</v>
      </c>
      <c r="C273" s="176" t="str">
        <f t="shared" ref="C273:C336" si="263">CONCATENATE(A273&amp;B273&amp;F273)</f>
        <v>1</v>
      </c>
      <c r="D273" s="316"/>
      <c r="E273" s="305"/>
      <c r="F273" s="311"/>
      <c r="G273" t="e">
        <f>VLOOKUP(E273,'FG MASTER'!$A$10:$AB$218,2,0)</f>
        <v>#N/A</v>
      </c>
      <c r="H273" s="286">
        <v>1</v>
      </c>
      <c r="I273" s="173">
        <v>1</v>
      </c>
      <c r="J273" s="292" t="str">
        <f>IFERROR(IF(I273="std",H273,HLOOKUP(A273,'FlightConfig '!$B$34:$G$35,2,0)*I273),"")</f>
        <v/>
      </c>
      <c r="K273" s="245" t="e">
        <f>VLOOKUP(Food!E273,'FG MASTER'!$A$1:$AC$536,16,0)</f>
        <v>#N/A</v>
      </c>
      <c r="L273" s="246" t="e">
        <f>VLOOKUP(Food!E273,'FG MASTER'!$A$10:$AC$536,17,0)</f>
        <v>#N/A</v>
      </c>
      <c r="M273" s="132" t="str">
        <f t="shared" ref="M273:M336" si="264">IFERROR(L273*$M$2,"")</f>
        <v/>
      </c>
      <c r="N273" s="132" t="str">
        <f t="shared" ref="N273:N336" si="265">IFERROR((K273)+M273,"")</f>
        <v/>
      </c>
      <c r="O273" s="132">
        <f t="shared" si="260"/>
        <v>0</v>
      </c>
      <c r="P273" s="132">
        <f t="shared" si="261"/>
        <v>0</v>
      </c>
      <c r="Q273" s="132">
        <f t="shared" ref="Q273:Q336" si="266">SUM(N273:P273)</f>
        <v>0</v>
      </c>
      <c r="R273" s="405" t="e">
        <f t="shared" si="262"/>
        <v>#N/A</v>
      </c>
      <c r="S273" s="405" t="e">
        <f t="shared" si="258"/>
        <v>#VALUE!</v>
      </c>
      <c r="T273" s="405" t="e">
        <f t="shared" si="259"/>
        <v>#N/A</v>
      </c>
      <c r="U273" s="127"/>
      <c r="V273" s="127"/>
      <c r="W273" s="127"/>
      <c r="X273" s="127"/>
      <c r="Z273" s="127"/>
      <c r="AA273" s="127"/>
      <c r="AB273" s="127"/>
      <c r="AC273" s="127"/>
      <c r="AD273" s="127"/>
      <c r="AG273" s="127"/>
      <c r="AH273" s="127"/>
      <c r="AI273" s="127"/>
      <c r="AJ273" s="127"/>
      <c r="AK273" s="127"/>
    </row>
    <row r="274" spans="2:37" ht="17.25" customHeight="1" x14ac:dyDescent="0.25">
      <c r="B274" s="171">
        <v>1</v>
      </c>
      <c r="C274" s="176" t="str">
        <f t="shared" si="263"/>
        <v>1</v>
      </c>
      <c r="D274" s="316"/>
      <c r="E274" s="305"/>
      <c r="F274" s="311"/>
      <c r="G274" t="e">
        <f>VLOOKUP(E274,'FG MASTER'!$A$10:$AB$218,2,0)</f>
        <v>#N/A</v>
      </c>
      <c r="H274" s="286">
        <v>1</v>
      </c>
      <c r="I274" s="173">
        <v>1</v>
      </c>
      <c r="J274" s="292" t="str">
        <f>IFERROR(IF(I274="std",H274,HLOOKUP(A274,'FlightConfig '!$B$34:$G$35,2,0)*I274),"")</f>
        <v/>
      </c>
      <c r="K274" s="245" t="e">
        <f>VLOOKUP(Food!E274,'FG MASTER'!$A$1:$AC$536,16,0)</f>
        <v>#N/A</v>
      </c>
      <c r="L274" s="246" t="e">
        <f>VLOOKUP(Food!E274,'FG MASTER'!$A$10:$AC$536,17,0)</f>
        <v>#N/A</v>
      </c>
      <c r="M274" s="132" t="str">
        <f t="shared" si="264"/>
        <v/>
      </c>
      <c r="N274" s="132" t="str">
        <f t="shared" si="265"/>
        <v/>
      </c>
      <c r="O274" s="132">
        <f t="shared" si="260"/>
        <v>0</v>
      </c>
      <c r="P274" s="132">
        <f t="shared" si="261"/>
        <v>0</v>
      </c>
      <c r="Q274" s="132">
        <f t="shared" si="266"/>
        <v>0</v>
      </c>
      <c r="R274" s="405" t="e">
        <f t="shared" si="262"/>
        <v>#N/A</v>
      </c>
      <c r="S274" s="405" t="e">
        <f t="shared" ref="S274:S337" si="267">M274*(1+$P$2)</f>
        <v>#VALUE!</v>
      </c>
      <c r="T274" s="405" t="e">
        <f t="shared" ref="T274:T337" si="268">R274+S274</f>
        <v>#N/A</v>
      </c>
      <c r="U274" s="127"/>
      <c r="V274" s="127"/>
      <c r="W274" s="127"/>
      <c r="X274" s="127"/>
      <c r="Z274" s="127"/>
      <c r="AA274" s="127"/>
      <c r="AB274" s="127"/>
      <c r="AC274" s="127"/>
      <c r="AD274" s="127"/>
      <c r="AG274" s="127"/>
      <c r="AH274" s="127"/>
      <c r="AI274" s="127"/>
      <c r="AJ274" s="127"/>
      <c r="AK274" s="127"/>
    </row>
    <row r="275" spans="2:37" ht="17.25" customHeight="1" x14ac:dyDescent="0.25">
      <c r="B275" s="171">
        <v>1</v>
      </c>
      <c r="C275" s="176" t="str">
        <f t="shared" si="263"/>
        <v>1</v>
      </c>
      <c r="D275" s="316"/>
      <c r="E275" s="305"/>
      <c r="F275" s="311"/>
      <c r="G275" t="e">
        <f>VLOOKUP(E275,'FG MASTER'!$A$10:$AB$218,2,0)</f>
        <v>#N/A</v>
      </c>
      <c r="H275" s="286">
        <v>1</v>
      </c>
      <c r="I275" s="173">
        <v>1</v>
      </c>
      <c r="J275" s="292" t="str">
        <f>IFERROR(IF(I275="std",H275,HLOOKUP(A275,'FlightConfig '!$B$34:$G$35,2,0)*I275),"")</f>
        <v/>
      </c>
      <c r="K275" s="245" t="e">
        <f>VLOOKUP(Food!E275,'FG MASTER'!$A$1:$AC$536,16,0)</f>
        <v>#N/A</v>
      </c>
      <c r="L275" s="246" t="e">
        <f>VLOOKUP(Food!E275,'FG MASTER'!$A$10:$AC$536,17,0)</f>
        <v>#N/A</v>
      </c>
      <c r="M275" s="132" t="str">
        <f t="shared" si="264"/>
        <v/>
      </c>
      <c r="N275" s="132" t="str">
        <f t="shared" si="265"/>
        <v/>
      </c>
      <c r="O275" s="132">
        <f t="shared" si="260"/>
        <v>0</v>
      </c>
      <c r="P275" s="132">
        <f t="shared" si="261"/>
        <v>0</v>
      </c>
      <c r="Q275" s="132">
        <f t="shared" si="266"/>
        <v>0</v>
      </c>
      <c r="R275" s="405" t="e">
        <f t="shared" si="262"/>
        <v>#N/A</v>
      </c>
      <c r="S275" s="405" t="e">
        <f t="shared" si="267"/>
        <v>#VALUE!</v>
      </c>
      <c r="T275" s="405" t="e">
        <f t="shared" si="268"/>
        <v>#N/A</v>
      </c>
      <c r="U275" s="127"/>
      <c r="V275" s="127"/>
      <c r="W275" s="127"/>
      <c r="X275" s="127"/>
      <c r="Z275" s="127"/>
      <c r="AA275" s="127"/>
      <c r="AB275" s="127"/>
      <c r="AC275" s="127"/>
      <c r="AD275" s="127"/>
      <c r="AG275" s="127"/>
      <c r="AH275" s="127"/>
      <c r="AI275" s="127"/>
      <c r="AJ275" s="127"/>
      <c r="AK275" s="127"/>
    </row>
    <row r="276" spans="2:37" ht="17.25" customHeight="1" x14ac:dyDescent="0.25">
      <c r="B276" s="171">
        <v>1</v>
      </c>
      <c r="C276" s="176" t="str">
        <f t="shared" si="263"/>
        <v>1</v>
      </c>
      <c r="D276" s="316"/>
      <c r="E276" s="305"/>
      <c r="F276" s="311"/>
      <c r="G276" t="e">
        <f>VLOOKUP(E276,'FG MASTER'!$A$10:$AB$218,2,0)</f>
        <v>#N/A</v>
      </c>
      <c r="H276" s="286">
        <v>1</v>
      </c>
      <c r="I276" s="173">
        <v>1</v>
      </c>
      <c r="J276" s="292" t="str">
        <f>IFERROR(IF(I276="std",H276,HLOOKUP(A276,'FlightConfig '!$B$34:$G$35,2,0)*I276),"")</f>
        <v/>
      </c>
      <c r="K276" s="245" t="e">
        <f>VLOOKUP(Food!E276,'FG MASTER'!$A$1:$AC$536,16,0)</f>
        <v>#N/A</v>
      </c>
      <c r="L276" s="246" t="e">
        <f>VLOOKUP(Food!E276,'FG MASTER'!$A$10:$AC$536,17,0)</f>
        <v>#N/A</v>
      </c>
      <c r="M276" s="132" t="str">
        <f t="shared" si="264"/>
        <v/>
      </c>
      <c r="N276" s="132" t="str">
        <f t="shared" si="265"/>
        <v/>
      </c>
      <c r="O276" s="132">
        <f t="shared" si="260"/>
        <v>0</v>
      </c>
      <c r="P276" s="132">
        <f t="shared" si="261"/>
        <v>0</v>
      </c>
      <c r="Q276" s="132">
        <f t="shared" si="266"/>
        <v>0</v>
      </c>
      <c r="R276" s="405" t="e">
        <f t="shared" si="262"/>
        <v>#N/A</v>
      </c>
      <c r="S276" s="405" t="e">
        <f t="shared" si="267"/>
        <v>#VALUE!</v>
      </c>
      <c r="T276" s="405" t="e">
        <f t="shared" si="268"/>
        <v>#N/A</v>
      </c>
      <c r="U276" s="127"/>
      <c r="V276" s="127"/>
      <c r="W276" s="127"/>
      <c r="X276" s="127"/>
      <c r="Z276" s="127"/>
      <c r="AA276" s="127"/>
      <c r="AB276" s="127"/>
      <c r="AC276" s="127"/>
      <c r="AD276" s="127"/>
      <c r="AG276" s="127"/>
      <c r="AH276" s="127"/>
      <c r="AI276" s="127"/>
      <c r="AJ276" s="127"/>
      <c r="AK276" s="127"/>
    </row>
    <row r="277" spans="2:37" ht="17.25" customHeight="1" x14ac:dyDescent="0.25">
      <c r="B277" s="171">
        <v>1</v>
      </c>
      <c r="C277" s="176" t="str">
        <f t="shared" si="263"/>
        <v>1</v>
      </c>
      <c r="D277" s="316"/>
      <c r="E277" s="305"/>
      <c r="F277" s="311"/>
      <c r="G277" t="e">
        <f>VLOOKUP(E277,'FG MASTER'!$A$10:$AB$218,2,0)</f>
        <v>#N/A</v>
      </c>
      <c r="H277" s="286">
        <v>1</v>
      </c>
      <c r="I277" s="173">
        <v>1</v>
      </c>
      <c r="J277" s="292" t="str">
        <f>IFERROR(IF(I277="std",H277,HLOOKUP(A277,'FlightConfig '!$B$34:$G$35,2,0)*I277),"")</f>
        <v/>
      </c>
      <c r="K277" s="245" t="e">
        <f>VLOOKUP(Food!E277,'FG MASTER'!$A$1:$AC$536,16,0)</f>
        <v>#N/A</v>
      </c>
      <c r="L277" s="246" t="e">
        <f>VLOOKUP(Food!E277,'FG MASTER'!$A$10:$AC$536,17,0)</f>
        <v>#N/A</v>
      </c>
      <c r="M277" s="132" t="str">
        <f t="shared" si="264"/>
        <v/>
      </c>
      <c r="N277" s="132" t="str">
        <f t="shared" si="265"/>
        <v/>
      </c>
      <c r="O277" s="132">
        <f t="shared" si="260"/>
        <v>0</v>
      </c>
      <c r="P277" s="132">
        <f t="shared" si="261"/>
        <v>0</v>
      </c>
      <c r="Q277" s="132">
        <f t="shared" si="266"/>
        <v>0</v>
      </c>
      <c r="R277" s="405" t="e">
        <f t="shared" si="262"/>
        <v>#N/A</v>
      </c>
      <c r="S277" s="405" t="e">
        <f t="shared" si="267"/>
        <v>#VALUE!</v>
      </c>
      <c r="T277" s="405" t="e">
        <f t="shared" si="268"/>
        <v>#N/A</v>
      </c>
      <c r="U277" s="127"/>
      <c r="V277" s="127"/>
      <c r="W277" s="127"/>
      <c r="X277" s="127"/>
      <c r="Z277" s="127"/>
      <c r="AA277" s="127"/>
      <c r="AB277" s="127"/>
      <c r="AC277" s="127"/>
      <c r="AD277" s="127"/>
      <c r="AG277" s="127"/>
      <c r="AH277" s="127"/>
      <c r="AI277" s="127"/>
      <c r="AJ277" s="127"/>
      <c r="AK277" s="127"/>
    </row>
    <row r="278" spans="2:37" ht="17.25" customHeight="1" x14ac:dyDescent="0.25">
      <c r="B278" s="171">
        <v>1</v>
      </c>
      <c r="C278" s="176" t="str">
        <f t="shared" si="263"/>
        <v>1</v>
      </c>
      <c r="D278" s="316"/>
      <c r="E278" s="305"/>
      <c r="F278" s="311"/>
      <c r="G278" t="e">
        <f>VLOOKUP(E278,'FG MASTER'!$A$10:$AB$218,2,0)</f>
        <v>#N/A</v>
      </c>
      <c r="H278" s="286">
        <v>1</v>
      </c>
      <c r="I278" s="173">
        <v>1</v>
      </c>
      <c r="J278" s="292" t="str">
        <f>IFERROR(IF(I278="std",H278,HLOOKUP(A278,'FlightConfig '!$B$34:$G$35,2,0)*I278),"")</f>
        <v/>
      </c>
      <c r="K278" s="245" t="e">
        <f>VLOOKUP(Food!E278,'FG MASTER'!$A$1:$AC$536,16,0)</f>
        <v>#N/A</v>
      </c>
      <c r="L278" s="246" t="e">
        <f>VLOOKUP(Food!E278,'FG MASTER'!$A$10:$AC$536,17,0)</f>
        <v>#N/A</v>
      </c>
      <c r="M278" s="132" t="str">
        <f t="shared" si="264"/>
        <v/>
      </c>
      <c r="N278" s="132" t="str">
        <f t="shared" si="265"/>
        <v/>
      </c>
      <c r="O278" s="132">
        <f t="shared" si="260"/>
        <v>0</v>
      </c>
      <c r="P278" s="132">
        <f t="shared" si="261"/>
        <v>0</v>
      </c>
      <c r="Q278" s="132">
        <f t="shared" si="266"/>
        <v>0</v>
      </c>
      <c r="R278" s="405" t="e">
        <f t="shared" si="262"/>
        <v>#N/A</v>
      </c>
      <c r="S278" s="405" t="e">
        <f t="shared" si="267"/>
        <v>#VALUE!</v>
      </c>
      <c r="T278" s="405" t="e">
        <f t="shared" si="268"/>
        <v>#N/A</v>
      </c>
      <c r="U278" s="127"/>
      <c r="V278" s="127"/>
      <c r="W278" s="127"/>
      <c r="X278" s="127"/>
      <c r="Z278" s="127"/>
      <c r="AA278" s="127"/>
      <c r="AB278" s="127"/>
      <c r="AC278" s="127"/>
      <c r="AD278" s="127"/>
      <c r="AG278" s="127"/>
      <c r="AH278" s="127"/>
      <c r="AI278" s="127"/>
      <c r="AJ278" s="127"/>
      <c r="AK278" s="127"/>
    </row>
    <row r="279" spans="2:37" ht="17.25" customHeight="1" x14ac:dyDescent="0.25">
      <c r="B279" s="171">
        <v>1</v>
      </c>
      <c r="C279" s="176" t="str">
        <f t="shared" si="263"/>
        <v>1</v>
      </c>
      <c r="D279" s="316"/>
      <c r="E279" s="305"/>
      <c r="F279" s="311"/>
      <c r="G279" t="e">
        <f>VLOOKUP(E279,'FG MASTER'!$A$10:$AB$218,2,0)</f>
        <v>#N/A</v>
      </c>
      <c r="H279" s="286">
        <v>1</v>
      </c>
      <c r="I279" s="173">
        <v>1</v>
      </c>
      <c r="J279" s="292" t="str">
        <f>IFERROR(IF(I279="std",H279,HLOOKUP(A279,'FlightConfig '!$B$34:$G$35,2,0)*I279),"")</f>
        <v/>
      </c>
      <c r="K279" s="245" t="e">
        <f>VLOOKUP(Food!E279,'FG MASTER'!$A$1:$AC$536,16,0)</f>
        <v>#N/A</v>
      </c>
      <c r="L279" s="246" t="e">
        <f>VLOOKUP(Food!E279,'FG MASTER'!$A$10:$AC$536,17,0)</f>
        <v>#N/A</v>
      </c>
      <c r="M279" s="132" t="str">
        <f t="shared" si="264"/>
        <v/>
      </c>
      <c r="N279" s="132" t="str">
        <f t="shared" si="265"/>
        <v/>
      </c>
      <c r="O279" s="132">
        <f t="shared" si="260"/>
        <v>0</v>
      </c>
      <c r="P279" s="132">
        <f t="shared" si="261"/>
        <v>0</v>
      </c>
      <c r="Q279" s="132">
        <f t="shared" si="266"/>
        <v>0</v>
      </c>
      <c r="R279" s="405" t="e">
        <f t="shared" si="262"/>
        <v>#N/A</v>
      </c>
      <c r="S279" s="405" t="e">
        <f t="shared" si="267"/>
        <v>#VALUE!</v>
      </c>
      <c r="T279" s="405" t="e">
        <f t="shared" si="268"/>
        <v>#N/A</v>
      </c>
      <c r="U279" s="127"/>
      <c r="V279" s="127"/>
      <c r="W279" s="127"/>
      <c r="X279" s="127"/>
      <c r="Z279" s="127"/>
      <c r="AA279" s="127"/>
      <c r="AB279" s="127"/>
      <c r="AC279" s="127"/>
      <c r="AD279" s="127"/>
      <c r="AG279" s="127"/>
      <c r="AH279" s="127"/>
      <c r="AI279" s="127"/>
      <c r="AJ279" s="127"/>
      <c r="AK279" s="127"/>
    </row>
    <row r="280" spans="2:37" ht="17.25" customHeight="1" x14ac:dyDescent="0.25">
      <c r="B280" s="171">
        <v>1</v>
      </c>
      <c r="C280" s="176" t="str">
        <f t="shared" si="263"/>
        <v>1</v>
      </c>
      <c r="D280" s="316"/>
      <c r="E280" s="305"/>
      <c r="F280" s="311"/>
      <c r="G280" t="e">
        <f>VLOOKUP(E280,'FG MASTER'!$A$10:$AB$218,2,0)</f>
        <v>#N/A</v>
      </c>
      <c r="H280" s="286">
        <v>1</v>
      </c>
      <c r="I280" s="173">
        <v>1</v>
      </c>
      <c r="J280" s="292" t="str">
        <f>IFERROR(IF(I280="std",H280,HLOOKUP(A280,'FlightConfig '!$B$34:$G$35,2,0)*I280),"")</f>
        <v/>
      </c>
      <c r="K280" s="245" t="e">
        <f>VLOOKUP(Food!E280,'FG MASTER'!$A$1:$AC$536,16,0)</f>
        <v>#N/A</v>
      </c>
      <c r="L280" s="246" t="e">
        <f>VLOOKUP(Food!E280,'FG MASTER'!$A$10:$AC$536,17,0)</f>
        <v>#N/A</v>
      </c>
      <c r="M280" s="132" t="str">
        <f t="shared" si="264"/>
        <v/>
      </c>
      <c r="N280" s="132" t="str">
        <f t="shared" si="265"/>
        <v/>
      </c>
      <c r="O280" s="132">
        <f t="shared" si="260"/>
        <v>0</v>
      </c>
      <c r="P280" s="132">
        <f t="shared" si="261"/>
        <v>0</v>
      </c>
      <c r="Q280" s="132">
        <f t="shared" si="266"/>
        <v>0</v>
      </c>
      <c r="R280" s="405" t="e">
        <f t="shared" si="262"/>
        <v>#N/A</v>
      </c>
      <c r="S280" s="405" t="e">
        <f t="shared" si="267"/>
        <v>#VALUE!</v>
      </c>
      <c r="T280" s="405" t="e">
        <f t="shared" si="268"/>
        <v>#N/A</v>
      </c>
      <c r="U280" s="127"/>
      <c r="V280" s="127"/>
      <c r="W280" s="127"/>
      <c r="X280" s="127"/>
      <c r="Z280" s="127"/>
      <c r="AA280" s="127"/>
      <c r="AB280" s="127"/>
      <c r="AC280" s="127"/>
      <c r="AD280" s="127"/>
      <c r="AG280" s="127"/>
      <c r="AH280" s="127"/>
      <c r="AI280" s="127"/>
      <c r="AJ280" s="127"/>
      <c r="AK280" s="127"/>
    </row>
    <row r="281" spans="2:37" ht="17.25" customHeight="1" x14ac:dyDescent="0.25">
      <c r="B281" s="171">
        <v>1</v>
      </c>
      <c r="C281" s="176" t="str">
        <f t="shared" si="263"/>
        <v>1</v>
      </c>
      <c r="D281" s="316"/>
      <c r="E281" s="305"/>
      <c r="F281" s="311"/>
      <c r="G281" t="e">
        <f>VLOOKUP(E281,'FG MASTER'!$A$10:$AB$218,2,0)</f>
        <v>#N/A</v>
      </c>
      <c r="H281" s="286">
        <v>1</v>
      </c>
      <c r="I281" s="173">
        <v>1</v>
      </c>
      <c r="J281" s="292" t="str">
        <f>IFERROR(IF(I281="std",H281,HLOOKUP(A281,'FlightConfig '!$B$34:$G$35,2,0)*I281),"")</f>
        <v/>
      </c>
      <c r="K281" s="245" t="e">
        <f>VLOOKUP(Food!E281,'FG MASTER'!$A$1:$AC$536,16,0)</f>
        <v>#N/A</v>
      </c>
      <c r="L281" s="246" t="e">
        <f>VLOOKUP(Food!E281,'FG MASTER'!$A$10:$AC$536,17,0)</f>
        <v>#N/A</v>
      </c>
      <c r="M281" s="132" t="str">
        <f t="shared" si="264"/>
        <v/>
      </c>
      <c r="N281" s="132" t="str">
        <f t="shared" si="265"/>
        <v/>
      </c>
      <c r="O281" s="132">
        <f t="shared" si="260"/>
        <v>0</v>
      </c>
      <c r="P281" s="132">
        <f t="shared" si="261"/>
        <v>0</v>
      </c>
      <c r="Q281" s="132">
        <f t="shared" si="266"/>
        <v>0</v>
      </c>
      <c r="R281" s="405" t="e">
        <f t="shared" si="262"/>
        <v>#N/A</v>
      </c>
      <c r="S281" s="405" t="e">
        <f t="shared" si="267"/>
        <v>#VALUE!</v>
      </c>
      <c r="T281" s="405" t="e">
        <f t="shared" si="268"/>
        <v>#N/A</v>
      </c>
      <c r="U281" s="127"/>
      <c r="V281" s="127"/>
      <c r="W281" s="127"/>
      <c r="X281" s="127"/>
      <c r="Z281" s="127"/>
      <c r="AA281" s="127"/>
      <c r="AB281" s="127"/>
      <c r="AC281" s="127"/>
      <c r="AD281" s="127"/>
      <c r="AG281" s="127"/>
      <c r="AH281" s="127"/>
      <c r="AI281" s="127"/>
      <c r="AJ281" s="127"/>
      <c r="AK281" s="127"/>
    </row>
    <row r="282" spans="2:37" ht="17.25" customHeight="1" x14ac:dyDescent="0.25">
      <c r="B282" s="171">
        <v>1</v>
      </c>
      <c r="C282" s="176" t="str">
        <f t="shared" si="263"/>
        <v>1</v>
      </c>
      <c r="D282" s="316"/>
      <c r="E282" s="305"/>
      <c r="F282" s="311"/>
      <c r="G282" t="e">
        <f>VLOOKUP(E282,'FG MASTER'!$A$10:$AB$218,2,0)</f>
        <v>#N/A</v>
      </c>
      <c r="H282" s="286">
        <v>1</v>
      </c>
      <c r="I282" s="173">
        <v>1</v>
      </c>
      <c r="J282" s="292" t="str">
        <f>IFERROR(IF(I282="std",H282,HLOOKUP(A282,'FlightConfig '!$B$34:$G$35,2,0)*I282),"")</f>
        <v/>
      </c>
      <c r="K282" s="245" t="e">
        <f>VLOOKUP(Food!E282,'FG MASTER'!$A$1:$AC$536,16,0)</f>
        <v>#N/A</v>
      </c>
      <c r="L282" s="246" t="e">
        <f>VLOOKUP(Food!E282,'FG MASTER'!$A$10:$AC$536,17,0)</f>
        <v>#N/A</v>
      </c>
      <c r="M282" s="132" t="str">
        <f t="shared" si="264"/>
        <v/>
      </c>
      <c r="N282" s="132" t="str">
        <f t="shared" si="265"/>
        <v/>
      </c>
      <c r="O282" s="132">
        <f t="shared" si="260"/>
        <v>0</v>
      </c>
      <c r="P282" s="132">
        <f t="shared" si="261"/>
        <v>0</v>
      </c>
      <c r="Q282" s="132">
        <f t="shared" si="266"/>
        <v>0</v>
      </c>
      <c r="R282" s="405" t="e">
        <f t="shared" si="262"/>
        <v>#N/A</v>
      </c>
      <c r="S282" s="405" t="e">
        <f t="shared" si="267"/>
        <v>#VALUE!</v>
      </c>
      <c r="T282" s="405" t="e">
        <f t="shared" si="268"/>
        <v>#N/A</v>
      </c>
      <c r="U282" s="127"/>
      <c r="V282" s="127"/>
      <c r="W282" s="127"/>
      <c r="X282" s="127"/>
      <c r="Z282" s="127"/>
      <c r="AA282" s="127"/>
      <c r="AB282" s="127"/>
      <c r="AC282" s="127"/>
      <c r="AD282" s="127"/>
      <c r="AG282" s="127"/>
      <c r="AH282" s="127"/>
      <c r="AI282" s="127"/>
      <c r="AJ282" s="127"/>
      <c r="AK282" s="127"/>
    </row>
    <row r="283" spans="2:37" ht="17.25" customHeight="1" x14ac:dyDescent="0.25">
      <c r="B283" s="171">
        <v>1</v>
      </c>
      <c r="C283" s="176" t="str">
        <f t="shared" si="263"/>
        <v>1</v>
      </c>
      <c r="D283" s="316"/>
      <c r="E283" s="305"/>
      <c r="F283" s="311"/>
      <c r="G283" t="e">
        <f>VLOOKUP(E283,'FG MASTER'!$A$10:$AB$218,2,0)</f>
        <v>#N/A</v>
      </c>
      <c r="H283" s="286">
        <v>1</v>
      </c>
      <c r="I283" s="173">
        <v>1</v>
      </c>
      <c r="J283" s="292" t="str">
        <f>IFERROR(IF(I283="std",H283,HLOOKUP(A283,'FlightConfig '!$B$34:$G$35,2,0)*I283),"")</f>
        <v/>
      </c>
      <c r="K283" s="245" t="e">
        <f>VLOOKUP(Food!E283,'FG MASTER'!$A$1:$AC$536,16,0)</f>
        <v>#N/A</v>
      </c>
      <c r="L283" s="246" t="e">
        <f>VLOOKUP(Food!E283,'FG MASTER'!$A$10:$AC$536,17,0)</f>
        <v>#N/A</v>
      </c>
      <c r="M283" s="132" t="str">
        <f t="shared" si="264"/>
        <v/>
      </c>
      <c r="N283" s="132" t="str">
        <f t="shared" si="265"/>
        <v/>
      </c>
      <c r="O283" s="132">
        <f t="shared" si="260"/>
        <v>0</v>
      </c>
      <c r="P283" s="132">
        <f t="shared" si="261"/>
        <v>0</v>
      </c>
      <c r="Q283" s="132">
        <f t="shared" si="266"/>
        <v>0</v>
      </c>
      <c r="R283" s="405" t="e">
        <f t="shared" si="262"/>
        <v>#N/A</v>
      </c>
      <c r="S283" s="405" t="e">
        <f t="shared" si="267"/>
        <v>#VALUE!</v>
      </c>
      <c r="T283" s="405" t="e">
        <f t="shared" si="268"/>
        <v>#N/A</v>
      </c>
      <c r="U283" s="127"/>
      <c r="V283" s="127"/>
      <c r="W283" s="127"/>
      <c r="X283" s="127"/>
      <c r="Z283" s="127"/>
      <c r="AA283" s="127"/>
      <c r="AB283" s="127"/>
      <c r="AC283" s="127"/>
      <c r="AD283" s="127"/>
      <c r="AG283" s="127"/>
      <c r="AH283" s="127"/>
      <c r="AI283" s="127"/>
      <c r="AJ283" s="127"/>
      <c r="AK283" s="127"/>
    </row>
    <row r="284" spans="2:37" ht="17.25" customHeight="1" x14ac:dyDescent="0.25">
      <c r="B284" s="171">
        <v>1</v>
      </c>
      <c r="C284" s="176" t="str">
        <f t="shared" si="263"/>
        <v>1</v>
      </c>
      <c r="D284" s="316"/>
      <c r="E284" s="305"/>
      <c r="F284" s="311"/>
      <c r="G284" t="e">
        <f>VLOOKUP(E284,'FG MASTER'!$A$10:$AB$218,2,0)</f>
        <v>#N/A</v>
      </c>
      <c r="H284" s="286">
        <v>1</v>
      </c>
      <c r="I284" s="173">
        <v>1</v>
      </c>
      <c r="J284" s="292" t="str">
        <f>IFERROR(IF(I284="std",H284,HLOOKUP(A284,'FlightConfig '!$B$34:$G$35,2,0)*I284),"")</f>
        <v/>
      </c>
      <c r="K284" s="245" t="e">
        <f>VLOOKUP(Food!E284,'FG MASTER'!$A$1:$AC$536,16,0)</f>
        <v>#N/A</v>
      </c>
      <c r="L284" s="246" t="e">
        <f>VLOOKUP(Food!E284,'FG MASTER'!$A$10:$AC$536,17,0)</f>
        <v>#N/A</v>
      </c>
      <c r="M284" s="132" t="str">
        <f t="shared" si="264"/>
        <v/>
      </c>
      <c r="N284" s="132" t="str">
        <f t="shared" si="265"/>
        <v/>
      </c>
      <c r="O284" s="132">
        <f t="shared" si="260"/>
        <v>0</v>
      </c>
      <c r="P284" s="132">
        <f t="shared" si="261"/>
        <v>0</v>
      </c>
      <c r="Q284" s="132">
        <f t="shared" si="266"/>
        <v>0</v>
      </c>
      <c r="R284" s="405" t="e">
        <f t="shared" si="262"/>
        <v>#N/A</v>
      </c>
      <c r="S284" s="405" t="e">
        <f t="shared" si="267"/>
        <v>#VALUE!</v>
      </c>
      <c r="T284" s="405" t="e">
        <f t="shared" si="268"/>
        <v>#N/A</v>
      </c>
      <c r="U284" s="127"/>
      <c r="V284" s="127"/>
      <c r="W284" s="127"/>
      <c r="X284" s="127"/>
      <c r="Z284" s="127"/>
      <c r="AA284" s="127"/>
      <c r="AB284" s="127"/>
      <c r="AC284" s="127"/>
      <c r="AD284" s="127"/>
      <c r="AG284" s="127"/>
      <c r="AH284" s="127"/>
      <c r="AI284" s="127"/>
      <c r="AJ284" s="127"/>
      <c r="AK284" s="127"/>
    </row>
    <row r="285" spans="2:37" ht="17.25" customHeight="1" x14ac:dyDescent="0.25">
      <c r="B285" s="171">
        <v>1</v>
      </c>
      <c r="C285" s="176" t="str">
        <f t="shared" si="263"/>
        <v>1</v>
      </c>
      <c r="D285" s="316"/>
      <c r="E285" s="305"/>
      <c r="F285" s="311"/>
      <c r="G285" t="e">
        <f>VLOOKUP(E285,'FG MASTER'!$A$10:$AB$218,2,0)</f>
        <v>#N/A</v>
      </c>
      <c r="H285" s="286">
        <v>1</v>
      </c>
      <c r="I285" s="173">
        <v>1</v>
      </c>
      <c r="J285" s="292" t="str">
        <f>IFERROR(IF(I285="std",H285,HLOOKUP(A285,'FlightConfig '!$B$34:$G$35,2,0)*I285),"")</f>
        <v/>
      </c>
      <c r="K285" s="245" t="e">
        <f>VLOOKUP(Food!E285,'FG MASTER'!$A$1:$AC$536,16,0)</f>
        <v>#N/A</v>
      </c>
      <c r="L285" s="246" t="e">
        <f>VLOOKUP(Food!E285,'FG MASTER'!$A$10:$AC$536,17,0)</f>
        <v>#N/A</v>
      </c>
      <c r="M285" s="132" t="str">
        <f t="shared" si="264"/>
        <v/>
      </c>
      <c r="N285" s="132" t="str">
        <f t="shared" si="265"/>
        <v/>
      </c>
      <c r="O285" s="132">
        <f t="shared" si="260"/>
        <v>0</v>
      </c>
      <c r="P285" s="132">
        <f t="shared" si="261"/>
        <v>0</v>
      </c>
      <c r="Q285" s="132">
        <f t="shared" si="266"/>
        <v>0</v>
      </c>
      <c r="R285" s="405" t="e">
        <f t="shared" si="262"/>
        <v>#N/A</v>
      </c>
      <c r="S285" s="405" t="e">
        <f t="shared" si="267"/>
        <v>#VALUE!</v>
      </c>
      <c r="T285" s="405" t="e">
        <f t="shared" si="268"/>
        <v>#N/A</v>
      </c>
      <c r="U285" s="127"/>
      <c r="X285" s="127"/>
      <c r="Z285" s="127"/>
      <c r="AA285" s="127"/>
      <c r="AB285" s="127"/>
      <c r="AC285" s="127"/>
      <c r="AD285" s="127"/>
      <c r="AG285" s="127"/>
      <c r="AH285" s="127"/>
      <c r="AI285" s="127"/>
      <c r="AJ285" s="127"/>
      <c r="AK285" s="127"/>
    </row>
    <row r="286" spans="2:37" ht="17.25" customHeight="1" x14ac:dyDescent="0.25">
      <c r="B286" s="171">
        <v>1</v>
      </c>
      <c r="C286" s="176" t="str">
        <f t="shared" si="263"/>
        <v>1</v>
      </c>
      <c r="D286" s="316"/>
      <c r="E286" s="305"/>
      <c r="F286" s="311"/>
      <c r="G286" t="e">
        <f>VLOOKUP(E286,'FG MASTER'!$A$10:$AB$218,2,0)</f>
        <v>#N/A</v>
      </c>
      <c r="H286" s="286">
        <v>1</v>
      </c>
      <c r="I286" s="173">
        <v>1</v>
      </c>
      <c r="J286" s="292" t="str">
        <f>IFERROR(IF(I286="std",H286,HLOOKUP(A286,'FlightConfig '!$B$34:$G$35,2,0)*I286),"")</f>
        <v/>
      </c>
      <c r="K286" s="245" t="e">
        <f>VLOOKUP(Food!E286,'FG MASTER'!$A$1:$AC$536,16,0)</f>
        <v>#N/A</v>
      </c>
      <c r="L286" s="246" t="e">
        <f>VLOOKUP(Food!E286,'FG MASTER'!$A$10:$AC$536,17,0)</f>
        <v>#N/A</v>
      </c>
      <c r="M286" s="132" t="str">
        <f t="shared" si="264"/>
        <v/>
      </c>
      <c r="N286" s="132" t="str">
        <f t="shared" si="265"/>
        <v/>
      </c>
      <c r="O286" s="132">
        <f t="shared" si="260"/>
        <v>0</v>
      </c>
      <c r="P286" s="132">
        <f t="shared" si="261"/>
        <v>0</v>
      </c>
      <c r="Q286" s="132">
        <f t="shared" si="266"/>
        <v>0</v>
      </c>
      <c r="R286" s="405" t="e">
        <f t="shared" si="262"/>
        <v>#N/A</v>
      </c>
      <c r="S286" s="405" t="e">
        <f t="shared" si="267"/>
        <v>#VALUE!</v>
      </c>
      <c r="T286" s="405" t="e">
        <f t="shared" si="268"/>
        <v>#N/A</v>
      </c>
      <c r="U286" s="127"/>
      <c r="V286" s="127"/>
      <c r="W286" s="127"/>
      <c r="X286" s="127"/>
      <c r="Z286" s="127"/>
      <c r="AA286" s="127"/>
      <c r="AB286" s="127"/>
      <c r="AC286" s="127"/>
      <c r="AD286" s="127"/>
      <c r="AG286" s="127"/>
      <c r="AH286" s="127"/>
      <c r="AI286" s="127"/>
      <c r="AJ286" s="127"/>
      <c r="AK286" s="127"/>
    </row>
    <row r="287" spans="2:37" ht="17.25" customHeight="1" x14ac:dyDescent="0.25">
      <c r="B287" s="171">
        <v>1</v>
      </c>
      <c r="C287" s="176" t="str">
        <f t="shared" si="263"/>
        <v>1</v>
      </c>
      <c r="D287" s="316"/>
      <c r="E287" s="305"/>
      <c r="F287" s="311"/>
      <c r="G287" t="e">
        <f>VLOOKUP(E287,'FG MASTER'!$A$10:$AB$218,2,0)</f>
        <v>#N/A</v>
      </c>
      <c r="H287" s="286">
        <v>1</v>
      </c>
      <c r="I287" s="173">
        <v>1</v>
      </c>
      <c r="J287" s="292" t="str">
        <f>IFERROR(IF(I287="std",H287,HLOOKUP(A287,'FlightConfig '!$B$34:$G$35,2,0)*I287),"")</f>
        <v/>
      </c>
      <c r="K287" s="245" t="e">
        <f>VLOOKUP(Food!E287,'FG MASTER'!$A$1:$AC$536,16,0)</f>
        <v>#N/A</v>
      </c>
      <c r="L287" s="246" t="e">
        <f>VLOOKUP(Food!E287,'FG MASTER'!$A$10:$AC$536,17,0)</f>
        <v>#N/A</v>
      </c>
      <c r="M287" s="132" t="str">
        <f t="shared" si="264"/>
        <v/>
      </c>
      <c r="N287" s="132" t="str">
        <f t="shared" si="265"/>
        <v/>
      </c>
      <c r="O287" s="132">
        <f t="shared" si="260"/>
        <v>0</v>
      </c>
      <c r="P287" s="132">
        <f t="shared" si="261"/>
        <v>0</v>
      </c>
      <c r="Q287" s="132">
        <f t="shared" si="266"/>
        <v>0</v>
      </c>
      <c r="R287" s="405" t="e">
        <f t="shared" si="262"/>
        <v>#N/A</v>
      </c>
      <c r="S287" s="405" t="e">
        <f t="shared" si="267"/>
        <v>#VALUE!</v>
      </c>
      <c r="T287" s="405" t="e">
        <f t="shared" si="268"/>
        <v>#N/A</v>
      </c>
      <c r="U287" s="127"/>
      <c r="V287" s="127"/>
      <c r="W287" s="127"/>
      <c r="X287" s="127"/>
      <c r="Z287" s="127"/>
      <c r="AA287" s="127"/>
      <c r="AB287" s="127"/>
      <c r="AC287" s="127"/>
      <c r="AD287" s="127"/>
      <c r="AG287" s="127"/>
      <c r="AH287" s="127"/>
      <c r="AI287" s="127"/>
      <c r="AJ287" s="127"/>
      <c r="AK287" s="127"/>
    </row>
    <row r="288" spans="2:37" ht="17.25" customHeight="1" x14ac:dyDescent="0.25">
      <c r="B288" s="171">
        <v>1</v>
      </c>
      <c r="C288" s="176" t="str">
        <f t="shared" si="263"/>
        <v>1</v>
      </c>
      <c r="D288" s="316"/>
      <c r="E288" s="305"/>
      <c r="F288" s="311"/>
      <c r="G288" t="e">
        <f>VLOOKUP(E288,'FG MASTER'!$A$10:$AB$218,2,0)</f>
        <v>#N/A</v>
      </c>
      <c r="H288" s="286">
        <v>1</v>
      </c>
      <c r="I288" s="173">
        <v>1</v>
      </c>
      <c r="J288" s="292" t="str">
        <f>IFERROR(IF(I288="std",H288,HLOOKUP(A288,'FlightConfig '!$B$34:$G$35,2,0)*I288),"")</f>
        <v/>
      </c>
      <c r="K288" s="245" t="e">
        <f>VLOOKUP(Food!E288,'FG MASTER'!$A$1:$AC$536,16,0)</f>
        <v>#N/A</v>
      </c>
      <c r="L288" s="246" t="e">
        <f>VLOOKUP(Food!E288,'FG MASTER'!$A$10:$AC$536,17,0)</f>
        <v>#N/A</v>
      </c>
      <c r="M288" s="132" t="str">
        <f t="shared" si="264"/>
        <v/>
      </c>
      <c r="N288" s="132" t="str">
        <f t="shared" si="265"/>
        <v/>
      </c>
      <c r="O288" s="132">
        <f t="shared" si="260"/>
        <v>0</v>
      </c>
      <c r="P288" s="132">
        <f t="shared" si="261"/>
        <v>0</v>
      </c>
      <c r="Q288" s="132">
        <f t="shared" si="266"/>
        <v>0</v>
      </c>
      <c r="R288" s="405" t="e">
        <f t="shared" si="262"/>
        <v>#N/A</v>
      </c>
      <c r="S288" s="405" t="e">
        <f t="shared" si="267"/>
        <v>#VALUE!</v>
      </c>
      <c r="T288" s="405" t="e">
        <f t="shared" si="268"/>
        <v>#N/A</v>
      </c>
      <c r="U288" s="127"/>
      <c r="V288" s="127"/>
      <c r="W288" s="127"/>
      <c r="X288" s="127"/>
      <c r="Z288" s="127"/>
      <c r="AA288" s="127"/>
      <c r="AB288" s="127"/>
      <c r="AC288" s="127"/>
      <c r="AD288" s="127"/>
      <c r="AG288" s="127"/>
      <c r="AH288" s="127"/>
      <c r="AI288" s="127"/>
      <c r="AJ288" s="127"/>
      <c r="AK288" s="127"/>
    </row>
    <row r="289" spans="2:37" ht="17.25" customHeight="1" x14ac:dyDescent="0.25">
      <c r="B289" s="171">
        <v>1</v>
      </c>
      <c r="C289" s="176" t="str">
        <f t="shared" si="263"/>
        <v>1</v>
      </c>
      <c r="D289" s="316"/>
      <c r="E289" s="305"/>
      <c r="F289" s="311"/>
      <c r="G289" t="e">
        <f>VLOOKUP(E289,'FG MASTER'!$A$10:$AB$218,2,0)</f>
        <v>#N/A</v>
      </c>
      <c r="H289" s="286">
        <v>1</v>
      </c>
      <c r="I289" s="173">
        <v>1</v>
      </c>
      <c r="J289" s="292" t="str">
        <f>IFERROR(IF(I289="std",H289,HLOOKUP(A289,'FlightConfig '!$B$34:$G$35,2,0)*I289),"")</f>
        <v/>
      </c>
      <c r="K289" s="245" t="e">
        <f>VLOOKUP(Food!E289,'FG MASTER'!$A$1:$AC$536,16,0)</f>
        <v>#N/A</v>
      </c>
      <c r="L289" s="246" t="e">
        <f>VLOOKUP(Food!E289,'FG MASTER'!$A$10:$AC$536,17,0)</f>
        <v>#N/A</v>
      </c>
      <c r="M289" s="132" t="str">
        <f t="shared" si="264"/>
        <v/>
      </c>
      <c r="N289" s="132" t="str">
        <f t="shared" si="265"/>
        <v/>
      </c>
      <c r="O289" s="132">
        <f t="shared" si="260"/>
        <v>0</v>
      </c>
      <c r="P289" s="132">
        <f t="shared" si="261"/>
        <v>0</v>
      </c>
      <c r="Q289" s="132">
        <f t="shared" si="266"/>
        <v>0</v>
      </c>
      <c r="R289" s="405" t="e">
        <f t="shared" si="262"/>
        <v>#N/A</v>
      </c>
      <c r="S289" s="405" t="e">
        <f t="shared" si="267"/>
        <v>#VALUE!</v>
      </c>
      <c r="T289" s="405" t="e">
        <f t="shared" si="268"/>
        <v>#N/A</v>
      </c>
      <c r="U289" s="127"/>
      <c r="V289" s="127"/>
      <c r="W289" s="127"/>
      <c r="X289" s="127"/>
      <c r="Z289" s="127"/>
      <c r="AA289" s="127"/>
      <c r="AB289" s="127"/>
      <c r="AC289" s="127"/>
      <c r="AD289" s="127"/>
      <c r="AG289" s="127"/>
      <c r="AH289" s="127"/>
      <c r="AI289" s="127"/>
      <c r="AJ289" s="127"/>
      <c r="AK289" s="127"/>
    </row>
    <row r="290" spans="2:37" ht="17.25" customHeight="1" x14ac:dyDescent="0.25">
      <c r="B290" s="171">
        <v>1</v>
      </c>
      <c r="C290" s="176" t="str">
        <f t="shared" si="263"/>
        <v>1</v>
      </c>
      <c r="D290" s="316"/>
      <c r="E290" s="305"/>
      <c r="F290" s="311"/>
      <c r="G290" t="e">
        <f>VLOOKUP(E290,'FG MASTER'!$A$10:$AB$218,2,0)</f>
        <v>#N/A</v>
      </c>
      <c r="H290" s="286">
        <v>1</v>
      </c>
      <c r="I290" s="173">
        <v>1</v>
      </c>
      <c r="J290" s="292" t="str">
        <f>IFERROR(IF(I290="std",H290,HLOOKUP(A290,'FlightConfig '!$B$34:$G$35,2,0)*I290),"")</f>
        <v/>
      </c>
      <c r="K290" s="245" t="e">
        <f>VLOOKUP(Food!E290,'FG MASTER'!$A$1:$AC$536,16,0)</f>
        <v>#N/A</v>
      </c>
      <c r="L290" s="246" t="e">
        <f>VLOOKUP(Food!E290,'FG MASTER'!$A$10:$AC$536,17,0)</f>
        <v>#N/A</v>
      </c>
      <c r="M290" s="132" t="str">
        <f t="shared" si="264"/>
        <v/>
      </c>
      <c r="N290" s="132" t="str">
        <f t="shared" si="265"/>
        <v/>
      </c>
      <c r="O290" s="132">
        <f t="shared" si="260"/>
        <v>0</v>
      </c>
      <c r="P290" s="132">
        <f t="shared" si="261"/>
        <v>0</v>
      </c>
      <c r="Q290" s="132">
        <f t="shared" si="266"/>
        <v>0</v>
      </c>
      <c r="R290" s="405" t="e">
        <f t="shared" si="262"/>
        <v>#N/A</v>
      </c>
      <c r="S290" s="405" t="e">
        <f t="shared" si="267"/>
        <v>#VALUE!</v>
      </c>
      <c r="T290" s="405" t="e">
        <f t="shared" si="268"/>
        <v>#N/A</v>
      </c>
      <c r="U290" s="127"/>
      <c r="V290" s="127"/>
      <c r="W290" s="127"/>
      <c r="X290" s="127"/>
      <c r="Z290" s="127"/>
      <c r="AA290" s="127"/>
      <c r="AB290" s="127"/>
      <c r="AC290" s="127"/>
      <c r="AD290" s="127"/>
      <c r="AG290" s="127"/>
      <c r="AH290" s="127"/>
      <c r="AI290" s="127"/>
      <c r="AJ290" s="127"/>
      <c r="AK290" s="127"/>
    </row>
    <row r="291" spans="2:37" ht="17.25" customHeight="1" x14ac:dyDescent="0.25">
      <c r="B291" s="171">
        <v>1</v>
      </c>
      <c r="C291" s="176" t="str">
        <f t="shared" si="263"/>
        <v>1</v>
      </c>
      <c r="D291" s="316"/>
      <c r="E291" s="305"/>
      <c r="F291" s="311"/>
      <c r="G291" t="e">
        <f>VLOOKUP(E291,'FG MASTER'!$A$10:$AB$218,2,0)</f>
        <v>#N/A</v>
      </c>
      <c r="H291" s="286">
        <v>1</v>
      </c>
      <c r="I291" s="173">
        <v>1</v>
      </c>
      <c r="J291" s="292" t="str">
        <f>IFERROR(IF(I291="std",H291,HLOOKUP(A291,'FlightConfig '!$B$34:$G$35,2,0)*I291),"")</f>
        <v/>
      </c>
      <c r="K291" s="245" t="e">
        <f>VLOOKUP(Food!E291,'FG MASTER'!$A$1:$AC$536,16,0)</f>
        <v>#N/A</v>
      </c>
      <c r="L291" s="246" t="e">
        <f>VLOOKUP(Food!E291,'FG MASTER'!$A$10:$AC$536,17,0)</f>
        <v>#N/A</v>
      </c>
      <c r="M291" s="132" t="str">
        <f t="shared" si="264"/>
        <v/>
      </c>
      <c r="N291" s="132" t="str">
        <f t="shared" si="265"/>
        <v/>
      </c>
      <c r="O291" s="132">
        <f t="shared" si="260"/>
        <v>0</v>
      </c>
      <c r="P291" s="132">
        <f t="shared" si="261"/>
        <v>0</v>
      </c>
      <c r="Q291" s="132">
        <f t="shared" si="266"/>
        <v>0</v>
      </c>
      <c r="R291" s="405" t="e">
        <f t="shared" si="262"/>
        <v>#N/A</v>
      </c>
      <c r="S291" s="405" t="e">
        <f t="shared" si="267"/>
        <v>#VALUE!</v>
      </c>
      <c r="T291" s="405" t="e">
        <f t="shared" si="268"/>
        <v>#N/A</v>
      </c>
      <c r="U291" s="127"/>
      <c r="V291" s="127"/>
      <c r="W291" s="127"/>
      <c r="X291" s="127"/>
      <c r="Z291" s="127"/>
      <c r="AA291" s="127"/>
      <c r="AB291" s="127"/>
      <c r="AC291" s="127"/>
      <c r="AD291" s="127"/>
      <c r="AG291" s="127"/>
      <c r="AH291" s="127"/>
      <c r="AI291" s="127"/>
      <c r="AJ291" s="127"/>
      <c r="AK291" s="127"/>
    </row>
    <row r="292" spans="2:37" ht="17.25" customHeight="1" x14ac:dyDescent="0.25">
      <c r="B292" s="171">
        <v>1</v>
      </c>
      <c r="C292" s="176" t="str">
        <f t="shared" si="263"/>
        <v>1</v>
      </c>
      <c r="D292" s="316"/>
      <c r="E292" s="305"/>
      <c r="F292" s="311"/>
      <c r="G292" t="e">
        <f>VLOOKUP(E292,'FG MASTER'!$A$10:$AB$218,2,0)</f>
        <v>#N/A</v>
      </c>
      <c r="H292" s="286">
        <v>1</v>
      </c>
      <c r="I292" s="173">
        <v>1</v>
      </c>
      <c r="J292" s="292" t="str">
        <f>IFERROR(IF(I292="std",H292,HLOOKUP(A292,'FlightConfig '!$B$34:$G$35,2,0)*I292),"")</f>
        <v/>
      </c>
      <c r="K292" s="245" t="e">
        <f>VLOOKUP(Food!E292,'FG MASTER'!$A$1:$AC$536,16,0)</f>
        <v>#N/A</v>
      </c>
      <c r="L292" s="246" t="e">
        <f>VLOOKUP(Food!E292,'FG MASTER'!$A$10:$AC$536,17,0)</f>
        <v>#N/A</v>
      </c>
      <c r="M292" s="132" t="str">
        <f t="shared" si="264"/>
        <v/>
      </c>
      <c r="N292" s="132" t="str">
        <f t="shared" si="265"/>
        <v/>
      </c>
      <c r="O292" s="132">
        <f t="shared" si="260"/>
        <v>0</v>
      </c>
      <c r="P292" s="132">
        <f t="shared" si="261"/>
        <v>0</v>
      </c>
      <c r="Q292" s="132">
        <f t="shared" si="266"/>
        <v>0</v>
      </c>
      <c r="R292" s="405" t="e">
        <f t="shared" si="262"/>
        <v>#N/A</v>
      </c>
      <c r="S292" s="405" t="e">
        <f t="shared" si="267"/>
        <v>#VALUE!</v>
      </c>
      <c r="T292" s="405" t="e">
        <f t="shared" si="268"/>
        <v>#N/A</v>
      </c>
      <c r="U292" s="127"/>
      <c r="V292" s="127"/>
      <c r="W292" s="127"/>
      <c r="X292" s="127"/>
      <c r="Z292" s="127"/>
      <c r="AA292" s="127"/>
      <c r="AB292" s="127"/>
      <c r="AC292" s="127"/>
      <c r="AD292" s="127"/>
      <c r="AG292" s="127"/>
      <c r="AH292" s="127"/>
      <c r="AI292" s="127"/>
      <c r="AJ292" s="127"/>
      <c r="AK292" s="127"/>
    </row>
    <row r="293" spans="2:37" ht="17.25" customHeight="1" x14ac:dyDescent="0.25">
      <c r="B293" s="171">
        <v>1</v>
      </c>
      <c r="C293" s="176" t="str">
        <f t="shared" si="263"/>
        <v>1</v>
      </c>
      <c r="D293" s="316"/>
      <c r="E293" s="305"/>
      <c r="F293" s="311"/>
      <c r="G293" t="e">
        <f>VLOOKUP(E293,'FG MASTER'!$A$10:$AB$218,2,0)</f>
        <v>#N/A</v>
      </c>
      <c r="H293" s="286">
        <v>1</v>
      </c>
      <c r="I293" s="173">
        <v>1</v>
      </c>
      <c r="J293" s="292" t="str">
        <f>IFERROR(IF(I293="std",H293,HLOOKUP(A293,'FlightConfig '!$B$34:$G$35,2,0)*I293),"")</f>
        <v/>
      </c>
      <c r="K293" s="245" t="e">
        <f>VLOOKUP(Food!E293,'FG MASTER'!$A$1:$AC$536,16,0)</f>
        <v>#N/A</v>
      </c>
      <c r="L293" s="246" t="e">
        <f>VLOOKUP(Food!E293,'FG MASTER'!$A$10:$AC$536,17,0)</f>
        <v>#N/A</v>
      </c>
      <c r="M293" s="132" t="str">
        <f t="shared" si="264"/>
        <v/>
      </c>
      <c r="N293" s="132" t="str">
        <f t="shared" si="265"/>
        <v/>
      </c>
      <c r="O293" s="132">
        <f t="shared" si="260"/>
        <v>0</v>
      </c>
      <c r="P293" s="132">
        <f t="shared" si="261"/>
        <v>0</v>
      </c>
      <c r="Q293" s="132">
        <f t="shared" si="266"/>
        <v>0</v>
      </c>
      <c r="R293" s="405" t="e">
        <f t="shared" si="262"/>
        <v>#N/A</v>
      </c>
      <c r="S293" s="405" t="e">
        <f t="shared" si="267"/>
        <v>#VALUE!</v>
      </c>
      <c r="T293" s="405" t="e">
        <f t="shared" si="268"/>
        <v>#N/A</v>
      </c>
      <c r="U293" s="127"/>
      <c r="V293" s="127"/>
      <c r="W293" s="127"/>
      <c r="X293" s="127"/>
      <c r="Z293" s="127"/>
      <c r="AA293" s="127"/>
      <c r="AB293" s="127"/>
      <c r="AC293" s="127"/>
      <c r="AD293" s="127"/>
      <c r="AG293" s="127"/>
      <c r="AH293" s="127"/>
      <c r="AI293" s="127"/>
      <c r="AJ293" s="127"/>
      <c r="AK293" s="127"/>
    </row>
    <row r="294" spans="2:37" ht="17.25" customHeight="1" x14ac:dyDescent="0.25">
      <c r="B294" s="171">
        <v>1</v>
      </c>
      <c r="C294" s="176" t="str">
        <f t="shared" si="263"/>
        <v>1</v>
      </c>
      <c r="D294" s="316"/>
      <c r="E294" s="305"/>
      <c r="F294" s="311"/>
      <c r="G294" t="e">
        <f>VLOOKUP(E294,'FG MASTER'!$A$10:$AB$218,2,0)</f>
        <v>#N/A</v>
      </c>
      <c r="H294" s="286">
        <v>1</v>
      </c>
      <c r="I294" s="173">
        <v>1</v>
      </c>
      <c r="J294" s="292" t="str">
        <f>IFERROR(IF(I294="std",H294,HLOOKUP(A294,'FlightConfig '!$B$34:$G$35,2,0)*I294),"")</f>
        <v/>
      </c>
      <c r="K294" s="245" t="e">
        <f>VLOOKUP(Food!E294,'FG MASTER'!$A$1:$AC$536,16,0)</f>
        <v>#N/A</v>
      </c>
      <c r="L294" s="246" t="e">
        <f>VLOOKUP(Food!E294,'FG MASTER'!$A$10:$AC$536,17,0)</f>
        <v>#N/A</v>
      </c>
      <c r="M294" s="132" t="str">
        <f t="shared" si="264"/>
        <v/>
      </c>
      <c r="N294" s="132" t="str">
        <f t="shared" si="265"/>
        <v/>
      </c>
      <c r="O294" s="132">
        <f t="shared" si="260"/>
        <v>0</v>
      </c>
      <c r="P294" s="132">
        <f t="shared" si="261"/>
        <v>0</v>
      </c>
      <c r="Q294" s="132">
        <f t="shared" si="266"/>
        <v>0</v>
      </c>
      <c r="R294" s="405" t="e">
        <f t="shared" si="262"/>
        <v>#N/A</v>
      </c>
      <c r="S294" s="405" t="e">
        <f t="shared" si="267"/>
        <v>#VALUE!</v>
      </c>
      <c r="T294" s="405" t="e">
        <f t="shared" si="268"/>
        <v>#N/A</v>
      </c>
      <c r="U294" s="127"/>
      <c r="V294" s="127"/>
      <c r="W294" s="127"/>
      <c r="X294" s="127"/>
      <c r="Z294" s="127"/>
      <c r="AA294" s="127"/>
      <c r="AB294" s="127"/>
      <c r="AC294" s="127"/>
      <c r="AD294" s="127"/>
      <c r="AG294" s="127"/>
      <c r="AH294" s="127"/>
      <c r="AI294" s="127"/>
      <c r="AJ294" s="127"/>
      <c r="AK294" s="127"/>
    </row>
    <row r="295" spans="2:37" ht="17.25" customHeight="1" x14ac:dyDescent="0.25">
      <c r="B295" s="171">
        <v>1</v>
      </c>
      <c r="C295" s="176" t="str">
        <f t="shared" si="263"/>
        <v>1</v>
      </c>
      <c r="D295" s="316"/>
      <c r="E295" s="305"/>
      <c r="F295" s="311"/>
      <c r="G295" t="e">
        <f>VLOOKUP(E295,'FG MASTER'!$A$10:$AB$218,2,0)</f>
        <v>#N/A</v>
      </c>
      <c r="H295" s="286">
        <v>1</v>
      </c>
      <c r="I295" s="173">
        <v>1</v>
      </c>
      <c r="J295" s="292" t="str">
        <f>IFERROR(IF(I295="std",H295,HLOOKUP(A295,'FlightConfig '!$B$34:$G$35,2,0)*I295),"")</f>
        <v/>
      </c>
      <c r="K295" s="245" t="e">
        <f>VLOOKUP(Food!E295,'FG MASTER'!$A$1:$AC$536,16,0)</f>
        <v>#N/A</v>
      </c>
      <c r="L295" s="246" t="e">
        <f>VLOOKUP(Food!E295,'FG MASTER'!$A$10:$AC$536,17,0)</f>
        <v>#N/A</v>
      </c>
      <c r="M295" s="132" t="str">
        <f t="shared" si="264"/>
        <v/>
      </c>
      <c r="N295" s="132" t="str">
        <f t="shared" si="265"/>
        <v/>
      </c>
      <c r="O295" s="132">
        <f t="shared" si="260"/>
        <v>0</v>
      </c>
      <c r="P295" s="132">
        <f t="shared" si="261"/>
        <v>0</v>
      </c>
      <c r="Q295" s="132">
        <f t="shared" si="266"/>
        <v>0</v>
      </c>
      <c r="R295" s="405" t="e">
        <f t="shared" si="262"/>
        <v>#N/A</v>
      </c>
      <c r="S295" s="405" t="e">
        <f t="shared" si="267"/>
        <v>#VALUE!</v>
      </c>
      <c r="T295" s="405" t="e">
        <f t="shared" si="268"/>
        <v>#N/A</v>
      </c>
      <c r="U295" s="127"/>
      <c r="V295" s="127"/>
      <c r="W295" s="127"/>
      <c r="X295" s="127"/>
      <c r="Z295" s="127"/>
      <c r="AA295" s="127"/>
      <c r="AB295" s="127"/>
      <c r="AC295" s="127"/>
      <c r="AD295" s="127"/>
      <c r="AG295" s="127"/>
      <c r="AH295" s="127"/>
      <c r="AI295" s="127"/>
      <c r="AJ295" s="127"/>
      <c r="AK295" s="127"/>
    </row>
    <row r="296" spans="2:37" ht="17.25" customHeight="1" x14ac:dyDescent="0.25">
      <c r="B296" s="171">
        <v>1</v>
      </c>
      <c r="C296" s="176" t="str">
        <f t="shared" si="263"/>
        <v>1</v>
      </c>
      <c r="D296" s="316"/>
      <c r="E296" s="305"/>
      <c r="F296" s="311"/>
      <c r="G296" t="e">
        <f>VLOOKUP(E296,'FG MASTER'!$A$10:$AB$218,2,0)</f>
        <v>#N/A</v>
      </c>
      <c r="H296" s="286">
        <v>1</v>
      </c>
      <c r="I296" s="173">
        <v>1</v>
      </c>
      <c r="J296" s="292" t="str">
        <f>IFERROR(IF(I296="std",H296,HLOOKUP(A296,'FlightConfig '!$B$34:$G$35,2,0)*I296),"")</f>
        <v/>
      </c>
      <c r="K296" s="245" t="e">
        <f>VLOOKUP(Food!E296,'FG MASTER'!$A$1:$AC$536,16,0)</f>
        <v>#N/A</v>
      </c>
      <c r="L296" s="246" t="e">
        <f>VLOOKUP(Food!E296,'FG MASTER'!$A$10:$AC$536,17,0)</f>
        <v>#N/A</v>
      </c>
      <c r="M296" s="132" t="str">
        <f t="shared" si="264"/>
        <v/>
      </c>
      <c r="N296" s="132" t="str">
        <f t="shared" si="265"/>
        <v/>
      </c>
      <c r="O296" s="132">
        <f t="shared" si="260"/>
        <v>0</v>
      </c>
      <c r="P296" s="132">
        <f t="shared" si="261"/>
        <v>0</v>
      </c>
      <c r="Q296" s="132">
        <f t="shared" si="266"/>
        <v>0</v>
      </c>
      <c r="R296" s="405" t="e">
        <f t="shared" si="262"/>
        <v>#N/A</v>
      </c>
      <c r="S296" s="405" t="e">
        <f t="shared" si="267"/>
        <v>#VALUE!</v>
      </c>
      <c r="T296" s="405" t="e">
        <f t="shared" si="268"/>
        <v>#N/A</v>
      </c>
      <c r="U296" s="127"/>
      <c r="V296" s="127"/>
      <c r="W296" s="127"/>
      <c r="X296" s="127"/>
      <c r="Z296" s="127"/>
      <c r="AA296" s="127"/>
      <c r="AB296" s="127"/>
      <c r="AC296" s="127"/>
      <c r="AD296" s="127"/>
      <c r="AG296" s="127"/>
      <c r="AH296" s="127"/>
      <c r="AI296" s="127"/>
      <c r="AJ296" s="127"/>
      <c r="AK296" s="127"/>
    </row>
    <row r="297" spans="2:37" ht="17.25" customHeight="1" x14ac:dyDescent="0.25">
      <c r="B297" s="171">
        <v>1</v>
      </c>
      <c r="C297" s="176" t="str">
        <f t="shared" si="263"/>
        <v>1</v>
      </c>
      <c r="D297" s="316"/>
      <c r="E297" s="305"/>
      <c r="F297" s="311"/>
      <c r="G297" t="e">
        <f>VLOOKUP(E297,'FG MASTER'!$A$10:$AB$218,2,0)</f>
        <v>#N/A</v>
      </c>
      <c r="H297" s="286">
        <v>1</v>
      </c>
      <c r="I297" s="173">
        <v>1</v>
      </c>
      <c r="J297" s="292" t="str">
        <f>IFERROR(IF(I297="std",H297,HLOOKUP(A297,'FlightConfig '!$B$34:$G$35,2,0)*I297),"")</f>
        <v/>
      </c>
      <c r="K297" s="245" t="e">
        <f>VLOOKUP(Food!E297,'FG MASTER'!$A$1:$AC$536,16,0)</f>
        <v>#N/A</v>
      </c>
      <c r="L297" s="246" t="e">
        <f>VLOOKUP(Food!E297,'FG MASTER'!$A$10:$AC$536,17,0)</f>
        <v>#N/A</v>
      </c>
      <c r="M297" s="132" t="str">
        <f t="shared" si="264"/>
        <v/>
      </c>
      <c r="N297" s="132" t="str">
        <f t="shared" si="265"/>
        <v/>
      </c>
      <c r="O297" s="132">
        <f t="shared" si="260"/>
        <v>0</v>
      </c>
      <c r="P297" s="132">
        <f t="shared" si="261"/>
        <v>0</v>
      </c>
      <c r="Q297" s="132">
        <f t="shared" si="266"/>
        <v>0</v>
      </c>
      <c r="R297" s="405" t="e">
        <f t="shared" si="262"/>
        <v>#N/A</v>
      </c>
      <c r="S297" s="405" t="e">
        <f t="shared" si="267"/>
        <v>#VALUE!</v>
      </c>
      <c r="T297" s="405" t="e">
        <f t="shared" si="268"/>
        <v>#N/A</v>
      </c>
      <c r="U297" s="127"/>
      <c r="V297" s="127"/>
      <c r="W297" s="127"/>
      <c r="X297" s="127"/>
      <c r="Z297" s="127"/>
      <c r="AA297" s="127"/>
      <c r="AB297" s="127"/>
      <c r="AC297" s="127"/>
      <c r="AD297" s="127"/>
      <c r="AG297" s="127"/>
      <c r="AH297" s="127"/>
      <c r="AI297" s="127"/>
      <c r="AJ297" s="127"/>
      <c r="AK297" s="127"/>
    </row>
    <row r="298" spans="2:37" ht="17.25" customHeight="1" x14ac:dyDescent="0.25">
      <c r="B298" s="171">
        <v>1</v>
      </c>
      <c r="C298" s="176" t="str">
        <f t="shared" si="263"/>
        <v>1</v>
      </c>
      <c r="D298" s="316"/>
      <c r="E298" s="305"/>
      <c r="F298" s="311"/>
      <c r="G298" t="e">
        <f>VLOOKUP(E298,'FG MASTER'!$A$10:$AB$218,2,0)</f>
        <v>#N/A</v>
      </c>
      <c r="H298" s="286">
        <v>1</v>
      </c>
      <c r="I298" s="173">
        <v>1</v>
      </c>
      <c r="J298" s="292" t="str">
        <f>IFERROR(IF(I298="std",H298,HLOOKUP(A298,'FlightConfig '!$B$34:$G$35,2,0)*I298),"")</f>
        <v/>
      </c>
      <c r="K298" s="245" t="e">
        <f>VLOOKUP(Food!E298,'FG MASTER'!$A$1:$AC$536,16,0)</f>
        <v>#N/A</v>
      </c>
      <c r="L298" s="246" t="e">
        <f>VLOOKUP(Food!E298,'FG MASTER'!$A$10:$AC$536,17,0)</f>
        <v>#N/A</v>
      </c>
      <c r="M298" s="132" t="str">
        <f t="shared" si="264"/>
        <v/>
      </c>
      <c r="N298" s="132" t="str">
        <f t="shared" si="265"/>
        <v/>
      </c>
      <c r="O298" s="132">
        <f t="shared" si="260"/>
        <v>0</v>
      </c>
      <c r="P298" s="132">
        <f t="shared" si="261"/>
        <v>0</v>
      </c>
      <c r="Q298" s="132">
        <f t="shared" si="266"/>
        <v>0</v>
      </c>
      <c r="R298" s="405" t="e">
        <f t="shared" si="262"/>
        <v>#N/A</v>
      </c>
      <c r="S298" s="405" t="e">
        <f t="shared" si="267"/>
        <v>#VALUE!</v>
      </c>
      <c r="T298" s="405" t="e">
        <f t="shared" si="268"/>
        <v>#N/A</v>
      </c>
      <c r="U298" s="127"/>
      <c r="V298" s="127"/>
      <c r="W298" s="127"/>
      <c r="X298" s="127"/>
      <c r="Z298" s="127"/>
      <c r="AA298" s="127"/>
      <c r="AB298" s="127"/>
      <c r="AC298" s="127"/>
      <c r="AD298" s="127"/>
      <c r="AG298" s="127"/>
      <c r="AH298" s="127"/>
      <c r="AI298" s="127"/>
      <c r="AJ298" s="127"/>
      <c r="AK298" s="127"/>
    </row>
    <row r="299" spans="2:37" ht="17.25" customHeight="1" x14ac:dyDescent="0.25">
      <c r="B299" s="171">
        <v>1</v>
      </c>
      <c r="C299" s="176" t="str">
        <f t="shared" si="263"/>
        <v>1</v>
      </c>
      <c r="D299" s="316"/>
      <c r="E299" s="305"/>
      <c r="F299" s="311"/>
      <c r="G299" t="e">
        <f>VLOOKUP(E299,'FG MASTER'!$A$10:$AB$218,2,0)</f>
        <v>#N/A</v>
      </c>
      <c r="H299" s="286">
        <v>1</v>
      </c>
      <c r="I299" s="173">
        <v>1</v>
      </c>
      <c r="J299" s="292" t="str">
        <f>IFERROR(IF(I299="std",H299,HLOOKUP(A299,'FlightConfig '!$B$34:$G$35,2,0)*I299),"")</f>
        <v/>
      </c>
      <c r="K299" s="245" t="e">
        <f>VLOOKUP(Food!E299,'FG MASTER'!$A$1:$AC$536,16,0)</f>
        <v>#N/A</v>
      </c>
      <c r="L299" s="246" t="e">
        <f>VLOOKUP(Food!E299,'FG MASTER'!$A$10:$AC$536,17,0)</f>
        <v>#N/A</v>
      </c>
      <c r="M299" s="132" t="str">
        <f t="shared" si="264"/>
        <v/>
      </c>
      <c r="N299" s="132" t="str">
        <f t="shared" si="265"/>
        <v/>
      </c>
      <c r="O299" s="132">
        <f t="shared" si="260"/>
        <v>0</v>
      </c>
      <c r="P299" s="132">
        <f t="shared" si="261"/>
        <v>0</v>
      </c>
      <c r="Q299" s="132">
        <f t="shared" si="266"/>
        <v>0</v>
      </c>
      <c r="R299" s="405" t="e">
        <f t="shared" si="262"/>
        <v>#N/A</v>
      </c>
      <c r="S299" s="405" t="e">
        <f t="shared" si="267"/>
        <v>#VALUE!</v>
      </c>
      <c r="T299" s="405" t="e">
        <f t="shared" si="268"/>
        <v>#N/A</v>
      </c>
      <c r="U299" s="127"/>
      <c r="V299" s="127"/>
      <c r="W299" s="127"/>
      <c r="X299" s="127"/>
      <c r="Z299" s="127"/>
      <c r="AA299" s="127"/>
      <c r="AB299" s="127"/>
      <c r="AC299" s="127"/>
      <c r="AD299" s="127"/>
      <c r="AG299" s="127"/>
      <c r="AH299" s="127"/>
      <c r="AI299" s="127"/>
      <c r="AJ299" s="127"/>
      <c r="AK299" s="127"/>
    </row>
    <row r="300" spans="2:37" ht="17.25" customHeight="1" x14ac:dyDescent="0.25">
      <c r="B300" s="171">
        <v>1</v>
      </c>
      <c r="C300" s="176" t="str">
        <f t="shared" si="263"/>
        <v>1</v>
      </c>
      <c r="D300" s="316"/>
      <c r="E300" s="305"/>
      <c r="F300" s="311"/>
      <c r="G300" t="e">
        <f>VLOOKUP(E300,'FG MASTER'!$A$10:$AB$218,2,0)</f>
        <v>#N/A</v>
      </c>
      <c r="H300" s="286">
        <v>1</v>
      </c>
      <c r="I300" s="173">
        <v>1</v>
      </c>
      <c r="J300" s="292" t="str">
        <f>IFERROR(IF(I300="std",H300,HLOOKUP(A300,'FlightConfig '!$B$34:$G$35,2,0)*I300),"")</f>
        <v/>
      </c>
      <c r="K300" s="245" t="e">
        <f>VLOOKUP(Food!E300,'FG MASTER'!$A$1:$AC$536,16,0)</f>
        <v>#N/A</v>
      </c>
      <c r="L300" s="246" t="e">
        <f>VLOOKUP(Food!E300,'FG MASTER'!$A$10:$AC$536,17,0)</f>
        <v>#N/A</v>
      </c>
      <c r="M300" s="132" t="str">
        <f t="shared" si="264"/>
        <v/>
      </c>
      <c r="N300" s="132" t="str">
        <f t="shared" si="265"/>
        <v/>
      </c>
      <c r="O300" s="132">
        <f t="shared" si="260"/>
        <v>0</v>
      </c>
      <c r="P300" s="132">
        <f t="shared" si="261"/>
        <v>0</v>
      </c>
      <c r="Q300" s="132">
        <f t="shared" si="266"/>
        <v>0</v>
      </c>
      <c r="R300" s="405" t="e">
        <f t="shared" si="262"/>
        <v>#N/A</v>
      </c>
      <c r="S300" s="405" t="e">
        <f t="shared" si="267"/>
        <v>#VALUE!</v>
      </c>
      <c r="T300" s="405" t="e">
        <f t="shared" si="268"/>
        <v>#N/A</v>
      </c>
      <c r="U300" s="127"/>
      <c r="V300" s="127"/>
      <c r="W300" s="127"/>
      <c r="X300" s="127"/>
      <c r="Z300" s="127"/>
      <c r="AA300" s="127"/>
      <c r="AB300" s="127"/>
      <c r="AC300" s="127"/>
      <c r="AD300" s="127"/>
      <c r="AG300" s="127"/>
      <c r="AH300" s="127"/>
      <c r="AI300" s="127"/>
      <c r="AJ300" s="127"/>
      <c r="AK300" s="127"/>
    </row>
    <row r="301" spans="2:37" ht="17.25" customHeight="1" x14ac:dyDescent="0.25">
      <c r="B301" s="171">
        <v>1</v>
      </c>
      <c r="C301" s="176" t="str">
        <f t="shared" si="263"/>
        <v>1</v>
      </c>
      <c r="D301" s="316"/>
      <c r="E301" s="305"/>
      <c r="F301" s="311"/>
      <c r="G301" t="e">
        <f>VLOOKUP(E301,'FG MASTER'!$A$10:$AB$218,2,0)</f>
        <v>#N/A</v>
      </c>
      <c r="H301" s="286">
        <v>1</v>
      </c>
      <c r="I301" s="173">
        <v>1</v>
      </c>
      <c r="J301" s="292" t="str">
        <f>IFERROR(IF(I301="std",H301,HLOOKUP(A301,'FlightConfig '!$B$34:$G$35,2,0)*I301),"")</f>
        <v/>
      </c>
      <c r="K301" s="245" t="e">
        <f>VLOOKUP(Food!E301,'FG MASTER'!$A$1:$AC$536,16,0)</f>
        <v>#N/A</v>
      </c>
      <c r="L301" s="246" t="e">
        <f>VLOOKUP(Food!E301,'FG MASTER'!$A$10:$AC$536,17,0)</f>
        <v>#N/A</v>
      </c>
      <c r="M301" s="132" t="str">
        <f t="shared" si="264"/>
        <v/>
      </c>
      <c r="N301" s="132" t="str">
        <f t="shared" si="265"/>
        <v/>
      </c>
      <c r="O301" s="132">
        <f t="shared" si="260"/>
        <v>0</v>
      </c>
      <c r="P301" s="132">
        <f t="shared" si="261"/>
        <v>0</v>
      </c>
      <c r="Q301" s="132">
        <f t="shared" si="266"/>
        <v>0</v>
      </c>
      <c r="R301" s="405" t="e">
        <f t="shared" si="262"/>
        <v>#N/A</v>
      </c>
      <c r="S301" s="405" t="e">
        <f t="shared" si="267"/>
        <v>#VALUE!</v>
      </c>
      <c r="T301" s="405" t="e">
        <f t="shared" si="268"/>
        <v>#N/A</v>
      </c>
      <c r="U301" s="127"/>
      <c r="V301" s="127"/>
      <c r="W301" s="127"/>
      <c r="X301" s="127"/>
      <c r="Z301" s="127"/>
      <c r="AA301" s="127"/>
      <c r="AB301" s="127"/>
      <c r="AC301" s="127"/>
      <c r="AD301" s="127"/>
      <c r="AG301" s="127"/>
      <c r="AH301" s="127"/>
      <c r="AI301" s="127"/>
      <c r="AJ301" s="127"/>
      <c r="AK301" s="127"/>
    </row>
    <row r="302" spans="2:37" ht="17.25" customHeight="1" x14ac:dyDescent="0.25">
      <c r="B302" s="171">
        <v>1</v>
      </c>
      <c r="C302" s="176" t="str">
        <f t="shared" si="263"/>
        <v>1</v>
      </c>
      <c r="D302" s="316"/>
      <c r="E302" s="305"/>
      <c r="F302" s="311"/>
      <c r="G302" t="e">
        <f>VLOOKUP(E302,'FG MASTER'!$A$10:$AB$218,2,0)</f>
        <v>#N/A</v>
      </c>
      <c r="H302" s="286">
        <v>1</v>
      </c>
      <c r="I302" s="173">
        <v>1</v>
      </c>
      <c r="J302" s="292" t="str">
        <f>IFERROR(IF(I302="std",H302,HLOOKUP(A302,'FlightConfig '!$B$34:$G$35,2,0)*I302),"")</f>
        <v/>
      </c>
      <c r="K302" s="245" t="e">
        <f>VLOOKUP(Food!E302,'FG MASTER'!$A$1:$AC$536,16,0)</f>
        <v>#N/A</v>
      </c>
      <c r="L302" s="246" t="e">
        <f>VLOOKUP(Food!E302,'FG MASTER'!$A$10:$AC$536,17,0)</f>
        <v>#N/A</v>
      </c>
      <c r="M302" s="132" t="str">
        <f t="shared" si="264"/>
        <v/>
      </c>
      <c r="N302" s="132" t="str">
        <f t="shared" si="265"/>
        <v/>
      </c>
      <c r="O302" s="132">
        <f t="shared" si="260"/>
        <v>0</v>
      </c>
      <c r="P302" s="132">
        <f t="shared" si="261"/>
        <v>0</v>
      </c>
      <c r="Q302" s="132">
        <f t="shared" si="266"/>
        <v>0</v>
      </c>
      <c r="R302" s="405" t="e">
        <f t="shared" si="262"/>
        <v>#N/A</v>
      </c>
      <c r="S302" s="405" t="e">
        <f t="shared" si="267"/>
        <v>#VALUE!</v>
      </c>
      <c r="T302" s="405" t="e">
        <f t="shared" si="268"/>
        <v>#N/A</v>
      </c>
      <c r="U302" s="127"/>
      <c r="V302" s="127"/>
      <c r="W302" s="127"/>
      <c r="X302" s="127"/>
      <c r="Z302" s="127"/>
      <c r="AA302" s="127"/>
      <c r="AB302" s="127"/>
      <c r="AC302" s="127"/>
      <c r="AD302" s="127"/>
      <c r="AG302" s="127"/>
      <c r="AH302" s="127"/>
      <c r="AI302" s="127"/>
      <c r="AJ302" s="127"/>
      <c r="AK302" s="127"/>
    </row>
    <row r="303" spans="2:37" ht="17.25" customHeight="1" x14ac:dyDescent="0.25">
      <c r="B303" s="171">
        <v>1</v>
      </c>
      <c r="C303" s="176" t="str">
        <f t="shared" si="263"/>
        <v>1</v>
      </c>
      <c r="D303" s="316"/>
      <c r="E303" s="305"/>
      <c r="F303" s="311"/>
      <c r="G303" t="e">
        <f>VLOOKUP(E303,'FG MASTER'!$A$10:$AB$218,2,0)</f>
        <v>#N/A</v>
      </c>
      <c r="H303" s="286">
        <v>1</v>
      </c>
      <c r="I303" s="173">
        <v>1</v>
      </c>
      <c r="J303" s="292" t="str">
        <f>IFERROR(IF(I303="std",H303,HLOOKUP(A303,'FlightConfig '!$B$34:$G$35,2,0)*I303),"")</f>
        <v/>
      </c>
      <c r="K303" s="245" t="e">
        <f>VLOOKUP(Food!E303,'FG MASTER'!$A$1:$AC$536,16,0)</f>
        <v>#N/A</v>
      </c>
      <c r="L303" s="246" t="e">
        <f>VLOOKUP(Food!E303,'FG MASTER'!$A$10:$AC$536,17,0)</f>
        <v>#N/A</v>
      </c>
      <c r="M303" s="132" t="str">
        <f t="shared" si="264"/>
        <v/>
      </c>
      <c r="N303" s="132" t="str">
        <f t="shared" si="265"/>
        <v/>
      </c>
      <c r="O303" s="132">
        <f t="shared" si="260"/>
        <v>0</v>
      </c>
      <c r="P303" s="132">
        <f t="shared" si="261"/>
        <v>0</v>
      </c>
      <c r="Q303" s="132">
        <f t="shared" si="266"/>
        <v>0</v>
      </c>
      <c r="R303" s="405" t="e">
        <f t="shared" si="262"/>
        <v>#N/A</v>
      </c>
      <c r="S303" s="405" t="e">
        <f t="shared" si="267"/>
        <v>#VALUE!</v>
      </c>
      <c r="T303" s="405" t="e">
        <f t="shared" si="268"/>
        <v>#N/A</v>
      </c>
      <c r="U303" s="127"/>
      <c r="V303" s="127"/>
      <c r="W303" s="127"/>
      <c r="X303" s="127"/>
      <c r="Z303" s="127"/>
      <c r="AA303" s="127"/>
      <c r="AB303" s="127"/>
      <c r="AC303" s="127"/>
      <c r="AD303" s="127"/>
      <c r="AG303" s="127"/>
      <c r="AH303" s="127"/>
      <c r="AI303" s="127"/>
      <c r="AJ303" s="127"/>
      <c r="AK303" s="127"/>
    </row>
    <row r="304" spans="2:37" ht="17.25" customHeight="1" x14ac:dyDescent="0.25">
      <c r="B304" s="171">
        <v>1</v>
      </c>
      <c r="C304" s="176" t="str">
        <f t="shared" si="263"/>
        <v>1</v>
      </c>
      <c r="D304" s="316"/>
      <c r="E304" s="305"/>
      <c r="F304" s="311"/>
      <c r="G304" t="e">
        <f>VLOOKUP(E304,'FG MASTER'!$A$10:$AB$218,2,0)</f>
        <v>#N/A</v>
      </c>
      <c r="H304" s="286">
        <v>1</v>
      </c>
      <c r="I304" s="173">
        <v>1</v>
      </c>
      <c r="J304" s="292" t="str">
        <f>IFERROR(IF(I304="std",H304,HLOOKUP(A304,'FlightConfig '!$B$34:$G$35,2,0)*I304),"")</f>
        <v/>
      </c>
      <c r="K304" s="245" t="e">
        <f>VLOOKUP(Food!E304,'FG MASTER'!$A$1:$AC$536,16,0)</f>
        <v>#N/A</v>
      </c>
      <c r="L304" s="246" t="e">
        <f>VLOOKUP(Food!E304,'FG MASTER'!$A$10:$AC$536,17,0)</f>
        <v>#N/A</v>
      </c>
      <c r="M304" s="132" t="str">
        <f t="shared" si="264"/>
        <v/>
      </c>
      <c r="N304" s="132" t="str">
        <f t="shared" si="265"/>
        <v/>
      </c>
      <c r="O304" s="132">
        <f t="shared" si="260"/>
        <v>0</v>
      </c>
      <c r="P304" s="132">
        <f t="shared" si="261"/>
        <v>0</v>
      </c>
      <c r="Q304" s="132">
        <f t="shared" si="266"/>
        <v>0</v>
      </c>
      <c r="R304" s="405" t="e">
        <f t="shared" si="262"/>
        <v>#N/A</v>
      </c>
      <c r="S304" s="405" t="e">
        <f t="shared" si="267"/>
        <v>#VALUE!</v>
      </c>
      <c r="T304" s="405" t="e">
        <f t="shared" si="268"/>
        <v>#N/A</v>
      </c>
      <c r="U304" s="127"/>
      <c r="V304" s="127"/>
      <c r="W304" s="127"/>
      <c r="X304" s="127"/>
      <c r="Z304" s="127"/>
      <c r="AA304" s="127"/>
      <c r="AB304" s="127"/>
      <c r="AC304" s="127"/>
      <c r="AD304" s="127"/>
      <c r="AG304" s="127"/>
      <c r="AH304" s="127"/>
      <c r="AI304" s="127"/>
      <c r="AJ304" s="127"/>
      <c r="AK304" s="127"/>
    </row>
    <row r="305" spans="2:37" ht="17.25" customHeight="1" x14ac:dyDescent="0.25">
      <c r="B305" s="171">
        <v>1</v>
      </c>
      <c r="C305" s="176" t="str">
        <f t="shared" si="263"/>
        <v>1</v>
      </c>
      <c r="D305" s="316"/>
      <c r="E305" s="305"/>
      <c r="F305" s="311"/>
      <c r="G305" t="e">
        <f>VLOOKUP(E305,'FG MASTER'!$A$10:$AB$218,2,0)</f>
        <v>#N/A</v>
      </c>
      <c r="H305" s="286">
        <v>1</v>
      </c>
      <c r="I305" s="173">
        <v>1</v>
      </c>
      <c r="J305" s="292" t="str">
        <f>IFERROR(IF(I305="std",H305,HLOOKUP(A305,'FlightConfig '!$B$34:$G$35,2,0)*I305),"")</f>
        <v/>
      </c>
      <c r="K305" s="245" t="e">
        <f>VLOOKUP(Food!E305,'FG MASTER'!$A$1:$AC$536,16,0)</f>
        <v>#N/A</v>
      </c>
      <c r="L305" s="246" t="e">
        <f>VLOOKUP(Food!E305,'FG MASTER'!$A$10:$AC$536,17,0)</f>
        <v>#N/A</v>
      </c>
      <c r="M305" s="132" t="str">
        <f t="shared" si="264"/>
        <v/>
      </c>
      <c r="N305" s="132" t="str">
        <f t="shared" si="265"/>
        <v/>
      </c>
      <c r="O305" s="132">
        <f t="shared" si="260"/>
        <v>0</v>
      </c>
      <c r="P305" s="132">
        <f t="shared" si="261"/>
        <v>0</v>
      </c>
      <c r="Q305" s="132">
        <f t="shared" si="266"/>
        <v>0</v>
      </c>
      <c r="R305" s="405" t="e">
        <f t="shared" si="262"/>
        <v>#N/A</v>
      </c>
      <c r="S305" s="405" t="e">
        <f t="shared" si="267"/>
        <v>#VALUE!</v>
      </c>
      <c r="T305" s="405" t="e">
        <f t="shared" si="268"/>
        <v>#N/A</v>
      </c>
      <c r="U305" s="127"/>
      <c r="V305" s="127"/>
      <c r="W305" s="127"/>
      <c r="X305" s="127"/>
      <c r="Z305" s="127"/>
      <c r="AA305" s="127"/>
      <c r="AB305" s="127"/>
      <c r="AC305" s="127"/>
      <c r="AD305" s="127"/>
      <c r="AG305" s="127"/>
      <c r="AH305" s="127"/>
      <c r="AI305" s="127"/>
      <c r="AJ305" s="127"/>
      <c r="AK305" s="127"/>
    </row>
    <row r="306" spans="2:37" ht="17.25" customHeight="1" x14ac:dyDescent="0.25">
      <c r="B306" s="171">
        <v>1</v>
      </c>
      <c r="C306" s="176" t="str">
        <f t="shared" si="263"/>
        <v>1</v>
      </c>
      <c r="D306" s="316"/>
      <c r="E306" s="305"/>
      <c r="F306" s="311"/>
      <c r="G306" t="e">
        <f>VLOOKUP(E306,'FG MASTER'!$A$10:$AB$218,2,0)</f>
        <v>#N/A</v>
      </c>
      <c r="H306" s="286">
        <v>1</v>
      </c>
      <c r="I306" s="173">
        <v>1</v>
      </c>
      <c r="J306" s="292" t="str">
        <f>IFERROR(IF(I306="std",H306,HLOOKUP(A306,'FlightConfig '!$B$34:$G$35,2,0)*I306),"")</f>
        <v/>
      </c>
      <c r="K306" s="245" t="e">
        <f>VLOOKUP(Food!E306,'FG MASTER'!$A$1:$AC$536,16,0)</f>
        <v>#N/A</v>
      </c>
      <c r="L306" s="246" t="e">
        <f>VLOOKUP(Food!E306,'FG MASTER'!$A$10:$AC$536,17,0)</f>
        <v>#N/A</v>
      </c>
      <c r="M306" s="132" t="str">
        <f t="shared" si="264"/>
        <v/>
      </c>
      <c r="N306" s="132" t="str">
        <f t="shared" si="265"/>
        <v/>
      </c>
      <c r="O306" s="132">
        <f t="shared" si="260"/>
        <v>0</v>
      </c>
      <c r="P306" s="132">
        <f t="shared" si="261"/>
        <v>0</v>
      </c>
      <c r="Q306" s="132">
        <f t="shared" si="266"/>
        <v>0</v>
      </c>
      <c r="R306" s="405" t="e">
        <f t="shared" si="262"/>
        <v>#N/A</v>
      </c>
      <c r="S306" s="405" t="e">
        <f t="shared" si="267"/>
        <v>#VALUE!</v>
      </c>
      <c r="T306" s="405" t="e">
        <f t="shared" si="268"/>
        <v>#N/A</v>
      </c>
      <c r="U306" s="127"/>
      <c r="V306" s="127"/>
      <c r="W306" s="127"/>
      <c r="X306" s="127"/>
      <c r="Z306" s="127"/>
      <c r="AA306" s="127"/>
      <c r="AB306" s="127"/>
      <c r="AC306" s="127"/>
      <c r="AD306" s="127"/>
      <c r="AG306" s="127"/>
      <c r="AH306" s="127"/>
      <c r="AI306" s="127"/>
      <c r="AJ306" s="127"/>
      <c r="AK306" s="127"/>
    </row>
    <row r="307" spans="2:37" ht="17.25" customHeight="1" x14ac:dyDescent="0.25">
      <c r="B307" s="171">
        <v>1</v>
      </c>
      <c r="C307" s="176" t="str">
        <f t="shared" si="263"/>
        <v>1</v>
      </c>
      <c r="D307" s="316"/>
      <c r="E307" s="305"/>
      <c r="F307" s="311"/>
      <c r="G307" t="e">
        <f>VLOOKUP(E307,'FG MASTER'!$A$10:$AB$218,2,0)</f>
        <v>#N/A</v>
      </c>
      <c r="H307" s="286">
        <v>1</v>
      </c>
      <c r="I307" s="173">
        <v>1</v>
      </c>
      <c r="J307" s="292" t="str">
        <f>IFERROR(IF(I307="std",H307,HLOOKUP(A307,'FlightConfig '!$B$34:$G$35,2,0)*I307),"")</f>
        <v/>
      </c>
      <c r="K307" s="245" t="e">
        <f>VLOOKUP(Food!E307,'FG MASTER'!$A$1:$AC$536,16,0)</f>
        <v>#N/A</v>
      </c>
      <c r="L307" s="246" t="e">
        <f>VLOOKUP(Food!E307,'FG MASTER'!$A$10:$AC$536,17,0)</f>
        <v>#N/A</v>
      </c>
      <c r="M307" s="132" t="str">
        <f t="shared" si="264"/>
        <v/>
      </c>
      <c r="N307" s="132" t="str">
        <f t="shared" si="265"/>
        <v/>
      </c>
      <c r="O307" s="132">
        <f t="shared" si="260"/>
        <v>0</v>
      </c>
      <c r="P307" s="132">
        <f t="shared" si="261"/>
        <v>0</v>
      </c>
      <c r="Q307" s="132">
        <f t="shared" si="266"/>
        <v>0</v>
      </c>
      <c r="R307" s="405" t="e">
        <f t="shared" si="262"/>
        <v>#N/A</v>
      </c>
      <c r="S307" s="405" t="e">
        <f t="shared" si="267"/>
        <v>#VALUE!</v>
      </c>
      <c r="T307" s="405" t="e">
        <f t="shared" si="268"/>
        <v>#N/A</v>
      </c>
      <c r="U307" s="127"/>
      <c r="V307" s="127"/>
      <c r="W307" s="127"/>
      <c r="X307" s="127"/>
      <c r="Z307" s="127"/>
      <c r="AA307" s="127"/>
      <c r="AB307" s="127"/>
      <c r="AC307" s="127"/>
      <c r="AD307" s="127"/>
      <c r="AG307" s="127"/>
      <c r="AH307" s="127"/>
      <c r="AI307" s="127"/>
      <c r="AJ307" s="127"/>
      <c r="AK307" s="127"/>
    </row>
    <row r="308" spans="2:37" ht="17.25" customHeight="1" x14ac:dyDescent="0.25">
      <c r="B308" s="171">
        <v>1</v>
      </c>
      <c r="C308" s="176" t="str">
        <f t="shared" si="263"/>
        <v>1</v>
      </c>
      <c r="D308" s="316"/>
      <c r="E308" s="305"/>
      <c r="F308" s="311"/>
      <c r="G308" t="e">
        <f>VLOOKUP(E308,'FG MASTER'!$A$10:$AB$218,2,0)</f>
        <v>#N/A</v>
      </c>
      <c r="H308" s="286">
        <v>1</v>
      </c>
      <c r="I308" s="173">
        <v>1</v>
      </c>
      <c r="J308" s="292" t="str">
        <f>IFERROR(IF(I308="std",H308,HLOOKUP(A308,'FlightConfig '!$B$34:$G$35,2,0)*I308),"")</f>
        <v/>
      </c>
      <c r="K308" s="245" t="e">
        <f>VLOOKUP(Food!E308,'FG MASTER'!$A$1:$AC$536,16,0)</f>
        <v>#N/A</v>
      </c>
      <c r="L308" s="246" t="e">
        <f>VLOOKUP(Food!E308,'FG MASTER'!$A$10:$AC$536,17,0)</f>
        <v>#N/A</v>
      </c>
      <c r="M308" s="132" t="str">
        <f t="shared" si="264"/>
        <v/>
      </c>
      <c r="N308" s="132" t="str">
        <f t="shared" si="265"/>
        <v/>
      </c>
      <c r="O308" s="132">
        <f t="shared" si="260"/>
        <v>0</v>
      </c>
      <c r="P308" s="132">
        <f t="shared" si="261"/>
        <v>0</v>
      </c>
      <c r="Q308" s="132">
        <f t="shared" si="266"/>
        <v>0</v>
      </c>
      <c r="R308" s="405" t="e">
        <f t="shared" si="262"/>
        <v>#N/A</v>
      </c>
      <c r="S308" s="405" t="e">
        <f t="shared" si="267"/>
        <v>#VALUE!</v>
      </c>
      <c r="T308" s="405" t="e">
        <f t="shared" si="268"/>
        <v>#N/A</v>
      </c>
      <c r="U308" s="127"/>
      <c r="V308" s="127"/>
      <c r="W308" s="127"/>
      <c r="X308" s="127"/>
      <c r="Z308" s="127"/>
      <c r="AA308" s="127"/>
      <c r="AB308" s="127"/>
      <c r="AC308" s="127"/>
      <c r="AD308" s="127"/>
      <c r="AG308" s="127"/>
      <c r="AH308" s="127"/>
      <c r="AI308" s="127"/>
      <c r="AJ308" s="127"/>
      <c r="AK308" s="127"/>
    </row>
    <row r="309" spans="2:37" ht="17.25" customHeight="1" x14ac:dyDescent="0.25">
      <c r="B309" s="171">
        <v>1</v>
      </c>
      <c r="C309" s="176" t="str">
        <f t="shared" si="263"/>
        <v>1</v>
      </c>
      <c r="D309" s="316"/>
      <c r="E309" s="305"/>
      <c r="F309" s="311"/>
      <c r="G309" t="e">
        <f>VLOOKUP(E309,'FG MASTER'!$A$10:$AB$218,2,0)</f>
        <v>#N/A</v>
      </c>
      <c r="H309" s="286">
        <v>1</v>
      </c>
      <c r="I309" s="173">
        <v>1</v>
      </c>
      <c r="J309" s="292" t="str">
        <f>IFERROR(IF(I309="std",H309,HLOOKUP(A309,'FlightConfig '!$B$34:$G$35,2,0)*I309),"")</f>
        <v/>
      </c>
      <c r="K309" s="245" t="e">
        <f>VLOOKUP(Food!E309,'FG MASTER'!$A$1:$AC$536,16,0)</f>
        <v>#N/A</v>
      </c>
      <c r="L309" s="246" t="e">
        <f>VLOOKUP(Food!E309,'FG MASTER'!$A$10:$AC$536,17,0)</f>
        <v>#N/A</v>
      </c>
      <c r="M309" s="132" t="str">
        <f t="shared" si="264"/>
        <v/>
      </c>
      <c r="N309" s="132" t="str">
        <f t="shared" si="265"/>
        <v/>
      </c>
      <c r="O309" s="132">
        <f t="shared" si="260"/>
        <v>0</v>
      </c>
      <c r="P309" s="132">
        <f t="shared" si="261"/>
        <v>0</v>
      </c>
      <c r="Q309" s="132">
        <f t="shared" si="266"/>
        <v>0</v>
      </c>
      <c r="R309" s="405" t="e">
        <f t="shared" si="262"/>
        <v>#N/A</v>
      </c>
      <c r="S309" s="405" t="e">
        <f t="shared" si="267"/>
        <v>#VALUE!</v>
      </c>
      <c r="T309" s="405" t="e">
        <f t="shared" si="268"/>
        <v>#N/A</v>
      </c>
      <c r="U309" s="127"/>
      <c r="V309" s="127"/>
      <c r="W309" s="127"/>
      <c r="X309" s="127"/>
      <c r="Z309" s="127"/>
      <c r="AA309" s="127"/>
      <c r="AB309" s="127"/>
      <c r="AC309" s="127"/>
      <c r="AD309" s="127"/>
      <c r="AG309" s="127"/>
      <c r="AH309" s="127"/>
      <c r="AI309" s="127"/>
      <c r="AJ309" s="127"/>
      <c r="AK309" s="127"/>
    </row>
    <row r="310" spans="2:37" ht="17.25" customHeight="1" x14ac:dyDescent="0.25">
      <c r="B310" s="171">
        <v>1</v>
      </c>
      <c r="C310" s="176" t="str">
        <f t="shared" si="263"/>
        <v>1</v>
      </c>
      <c r="D310" s="316"/>
      <c r="E310" s="305"/>
      <c r="F310" s="311"/>
      <c r="G310" t="e">
        <f>VLOOKUP(E310,'FG MASTER'!$A$10:$AB$218,2,0)</f>
        <v>#N/A</v>
      </c>
      <c r="H310" s="286">
        <v>1</v>
      </c>
      <c r="I310" s="173">
        <v>1</v>
      </c>
      <c r="J310" s="292" t="str">
        <f>IFERROR(IF(I310="std",H310,HLOOKUP(A310,'FlightConfig '!$B$34:$G$35,2,0)*I310),"")</f>
        <v/>
      </c>
      <c r="K310" s="245" t="e">
        <f>VLOOKUP(Food!E310,'FG MASTER'!$A$1:$AC$536,16,0)</f>
        <v>#N/A</v>
      </c>
      <c r="L310" s="246" t="e">
        <f>VLOOKUP(Food!E310,'FG MASTER'!$A$10:$AC$536,17,0)</f>
        <v>#N/A</v>
      </c>
      <c r="M310" s="132" t="str">
        <f t="shared" si="264"/>
        <v/>
      </c>
      <c r="N310" s="132" t="str">
        <f t="shared" si="265"/>
        <v/>
      </c>
      <c r="O310" s="132">
        <f t="shared" si="260"/>
        <v>0</v>
      </c>
      <c r="P310" s="132">
        <f t="shared" si="261"/>
        <v>0</v>
      </c>
      <c r="Q310" s="132">
        <f t="shared" si="266"/>
        <v>0</v>
      </c>
      <c r="R310" s="405" t="e">
        <f t="shared" si="262"/>
        <v>#N/A</v>
      </c>
      <c r="S310" s="405" t="e">
        <f t="shared" si="267"/>
        <v>#VALUE!</v>
      </c>
      <c r="T310" s="405" t="e">
        <f t="shared" si="268"/>
        <v>#N/A</v>
      </c>
      <c r="U310" s="127"/>
      <c r="V310" s="127"/>
      <c r="W310" s="127"/>
      <c r="X310" s="127"/>
      <c r="Z310" s="127"/>
      <c r="AA310" s="127"/>
      <c r="AB310" s="127"/>
      <c r="AC310" s="127"/>
      <c r="AD310" s="127"/>
      <c r="AG310" s="127"/>
      <c r="AH310" s="127"/>
      <c r="AI310" s="127"/>
      <c r="AJ310" s="127"/>
      <c r="AK310" s="127"/>
    </row>
    <row r="311" spans="2:37" ht="17.25" customHeight="1" x14ac:dyDescent="0.25">
      <c r="B311" s="171">
        <v>1</v>
      </c>
      <c r="C311" s="176" t="str">
        <f t="shared" si="263"/>
        <v>1</v>
      </c>
      <c r="D311" s="316"/>
      <c r="E311" s="305"/>
      <c r="F311" s="311"/>
      <c r="G311" t="e">
        <f>VLOOKUP(E311,'FG MASTER'!$A$10:$AB$218,2,0)</f>
        <v>#N/A</v>
      </c>
      <c r="H311" s="286">
        <v>1</v>
      </c>
      <c r="I311" s="173">
        <v>1</v>
      </c>
      <c r="J311" s="292" t="str">
        <f>IFERROR(IF(I311="std",H311,HLOOKUP(A311,'FlightConfig '!$B$34:$G$35,2,0)*I311),"")</f>
        <v/>
      </c>
      <c r="K311" s="245" t="e">
        <f>VLOOKUP(Food!E311,'FG MASTER'!$A$1:$AC$536,16,0)</f>
        <v>#N/A</v>
      </c>
      <c r="L311" s="246" t="e">
        <f>VLOOKUP(Food!E311,'FG MASTER'!$A$10:$AC$536,17,0)</f>
        <v>#N/A</v>
      </c>
      <c r="M311" s="132" t="str">
        <f t="shared" si="264"/>
        <v/>
      </c>
      <c r="N311" s="132" t="str">
        <f t="shared" si="265"/>
        <v/>
      </c>
      <c r="O311" s="132">
        <f t="shared" si="260"/>
        <v>0</v>
      </c>
      <c r="P311" s="132">
        <f t="shared" si="261"/>
        <v>0</v>
      </c>
      <c r="Q311" s="132">
        <f t="shared" si="266"/>
        <v>0</v>
      </c>
      <c r="R311" s="405" t="e">
        <f t="shared" si="262"/>
        <v>#N/A</v>
      </c>
      <c r="S311" s="405" t="e">
        <f t="shared" si="267"/>
        <v>#VALUE!</v>
      </c>
      <c r="T311" s="405" t="e">
        <f t="shared" si="268"/>
        <v>#N/A</v>
      </c>
      <c r="U311" s="127"/>
      <c r="V311" s="127"/>
      <c r="W311" s="127"/>
      <c r="X311" s="127"/>
      <c r="Z311" s="127"/>
      <c r="AA311" s="127"/>
      <c r="AB311" s="127"/>
      <c r="AC311" s="127"/>
      <c r="AD311" s="127"/>
      <c r="AG311" s="127"/>
      <c r="AH311" s="127"/>
      <c r="AI311" s="127"/>
      <c r="AJ311" s="127"/>
      <c r="AK311" s="127"/>
    </row>
    <row r="312" spans="2:37" ht="17.25" customHeight="1" x14ac:dyDescent="0.25">
      <c r="B312" s="171">
        <v>1</v>
      </c>
      <c r="C312" s="176" t="str">
        <f t="shared" si="263"/>
        <v>1</v>
      </c>
      <c r="D312" s="316"/>
      <c r="E312" s="305"/>
      <c r="F312" s="311"/>
      <c r="G312" t="e">
        <f>VLOOKUP(E312,'FG MASTER'!$A$10:$AB$218,2,0)</f>
        <v>#N/A</v>
      </c>
      <c r="H312" s="286">
        <v>1</v>
      </c>
      <c r="I312" s="173">
        <v>1</v>
      </c>
      <c r="J312" s="292" t="str">
        <f>IFERROR(IF(I312="std",H312,HLOOKUP(A312,'FlightConfig '!$B$34:$G$35,2,0)*I312),"")</f>
        <v/>
      </c>
      <c r="K312" s="245" t="e">
        <f>VLOOKUP(Food!E312,'FG MASTER'!$A$1:$AC$536,16,0)</f>
        <v>#N/A</v>
      </c>
      <c r="L312" s="246" t="e">
        <f>VLOOKUP(Food!E312,'FG MASTER'!$A$10:$AC$536,17,0)</f>
        <v>#N/A</v>
      </c>
      <c r="M312" s="132" t="str">
        <f t="shared" si="264"/>
        <v/>
      </c>
      <c r="N312" s="132" t="str">
        <f t="shared" si="265"/>
        <v/>
      </c>
      <c r="O312" s="132">
        <f t="shared" si="260"/>
        <v>0</v>
      </c>
      <c r="P312" s="132">
        <f t="shared" si="261"/>
        <v>0</v>
      </c>
      <c r="Q312" s="132">
        <f t="shared" si="266"/>
        <v>0</v>
      </c>
      <c r="R312" s="405" t="e">
        <f t="shared" si="262"/>
        <v>#N/A</v>
      </c>
      <c r="S312" s="405" t="e">
        <f t="shared" si="267"/>
        <v>#VALUE!</v>
      </c>
      <c r="T312" s="405" t="e">
        <f t="shared" si="268"/>
        <v>#N/A</v>
      </c>
      <c r="U312" s="127"/>
      <c r="V312" s="127"/>
      <c r="W312" s="127"/>
      <c r="X312" s="127"/>
      <c r="Z312" s="127"/>
      <c r="AA312" s="127"/>
      <c r="AB312" s="127"/>
      <c r="AC312" s="127"/>
      <c r="AD312" s="127"/>
      <c r="AG312" s="127"/>
      <c r="AH312" s="127"/>
      <c r="AI312" s="127"/>
      <c r="AJ312" s="127"/>
      <c r="AK312" s="127"/>
    </row>
    <row r="313" spans="2:37" ht="17.25" customHeight="1" x14ac:dyDescent="0.25">
      <c r="B313" s="171">
        <v>1</v>
      </c>
      <c r="C313" s="176" t="str">
        <f t="shared" si="263"/>
        <v>1</v>
      </c>
      <c r="D313" s="316"/>
      <c r="E313" s="305"/>
      <c r="F313" s="311"/>
      <c r="G313" t="e">
        <f>VLOOKUP(E313,'FG MASTER'!$A$10:$AB$218,2,0)</f>
        <v>#N/A</v>
      </c>
      <c r="H313" s="286">
        <v>1</v>
      </c>
      <c r="I313" s="173">
        <v>1</v>
      </c>
      <c r="J313" s="292" t="str">
        <f>IFERROR(IF(I313="std",H313,HLOOKUP(A313,'FlightConfig '!$B$34:$G$35,2,0)*I313),"")</f>
        <v/>
      </c>
      <c r="K313" s="245" t="e">
        <f>VLOOKUP(Food!E313,'FG MASTER'!$A$1:$AC$536,16,0)</f>
        <v>#N/A</v>
      </c>
      <c r="L313" s="246" t="e">
        <f>VLOOKUP(Food!E313,'FG MASTER'!$A$10:$AC$536,17,0)</f>
        <v>#N/A</v>
      </c>
      <c r="M313" s="132" t="str">
        <f t="shared" si="264"/>
        <v/>
      </c>
      <c r="N313" s="132" t="str">
        <f t="shared" si="265"/>
        <v/>
      </c>
      <c r="O313" s="132">
        <f t="shared" si="260"/>
        <v>0</v>
      </c>
      <c r="P313" s="132">
        <f t="shared" si="261"/>
        <v>0</v>
      </c>
      <c r="Q313" s="132">
        <f t="shared" si="266"/>
        <v>0</v>
      </c>
      <c r="R313" s="405" t="e">
        <f t="shared" si="262"/>
        <v>#N/A</v>
      </c>
      <c r="S313" s="405" t="e">
        <f t="shared" si="267"/>
        <v>#VALUE!</v>
      </c>
      <c r="T313" s="405" t="e">
        <f t="shared" si="268"/>
        <v>#N/A</v>
      </c>
      <c r="U313" s="127"/>
      <c r="V313" s="127"/>
      <c r="W313" s="127"/>
      <c r="X313" s="127"/>
      <c r="Z313" s="127"/>
      <c r="AA313" s="127"/>
      <c r="AB313" s="127"/>
      <c r="AC313" s="127"/>
      <c r="AD313" s="127"/>
      <c r="AG313" s="127"/>
      <c r="AH313" s="127"/>
      <c r="AI313" s="127"/>
      <c r="AJ313" s="127"/>
      <c r="AK313" s="127"/>
    </row>
    <row r="314" spans="2:37" ht="17.25" customHeight="1" x14ac:dyDescent="0.25">
      <c r="B314" s="171">
        <v>1</v>
      </c>
      <c r="C314" s="176" t="str">
        <f t="shared" si="263"/>
        <v>1</v>
      </c>
      <c r="D314" s="316"/>
      <c r="E314" s="305"/>
      <c r="F314" s="311"/>
      <c r="G314" t="e">
        <f>VLOOKUP(E314,'FG MASTER'!$A$10:$AB$218,2,0)</f>
        <v>#N/A</v>
      </c>
      <c r="H314" s="286">
        <v>1</v>
      </c>
      <c r="I314" s="173">
        <v>1</v>
      </c>
      <c r="J314" s="292" t="str">
        <f>IFERROR(IF(I314="std",H314,HLOOKUP(A314,'FlightConfig '!$B$34:$G$35,2,0)*I314),"")</f>
        <v/>
      </c>
      <c r="K314" s="245" t="e">
        <f>VLOOKUP(Food!E314,'FG MASTER'!$A$1:$AC$536,16,0)</f>
        <v>#N/A</v>
      </c>
      <c r="L314" s="246" t="e">
        <f>VLOOKUP(Food!E314,'FG MASTER'!$A$10:$AC$536,17,0)</f>
        <v>#N/A</v>
      </c>
      <c r="M314" s="132" t="str">
        <f t="shared" si="264"/>
        <v/>
      </c>
      <c r="N314" s="132" t="str">
        <f t="shared" si="265"/>
        <v/>
      </c>
      <c r="O314" s="132">
        <f t="shared" si="260"/>
        <v>0</v>
      </c>
      <c r="P314" s="132">
        <f t="shared" si="261"/>
        <v>0</v>
      </c>
      <c r="Q314" s="132">
        <f t="shared" si="266"/>
        <v>0</v>
      </c>
      <c r="R314" s="405" t="e">
        <f t="shared" si="262"/>
        <v>#N/A</v>
      </c>
      <c r="S314" s="405" t="e">
        <f t="shared" si="267"/>
        <v>#VALUE!</v>
      </c>
      <c r="T314" s="405" t="e">
        <f t="shared" si="268"/>
        <v>#N/A</v>
      </c>
      <c r="U314" s="127"/>
      <c r="V314" s="127"/>
      <c r="W314" s="127"/>
      <c r="X314" s="127"/>
      <c r="Z314" s="127"/>
      <c r="AA314" s="127"/>
      <c r="AB314" s="127"/>
      <c r="AC314" s="127"/>
      <c r="AD314" s="127"/>
      <c r="AG314" s="127"/>
      <c r="AH314" s="127"/>
      <c r="AI314" s="127"/>
      <c r="AJ314" s="127"/>
      <c r="AK314" s="127"/>
    </row>
    <row r="315" spans="2:37" ht="17.25" customHeight="1" x14ac:dyDescent="0.25">
      <c r="B315" s="171">
        <v>1</v>
      </c>
      <c r="C315" s="176" t="str">
        <f t="shared" si="263"/>
        <v>1</v>
      </c>
      <c r="D315" s="316"/>
      <c r="E315" s="305"/>
      <c r="F315" s="311"/>
      <c r="G315" t="e">
        <f>VLOOKUP(E315,'FG MASTER'!$A$10:$AB$218,2,0)</f>
        <v>#N/A</v>
      </c>
      <c r="H315" s="286">
        <v>1</v>
      </c>
      <c r="I315" s="173">
        <v>1</v>
      </c>
      <c r="J315" s="292" t="str">
        <f>IFERROR(IF(I315="std",H315,HLOOKUP(A315,'FlightConfig '!$B$34:$G$35,2,0)*I315),"")</f>
        <v/>
      </c>
      <c r="K315" s="245" t="e">
        <f>VLOOKUP(Food!E315,'FG MASTER'!$A$1:$AC$536,16,0)</f>
        <v>#N/A</v>
      </c>
      <c r="L315" s="246" t="e">
        <f>VLOOKUP(Food!E315,'FG MASTER'!$A$10:$AC$536,17,0)</f>
        <v>#N/A</v>
      </c>
      <c r="M315" s="132" t="str">
        <f t="shared" si="264"/>
        <v/>
      </c>
      <c r="N315" s="132" t="str">
        <f t="shared" si="265"/>
        <v/>
      </c>
      <c r="O315" s="132">
        <f t="shared" si="260"/>
        <v>0</v>
      </c>
      <c r="P315" s="132">
        <f t="shared" si="261"/>
        <v>0</v>
      </c>
      <c r="Q315" s="132">
        <f t="shared" si="266"/>
        <v>0</v>
      </c>
      <c r="R315" s="405" t="e">
        <f t="shared" si="262"/>
        <v>#N/A</v>
      </c>
      <c r="S315" s="405" t="e">
        <f t="shared" si="267"/>
        <v>#VALUE!</v>
      </c>
      <c r="T315" s="405" t="e">
        <f t="shared" si="268"/>
        <v>#N/A</v>
      </c>
      <c r="U315" s="127"/>
      <c r="V315" s="127"/>
      <c r="W315" s="127"/>
      <c r="X315" s="127"/>
      <c r="Z315" s="127"/>
      <c r="AA315" s="127"/>
      <c r="AB315" s="127"/>
      <c r="AC315" s="127"/>
      <c r="AD315" s="127"/>
      <c r="AG315" s="127"/>
      <c r="AH315" s="127"/>
      <c r="AI315" s="127"/>
      <c r="AJ315" s="127"/>
      <c r="AK315" s="127"/>
    </row>
    <row r="316" spans="2:37" ht="17.25" customHeight="1" x14ac:dyDescent="0.25">
      <c r="B316" s="171">
        <v>1</v>
      </c>
      <c r="C316" s="176" t="str">
        <f t="shared" si="263"/>
        <v>1</v>
      </c>
      <c r="D316" s="316"/>
      <c r="E316" s="305"/>
      <c r="F316" s="311"/>
      <c r="G316" t="e">
        <f>VLOOKUP(E316,'FG MASTER'!$A$10:$AB$218,2,0)</f>
        <v>#N/A</v>
      </c>
      <c r="H316" s="286">
        <v>1</v>
      </c>
      <c r="I316" s="173">
        <v>1</v>
      </c>
      <c r="J316" s="292" t="str">
        <f>IFERROR(IF(I316="std",H316,HLOOKUP(A316,'FlightConfig '!$B$34:$G$35,2,0)*I316),"")</f>
        <v/>
      </c>
      <c r="K316" s="245" t="e">
        <f>VLOOKUP(Food!E316,'FG MASTER'!$A$1:$AC$536,16,0)</f>
        <v>#N/A</v>
      </c>
      <c r="L316" s="246" t="e">
        <f>VLOOKUP(Food!E316,'FG MASTER'!$A$10:$AC$536,17,0)</f>
        <v>#N/A</v>
      </c>
      <c r="M316" s="132" t="str">
        <f t="shared" si="264"/>
        <v/>
      </c>
      <c r="N316" s="132" t="str">
        <f t="shared" si="265"/>
        <v/>
      </c>
      <c r="O316" s="132">
        <f t="shared" si="260"/>
        <v>0</v>
      </c>
      <c r="P316" s="132">
        <f t="shared" si="261"/>
        <v>0</v>
      </c>
      <c r="Q316" s="132">
        <f t="shared" si="266"/>
        <v>0</v>
      </c>
      <c r="R316" s="405" t="e">
        <f t="shared" si="262"/>
        <v>#N/A</v>
      </c>
      <c r="S316" s="405" t="e">
        <f t="shared" si="267"/>
        <v>#VALUE!</v>
      </c>
      <c r="T316" s="405" t="e">
        <f t="shared" si="268"/>
        <v>#N/A</v>
      </c>
      <c r="U316" s="127"/>
      <c r="V316" s="127"/>
      <c r="W316" s="127"/>
      <c r="X316" s="127"/>
      <c r="Z316" s="127"/>
      <c r="AA316" s="127"/>
      <c r="AB316" s="127"/>
      <c r="AC316" s="127"/>
      <c r="AD316" s="127"/>
      <c r="AG316" s="127"/>
      <c r="AH316" s="127"/>
      <c r="AI316" s="127"/>
      <c r="AJ316" s="127"/>
      <c r="AK316" s="127"/>
    </row>
    <row r="317" spans="2:37" ht="17.25" customHeight="1" x14ac:dyDescent="0.25">
      <c r="B317" s="171">
        <v>1</v>
      </c>
      <c r="C317" s="176" t="str">
        <f t="shared" si="263"/>
        <v>1</v>
      </c>
      <c r="D317" s="316"/>
      <c r="E317" s="305"/>
      <c r="F317" s="311"/>
      <c r="G317" t="e">
        <f>VLOOKUP(E317,'FG MASTER'!$A$10:$AB$218,2,0)</f>
        <v>#N/A</v>
      </c>
      <c r="H317" s="286">
        <v>1</v>
      </c>
      <c r="I317" s="173">
        <v>1</v>
      </c>
      <c r="J317" s="292" t="str">
        <f>IFERROR(IF(I317="std",H317,HLOOKUP(A317,'FlightConfig '!$B$34:$G$35,2,0)*I317),"")</f>
        <v/>
      </c>
      <c r="K317" s="245" t="e">
        <f>VLOOKUP(Food!E317,'FG MASTER'!$A$1:$AC$536,16,0)</f>
        <v>#N/A</v>
      </c>
      <c r="L317" s="246" t="e">
        <f>VLOOKUP(Food!E317,'FG MASTER'!$A$10:$AC$536,17,0)</f>
        <v>#N/A</v>
      </c>
      <c r="M317" s="132" t="str">
        <f t="shared" si="264"/>
        <v/>
      </c>
      <c r="N317" s="132" t="str">
        <f t="shared" si="265"/>
        <v/>
      </c>
      <c r="O317" s="132">
        <f t="shared" si="260"/>
        <v>0</v>
      </c>
      <c r="P317" s="132">
        <f t="shared" si="261"/>
        <v>0</v>
      </c>
      <c r="Q317" s="132">
        <f t="shared" si="266"/>
        <v>0</v>
      </c>
      <c r="R317" s="405" t="e">
        <f t="shared" si="262"/>
        <v>#N/A</v>
      </c>
      <c r="S317" s="405" t="e">
        <f t="shared" si="267"/>
        <v>#VALUE!</v>
      </c>
      <c r="T317" s="405" t="e">
        <f t="shared" si="268"/>
        <v>#N/A</v>
      </c>
      <c r="U317" s="127"/>
      <c r="V317" s="127"/>
      <c r="W317" s="127"/>
      <c r="X317" s="127"/>
      <c r="Z317" s="127"/>
      <c r="AA317" s="127"/>
      <c r="AB317" s="127"/>
      <c r="AC317" s="127"/>
      <c r="AD317" s="127"/>
      <c r="AG317" s="127"/>
      <c r="AH317" s="127"/>
      <c r="AI317" s="127"/>
      <c r="AJ317" s="127"/>
      <c r="AK317" s="127"/>
    </row>
    <row r="318" spans="2:37" ht="17.25" customHeight="1" x14ac:dyDescent="0.25">
      <c r="B318" s="171">
        <v>1</v>
      </c>
      <c r="C318" s="176" t="str">
        <f t="shared" si="263"/>
        <v>1</v>
      </c>
      <c r="D318" s="316"/>
      <c r="E318" s="305"/>
      <c r="F318" s="311"/>
      <c r="G318" t="e">
        <f>VLOOKUP(E318,'FG MASTER'!$A$10:$AB$218,2,0)</f>
        <v>#N/A</v>
      </c>
      <c r="H318" s="286">
        <v>1</v>
      </c>
      <c r="I318" s="173">
        <v>1</v>
      </c>
      <c r="J318" s="292" t="str">
        <f>IFERROR(IF(I318="std",H318,HLOOKUP(A318,'FlightConfig '!$B$34:$G$35,2,0)*I318),"")</f>
        <v/>
      </c>
      <c r="K318" s="245" t="e">
        <f>VLOOKUP(Food!E318,'FG MASTER'!$A$1:$AC$536,16,0)</f>
        <v>#N/A</v>
      </c>
      <c r="L318" s="246" t="e">
        <f>VLOOKUP(Food!E318,'FG MASTER'!$A$10:$AC$536,17,0)</f>
        <v>#N/A</v>
      </c>
      <c r="M318" s="132" t="str">
        <f t="shared" si="264"/>
        <v/>
      </c>
      <c r="N318" s="132" t="str">
        <f t="shared" si="265"/>
        <v/>
      </c>
      <c r="O318" s="132">
        <f t="shared" si="260"/>
        <v>0</v>
      </c>
      <c r="P318" s="132">
        <f t="shared" si="261"/>
        <v>0</v>
      </c>
      <c r="Q318" s="132">
        <f t="shared" si="266"/>
        <v>0</v>
      </c>
      <c r="R318" s="405" t="e">
        <f t="shared" si="262"/>
        <v>#N/A</v>
      </c>
      <c r="S318" s="405" t="e">
        <f t="shared" si="267"/>
        <v>#VALUE!</v>
      </c>
      <c r="T318" s="405" t="e">
        <f t="shared" si="268"/>
        <v>#N/A</v>
      </c>
      <c r="U318" s="127"/>
      <c r="V318" s="127"/>
      <c r="W318" s="127"/>
      <c r="X318" s="127"/>
      <c r="Z318" s="127"/>
      <c r="AA318" s="127"/>
      <c r="AB318" s="127"/>
      <c r="AC318" s="127"/>
      <c r="AD318" s="127"/>
      <c r="AG318" s="127"/>
      <c r="AH318" s="127"/>
      <c r="AI318" s="127"/>
      <c r="AJ318" s="127"/>
      <c r="AK318" s="127"/>
    </row>
    <row r="319" spans="2:37" ht="17.25" customHeight="1" x14ac:dyDescent="0.25">
      <c r="B319" s="171">
        <v>1</v>
      </c>
      <c r="C319" s="176" t="str">
        <f t="shared" si="263"/>
        <v>1</v>
      </c>
      <c r="D319" s="316"/>
      <c r="E319" s="305"/>
      <c r="F319" s="311"/>
      <c r="G319" t="e">
        <f>VLOOKUP(E319,'FG MASTER'!$A$10:$AB$218,2,0)</f>
        <v>#N/A</v>
      </c>
      <c r="H319" s="286">
        <v>1</v>
      </c>
      <c r="I319" s="173">
        <v>1</v>
      </c>
      <c r="J319" s="292" t="str">
        <f>IFERROR(IF(I319="std",H319,HLOOKUP(A319,'FlightConfig '!$B$34:$G$35,2,0)*I319),"")</f>
        <v/>
      </c>
      <c r="K319" s="245" t="e">
        <f>VLOOKUP(Food!E319,'FG MASTER'!$A$1:$AC$536,16,0)</f>
        <v>#N/A</v>
      </c>
      <c r="L319" s="246" t="e">
        <f>VLOOKUP(Food!E319,'FG MASTER'!$A$10:$AC$536,17,0)</f>
        <v>#N/A</v>
      </c>
      <c r="M319" s="132" t="str">
        <f t="shared" si="264"/>
        <v/>
      </c>
      <c r="N319" s="132" t="str">
        <f t="shared" si="265"/>
        <v/>
      </c>
      <c r="O319" s="132">
        <f t="shared" si="260"/>
        <v>0</v>
      </c>
      <c r="P319" s="132">
        <f t="shared" si="261"/>
        <v>0</v>
      </c>
      <c r="Q319" s="132">
        <f t="shared" si="266"/>
        <v>0</v>
      </c>
      <c r="R319" s="405" t="e">
        <f t="shared" si="262"/>
        <v>#N/A</v>
      </c>
      <c r="S319" s="405" t="e">
        <f t="shared" si="267"/>
        <v>#VALUE!</v>
      </c>
      <c r="T319" s="405" t="e">
        <f t="shared" si="268"/>
        <v>#N/A</v>
      </c>
      <c r="U319" s="127"/>
      <c r="V319" s="127"/>
      <c r="W319" s="127"/>
      <c r="X319" s="127"/>
      <c r="Z319" s="127"/>
      <c r="AA319" s="127"/>
      <c r="AB319" s="127"/>
      <c r="AC319" s="127"/>
      <c r="AD319" s="127"/>
      <c r="AG319" s="127"/>
      <c r="AH319" s="127"/>
      <c r="AI319" s="127"/>
      <c r="AJ319" s="127"/>
      <c r="AK319" s="127"/>
    </row>
    <row r="320" spans="2:37" ht="17.25" customHeight="1" x14ac:dyDescent="0.25">
      <c r="B320" s="171">
        <v>1</v>
      </c>
      <c r="C320" s="176" t="str">
        <f t="shared" si="263"/>
        <v>1</v>
      </c>
      <c r="D320" s="316"/>
      <c r="E320" s="305"/>
      <c r="F320" s="311"/>
      <c r="G320" t="e">
        <f>VLOOKUP(E320,'FG MASTER'!$A$10:$AB$218,2,0)</f>
        <v>#N/A</v>
      </c>
      <c r="H320" s="286">
        <v>1</v>
      </c>
      <c r="I320" s="173">
        <v>1</v>
      </c>
      <c r="J320" s="292" t="str">
        <f>IFERROR(IF(I320="std",H320,HLOOKUP(A320,'FlightConfig '!$B$34:$G$35,2,0)*I320),"")</f>
        <v/>
      </c>
      <c r="K320" s="245" t="e">
        <f>VLOOKUP(Food!E320,'FG MASTER'!$A$1:$AC$536,16,0)</f>
        <v>#N/A</v>
      </c>
      <c r="L320" s="246" t="e">
        <f>VLOOKUP(Food!E320,'FG MASTER'!$A$10:$AC$536,17,0)</f>
        <v>#N/A</v>
      </c>
      <c r="M320" s="132" t="str">
        <f t="shared" si="264"/>
        <v/>
      </c>
      <c r="N320" s="132" t="str">
        <f t="shared" si="265"/>
        <v/>
      </c>
      <c r="O320" s="132">
        <f t="shared" si="260"/>
        <v>0</v>
      </c>
      <c r="P320" s="132">
        <f t="shared" si="261"/>
        <v>0</v>
      </c>
      <c r="Q320" s="132">
        <f t="shared" si="266"/>
        <v>0</v>
      </c>
      <c r="R320" s="405" t="e">
        <f t="shared" si="262"/>
        <v>#N/A</v>
      </c>
      <c r="S320" s="405" t="e">
        <f t="shared" si="267"/>
        <v>#VALUE!</v>
      </c>
      <c r="T320" s="405" t="e">
        <f t="shared" si="268"/>
        <v>#N/A</v>
      </c>
      <c r="U320" s="127"/>
      <c r="V320" s="127"/>
      <c r="W320" s="127"/>
      <c r="X320" s="127"/>
      <c r="Z320" s="127"/>
      <c r="AA320" s="127"/>
      <c r="AB320" s="127"/>
      <c r="AC320" s="127"/>
      <c r="AD320" s="127"/>
      <c r="AG320" s="127"/>
      <c r="AH320" s="127"/>
      <c r="AI320" s="127"/>
      <c r="AJ320" s="127"/>
      <c r="AK320" s="127"/>
    </row>
    <row r="321" spans="2:37" ht="17.25" customHeight="1" x14ac:dyDescent="0.25">
      <c r="B321" s="171">
        <v>1</v>
      </c>
      <c r="C321" s="176" t="str">
        <f t="shared" si="263"/>
        <v>1</v>
      </c>
      <c r="D321" s="316"/>
      <c r="E321" s="305"/>
      <c r="F321" s="311"/>
      <c r="G321" t="e">
        <f>VLOOKUP(E321,'FG MASTER'!$A$10:$AB$218,2,0)</f>
        <v>#N/A</v>
      </c>
      <c r="H321" s="286">
        <v>1</v>
      </c>
      <c r="I321" s="173">
        <v>1</v>
      </c>
      <c r="J321" s="292" t="str">
        <f>IFERROR(IF(I321="std",H321,HLOOKUP(A321,'FlightConfig '!$B$34:$G$35,2,0)*I321),"")</f>
        <v/>
      </c>
      <c r="K321" s="245" t="e">
        <f>VLOOKUP(Food!E321,'FG MASTER'!$A$1:$AC$536,16,0)</f>
        <v>#N/A</v>
      </c>
      <c r="L321" s="246" t="e">
        <f>VLOOKUP(Food!E321,'FG MASTER'!$A$10:$AC$536,17,0)</f>
        <v>#N/A</v>
      </c>
      <c r="M321" s="132" t="str">
        <f t="shared" si="264"/>
        <v/>
      </c>
      <c r="N321" s="132" t="str">
        <f t="shared" si="265"/>
        <v/>
      </c>
      <c r="O321" s="132">
        <f t="shared" si="260"/>
        <v>0</v>
      </c>
      <c r="P321" s="132">
        <f t="shared" si="261"/>
        <v>0</v>
      </c>
      <c r="Q321" s="132">
        <f t="shared" si="266"/>
        <v>0</v>
      </c>
      <c r="R321" s="405" t="e">
        <f t="shared" si="262"/>
        <v>#N/A</v>
      </c>
      <c r="S321" s="405" t="e">
        <f t="shared" si="267"/>
        <v>#VALUE!</v>
      </c>
      <c r="T321" s="405" t="e">
        <f t="shared" si="268"/>
        <v>#N/A</v>
      </c>
      <c r="U321" s="127"/>
      <c r="V321" s="127"/>
      <c r="W321" s="127"/>
      <c r="X321" s="127"/>
      <c r="Z321" s="127"/>
      <c r="AA321" s="127"/>
      <c r="AB321" s="127"/>
      <c r="AC321" s="127"/>
      <c r="AD321" s="127"/>
      <c r="AG321" s="127"/>
      <c r="AH321" s="127"/>
      <c r="AI321" s="127"/>
      <c r="AJ321" s="127"/>
      <c r="AK321" s="127"/>
    </row>
    <row r="322" spans="2:37" ht="17.25" customHeight="1" x14ac:dyDescent="0.25">
      <c r="B322" s="171">
        <v>1</v>
      </c>
      <c r="C322" s="176" t="str">
        <f t="shared" si="263"/>
        <v>1</v>
      </c>
      <c r="D322" s="316"/>
      <c r="E322" s="305"/>
      <c r="F322" s="311"/>
      <c r="G322" t="e">
        <f>VLOOKUP(E322,'FG MASTER'!$A$10:$AB$218,2,0)</f>
        <v>#N/A</v>
      </c>
      <c r="H322" s="286">
        <v>1</v>
      </c>
      <c r="I322" s="173">
        <v>1</v>
      </c>
      <c r="J322" s="292" t="str">
        <f>IFERROR(IF(I322="std",H322,HLOOKUP(A322,'FlightConfig '!$B$34:$G$35,2,0)*I322),"")</f>
        <v/>
      </c>
      <c r="K322" s="245" t="e">
        <f>VLOOKUP(Food!E322,'FG MASTER'!$A$1:$AC$536,16,0)</f>
        <v>#N/A</v>
      </c>
      <c r="L322" s="246" t="e">
        <f>VLOOKUP(Food!E322,'FG MASTER'!$A$10:$AC$536,17,0)</f>
        <v>#N/A</v>
      </c>
      <c r="M322" s="132" t="str">
        <f t="shared" si="264"/>
        <v/>
      </c>
      <c r="N322" s="132" t="str">
        <f t="shared" si="265"/>
        <v/>
      </c>
      <c r="O322" s="132">
        <f t="shared" si="260"/>
        <v>0</v>
      </c>
      <c r="P322" s="132">
        <f t="shared" si="261"/>
        <v>0</v>
      </c>
      <c r="Q322" s="132">
        <f t="shared" si="266"/>
        <v>0</v>
      </c>
      <c r="R322" s="405" t="e">
        <f t="shared" si="262"/>
        <v>#N/A</v>
      </c>
      <c r="S322" s="405" t="e">
        <f t="shared" si="267"/>
        <v>#VALUE!</v>
      </c>
      <c r="T322" s="405" t="e">
        <f t="shared" si="268"/>
        <v>#N/A</v>
      </c>
      <c r="U322" s="127"/>
      <c r="V322" s="127"/>
      <c r="W322" s="127"/>
      <c r="X322" s="127"/>
      <c r="Z322" s="127"/>
      <c r="AA322" s="127"/>
      <c r="AB322" s="127"/>
      <c r="AC322" s="127"/>
      <c r="AD322" s="127"/>
      <c r="AG322" s="127"/>
      <c r="AH322" s="127"/>
      <c r="AI322" s="127"/>
      <c r="AJ322" s="127"/>
      <c r="AK322" s="127"/>
    </row>
    <row r="323" spans="2:37" ht="17.25" customHeight="1" x14ac:dyDescent="0.25">
      <c r="B323" s="171">
        <v>1</v>
      </c>
      <c r="C323" s="176" t="str">
        <f t="shared" si="263"/>
        <v>1</v>
      </c>
      <c r="D323" s="316"/>
      <c r="E323" s="305"/>
      <c r="F323" s="311"/>
      <c r="G323" t="e">
        <f>VLOOKUP(E323,'FG MASTER'!$A$10:$AB$218,2,0)</f>
        <v>#N/A</v>
      </c>
      <c r="H323" s="286">
        <v>1</v>
      </c>
      <c r="I323" s="173">
        <v>1</v>
      </c>
      <c r="J323" s="292" t="str">
        <f>IFERROR(IF(I323="std",H323,HLOOKUP(A323,'FlightConfig '!$B$34:$G$35,2,0)*I323),"")</f>
        <v/>
      </c>
      <c r="K323" s="245" t="e">
        <f>VLOOKUP(Food!E323,'FG MASTER'!$A$1:$AC$536,16,0)</f>
        <v>#N/A</v>
      </c>
      <c r="L323" s="246" t="e">
        <f>VLOOKUP(Food!E323,'FG MASTER'!$A$10:$AC$536,17,0)</f>
        <v>#N/A</v>
      </c>
      <c r="M323" s="132" t="str">
        <f t="shared" si="264"/>
        <v/>
      </c>
      <c r="N323" s="132" t="str">
        <f t="shared" si="265"/>
        <v/>
      </c>
      <c r="O323" s="132">
        <f t="shared" si="260"/>
        <v>0</v>
      </c>
      <c r="P323" s="132">
        <f t="shared" si="261"/>
        <v>0</v>
      </c>
      <c r="Q323" s="132">
        <f t="shared" si="266"/>
        <v>0</v>
      </c>
      <c r="R323" s="405" t="e">
        <f t="shared" si="262"/>
        <v>#N/A</v>
      </c>
      <c r="S323" s="405" t="e">
        <f t="shared" si="267"/>
        <v>#VALUE!</v>
      </c>
      <c r="T323" s="405" t="e">
        <f t="shared" si="268"/>
        <v>#N/A</v>
      </c>
      <c r="U323" s="127"/>
      <c r="V323" s="127"/>
      <c r="W323" s="127"/>
      <c r="X323" s="127"/>
      <c r="Z323" s="127"/>
      <c r="AA323" s="127"/>
      <c r="AB323" s="127"/>
      <c r="AC323" s="127"/>
      <c r="AD323" s="127"/>
      <c r="AG323" s="127"/>
      <c r="AH323" s="127"/>
      <c r="AI323" s="127"/>
      <c r="AJ323" s="127"/>
      <c r="AK323" s="127"/>
    </row>
    <row r="324" spans="2:37" ht="17.25" customHeight="1" x14ac:dyDescent="0.25">
      <c r="B324" s="171">
        <v>1</v>
      </c>
      <c r="C324" s="176" t="str">
        <f t="shared" si="263"/>
        <v>1</v>
      </c>
      <c r="D324" s="316"/>
      <c r="E324" s="305"/>
      <c r="F324" s="311"/>
      <c r="G324" t="e">
        <f>VLOOKUP(E324,'FG MASTER'!$A$10:$AB$218,2,0)</f>
        <v>#N/A</v>
      </c>
      <c r="H324" s="286">
        <v>1</v>
      </c>
      <c r="I324" s="173">
        <v>1</v>
      </c>
      <c r="J324" s="292" t="str">
        <f>IFERROR(IF(I324="std",H324,HLOOKUP(A324,'FlightConfig '!$B$34:$G$35,2,0)*I324),"")</f>
        <v/>
      </c>
      <c r="K324" s="245" t="e">
        <f>VLOOKUP(Food!E324,'FG MASTER'!$A$1:$AC$536,16,0)</f>
        <v>#N/A</v>
      </c>
      <c r="L324" s="246" t="e">
        <f>VLOOKUP(Food!E324,'FG MASTER'!$A$10:$AC$536,17,0)</f>
        <v>#N/A</v>
      </c>
      <c r="M324" s="132" t="str">
        <f t="shared" si="264"/>
        <v/>
      </c>
      <c r="N324" s="132" t="str">
        <f t="shared" si="265"/>
        <v/>
      </c>
      <c r="O324" s="132">
        <f t="shared" si="260"/>
        <v>0</v>
      </c>
      <c r="P324" s="132">
        <f t="shared" si="261"/>
        <v>0</v>
      </c>
      <c r="Q324" s="132">
        <f t="shared" si="266"/>
        <v>0</v>
      </c>
      <c r="R324" s="405" t="e">
        <f t="shared" si="262"/>
        <v>#N/A</v>
      </c>
      <c r="S324" s="405" t="e">
        <f t="shared" si="267"/>
        <v>#VALUE!</v>
      </c>
      <c r="T324" s="405" t="e">
        <f t="shared" si="268"/>
        <v>#N/A</v>
      </c>
      <c r="U324" s="127"/>
      <c r="V324" s="127"/>
      <c r="W324" s="127"/>
      <c r="X324" s="127"/>
      <c r="Z324" s="127"/>
      <c r="AA324" s="127"/>
      <c r="AB324" s="127"/>
      <c r="AC324" s="127"/>
      <c r="AD324" s="127"/>
      <c r="AG324" s="127"/>
      <c r="AH324" s="127"/>
      <c r="AI324" s="127"/>
      <c r="AJ324" s="127"/>
      <c r="AK324" s="127"/>
    </row>
    <row r="325" spans="2:37" ht="17.25" customHeight="1" x14ac:dyDescent="0.25">
      <c r="B325" s="171">
        <v>1</v>
      </c>
      <c r="C325" s="176" t="str">
        <f t="shared" si="263"/>
        <v>1</v>
      </c>
      <c r="D325" s="316"/>
      <c r="E325" s="305"/>
      <c r="F325" s="311"/>
      <c r="G325" t="e">
        <f>VLOOKUP(E325,'FG MASTER'!$A$10:$AB$218,2,0)</f>
        <v>#N/A</v>
      </c>
      <c r="H325" s="286">
        <v>1</v>
      </c>
      <c r="I325" s="173">
        <v>1</v>
      </c>
      <c r="J325" s="292" t="str">
        <f>IFERROR(IF(I325="std",H325,HLOOKUP(A325,'FlightConfig '!$B$34:$G$35,2,0)*I325),"")</f>
        <v/>
      </c>
      <c r="K325" s="245" t="e">
        <f>VLOOKUP(Food!E325,'FG MASTER'!$A$1:$AC$536,16,0)</f>
        <v>#N/A</v>
      </c>
      <c r="L325" s="246" t="e">
        <f>VLOOKUP(Food!E325,'FG MASTER'!$A$10:$AC$536,17,0)</f>
        <v>#N/A</v>
      </c>
      <c r="M325" s="132" t="str">
        <f t="shared" si="264"/>
        <v/>
      </c>
      <c r="N325" s="132" t="str">
        <f t="shared" si="265"/>
        <v/>
      </c>
      <c r="O325" s="132">
        <f t="shared" si="260"/>
        <v>0</v>
      </c>
      <c r="P325" s="132">
        <f t="shared" si="261"/>
        <v>0</v>
      </c>
      <c r="Q325" s="132">
        <f t="shared" si="266"/>
        <v>0</v>
      </c>
      <c r="R325" s="405" t="e">
        <f t="shared" si="262"/>
        <v>#N/A</v>
      </c>
      <c r="S325" s="405" t="e">
        <f t="shared" si="267"/>
        <v>#VALUE!</v>
      </c>
      <c r="T325" s="405" t="e">
        <f t="shared" si="268"/>
        <v>#N/A</v>
      </c>
      <c r="U325" s="127"/>
      <c r="V325" s="127"/>
      <c r="W325" s="127"/>
      <c r="X325" s="127"/>
      <c r="Z325" s="127"/>
      <c r="AA325" s="127"/>
      <c r="AB325" s="127"/>
      <c r="AC325" s="127"/>
      <c r="AD325" s="127"/>
      <c r="AG325" s="127"/>
      <c r="AH325" s="127"/>
      <c r="AI325" s="127"/>
      <c r="AJ325" s="127"/>
      <c r="AK325" s="127"/>
    </row>
    <row r="326" spans="2:37" ht="17.25" customHeight="1" x14ac:dyDescent="0.25">
      <c r="B326" s="171">
        <v>1</v>
      </c>
      <c r="C326" s="176" t="str">
        <f t="shared" si="263"/>
        <v>1</v>
      </c>
      <c r="D326" s="316"/>
      <c r="E326" s="305"/>
      <c r="F326" s="311"/>
      <c r="G326" t="e">
        <f>VLOOKUP(E326,'FG MASTER'!$A$10:$AB$218,2,0)</f>
        <v>#N/A</v>
      </c>
      <c r="H326" s="286">
        <v>1</v>
      </c>
      <c r="I326" s="173">
        <v>1</v>
      </c>
      <c r="J326" s="292" t="str">
        <f>IFERROR(IF(I326="std",H326,HLOOKUP(A326,'FlightConfig '!$B$34:$G$35,2,0)*I326),"")</f>
        <v/>
      </c>
      <c r="K326" s="245" t="e">
        <f>VLOOKUP(Food!E326,'FG MASTER'!$A$1:$AC$536,16,0)</f>
        <v>#N/A</v>
      </c>
      <c r="L326" s="246" t="e">
        <f>VLOOKUP(Food!E326,'FG MASTER'!$A$10:$AC$536,17,0)</f>
        <v>#N/A</v>
      </c>
      <c r="M326" s="132" t="str">
        <f t="shared" si="264"/>
        <v/>
      </c>
      <c r="N326" s="132" t="str">
        <f t="shared" si="265"/>
        <v/>
      </c>
      <c r="O326" s="132">
        <f t="shared" ref="O326:O346" si="269">IFERROR($K326*(1+$O$2)-$K326,0)</f>
        <v>0</v>
      </c>
      <c r="P326" s="132">
        <f t="shared" ref="P326:P346" si="270">IFERROR($M326*(1+$P$2)-$M326,0)</f>
        <v>0</v>
      </c>
      <c r="Q326" s="132">
        <f t="shared" si="266"/>
        <v>0</v>
      </c>
      <c r="R326" s="405" t="e">
        <f t="shared" ref="R326:R346" si="271">K326*(1+$O$2)</f>
        <v>#N/A</v>
      </c>
      <c r="S326" s="405" t="e">
        <f t="shared" si="267"/>
        <v>#VALUE!</v>
      </c>
      <c r="T326" s="405" t="e">
        <f t="shared" si="268"/>
        <v>#N/A</v>
      </c>
      <c r="U326" s="127"/>
      <c r="V326" s="127"/>
      <c r="W326" s="127"/>
      <c r="X326" s="127"/>
      <c r="Z326" s="127"/>
      <c r="AA326" s="127"/>
      <c r="AB326" s="127"/>
      <c r="AC326" s="127"/>
      <c r="AD326" s="127"/>
      <c r="AG326" s="127"/>
      <c r="AH326" s="127"/>
      <c r="AI326" s="127"/>
      <c r="AJ326" s="127"/>
      <c r="AK326" s="127"/>
    </row>
    <row r="327" spans="2:37" ht="17.25" customHeight="1" x14ac:dyDescent="0.25">
      <c r="B327" s="171">
        <v>1</v>
      </c>
      <c r="C327" s="176" t="str">
        <f t="shared" si="263"/>
        <v>1</v>
      </c>
      <c r="D327" s="316"/>
      <c r="E327" s="305"/>
      <c r="F327" s="311"/>
      <c r="G327" t="e">
        <f>VLOOKUP(E327,'FG MASTER'!$A$10:$AB$218,2,0)</f>
        <v>#N/A</v>
      </c>
      <c r="H327" s="286">
        <v>1</v>
      </c>
      <c r="I327" s="173">
        <v>1</v>
      </c>
      <c r="J327" s="292" t="str">
        <f>IFERROR(IF(I327="std",H327,HLOOKUP(A327,'FlightConfig '!$B$34:$G$35,2,0)*I327),"")</f>
        <v/>
      </c>
      <c r="K327" s="245" t="e">
        <f>VLOOKUP(Food!E327,'FG MASTER'!$A$1:$AC$536,16,0)</f>
        <v>#N/A</v>
      </c>
      <c r="L327" s="246" t="e">
        <f>VLOOKUP(Food!E327,'FG MASTER'!$A$10:$AC$536,17,0)</f>
        <v>#N/A</v>
      </c>
      <c r="M327" s="132" t="str">
        <f t="shared" si="264"/>
        <v/>
      </c>
      <c r="N327" s="132" t="str">
        <f t="shared" si="265"/>
        <v/>
      </c>
      <c r="O327" s="132">
        <f t="shared" si="269"/>
        <v>0</v>
      </c>
      <c r="P327" s="132">
        <f t="shared" si="270"/>
        <v>0</v>
      </c>
      <c r="Q327" s="132">
        <f t="shared" si="266"/>
        <v>0</v>
      </c>
      <c r="R327" s="405" t="e">
        <f t="shared" si="271"/>
        <v>#N/A</v>
      </c>
      <c r="S327" s="405" t="e">
        <f t="shared" si="267"/>
        <v>#VALUE!</v>
      </c>
      <c r="T327" s="405" t="e">
        <f t="shared" si="268"/>
        <v>#N/A</v>
      </c>
      <c r="U327" s="127"/>
      <c r="V327" s="127"/>
      <c r="W327" s="127"/>
      <c r="X327" s="127"/>
      <c r="Z327" s="127"/>
      <c r="AA327" s="127"/>
      <c r="AB327" s="127"/>
      <c r="AC327" s="127"/>
      <c r="AD327" s="127"/>
      <c r="AG327" s="127"/>
      <c r="AH327" s="127"/>
      <c r="AI327" s="127"/>
      <c r="AJ327" s="127"/>
      <c r="AK327" s="127"/>
    </row>
    <row r="328" spans="2:37" ht="17.25" customHeight="1" x14ac:dyDescent="0.25">
      <c r="B328" s="171">
        <v>1</v>
      </c>
      <c r="C328" s="176" t="str">
        <f t="shared" si="263"/>
        <v>1</v>
      </c>
      <c r="D328" s="316"/>
      <c r="E328" s="305"/>
      <c r="F328" s="311"/>
      <c r="G328" t="e">
        <f>VLOOKUP(E328,'FG MASTER'!$A$10:$AB$218,2,0)</f>
        <v>#N/A</v>
      </c>
      <c r="H328" s="286">
        <v>1</v>
      </c>
      <c r="I328" s="173">
        <v>1</v>
      </c>
      <c r="J328" s="292" t="str">
        <f>IFERROR(IF(I328="std",H328,HLOOKUP(A328,'FlightConfig '!$B$34:$G$35,2,0)*I328),"")</f>
        <v/>
      </c>
      <c r="K328" s="245" t="e">
        <f>VLOOKUP(Food!E328,'FG MASTER'!$A$1:$AC$536,16,0)</f>
        <v>#N/A</v>
      </c>
      <c r="L328" s="246" t="e">
        <f>VLOOKUP(Food!E328,'FG MASTER'!$A$10:$AC$536,17,0)</f>
        <v>#N/A</v>
      </c>
      <c r="M328" s="132" t="str">
        <f t="shared" si="264"/>
        <v/>
      </c>
      <c r="N328" s="132" t="str">
        <f t="shared" si="265"/>
        <v/>
      </c>
      <c r="O328" s="132">
        <f t="shared" si="269"/>
        <v>0</v>
      </c>
      <c r="P328" s="132">
        <f t="shared" si="270"/>
        <v>0</v>
      </c>
      <c r="Q328" s="132">
        <f t="shared" si="266"/>
        <v>0</v>
      </c>
      <c r="R328" s="405" t="e">
        <f t="shared" si="271"/>
        <v>#N/A</v>
      </c>
      <c r="S328" s="405" t="e">
        <f t="shared" si="267"/>
        <v>#VALUE!</v>
      </c>
      <c r="T328" s="405" t="e">
        <f t="shared" si="268"/>
        <v>#N/A</v>
      </c>
      <c r="U328" s="127"/>
      <c r="V328" s="127"/>
      <c r="W328" s="127"/>
      <c r="X328" s="127"/>
      <c r="Z328" s="127"/>
      <c r="AA328" s="127"/>
      <c r="AB328" s="127"/>
      <c r="AC328" s="127"/>
      <c r="AD328" s="127"/>
      <c r="AG328" s="127"/>
      <c r="AH328" s="127"/>
      <c r="AI328" s="127"/>
      <c r="AJ328" s="127"/>
      <c r="AK328" s="127"/>
    </row>
    <row r="329" spans="2:37" ht="17.25" customHeight="1" x14ac:dyDescent="0.25">
      <c r="B329" s="171">
        <v>1</v>
      </c>
      <c r="C329" s="176" t="str">
        <f t="shared" si="263"/>
        <v>1</v>
      </c>
      <c r="D329" s="316"/>
      <c r="E329" s="305"/>
      <c r="F329" s="311"/>
      <c r="G329" t="e">
        <f>VLOOKUP(E329,'FG MASTER'!$A$10:$AB$218,2,0)</f>
        <v>#N/A</v>
      </c>
      <c r="H329" s="286">
        <v>1</v>
      </c>
      <c r="I329" s="173">
        <v>1</v>
      </c>
      <c r="J329" s="292" t="str">
        <f>IFERROR(IF(I329="std",H329,HLOOKUP(A329,'FlightConfig '!$B$34:$G$35,2,0)*I329),"")</f>
        <v/>
      </c>
      <c r="K329" s="245" t="e">
        <f>VLOOKUP(Food!E329,'FG MASTER'!$A$1:$AC$536,16,0)</f>
        <v>#N/A</v>
      </c>
      <c r="L329" s="246" t="e">
        <f>VLOOKUP(Food!E329,'FG MASTER'!$A$10:$AC$536,17,0)</f>
        <v>#N/A</v>
      </c>
      <c r="M329" s="132" t="str">
        <f t="shared" si="264"/>
        <v/>
      </c>
      <c r="N329" s="132" t="str">
        <f t="shared" si="265"/>
        <v/>
      </c>
      <c r="O329" s="132">
        <f t="shared" si="269"/>
        <v>0</v>
      </c>
      <c r="P329" s="132">
        <f t="shared" si="270"/>
        <v>0</v>
      </c>
      <c r="Q329" s="132">
        <f t="shared" si="266"/>
        <v>0</v>
      </c>
      <c r="R329" s="405" t="e">
        <f t="shared" si="271"/>
        <v>#N/A</v>
      </c>
      <c r="S329" s="405" t="e">
        <f t="shared" si="267"/>
        <v>#VALUE!</v>
      </c>
      <c r="T329" s="405" t="e">
        <f t="shared" si="268"/>
        <v>#N/A</v>
      </c>
      <c r="U329" s="127"/>
      <c r="V329" s="127"/>
      <c r="W329" s="127"/>
      <c r="X329" s="127"/>
      <c r="Z329" s="127"/>
      <c r="AA329" s="127"/>
      <c r="AB329" s="127"/>
      <c r="AC329" s="127"/>
      <c r="AD329" s="127"/>
      <c r="AG329" s="127"/>
      <c r="AH329" s="127"/>
      <c r="AI329" s="127"/>
      <c r="AJ329" s="127"/>
      <c r="AK329" s="127"/>
    </row>
    <row r="330" spans="2:37" ht="17.25" customHeight="1" x14ac:dyDescent="0.25">
      <c r="B330" s="171">
        <v>1</v>
      </c>
      <c r="C330" s="176" t="str">
        <f t="shared" si="263"/>
        <v>1</v>
      </c>
      <c r="D330" s="316"/>
      <c r="E330" s="305"/>
      <c r="F330" s="311"/>
      <c r="G330" t="e">
        <f>VLOOKUP(E330,'FG MASTER'!$A$10:$AB$218,2,0)</f>
        <v>#N/A</v>
      </c>
      <c r="H330" s="286">
        <v>1</v>
      </c>
      <c r="I330" s="173">
        <v>1</v>
      </c>
      <c r="J330" s="292" t="str">
        <f>IFERROR(IF(I330="std",H330,HLOOKUP(A330,'FlightConfig '!$B$34:$G$35,2,0)*I330),"")</f>
        <v/>
      </c>
      <c r="K330" s="245" t="e">
        <f>VLOOKUP(Food!E330,'FG MASTER'!$A$1:$AC$536,16,0)</f>
        <v>#N/A</v>
      </c>
      <c r="L330" s="246" t="e">
        <f>VLOOKUP(Food!E330,'FG MASTER'!$A$10:$AC$536,17,0)</f>
        <v>#N/A</v>
      </c>
      <c r="M330" s="132" t="str">
        <f t="shared" si="264"/>
        <v/>
      </c>
      <c r="N330" s="132" t="str">
        <f t="shared" si="265"/>
        <v/>
      </c>
      <c r="O330" s="132">
        <f t="shared" si="269"/>
        <v>0</v>
      </c>
      <c r="P330" s="132">
        <f t="shared" si="270"/>
        <v>0</v>
      </c>
      <c r="Q330" s="132">
        <f t="shared" si="266"/>
        <v>0</v>
      </c>
      <c r="R330" s="405" t="e">
        <f t="shared" si="271"/>
        <v>#N/A</v>
      </c>
      <c r="S330" s="405" t="e">
        <f t="shared" si="267"/>
        <v>#VALUE!</v>
      </c>
      <c r="T330" s="405" t="e">
        <f t="shared" si="268"/>
        <v>#N/A</v>
      </c>
      <c r="U330" s="127"/>
      <c r="V330" s="127"/>
      <c r="W330" s="127"/>
      <c r="X330" s="127"/>
      <c r="Z330" s="127"/>
      <c r="AA330" s="127"/>
      <c r="AB330" s="127"/>
      <c r="AC330" s="127"/>
      <c r="AD330" s="127"/>
      <c r="AG330" s="127"/>
      <c r="AH330" s="127"/>
      <c r="AI330" s="127"/>
      <c r="AJ330" s="127"/>
      <c r="AK330" s="127"/>
    </row>
    <row r="331" spans="2:37" ht="17.25" customHeight="1" x14ac:dyDescent="0.25">
      <c r="B331" s="171">
        <v>1</v>
      </c>
      <c r="C331" s="176" t="str">
        <f t="shared" si="263"/>
        <v>1</v>
      </c>
      <c r="D331" s="316"/>
      <c r="E331" s="305"/>
      <c r="F331" s="311"/>
      <c r="G331" t="e">
        <f>VLOOKUP(E331,'FG MASTER'!$A$10:$AB$218,2,0)</f>
        <v>#N/A</v>
      </c>
      <c r="H331" s="286">
        <v>1</v>
      </c>
      <c r="I331" s="173">
        <v>1</v>
      </c>
      <c r="J331" s="292" t="str">
        <f>IFERROR(IF(I331="std",H331,HLOOKUP(A331,'FlightConfig '!$B$34:$G$35,2,0)*I331),"")</f>
        <v/>
      </c>
      <c r="K331" s="245" t="e">
        <f>VLOOKUP(Food!E331,'FG MASTER'!$A$1:$AC$536,16,0)</f>
        <v>#N/A</v>
      </c>
      <c r="L331" s="246" t="e">
        <f>VLOOKUP(Food!E331,'FG MASTER'!$A$10:$AC$536,17,0)</f>
        <v>#N/A</v>
      </c>
      <c r="M331" s="132" t="str">
        <f t="shared" si="264"/>
        <v/>
      </c>
      <c r="N331" s="132" t="str">
        <f t="shared" si="265"/>
        <v/>
      </c>
      <c r="O331" s="132">
        <f t="shared" si="269"/>
        <v>0</v>
      </c>
      <c r="P331" s="132">
        <f t="shared" si="270"/>
        <v>0</v>
      </c>
      <c r="Q331" s="132">
        <f t="shared" si="266"/>
        <v>0</v>
      </c>
      <c r="R331" s="405" t="e">
        <f t="shared" si="271"/>
        <v>#N/A</v>
      </c>
      <c r="S331" s="405" t="e">
        <f t="shared" si="267"/>
        <v>#VALUE!</v>
      </c>
      <c r="T331" s="405" t="e">
        <f t="shared" si="268"/>
        <v>#N/A</v>
      </c>
      <c r="X331" s="127"/>
      <c r="Z331" s="127"/>
      <c r="AA331" s="127"/>
      <c r="AB331" s="127"/>
      <c r="AC331" s="127"/>
      <c r="AD331" s="127"/>
      <c r="AG331" s="127"/>
      <c r="AH331" s="127"/>
      <c r="AI331" s="127"/>
      <c r="AJ331" s="127"/>
      <c r="AK331" s="127"/>
    </row>
    <row r="332" spans="2:37" ht="17.25" customHeight="1" x14ac:dyDescent="0.25">
      <c r="B332" s="171">
        <v>1</v>
      </c>
      <c r="C332" s="176" t="str">
        <f t="shared" si="263"/>
        <v>1</v>
      </c>
      <c r="D332" s="316"/>
      <c r="E332" s="305"/>
      <c r="F332" s="311"/>
      <c r="G332" t="e">
        <f>VLOOKUP(E332,'FG MASTER'!$A$10:$AB$218,2,0)</f>
        <v>#N/A</v>
      </c>
      <c r="H332" s="286">
        <v>1</v>
      </c>
      <c r="I332" s="173">
        <v>1</v>
      </c>
      <c r="J332" s="292" t="str">
        <f>IFERROR(IF(I332="std",H332,HLOOKUP(A332,'FlightConfig '!$B$34:$G$35,2,0)*I332),"")</f>
        <v/>
      </c>
      <c r="K332" s="245" t="e">
        <f>VLOOKUP(Food!E332,'FG MASTER'!$A$1:$AC$536,16,0)</f>
        <v>#N/A</v>
      </c>
      <c r="L332" s="246" t="e">
        <f>VLOOKUP(Food!E332,'FG MASTER'!$A$10:$AC$536,17,0)</f>
        <v>#N/A</v>
      </c>
      <c r="M332" s="132" t="str">
        <f t="shared" si="264"/>
        <v/>
      </c>
      <c r="N332" s="132" t="str">
        <f t="shared" si="265"/>
        <v/>
      </c>
      <c r="O332" s="132">
        <f t="shared" si="269"/>
        <v>0</v>
      </c>
      <c r="P332" s="132">
        <f t="shared" si="270"/>
        <v>0</v>
      </c>
      <c r="Q332" s="132">
        <f t="shared" si="266"/>
        <v>0</v>
      </c>
      <c r="R332" s="405" t="e">
        <f t="shared" si="271"/>
        <v>#N/A</v>
      </c>
      <c r="S332" s="405" t="e">
        <f t="shared" si="267"/>
        <v>#VALUE!</v>
      </c>
      <c r="T332" s="405" t="e">
        <f t="shared" si="268"/>
        <v>#N/A</v>
      </c>
      <c r="U332" s="127"/>
      <c r="V332" s="127"/>
      <c r="W332" s="127"/>
      <c r="X332" s="127"/>
      <c r="Z332" s="127"/>
      <c r="AA332" s="127"/>
      <c r="AB332" s="127"/>
      <c r="AC332" s="127"/>
      <c r="AD332" s="127"/>
      <c r="AG332" s="127"/>
      <c r="AH332" s="127"/>
      <c r="AI332" s="127"/>
      <c r="AJ332" s="127"/>
      <c r="AK332" s="127"/>
    </row>
    <row r="333" spans="2:37" ht="17.25" customHeight="1" x14ac:dyDescent="0.25">
      <c r="B333" s="171">
        <v>1</v>
      </c>
      <c r="C333" s="176" t="str">
        <f t="shared" si="263"/>
        <v>1</v>
      </c>
      <c r="D333" s="316"/>
      <c r="E333" s="305"/>
      <c r="F333" s="311"/>
      <c r="G333" t="e">
        <f>VLOOKUP(E333,'FG MASTER'!$A$10:$AB$218,2,0)</f>
        <v>#N/A</v>
      </c>
      <c r="H333" s="286">
        <v>1</v>
      </c>
      <c r="I333" s="173">
        <v>1</v>
      </c>
      <c r="J333" s="292" t="str">
        <f>IFERROR(IF(I333="std",H333,HLOOKUP(A333,'FlightConfig '!$B$34:$G$35,2,0)*I333),"")</f>
        <v/>
      </c>
      <c r="K333" s="245" t="e">
        <f>VLOOKUP(Food!E333,'FG MASTER'!$A$1:$AC$536,16,0)</f>
        <v>#N/A</v>
      </c>
      <c r="L333" s="246" t="e">
        <f>VLOOKUP(Food!E333,'FG MASTER'!$A$10:$AC$536,17,0)</f>
        <v>#N/A</v>
      </c>
      <c r="M333" s="132" t="str">
        <f t="shared" si="264"/>
        <v/>
      </c>
      <c r="N333" s="132" t="str">
        <f t="shared" si="265"/>
        <v/>
      </c>
      <c r="O333" s="132">
        <f t="shared" si="269"/>
        <v>0</v>
      </c>
      <c r="P333" s="132">
        <f t="shared" si="270"/>
        <v>0</v>
      </c>
      <c r="Q333" s="132">
        <f t="shared" si="266"/>
        <v>0</v>
      </c>
      <c r="R333" s="405" t="e">
        <f t="shared" si="271"/>
        <v>#N/A</v>
      </c>
      <c r="S333" s="405" t="e">
        <f t="shared" si="267"/>
        <v>#VALUE!</v>
      </c>
      <c r="T333" s="405" t="e">
        <f t="shared" si="268"/>
        <v>#N/A</v>
      </c>
      <c r="U333" s="127"/>
      <c r="V333" s="127"/>
      <c r="W333" s="127"/>
      <c r="X333" s="127"/>
      <c r="Z333" s="127"/>
      <c r="AA333" s="127"/>
      <c r="AB333" s="127"/>
      <c r="AC333" s="127"/>
      <c r="AD333" s="127"/>
      <c r="AG333" s="127"/>
      <c r="AH333" s="127"/>
      <c r="AI333" s="127"/>
      <c r="AJ333" s="127"/>
      <c r="AK333" s="127"/>
    </row>
    <row r="334" spans="2:37" ht="17.25" customHeight="1" x14ac:dyDescent="0.25">
      <c r="B334" s="171">
        <v>1</v>
      </c>
      <c r="C334" s="176" t="str">
        <f t="shared" si="263"/>
        <v>1</v>
      </c>
      <c r="D334" s="316"/>
      <c r="E334" s="305"/>
      <c r="F334" s="311"/>
      <c r="G334" t="e">
        <f>VLOOKUP(E334,'FG MASTER'!$A$10:$AB$218,2,0)</f>
        <v>#N/A</v>
      </c>
      <c r="H334" s="286">
        <v>1</v>
      </c>
      <c r="I334" s="173">
        <v>1</v>
      </c>
      <c r="J334" s="292" t="str">
        <f>IFERROR(IF(I334="std",H334,HLOOKUP(A334,'FlightConfig '!$B$34:$G$35,2,0)*I334),"")</f>
        <v/>
      </c>
      <c r="K334" s="245" t="e">
        <f>VLOOKUP(Food!E334,'FG MASTER'!$A$1:$AC$536,16,0)</f>
        <v>#N/A</v>
      </c>
      <c r="L334" s="246" t="e">
        <f>VLOOKUP(Food!E334,'FG MASTER'!$A$10:$AC$536,17,0)</f>
        <v>#N/A</v>
      </c>
      <c r="M334" s="132" t="str">
        <f t="shared" si="264"/>
        <v/>
      </c>
      <c r="N334" s="132" t="str">
        <f t="shared" si="265"/>
        <v/>
      </c>
      <c r="O334" s="132">
        <f t="shared" si="269"/>
        <v>0</v>
      </c>
      <c r="P334" s="132">
        <f t="shared" si="270"/>
        <v>0</v>
      </c>
      <c r="Q334" s="132">
        <f t="shared" si="266"/>
        <v>0</v>
      </c>
      <c r="R334" s="405" t="e">
        <f t="shared" si="271"/>
        <v>#N/A</v>
      </c>
      <c r="S334" s="405" t="e">
        <f t="shared" si="267"/>
        <v>#VALUE!</v>
      </c>
      <c r="T334" s="405" t="e">
        <f t="shared" si="268"/>
        <v>#N/A</v>
      </c>
      <c r="U334" s="127"/>
      <c r="V334" s="127"/>
      <c r="W334" s="127"/>
      <c r="X334" s="127"/>
      <c r="Z334" s="127"/>
      <c r="AA334" s="127"/>
      <c r="AB334" s="127"/>
      <c r="AC334" s="127"/>
      <c r="AD334" s="127"/>
      <c r="AG334" s="127"/>
      <c r="AH334" s="127"/>
      <c r="AI334" s="127"/>
      <c r="AJ334" s="127"/>
      <c r="AK334" s="127"/>
    </row>
    <row r="335" spans="2:37" ht="17.25" customHeight="1" x14ac:dyDescent="0.25">
      <c r="B335" s="171">
        <v>1</v>
      </c>
      <c r="C335" s="176" t="str">
        <f t="shared" si="263"/>
        <v>1</v>
      </c>
      <c r="D335" s="316"/>
      <c r="E335" s="305"/>
      <c r="F335" s="311"/>
      <c r="G335" t="e">
        <f>VLOOKUP(E335,'FG MASTER'!$A$10:$AB$218,2,0)</f>
        <v>#N/A</v>
      </c>
      <c r="H335" s="286">
        <v>1</v>
      </c>
      <c r="I335" s="173">
        <v>1</v>
      </c>
      <c r="J335" s="292" t="str">
        <f>IFERROR(IF(I335="std",H335,HLOOKUP(A335,'FlightConfig '!$B$34:$G$35,2,0)*I335),"")</f>
        <v/>
      </c>
      <c r="K335" s="245" t="e">
        <f>VLOOKUP(Food!E335,'FG MASTER'!$A$1:$AC$536,16,0)</f>
        <v>#N/A</v>
      </c>
      <c r="L335" s="246" t="e">
        <f>VLOOKUP(Food!E335,'FG MASTER'!$A$10:$AC$536,17,0)</f>
        <v>#N/A</v>
      </c>
      <c r="M335" s="132" t="str">
        <f t="shared" si="264"/>
        <v/>
      </c>
      <c r="N335" s="132" t="str">
        <f t="shared" si="265"/>
        <v/>
      </c>
      <c r="O335" s="132">
        <f t="shared" si="269"/>
        <v>0</v>
      </c>
      <c r="P335" s="132">
        <f t="shared" si="270"/>
        <v>0</v>
      </c>
      <c r="Q335" s="132">
        <f t="shared" si="266"/>
        <v>0</v>
      </c>
      <c r="R335" s="405" t="e">
        <f t="shared" si="271"/>
        <v>#N/A</v>
      </c>
      <c r="S335" s="405" t="e">
        <f t="shared" si="267"/>
        <v>#VALUE!</v>
      </c>
      <c r="T335" s="405" t="e">
        <f t="shared" si="268"/>
        <v>#N/A</v>
      </c>
      <c r="U335" s="127"/>
      <c r="V335" s="127"/>
      <c r="W335" s="127"/>
      <c r="X335" s="127"/>
      <c r="Z335" s="127"/>
      <c r="AA335" s="127"/>
      <c r="AB335" s="127"/>
      <c r="AC335" s="127"/>
      <c r="AD335" s="127"/>
      <c r="AG335" s="127"/>
      <c r="AH335" s="127"/>
      <c r="AI335" s="127"/>
      <c r="AJ335" s="127"/>
      <c r="AK335" s="127"/>
    </row>
    <row r="336" spans="2:37" ht="17.25" customHeight="1" x14ac:dyDescent="0.25">
      <c r="B336" s="171">
        <v>1</v>
      </c>
      <c r="C336" s="176" t="str">
        <f t="shared" si="263"/>
        <v>1</v>
      </c>
      <c r="D336" s="316"/>
      <c r="E336" s="305"/>
      <c r="F336" s="311"/>
      <c r="G336" t="e">
        <f>VLOOKUP(E336,'FG MASTER'!$A$10:$AB$218,2,0)</f>
        <v>#N/A</v>
      </c>
      <c r="H336" s="286">
        <v>1</v>
      </c>
      <c r="I336" s="173">
        <v>1</v>
      </c>
      <c r="J336" s="292" t="str">
        <f>IFERROR(IF(I336="std",H336,HLOOKUP(A336,'FlightConfig '!$B$34:$G$35,2,0)*I336),"")</f>
        <v/>
      </c>
      <c r="K336" s="245" t="e">
        <f>VLOOKUP(Food!E336,'FG MASTER'!$A$1:$AC$536,16,0)</f>
        <v>#N/A</v>
      </c>
      <c r="L336" s="246" t="e">
        <f>VLOOKUP(Food!E336,'FG MASTER'!$A$10:$AC$536,17,0)</f>
        <v>#N/A</v>
      </c>
      <c r="M336" s="132" t="str">
        <f t="shared" si="264"/>
        <v/>
      </c>
      <c r="N336" s="132" t="str">
        <f t="shared" si="265"/>
        <v/>
      </c>
      <c r="O336" s="132">
        <f t="shared" si="269"/>
        <v>0</v>
      </c>
      <c r="P336" s="132">
        <f t="shared" si="270"/>
        <v>0</v>
      </c>
      <c r="Q336" s="132">
        <f t="shared" si="266"/>
        <v>0</v>
      </c>
      <c r="R336" s="405" t="e">
        <f t="shared" si="271"/>
        <v>#N/A</v>
      </c>
      <c r="S336" s="405" t="e">
        <f t="shared" si="267"/>
        <v>#VALUE!</v>
      </c>
      <c r="T336" s="405" t="e">
        <f t="shared" si="268"/>
        <v>#N/A</v>
      </c>
      <c r="U336" s="127"/>
      <c r="V336" s="127"/>
      <c r="W336" s="127"/>
      <c r="X336" s="127"/>
      <c r="Z336" s="127"/>
      <c r="AA336" s="127"/>
      <c r="AB336" s="127"/>
      <c r="AC336" s="127"/>
      <c r="AD336" s="127"/>
      <c r="AG336" s="127"/>
      <c r="AH336" s="127"/>
      <c r="AI336" s="127"/>
      <c r="AJ336" s="127"/>
      <c r="AK336" s="127"/>
    </row>
    <row r="337" spans="2:37" ht="17.25" customHeight="1" x14ac:dyDescent="0.25">
      <c r="B337" s="171">
        <v>1</v>
      </c>
      <c r="C337" s="176" t="str">
        <f t="shared" ref="C337:C346" si="272">CONCATENATE(A337&amp;B337&amp;F337)</f>
        <v>1</v>
      </c>
      <c r="D337" s="316"/>
      <c r="E337" s="305"/>
      <c r="F337" s="311"/>
      <c r="G337" t="e">
        <f>VLOOKUP(E337,'FG MASTER'!$A$10:$AB$218,2,0)</f>
        <v>#N/A</v>
      </c>
      <c r="H337" s="286">
        <v>1</v>
      </c>
      <c r="I337" s="173">
        <v>1</v>
      </c>
      <c r="J337" s="292" t="str">
        <f>IFERROR(IF(I337="std",H337,HLOOKUP(A337,'FlightConfig '!$B$34:$G$35,2,0)*I337),"")</f>
        <v/>
      </c>
      <c r="K337" s="245" t="e">
        <f>VLOOKUP(Food!E337,'FG MASTER'!$A$1:$AC$536,16,0)</f>
        <v>#N/A</v>
      </c>
      <c r="L337" s="246" t="e">
        <f>VLOOKUP(Food!E337,'FG MASTER'!$A$10:$AC$536,17,0)</f>
        <v>#N/A</v>
      </c>
      <c r="M337" s="132" t="str">
        <f t="shared" ref="M337:M346" si="273">IFERROR(L337*$M$2,"")</f>
        <v/>
      </c>
      <c r="N337" s="132" t="str">
        <f t="shared" ref="N337:N346" si="274">IFERROR((K337)+M337,"")</f>
        <v/>
      </c>
      <c r="O337" s="132">
        <f t="shared" si="269"/>
        <v>0</v>
      </c>
      <c r="P337" s="132">
        <f t="shared" si="270"/>
        <v>0</v>
      </c>
      <c r="Q337" s="132">
        <f t="shared" ref="Q337:Q346" si="275">SUM(N337:P337)</f>
        <v>0</v>
      </c>
      <c r="R337" s="405" t="e">
        <f t="shared" si="271"/>
        <v>#N/A</v>
      </c>
      <c r="S337" s="405" t="e">
        <f t="shared" si="267"/>
        <v>#VALUE!</v>
      </c>
      <c r="T337" s="405" t="e">
        <f t="shared" si="268"/>
        <v>#N/A</v>
      </c>
      <c r="U337" s="127"/>
      <c r="V337" s="127"/>
      <c r="W337" s="127"/>
      <c r="X337" s="127"/>
      <c r="Z337" s="127"/>
      <c r="AA337" s="127"/>
      <c r="AB337" s="127"/>
      <c r="AC337" s="127"/>
      <c r="AD337" s="127"/>
      <c r="AG337" s="127"/>
      <c r="AH337" s="127"/>
      <c r="AI337" s="127"/>
      <c r="AJ337" s="127"/>
      <c r="AK337" s="127"/>
    </row>
    <row r="338" spans="2:37" ht="17.25" customHeight="1" x14ac:dyDescent="0.25">
      <c r="B338" s="171">
        <v>1</v>
      </c>
      <c r="C338" s="176" t="str">
        <f t="shared" si="272"/>
        <v>1</v>
      </c>
      <c r="D338" s="316"/>
      <c r="E338" s="305"/>
      <c r="F338" s="311"/>
      <c r="G338" t="e">
        <f>VLOOKUP(E338,'FG MASTER'!$A$10:$AB$218,2,0)</f>
        <v>#N/A</v>
      </c>
      <c r="H338" s="286">
        <v>1</v>
      </c>
      <c r="I338" s="173">
        <v>1</v>
      </c>
      <c r="J338" s="292" t="str">
        <f>IFERROR(IF(I338="std",H338,HLOOKUP(A338,'FlightConfig '!$B$34:$G$35,2,0)*I338),"")</f>
        <v/>
      </c>
      <c r="K338" s="245" t="e">
        <f>VLOOKUP(Food!E338,'FG MASTER'!$A$1:$AC$536,16,0)</f>
        <v>#N/A</v>
      </c>
      <c r="L338" s="246" t="e">
        <f>VLOOKUP(Food!E338,'FG MASTER'!$A$10:$AC$536,17,0)</f>
        <v>#N/A</v>
      </c>
      <c r="M338" s="132" t="str">
        <f t="shared" si="273"/>
        <v/>
      </c>
      <c r="N338" s="132" t="str">
        <f t="shared" si="274"/>
        <v/>
      </c>
      <c r="O338" s="132">
        <f t="shared" si="269"/>
        <v>0</v>
      </c>
      <c r="P338" s="132">
        <f t="shared" si="270"/>
        <v>0</v>
      </c>
      <c r="Q338" s="132">
        <f t="shared" si="275"/>
        <v>0</v>
      </c>
      <c r="R338" s="405" t="e">
        <f t="shared" si="271"/>
        <v>#N/A</v>
      </c>
      <c r="S338" s="405" t="e">
        <f t="shared" ref="S338:S346" si="276">M338*(1+$P$2)</f>
        <v>#VALUE!</v>
      </c>
      <c r="T338" s="405" t="e">
        <f t="shared" ref="T338:T346" si="277">R338+S338</f>
        <v>#N/A</v>
      </c>
      <c r="U338" s="127"/>
      <c r="V338" s="127"/>
      <c r="W338" s="127"/>
      <c r="X338" s="127"/>
      <c r="Z338" s="127"/>
      <c r="AA338" s="127"/>
      <c r="AB338" s="127"/>
      <c r="AC338" s="127"/>
      <c r="AD338" s="127"/>
      <c r="AG338" s="127"/>
      <c r="AH338" s="127"/>
      <c r="AI338" s="127"/>
      <c r="AJ338" s="127"/>
      <c r="AK338" s="127"/>
    </row>
    <row r="339" spans="2:37" ht="17.25" customHeight="1" x14ac:dyDescent="0.25">
      <c r="B339" s="171">
        <v>1</v>
      </c>
      <c r="C339" s="176" t="str">
        <f t="shared" si="272"/>
        <v>1</v>
      </c>
      <c r="D339" s="316"/>
      <c r="E339" s="305"/>
      <c r="F339" s="311"/>
      <c r="G339" t="e">
        <f>VLOOKUP(E339,'FG MASTER'!$A$10:$AB$218,2,0)</f>
        <v>#N/A</v>
      </c>
      <c r="H339" s="286">
        <v>1</v>
      </c>
      <c r="I339" s="173">
        <v>1</v>
      </c>
      <c r="J339" s="292" t="str">
        <f>IFERROR(IF(I339="std",H339,HLOOKUP(A339,'FlightConfig '!$B$34:$G$35,2,0)*I339),"")</f>
        <v/>
      </c>
      <c r="K339" s="245" t="e">
        <f>VLOOKUP(Food!E339,'FG MASTER'!$A$1:$AC$536,16,0)</f>
        <v>#N/A</v>
      </c>
      <c r="L339" s="246" t="e">
        <f>VLOOKUP(Food!E339,'FG MASTER'!$A$10:$AC$536,17,0)</f>
        <v>#N/A</v>
      </c>
      <c r="M339" s="132" t="str">
        <f t="shared" si="273"/>
        <v/>
      </c>
      <c r="N339" s="132" t="str">
        <f t="shared" si="274"/>
        <v/>
      </c>
      <c r="O339" s="132">
        <f t="shared" si="269"/>
        <v>0</v>
      </c>
      <c r="P339" s="132">
        <f t="shared" si="270"/>
        <v>0</v>
      </c>
      <c r="Q339" s="132">
        <f t="shared" si="275"/>
        <v>0</v>
      </c>
      <c r="R339" s="405" t="e">
        <f t="shared" si="271"/>
        <v>#N/A</v>
      </c>
      <c r="S339" s="405" t="e">
        <f t="shared" si="276"/>
        <v>#VALUE!</v>
      </c>
      <c r="T339" s="405" t="e">
        <f t="shared" si="277"/>
        <v>#N/A</v>
      </c>
      <c r="U339" s="127"/>
      <c r="V339" s="127"/>
      <c r="W339" s="127"/>
      <c r="X339" s="127"/>
      <c r="Z339" s="127"/>
      <c r="AA339" s="127"/>
      <c r="AB339" s="127"/>
      <c r="AC339" s="127"/>
      <c r="AD339" s="127"/>
      <c r="AG339" s="127"/>
      <c r="AH339" s="127"/>
      <c r="AI339" s="127"/>
      <c r="AJ339" s="127"/>
      <c r="AK339" s="127"/>
    </row>
    <row r="340" spans="2:37" ht="17.25" customHeight="1" x14ac:dyDescent="0.25">
      <c r="B340" s="171">
        <v>1</v>
      </c>
      <c r="C340" s="176" t="str">
        <f t="shared" si="272"/>
        <v>1</v>
      </c>
      <c r="D340" s="316"/>
      <c r="E340" s="305"/>
      <c r="F340" s="311"/>
      <c r="G340" t="e">
        <f>VLOOKUP(E340,'FG MASTER'!$A$10:$AB$218,2,0)</f>
        <v>#N/A</v>
      </c>
      <c r="H340" s="286">
        <v>1</v>
      </c>
      <c r="I340" s="173">
        <v>1</v>
      </c>
      <c r="J340" s="292" t="str">
        <f>IFERROR(IF(I340="std",H340,HLOOKUP(A340,'FlightConfig '!$B$34:$G$35,2,0)*I340),"")</f>
        <v/>
      </c>
      <c r="K340" s="245" t="e">
        <f>VLOOKUP(Food!E340,'FG MASTER'!$A$1:$AC$536,16,0)</f>
        <v>#N/A</v>
      </c>
      <c r="L340" s="246" t="e">
        <f>VLOOKUP(Food!E340,'FG MASTER'!$A$10:$AC$536,17,0)</f>
        <v>#N/A</v>
      </c>
      <c r="M340" s="132" t="str">
        <f t="shared" si="273"/>
        <v/>
      </c>
      <c r="N340" s="132" t="str">
        <f t="shared" si="274"/>
        <v/>
      </c>
      <c r="O340" s="132">
        <f t="shared" si="269"/>
        <v>0</v>
      </c>
      <c r="P340" s="132">
        <f t="shared" si="270"/>
        <v>0</v>
      </c>
      <c r="Q340" s="132">
        <f t="shared" si="275"/>
        <v>0</v>
      </c>
      <c r="R340" s="405" t="e">
        <f t="shared" si="271"/>
        <v>#N/A</v>
      </c>
      <c r="S340" s="405" t="e">
        <f t="shared" si="276"/>
        <v>#VALUE!</v>
      </c>
      <c r="T340" s="405" t="e">
        <f t="shared" si="277"/>
        <v>#N/A</v>
      </c>
      <c r="U340" s="127"/>
      <c r="V340" s="127"/>
      <c r="W340" s="127"/>
      <c r="X340" s="127"/>
      <c r="Z340" s="127"/>
      <c r="AA340" s="127"/>
      <c r="AB340" s="127"/>
      <c r="AC340" s="127"/>
      <c r="AD340" s="127"/>
      <c r="AG340" s="127"/>
      <c r="AH340" s="127"/>
      <c r="AI340" s="127"/>
      <c r="AJ340" s="127"/>
      <c r="AK340" s="127"/>
    </row>
    <row r="341" spans="2:37" ht="17.25" customHeight="1" x14ac:dyDescent="0.25">
      <c r="B341" s="171">
        <v>1</v>
      </c>
      <c r="C341" s="176" t="str">
        <f t="shared" si="272"/>
        <v>1</v>
      </c>
      <c r="D341" s="316"/>
      <c r="E341" s="305"/>
      <c r="F341" s="311"/>
      <c r="G341" t="e">
        <f>VLOOKUP(E341,'FG MASTER'!$A$10:$AB$218,2,0)</f>
        <v>#N/A</v>
      </c>
      <c r="H341" s="286">
        <v>1</v>
      </c>
      <c r="I341" s="173">
        <v>1</v>
      </c>
      <c r="J341" s="292" t="str">
        <f>IFERROR(IF(I341="std",H341,HLOOKUP(A341,'FlightConfig '!$B$34:$G$35,2,0)*I341),"")</f>
        <v/>
      </c>
      <c r="K341" s="245" t="e">
        <f>VLOOKUP(Food!E341,'FG MASTER'!$A$1:$AC$536,16,0)</f>
        <v>#N/A</v>
      </c>
      <c r="L341" s="246" t="e">
        <f>VLOOKUP(Food!E341,'FG MASTER'!$A$10:$AC$536,17,0)</f>
        <v>#N/A</v>
      </c>
      <c r="M341" s="132" t="str">
        <f t="shared" si="273"/>
        <v/>
      </c>
      <c r="N341" s="132" t="str">
        <f t="shared" si="274"/>
        <v/>
      </c>
      <c r="O341" s="132">
        <f t="shared" si="269"/>
        <v>0</v>
      </c>
      <c r="P341" s="132">
        <f t="shared" si="270"/>
        <v>0</v>
      </c>
      <c r="Q341" s="132">
        <f t="shared" si="275"/>
        <v>0</v>
      </c>
      <c r="R341" s="405" t="e">
        <f t="shared" si="271"/>
        <v>#N/A</v>
      </c>
      <c r="S341" s="405" t="e">
        <f t="shared" si="276"/>
        <v>#VALUE!</v>
      </c>
      <c r="T341" s="405" t="e">
        <f t="shared" si="277"/>
        <v>#N/A</v>
      </c>
      <c r="U341" s="127"/>
      <c r="V341" s="127"/>
      <c r="W341" s="127"/>
      <c r="X341" s="127"/>
      <c r="Z341" s="127"/>
      <c r="AA341" s="127"/>
      <c r="AB341" s="127"/>
      <c r="AC341" s="127"/>
      <c r="AD341" s="127"/>
      <c r="AG341" s="127"/>
      <c r="AH341" s="127"/>
      <c r="AI341" s="127"/>
      <c r="AJ341" s="127"/>
      <c r="AK341" s="127"/>
    </row>
    <row r="342" spans="2:37" ht="17.25" customHeight="1" x14ac:dyDescent="0.25">
      <c r="B342" s="171">
        <v>1</v>
      </c>
      <c r="C342" s="176" t="str">
        <f t="shared" si="272"/>
        <v>1</v>
      </c>
      <c r="D342" s="316"/>
      <c r="F342" s="311"/>
      <c r="G342" t="e">
        <f>VLOOKUP(E342,'FG MASTER'!$A$10:$AB$218,2,0)</f>
        <v>#N/A</v>
      </c>
      <c r="H342" s="286">
        <v>1</v>
      </c>
      <c r="I342" s="173">
        <v>1</v>
      </c>
      <c r="J342" s="292" t="str">
        <f>IFERROR(IF(I342="std",H342,HLOOKUP(A342,'FlightConfig '!$B$34:$G$35,2,0)*I342),"")</f>
        <v/>
      </c>
      <c r="K342" s="245" t="e">
        <f>VLOOKUP(Food!E342,'FG MASTER'!$A$1:$AC$536,16,0)</f>
        <v>#N/A</v>
      </c>
      <c r="L342" s="246" t="e">
        <f>VLOOKUP(Food!E342,'FG MASTER'!$A$10:$AC$536,17,0)</f>
        <v>#N/A</v>
      </c>
      <c r="M342" s="132" t="str">
        <f t="shared" si="273"/>
        <v/>
      </c>
      <c r="N342" s="132" t="str">
        <f t="shared" si="274"/>
        <v/>
      </c>
      <c r="O342" s="132">
        <f t="shared" si="269"/>
        <v>0</v>
      </c>
      <c r="P342" s="132">
        <f t="shared" si="270"/>
        <v>0</v>
      </c>
      <c r="Q342" s="132">
        <f t="shared" si="275"/>
        <v>0</v>
      </c>
      <c r="R342" s="405" t="e">
        <f t="shared" si="271"/>
        <v>#N/A</v>
      </c>
      <c r="S342" s="405" t="e">
        <f t="shared" si="276"/>
        <v>#VALUE!</v>
      </c>
      <c r="T342" s="405" t="e">
        <f t="shared" si="277"/>
        <v>#N/A</v>
      </c>
      <c r="U342" s="127"/>
      <c r="V342" s="127"/>
      <c r="W342" s="127"/>
      <c r="X342" s="127"/>
      <c r="Z342" s="127"/>
      <c r="AA342" s="127"/>
      <c r="AB342" s="127"/>
      <c r="AC342" s="127"/>
      <c r="AD342" s="127"/>
      <c r="AG342" s="127"/>
      <c r="AH342" s="127"/>
      <c r="AI342" s="127"/>
      <c r="AJ342" s="127"/>
      <c r="AK342" s="127"/>
    </row>
    <row r="343" spans="2:37" ht="17.25" customHeight="1" x14ac:dyDescent="0.25">
      <c r="B343" s="171">
        <v>1</v>
      </c>
      <c r="C343" s="176" t="str">
        <f t="shared" si="272"/>
        <v>1</v>
      </c>
      <c r="D343" s="316"/>
      <c r="E343" s="305"/>
      <c r="F343" s="311"/>
      <c r="G343" t="e">
        <f>VLOOKUP(E343,'FG MASTER'!$A$10:$AB$218,2,0)</f>
        <v>#N/A</v>
      </c>
      <c r="H343" s="286">
        <v>1</v>
      </c>
      <c r="I343" s="173">
        <v>1</v>
      </c>
      <c r="J343" s="292" t="str">
        <f>IFERROR(IF(I343="std",H343,HLOOKUP(A343,'FlightConfig '!$B$34:$G$35,2,0)*I343),"")</f>
        <v/>
      </c>
      <c r="K343" s="245" t="e">
        <f>VLOOKUP(Food!E343,'FG MASTER'!$A$1:$AC$536,16,0)</f>
        <v>#N/A</v>
      </c>
      <c r="L343" s="246" t="e">
        <f>VLOOKUP(Food!E343,'FG MASTER'!$A$10:$AC$536,17,0)</f>
        <v>#N/A</v>
      </c>
      <c r="M343" s="132" t="str">
        <f t="shared" si="273"/>
        <v/>
      </c>
      <c r="N343" s="132" t="str">
        <f t="shared" si="274"/>
        <v/>
      </c>
      <c r="O343" s="132">
        <f t="shared" si="269"/>
        <v>0</v>
      </c>
      <c r="P343" s="132">
        <f t="shared" si="270"/>
        <v>0</v>
      </c>
      <c r="Q343" s="132">
        <f t="shared" si="275"/>
        <v>0</v>
      </c>
      <c r="R343" s="405" t="e">
        <f t="shared" si="271"/>
        <v>#N/A</v>
      </c>
      <c r="S343" s="405" t="e">
        <f t="shared" si="276"/>
        <v>#VALUE!</v>
      </c>
      <c r="T343" s="405" t="e">
        <f t="shared" si="277"/>
        <v>#N/A</v>
      </c>
      <c r="X343" s="127"/>
      <c r="Z343" s="127"/>
      <c r="AA343" s="127"/>
      <c r="AB343" s="127"/>
      <c r="AC343" s="127"/>
      <c r="AD343" s="127"/>
      <c r="AG343" s="127"/>
      <c r="AH343" s="127"/>
      <c r="AI343" s="127"/>
      <c r="AJ343" s="127"/>
      <c r="AK343" s="127"/>
    </row>
    <row r="344" spans="2:37" ht="17.25" customHeight="1" x14ac:dyDescent="0.25">
      <c r="B344" s="171">
        <v>1</v>
      </c>
      <c r="C344" s="176" t="str">
        <f t="shared" si="272"/>
        <v>1</v>
      </c>
      <c r="D344" s="316"/>
      <c r="E344" s="305"/>
      <c r="F344" s="311"/>
      <c r="G344" t="e">
        <f>VLOOKUP(E344,'FG MASTER'!$A$10:$AB$218,2,0)</f>
        <v>#N/A</v>
      </c>
      <c r="H344" s="286">
        <v>1</v>
      </c>
      <c r="I344" s="173">
        <v>1</v>
      </c>
      <c r="J344" s="292" t="str">
        <f>IFERROR(IF(I344="std",H344,HLOOKUP(A344,'FlightConfig '!$B$34:$G$35,2,0)*I344),"")</f>
        <v/>
      </c>
      <c r="K344" s="245" t="e">
        <f>VLOOKUP(Food!E344,'FG MASTER'!$A$1:$AC$536,16,0)</f>
        <v>#N/A</v>
      </c>
      <c r="L344" s="246" t="e">
        <f>VLOOKUP(Food!E344,'FG MASTER'!$A$10:$AC$536,17,0)</f>
        <v>#N/A</v>
      </c>
      <c r="M344" s="132" t="str">
        <f t="shared" si="273"/>
        <v/>
      </c>
      <c r="N344" s="132" t="str">
        <f t="shared" si="274"/>
        <v/>
      </c>
      <c r="O344" s="132">
        <f t="shared" si="269"/>
        <v>0</v>
      </c>
      <c r="P344" s="132">
        <f t="shared" si="270"/>
        <v>0</v>
      </c>
      <c r="Q344" s="132">
        <f t="shared" si="275"/>
        <v>0</v>
      </c>
      <c r="R344" s="405" t="e">
        <f t="shared" si="271"/>
        <v>#N/A</v>
      </c>
      <c r="S344" s="405" t="e">
        <f t="shared" si="276"/>
        <v>#VALUE!</v>
      </c>
      <c r="T344" s="405" t="e">
        <f t="shared" si="277"/>
        <v>#N/A</v>
      </c>
      <c r="X344" s="127"/>
      <c r="Z344" s="127"/>
      <c r="AA344" s="127"/>
      <c r="AB344" s="127"/>
      <c r="AC344" s="127"/>
      <c r="AD344" s="127"/>
      <c r="AG344" s="127"/>
      <c r="AH344" s="127"/>
      <c r="AI344" s="127"/>
      <c r="AJ344" s="127"/>
      <c r="AK344" s="127"/>
    </row>
    <row r="345" spans="2:37" ht="17.25" customHeight="1" x14ac:dyDescent="0.25">
      <c r="B345" s="171">
        <v>1</v>
      </c>
      <c r="C345" s="176" t="str">
        <f t="shared" si="272"/>
        <v>1</v>
      </c>
      <c r="D345" s="316"/>
      <c r="E345" s="305"/>
      <c r="F345" s="311"/>
      <c r="G345" t="e">
        <f>VLOOKUP(E345,'FG MASTER'!$A$10:$AB$218,2,0)</f>
        <v>#N/A</v>
      </c>
      <c r="H345" s="286">
        <v>1</v>
      </c>
      <c r="I345" s="173">
        <v>1</v>
      </c>
      <c r="J345" s="292" t="str">
        <f>IFERROR(IF(I345="std",H345,HLOOKUP(A345,'FlightConfig '!$B$34:$G$35,2,0)*I345),"")</f>
        <v/>
      </c>
      <c r="K345" s="245" t="e">
        <f>VLOOKUP(Food!E345,'FG MASTER'!$A$1:$AC$536,16,0)</f>
        <v>#N/A</v>
      </c>
      <c r="L345" s="246" t="e">
        <f>VLOOKUP(Food!E345,'FG MASTER'!$A$10:$AC$536,17,0)</f>
        <v>#N/A</v>
      </c>
      <c r="M345" s="132" t="str">
        <f t="shared" si="273"/>
        <v/>
      </c>
      <c r="N345" s="132" t="str">
        <f t="shared" si="274"/>
        <v/>
      </c>
      <c r="O345" s="132">
        <f t="shared" si="269"/>
        <v>0</v>
      </c>
      <c r="P345" s="132">
        <f t="shared" si="270"/>
        <v>0</v>
      </c>
      <c r="Q345" s="132">
        <f t="shared" si="275"/>
        <v>0</v>
      </c>
      <c r="R345" s="405" t="e">
        <f t="shared" si="271"/>
        <v>#N/A</v>
      </c>
      <c r="S345" s="405" t="e">
        <f t="shared" si="276"/>
        <v>#VALUE!</v>
      </c>
      <c r="T345" s="405" t="e">
        <f t="shared" si="277"/>
        <v>#N/A</v>
      </c>
      <c r="X345" s="127"/>
      <c r="Z345" s="127"/>
      <c r="AA345" s="127"/>
      <c r="AB345" s="127"/>
      <c r="AC345" s="127"/>
      <c r="AD345" s="127"/>
      <c r="AG345" s="127"/>
      <c r="AH345" s="127"/>
      <c r="AI345" s="127"/>
      <c r="AJ345" s="127"/>
      <c r="AK345" s="127"/>
    </row>
    <row r="346" spans="2:37" ht="17.25" customHeight="1" x14ac:dyDescent="0.25">
      <c r="B346" s="171">
        <v>1</v>
      </c>
      <c r="C346" s="176" t="str">
        <f t="shared" si="272"/>
        <v>1</v>
      </c>
      <c r="D346" s="316"/>
      <c r="E346" s="305"/>
      <c r="F346" s="311"/>
      <c r="G346" t="e">
        <f>VLOOKUP(E346,'FG MASTER'!$A$10:$AB$218,2,0)</f>
        <v>#N/A</v>
      </c>
      <c r="H346" s="286">
        <v>1</v>
      </c>
      <c r="I346" s="173">
        <v>1</v>
      </c>
      <c r="J346" s="292" t="str">
        <f>IFERROR(IF(I346="std",H346,HLOOKUP(A346,'FlightConfig '!$B$34:$G$35,2,0)*I346),"")</f>
        <v/>
      </c>
      <c r="K346" s="245" t="e">
        <f>VLOOKUP(Food!E346,'FG MASTER'!$A$1:$AC$536,16,0)</f>
        <v>#N/A</v>
      </c>
      <c r="L346" s="246" t="e">
        <f>VLOOKUP(Food!E346,'FG MASTER'!$A$10:$AC$536,17,0)</f>
        <v>#N/A</v>
      </c>
      <c r="M346" s="132" t="str">
        <f t="shared" si="273"/>
        <v/>
      </c>
      <c r="N346" s="132" t="str">
        <f t="shared" si="274"/>
        <v/>
      </c>
      <c r="O346" s="132">
        <f t="shared" si="269"/>
        <v>0</v>
      </c>
      <c r="P346" s="132">
        <f t="shared" si="270"/>
        <v>0</v>
      </c>
      <c r="Q346" s="132">
        <f t="shared" si="275"/>
        <v>0</v>
      </c>
      <c r="R346" s="405" t="e">
        <f t="shared" si="271"/>
        <v>#N/A</v>
      </c>
      <c r="S346" s="405" t="e">
        <f t="shared" si="276"/>
        <v>#VALUE!</v>
      </c>
      <c r="T346" s="405" t="e">
        <f t="shared" si="277"/>
        <v>#N/A</v>
      </c>
      <c r="X346" s="127"/>
      <c r="Z346" s="127"/>
      <c r="AA346" s="127"/>
      <c r="AB346" s="127"/>
      <c r="AC346" s="127"/>
      <c r="AD346" s="127"/>
      <c r="AG346" s="127"/>
      <c r="AH346" s="127"/>
      <c r="AI346" s="127"/>
      <c r="AJ346" s="127"/>
      <c r="AK346" s="127"/>
    </row>
  </sheetData>
  <autoFilter ref="A3:AK342" xr:uid="{D3C12567-11D1-4E03-BF3A-C3241947D3F1}"/>
  <mergeCells count="2">
    <mergeCell ref="X1:AD1"/>
    <mergeCell ref="AG1:AK1"/>
  </mergeCells>
  <phoneticPr fontId="16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 x14ac:dyDescent="0.2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 x14ac:dyDescent="0.25">
      <c r="A1" s="33" t="s">
        <v>236</v>
      </c>
      <c r="B1" s="33" t="s">
        <v>261</v>
      </c>
      <c r="C1" s="33" t="s">
        <v>262</v>
      </c>
      <c r="D1" s="33" t="s">
        <v>263</v>
      </c>
      <c r="E1" s="33" t="s">
        <v>264</v>
      </c>
      <c r="F1" s="33" t="s">
        <v>265</v>
      </c>
      <c r="G1" s="33" t="s">
        <v>266</v>
      </c>
      <c r="H1" s="33" t="s">
        <v>267</v>
      </c>
    </row>
    <row r="2" spans="1:8" x14ac:dyDescent="0.25">
      <c r="A2" s="33" t="s">
        <v>132</v>
      </c>
      <c r="B2" s="33">
        <v>8</v>
      </c>
      <c r="C2" s="131">
        <f>IFERROR(SUMIF(Food!A:A,A2,Food!AD:AD),"")</f>
        <v>0</v>
      </c>
      <c r="D2" s="133">
        <f>+'FlightConfig '!B5</f>
        <v>0</v>
      </c>
      <c r="E2" s="131" t="str">
        <f t="shared" ref="E2:E7" si="0">IFERROR(C2/D2,"")</f>
        <v/>
      </c>
      <c r="F2" s="130">
        <f>'FlightConfig '!$K$3</f>
        <v>0</v>
      </c>
      <c r="G2" s="33">
        <f>F2*'FlightConfig '!B3</f>
        <v>0</v>
      </c>
      <c r="H2" s="131">
        <f>SUMIF(Food!A:A,A2,Food!AK:AK)</f>
        <v>0</v>
      </c>
    </row>
    <row r="3" spans="1:8" x14ac:dyDescent="0.25">
      <c r="A3" s="33" t="s">
        <v>133</v>
      </c>
      <c r="B3" s="33">
        <v>8</v>
      </c>
      <c r="C3" s="131">
        <f>IFERROR(SUMIF(Food!A:A,A3,Food!AD:AD),"")</f>
        <v>3274.8539874709104</v>
      </c>
      <c r="D3" s="133">
        <f>+'FlightConfig '!C5</f>
        <v>29</v>
      </c>
      <c r="E3" s="131">
        <f t="shared" si="0"/>
        <v>112.92599956796242</v>
      </c>
      <c r="F3" s="130">
        <f>'FlightConfig '!$K$3</f>
        <v>0</v>
      </c>
      <c r="G3" s="33">
        <f>'FlightConfig '!C3*'Avg Per Flight'!F3</f>
        <v>0</v>
      </c>
      <c r="H3" s="131">
        <f>SUMIF(Food!A:A,A3,Food!AK:AK)</f>
        <v>114478.90782253195</v>
      </c>
    </row>
    <row r="4" spans="1:8" x14ac:dyDescent="0.25">
      <c r="A4" s="33" t="s">
        <v>135</v>
      </c>
      <c r="B4" s="33">
        <v>8</v>
      </c>
      <c r="C4" s="131">
        <f>IFERROR(SUMIF(Food!A:A,A4,Food!AD:AD),"")</f>
        <v>6607.0799246025417</v>
      </c>
      <c r="D4" s="133">
        <f>+'FlightConfig '!E5</f>
        <v>169</v>
      </c>
      <c r="E4" s="131">
        <f t="shared" si="0"/>
        <v>39.095147482855275</v>
      </c>
      <c r="F4" s="130">
        <f>'FlightConfig '!$K$3</f>
        <v>0</v>
      </c>
      <c r="G4" s="33">
        <f>F4*'FlightConfig '!E3</f>
        <v>0</v>
      </c>
      <c r="H4" s="131">
        <f>SUMIF(Food!A:A,A4,Food!AK:AK)</f>
        <v>185749.5762463467</v>
      </c>
    </row>
    <row r="5" spans="1:8" x14ac:dyDescent="0.25">
      <c r="A5" s="33" t="s">
        <v>234</v>
      </c>
      <c r="B5" s="33">
        <v>8</v>
      </c>
      <c r="C5" s="131">
        <f>IFERROR(SUMIF(Food!A:A,A5,Food!AD:AD),"")</f>
        <v>742.03979999999979</v>
      </c>
      <c r="D5" s="133">
        <f>+'FlightConfig '!G5</f>
        <v>6</v>
      </c>
      <c r="E5" s="131">
        <f t="shared" si="0"/>
        <v>123.67329999999997</v>
      </c>
      <c r="F5" s="130">
        <f>'FlightConfig '!$K$3</f>
        <v>0</v>
      </c>
      <c r="G5" s="33">
        <f>F5*'FlightConfig '!G3</f>
        <v>0</v>
      </c>
      <c r="H5" s="131">
        <f>SUMIF(Food!A:A,A5,Food!AK:AK)</f>
        <v>24577.207199999983</v>
      </c>
    </row>
    <row r="6" spans="1:8" x14ac:dyDescent="0.25">
      <c r="A6" s="33" t="s">
        <v>134</v>
      </c>
      <c r="B6" s="33">
        <v>8</v>
      </c>
      <c r="C6" s="131">
        <f>IFERROR(SUMIF(Food!A:A,A6,Food!AD:AD),"")</f>
        <v>3283.4105449999997</v>
      </c>
      <c r="D6" s="133">
        <f>+'FlightConfig '!D5</f>
        <v>41</v>
      </c>
      <c r="E6" s="131">
        <f t="shared" si="0"/>
        <v>80.083184024390235</v>
      </c>
      <c r="F6" s="130">
        <f>'FlightConfig '!$K$3</f>
        <v>0</v>
      </c>
      <c r="G6" s="33">
        <f>F6*'FlightConfig '!D3</f>
        <v>0</v>
      </c>
      <c r="H6" s="131">
        <f>SUMIF(Food!A:A,A6,Food!AK:AK)</f>
        <v>104501.14037999995</v>
      </c>
    </row>
    <row r="7" spans="1:8" x14ac:dyDescent="0.25">
      <c r="A7" s="33" t="s">
        <v>136</v>
      </c>
      <c r="B7" s="33">
        <v>8</v>
      </c>
      <c r="C7" s="131">
        <f>IFERROR(SUMIF(Food!A:A,A7,Food!AD:AD),"")</f>
        <v>0</v>
      </c>
      <c r="D7" s="133">
        <f>+'FlightConfig '!F5</f>
        <v>0</v>
      </c>
      <c r="E7" s="131" t="str">
        <f t="shared" si="0"/>
        <v/>
      </c>
      <c r="F7" s="130">
        <f>'FlightConfig '!$K$3</f>
        <v>0</v>
      </c>
      <c r="G7" s="33">
        <f>F7*2</f>
        <v>0</v>
      </c>
      <c r="H7" s="131">
        <f>SUMIF(Food!A:A,A7,Food!AK:AK)</f>
        <v>0</v>
      </c>
    </row>
    <row r="8" spans="1:8" x14ac:dyDescent="0.25">
      <c r="A8" s="33" t="s">
        <v>268</v>
      </c>
      <c r="B8" s="33">
        <v>8</v>
      </c>
      <c r="C8" s="33">
        <f>IFERROR(SUMIF(Food!A:A,A8,Food!AD:AD),"")</f>
        <v>0</v>
      </c>
      <c r="D8" s="134">
        <v>1</v>
      </c>
      <c r="E8" s="33">
        <f>IFERROR(C8*D8,"")</f>
        <v>0</v>
      </c>
      <c r="F8" s="130">
        <f>'FlightConfig '!$K$3</f>
        <v>0</v>
      </c>
      <c r="G8" s="33">
        <v>312</v>
      </c>
      <c r="H8" s="131">
        <f>SUMIF(Food!A:A,A8,Food!AK:AK)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457"/>
  <sheetViews>
    <sheetView topLeftCell="A105" zoomScale="115" zoomScaleNormal="115" workbookViewId="0">
      <selection activeCell="O119" sqref="O119"/>
    </sheetView>
  </sheetViews>
  <sheetFormatPr defaultColWidth="9.28515625" defaultRowHeight="15" outlineLevelCol="1" x14ac:dyDescent="0.25"/>
  <cols>
    <col min="1" max="1" width="12.28515625" customWidth="1"/>
    <col min="2" max="2" width="77.5703125" customWidth="1"/>
    <col min="3" max="3" width="14.7109375" hidden="1" customWidth="1"/>
    <col min="4" max="4" width="20.28515625" style="188" hidden="1" customWidth="1" outlineLevel="1"/>
    <col min="5" max="8" width="20.7109375" style="188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8" style="188" hidden="1" customWidth="1" outlineLevel="1"/>
    <col min="13" max="13" width="8.28515625" hidden="1" customWidth="1" outlineLevel="1"/>
    <col min="14" max="14" width="3.28515625" hidden="1" customWidth="1" outlineLevel="1"/>
    <col min="15" max="15" width="12" customWidth="1" collapsed="1"/>
    <col min="16" max="16" width="16" customWidth="1" outlineLevel="1"/>
    <col min="17" max="17" width="14" style="187" customWidth="1" outlineLevel="1"/>
    <col min="18" max="18" width="13.28515625" style="188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89" hidden="1" customWidth="1" outlineLevel="1"/>
    <col min="23" max="23" width="11.7109375" style="190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5" hidden="1" customWidth="1"/>
    <col min="28" max="28" width="11.42578125" hidden="1" customWidth="1"/>
    <col min="29" max="29" width="2.7109375" hidden="1" customWidth="1"/>
  </cols>
  <sheetData>
    <row r="1" spans="1:29" ht="29.45" customHeight="1" x14ac:dyDescent="0.35">
      <c r="A1">
        <v>1</v>
      </c>
      <c r="B1">
        <v>2</v>
      </c>
      <c r="C1" s="183">
        <v>3</v>
      </c>
      <c r="D1" s="186">
        <v>4</v>
      </c>
      <c r="E1" s="186">
        <v>5</v>
      </c>
      <c r="F1" s="186">
        <v>6</v>
      </c>
      <c r="G1" s="186">
        <v>7</v>
      </c>
      <c r="H1" s="186">
        <v>8</v>
      </c>
      <c r="I1" s="183">
        <v>9</v>
      </c>
      <c r="J1" s="183">
        <v>10</v>
      </c>
      <c r="K1" s="183">
        <v>11</v>
      </c>
      <c r="L1" s="183">
        <v>12</v>
      </c>
      <c r="M1" s="183">
        <v>13</v>
      </c>
      <c r="N1" s="183">
        <v>14</v>
      </c>
      <c r="O1" s="183">
        <v>15</v>
      </c>
      <c r="P1" s="183">
        <v>16</v>
      </c>
      <c r="Q1" s="187">
        <v>17</v>
      </c>
      <c r="R1" s="188">
        <v>18</v>
      </c>
      <c r="S1" s="183">
        <v>19</v>
      </c>
      <c r="T1" s="183">
        <v>20</v>
      </c>
    </row>
    <row r="2" spans="1:29" ht="21" customHeight="1" x14ac:dyDescent="0.35">
      <c r="A2" s="183" t="s">
        <v>269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4"/>
      <c r="R2" s="183"/>
      <c r="S2" s="183">
        <v>0.42</v>
      </c>
      <c r="T2" s="183"/>
      <c r="U2" s="183"/>
      <c r="V2" s="240">
        <f>'P&amp;L'!R8</f>
        <v>0.15</v>
      </c>
      <c r="W2" s="240">
        <f>'P&amp;L'!R9</f>
        <v>0.15</v>
      </c>
      <c r="X2" s="183"/>
      <c r="Y2" s="183"/>
      <c r="Z2" s="183"/>
      <c r="AA2" s="183"/>
      <c r="AB2" s="183"/>
      <c r="AC2" s="183"/>
    </row>
    <row r="3" spans="1:29" ht="1.1499999999999999" customHeight="1" x14ac:dyDescent="0.35">
      <c r="A3" s="185"/>
      <c r="B3" s="185"/>
      <c r="C3" s="183"/>
      <c r="D3" s="186"/>
      <c r="E3" s="186"/>
      <c r="F3" s="186"/>
      <c r="G3" s="186"/>
      <c r="H3" s="186"/>
      <c r="I3" s="183"/>
      <c r="J3" s="183"/>
      <c r="K3" s="183"/>
      <c r="L3" s="183"/>
      <c r="M3" s="183"/>
      <c r="N3" s="183"/>
    </row>
    <row r="4" spans="1:29" ht="1.1499999999999999" customHeight="1" x14ac:dyDescent="0.35">
      <c r="A4" s="185"/>
      <c r="B4" s="185"/>
      <c r="C4" s="183"/>
      <c r="D4" s="186"/>
      <c r="E4" s="186"/>
      <c r="F4" s="186"/>
      <c r="G4" s="186"/>
      <c r="H4" s="186"/>
      <c r="I4" s="183"/>
      <c r="J4" s="183"/>
      <c r="K4" s="183"/>
      <c r="L4" s="183"/>
      <c r="M4" s="183"/>
      <c r="N4" s="183"/>
    </row>
    <row r="5" spans="1:29" ht="1.1499999999999999" customHeight="1" x14ac:dyDescent="0.35">
      <c r="A5" s="185"/>
      <c r="B5" s="185"/>
      <c r="C5" s="183"/>
      <c r="D5" s="186"/>
      <c r="E5" s="186"/>
      <c r="F5" s="186"/>
      <c r="G5" s="186"/>
      <c r="H5" s="186"/>
      <c r="I5" s="183"/>
      <c r="J5" s="183"/>
      <c r="K5" s="183"/>
      <c r="L5" s="183"/>
      <c r="M5" s="183"/>
      <c r="N5" s="183"/>
    </row>
    <row r="6" spans="1:29" ht="1.1499999999999999" customHeight="1" x14ac:dyDescent="0.35">
      <c r="A6" s="185"/>
      <c r="B6" s="185"/>
      <c r="C6" s="183"/>
      <c r="D6" s="186"/>
      <c r="E6" s="186"/>
      <c r="F6" s="186"/>
      <c r="G6" s="186"/>
      <c r="H6" s="186"/>
      <c r="I6" s="183"/>
      <c r="J6" s="183"/>
      <c r="K6" s="183"/>
      <c r="L6" s="183"/>
      <c r="M6" s="183"/>
      <c r="N6" s="183"/>
    </row>
    <row r="7" spans="1:29" ht="1.1499999999999999" customHeight="1" x14ac:dyDescent="0.35">
      <c r="A7" s="185"/>
      <c r="B7" s="185"/>
      <c r="C7" s="183"/>
      <c r="D7" s="186"/>
      <c r="E7" s="186"/>
      <c r="F7" s="186"/>
      <c r="G7" s="186"/>
      <c r="H7" s="186"/>
      <c r="I7" s="183"/>
      <c r="J7" s="183"/>
      <c r="K7" s="183"/>
      <c r="L7" s="183"/>
      <c r="M7" s="183"/>
      <c r="N7" s="183"/>
    </row>
    <row r="8" spans="1:29" ht="28.5" x14ac:dyDescent="0.45">
      <c r="A8" s="473" t="s">
        <v>270</v>
      </c>
      <c r="B8" s="473"/>
      <c r="C8" s="473"/>
      <c r="D8" s="473"/>
      <c r="E8" s="473"/>
      <c r="F8" s="473"/>
      <c r="G8" s="473"/>
      <c r="H8" s="473"/>
      <c r="I8" s="473"/>
      <c r="J8" s="473"/>
      <c r="K8" s="473"/>
      <c r="L8" s="473"/>
      <c r="M8" s="473"/>
      <c r="N8" s="473"/>
      <c r="O8" s="473"/>
      <c r="P8" s="473"/>
      <c r="Q8" s="473"/>
      <c r="R8" s="473"/>
      <c r="S8" s="473"/>
      <c r="T8" s="473"/>
      <c r="U8" s="473"/>
      <c r="V8" s="473"/>
      <c r="W8" s="473"/>
      <c r="X8" s="473"/>
      <c r="Y8" s="473"/>
      <c r="Z8" s="473"/>
      <c r="AA8" s="473"/>
      <c r="AB8" s="473"/>
      <c r="AC8" s="191"/>
    </row>
    <row r="9" spans="1:29" s="188" customFormat="1" ht="30" x14ac:dyDescent="0.25">
      <c r="A9" s="34" t="s">
        <v>238</v>
      </c>
      <c r="B9" s="34" t="s">
        <v>271</v>
      </c>
      <c r="C9" s="192" t="s">
        <v>272</v>
      </c>
      <c r="D9" s="192" t="s">
        <v>273</v>
      </c>
      <c r="E9" s="192" t="s">
        <v>274</v>
      </c>
      <c r="F9" s="192" t="s">
        <v>275</v>
      </c>
      <c r="G9" s="192" t="s">
        <v>276</v>
      </c>
      <c r="H9" s="192" t="s">
        <v>277</v>
      </c>
      <c r="I9" s="193" t="s">
        <v>278</v>
      </c>
      <c r="J9" s="194" t="s">
        <v>279</v>
      </c>
      <c r="K9" s="192" t="s">
        <v>280</v>
      </c>
      <c r="L9" s="192" t="s">
        <v>281</v>
      </c>
      <c r="M9" s="192" t="s">
        <v>282</v>
      </c>
      <c r="N9" s="188" t="s">
        <v>283</v>
      </c>
      <c r="O9" s="188" t="s">
        <v>284</v>
      </c>
      <c r="P9" s="195" t="s">
        <v>285</v>
      </c>
      <c r="Q9" s="196" t="s">
        <v>286</v>
      </c>
      <c r="R9" s="195" t="s">
        <v>287</v>
      </c>
      <c r="S9" s="195" t="s">
        <v>288</v>
      </c>
      <c r="T9" s="195" t="s">
        <v>289</v>
      </c>
      <c r="U9" s="195" t="s">
        <v>290</v>
      </c>
      <c r="V9" s="197" t="s">
        <v>291</v>
      </c>
      <c r="W9" s="198" t="s">
        <v>292</v>
      </c>
      <c r="X9" s="195" t="s">
        <v>293</v>
      </c>
      <c r="Y9" s="195" t="s">
        <v>294</v>
      </c>
      <c r="Z9" s="195" t="s">
        <v>295</v>
      </c>
      <c r="AA9" s="192" t="s">
        <v>296</v>
      </c>
      <c r="AB9" s="195" t="s">
        <v>297</v>
      </c>
      <c r="AC9" s="188" t="s">
        <v>298</v>
      </c>
    </row>
    <row r="10" spans="1:29" x14ac:dyDescent="0.25">
      <c r="A10" s="188">
        <v>1001</v>
      </c>
      <c r="B10" t="s">
        <v>305</v>
      </c>
      <c r="C10" s="188">
        <v>1</v>
      </c>
      <c r="I10" s="188"/>
      <c r="J10" s="188"/>
      <c r="K10" s="188"/>
      <c r="L10" s="199"/>
      <c r="M10" s="188"/>
      <c r="N10" s="200"/>
      <c r="O10" s="201">
        <v>0.47</v>
      </c>
      <c r="P10" s="201">
        <f>Table1[[#This Row],[unit cost]]</f>
        <v>0.47</v>
      </c>
      <c r="Q10" s="203">
        <v>0.5</v>
      </c>
      <c r="R10" s="188">
        <v>1</v>
      </c>
      <c r="S10" s="252">
        <f t="shared" ref="S10:S60" si="0">$S$2</f>
        <v>0.42</v>
      </c>
      <c r="T10" s="204">
        <f>Table1[[#This Row],[man minutes]]*Table1[[#This Row],[labor rate]]</f>
        <v>0.21</v>
      </c>
      <c r="U10" s="204">
        <f t="shared" ref="U10:U15" si="1">P10+T10</f>
        <v>0.67999999999999994</v>
      </c>
      <c r="V10" s="189">
        <f t="shared" ref="V10:V15" si="2">$V$2</f>
        <v>0.15</v>
      </c>
      <c r="W10" s="253">
        <f t="shared" ref="W10:W61" si="3">$W$2</f>
        <v>0.15</v>
      </c>
      <c r="X10" s="204">
        <f t="shared" ref="X10:X23" si="4">P10*(1+V10)</f>
        <v>0.54049999999999998</v>
      </c>
      <c r="Y10" s="204">
        <f>T10+(T10*W10)</f>
        <v>0.24149999999999999</v>
      </c>
      <c r="Z10" s="204">
        <f t="shared" ref="Z10:Z15" si="5">IFERROR(ROUNDUP(X10+Y10,2)," ")</f>
        <v>0.79</v>
      </c>
      <c r="AA10" s="206">
        <f>+Table1[[#This Row],[calculated sale price]]</f>
        <v>0.79</v>
      </c>
      <c r="AB10" s="205"/>
      <c r="AC10" s="209"/>
    </row>
    <row r="11" spans="1:29" x14ac:dyDescent="0.25">
      <c r="A11" s="188">
        <v>1002</v>
      </c>
      <c r="B11" t="s">
        <v>306</v>
      </c>
      <c r="C11" s="188">
        <v>1</v>
      </c>
      <c r="I11" s="188"/>
      <c r="J11" s="188"/>
      <c r="K11" s="188"/>
      <c r="L11" s="199"/>
      <c r="M11" s="188"/>
      <c r="N11" s="200"/>
      <c r="O11" s="201">
        <v>0.3</v>
      </c>
      <c r="P11" s="201">
        <f>Table1[[#This Row],[unit cost]]</f>
        <v>0.3</v>
      </c>
      <c r="Q11" s="203">
        <v>0.25</v>
      </c>
      <c r="R11" s="188">
        <v>1</v>
      </c>
      <c r="S11" s="252">
        <f t="shared" si="0"/>
        <v>0.42</v>
      </c>
      <c r="T11" s="204">
        <f>Table1[[#This Row],[man minutes]]*Table1[[#This Row],[labor rate]]</f>
        <v>0.105</v>
      </c>
      <c r="U11" s="204">
        <f t="shared" si="1"/>
        <v>0.40499999999999997</v>
      </c>
      <c r="V11" s="189">
        <f t="shared" si="2"/>
        <v>0.15</v>
      </c>
      <c r="W11" s="253">
        <f t="shared" si="3"/>
        <v>0.15</v>
      </c>
      <c r="X11" s="204">
        <f t="shared" si="4"/>
        <v>0.34499999999999997</v>
      </c>
      <c r="Y11" s="204">
        <f t="shared" ref="Y11:Y15" si="6">T11+(T11*W11)</f>
        <v>0.12075</v>
      </c>
      <c r="Z11" s="204">
        <f t="shared" si="5"/>
        <v>0.47000000000000003</v>
      </c>
      <c r="AA11" s="206">
        <f>+Table1[[#This Row],[calculated sale price]]</f>
        <v>0.47000000000000003</v>
      </c>
      <c r="AB11" s="205"/>
      <c r="AC11" s="209"/>
    </row>
    <row r="12" spans="1:29" x14ac:dyDescent="0.25">
      <c r="A12" s="188">
        <v>1003</v>
      </c>
      <c r="B12" t="s">
        <v>307</v>
      </c>
      <c r="C12" s="188">
        <v>1</v>
      </c>
      <c r="I12" s="188"/>
      <c r="J12" s="188"/>
      <c r="K12" s="188"/>
      <c r="L12" s="199"/>
      <c r="M12" s="188"/>
      <c r="N12" s="200"/>
      <c r="O12" s="201">
        <v>0.14000000000000001</v>
      </c>
      <c r="P12" s="201">
        <f>Table1[[#This Row],[unit cost]]</f>
        <v>0.14000000000000001</v>
      </c>
      <c r="Q12" s="203">
        <v>0.25</v>
      </c>
      <c r="R12" s="188">
        <v>1</v>
      </c>
      <c r="S12" s="252">
        <f t="shared" si="0"/>
        <v>0.42</v>
      </c>
      <c r="T12" s="204">
        <f>Table1[[#This Row],[man minutes]]*Table1[[#This Row],[labor rate]]</f>
        <v>0.105</v>
      </c>
      <c r="U12" s="204">
        <f t="shared" si="1"/>
        <v>0.245</v>
      </c>
      <c r="V12" s="189">
        <f t="shared" si="2"/>
        <v>0.15</v>
      </c>
      <c r="W12" s="253">
        <f t="shared" si="3"/>
        <v>0.15</v>
      </c>
      <c r="X12" s="204">
        <f t="shared" si="4"/>
        <v>0.161</v>
      </c>
      <c r="Y12" s="204">
        <f t="shared" si="6"/>
        <v>0.12075</v>
      </c>
      <c r="Z12" s="204">
        <f t="shared" si="5"/>
        <v>0.29000000000000004</v>
      </c>
      <c r="AA12" s="206">
        <f>+Table1[[#This Row],[calculated sale price]]</f>
        <v>0.29000000000000004</v>
      </c>
      <c r="AB12" s="205"/>
      <c r="AC12" s="209"/>
    </row>
    <row r="13" spans="1:29" x14ac:dyDescent="0.25">
      <c r="A13" s="188">
        <v>1004</v>
      </c>
      <c r="B13" t="s">
        <v>308</v>
      </c>
      <c r="C13" s="188">
        <v>1</v>
      </c>
      <c r="I13" s="188"/>
      <c r="J13" s="188"/>
      <c r="K13" s="188"/>
      <c r="L13" s="199"/>
      <c r="M13" s="188"/>
      <c r="N13" s="200"/>
      <c r="O13" s="201">
        <v>0.25</v>
      </c>
      <c r="P13" s="201">
        <f>Table1[[#This Row],[unit cost]]</f>
        <v>0.25</v>
      </c>
      <c r="Q13" s="203">
        <v>0.25</v>
      </c>
      <c r="R13" s="188">
        <v>1</v>
      </c>
      <c r="S13" s="252">
        <f t="shared" si="0"/>
        <v>0.42</v>
      </c>
      <c r="T13" s="204">
        <f>Table1[[#This Row],[man minutes]]*Table1[[#This Row],[labor rate]]</f>
        <v>0.105</v>
      </c>
      <c r="U13" s="204">
        <f t="shared" si="1"/>
        <v>0.35499999999999998</v>
      </c>
      <c r="V13" s="189">
        <f t="shared" si="2"/>
        <v>0.15</v>
      </c>
      <c r="W13" s="253">
        <f t="shared" si="3"/>
        <v>0.15</v>
      </c>
      <c r="X13" s="204">
        <f t="shared" si="4"/>
        <v>0.28749999999999998</v>
      </c>
      <c r="Y13" s="204">
        <f t="shared" si="6"/>
        <v>0.12075</v>
      </c>
      <c r="Z13" s="204">
        <f t="shared" si="5"/>
        <v>0.41000000000000003</v>
      </c>
      <c r="AA13" s="206">
        <f>+Table1[[#This Row],[calculated sale price]]</f>
        <v>0.41000000000000003</v>
      </c>
      <c r="AB13" s="205"/>
      <c r="AC13" s="209"/>
    </row>
    <row r="14" spans="1:29" x14ac:dyDescent="0.25">
      <c r="A14" s="188">
        <v>1005</v>
      </c>
      <c r="B14" t="s">
        <v>309</v>
      </c>
      <c r="C14" s="188">
        <v>1</v>
      </c>
      <c r="I14" s="188"/>
      <c r="J14" s="188"/>
      <c r="K14" s="188"/>
      <c r="L14" s="199"/>
      <c r="M14" s="188"/>
      <c r="N14" s="200"/>
      <c r="O14" s="201">
        <v>2.87</v>
      </c>
      <c r="P14" s="201">
        <f>Table1[[#This Row],[unit cost]]</f>
        <v>2.87</v>
      </c>
      <c r="Q14" s="203">
        <v>4.25</v>
      </c>
      <c r="R14" s="188">
        <v>1</v>
      </c>
      <c r="S14" s="252">
        <f t="shared" si="0"/>
        <v>0.42</v>
      </c>
      <c r="T14" s="204">
        <f>Table1[[#This Row],[man minutes]]*Table1[[#This Row],[labor rate]]</f>
        <v>1.7849999999999999</v>
      </c>
      <c r="U14" s="204">
        <f t="shared" si="1"/>
        <v>4.6550000000000002</v>
      </c>
      <c r="V14" s="189">
        <f t="shared" si="2"/>
        <v>0.15</v>
      </c>
      <c r="W14" s="253">
        <f t="shared" si="3"/>
        <v>0.15</v>
      </c>
      <c r="X14" s="204">
        <f t="shared" si="4"/>
        <v>3.3005</v>
      </c>
      <c r="Y14" s="204">
        <f t="shared" si="6"/>
        <v>2.0527500000000001</v>
      </c>
      <c r="Z14" s="204">
        <f t="shared" si="5"/>
        <v>5.3599999999999994</v>
      </c>
      <c r="AA14" s="206">
        <f>+Table1[[#This Row],[calculated sale price]]</f>
        <v>5.3599999999999994</v>
      </c>
      <c r="AB14" s="205"/>
      <c r="AC14" s="209"/>
    </row>
    <row r="15" spans="1:29" x14ac:dyDescent="0.25">
      <c r="A15" s="188">
        <v>1006</v>
      </c>
      <c r="B15" t="s">
        <v>310</v>
      </c>
      <c r="C15" s="188">
        <v>1</v>
      </c>
      <c r="I15" s="188"/>
      <c r="J15" s="188"/>
      <c r="K15" s="188"/>
      <c r="L15" s="199"/>
      <c r="M15" s="188"/>
      <c r="N15" s="200"/>
      <c r="O15" s="201">
        <v>5.0599999999999996</v>
      </c>
      <c r="P15" s="201">
        <f>Table1[[#This Row],[unit cost]]</f>
        <v>5.0599999999999996</v>
      </c>
      <c r="Q15" s="203">
        <v>2.7</v>
      </c>
      <c r="R15" s="188">
        <v>1</v>
      </c>
      <c r="S15" s="252">
        <f t="shared" si="0"/>
        <v>0.42</v>
      </c>
      <c r="T15" s="204">
        <f>Table1[[#This Row],[man minutes]]*Table1[[#This Row],[labor rate]]</f>
        <v>1.1340000000000001</v>
      </c>
      <c r="U15" s="204">
        <f t="shared" si="1"/>
        <v>6.194</v>
      </c>
      <c r="V15" s="189">
        <f t="shared" si="2"/>
        <v>0.15</v>
      </c>
      <c r="W15" s="253">
        <f t="shared" si="3"/>
        <v>0.15</v>
      </c>
      <c r="X15" s="204">
        <f t="shared" si="4"/>
        <v>5.8189999999999991</v>
      </c>
      <c r="Y15" s="204">
        <f t="shared" si="6"/>
        <v>1.3041</v>
      </c>
      <c r="Z15" s="204">
        <f t="shared" si="5"/>
        <v>7.13</v>
      </c>
      <c r="AA15" s="206">
        <f>+Table1[[#This Row],[calculated sale price]]</f>
        <v>7.13</v>
      </c>
      <c r="AB15" s="205"/>
      <c r="AC15" s="209"/>
    </row>
    <row r="16" spans="1:29" x14ac:dyDescent="0.25">
      <c r="A16" s="188">
        <v>1007</v>
      </c>
      <c r="B16" t="s">
        <v>311</v>
      </c>
      <c r="C16" s="188">
        <v>1</v>
      </c>
      <c r="I16" s="188"/>
      <c r="J16" s="188"/>
      <c r="K16" s="188"/>
      <c r="L16" s="199"/>
      <c r="M16" s="188"/>
      <c r="N16" s="200"/>
      <c r="O16" s="201">
        <v>2.95</v>
      </c>
      <c r="P16" s="201">
        <f>Table1[[#This Row],[unit cost]]</f>
        <v>2.95</v>
      </c>
      <c r="Q16" s="203">
        <v>3.75</v>
      </c>
      <c r="R16" s="188">
        <v>1</v>
      </c>
      <c r="S16" s="252">
        <f t="shared" si="0"/>
        <v>0.42</v>
      </c>
      <c r="T16" s="204">
        <f>Table1[[#This Row],[man minutes]]*Table1[[#This Row],[labor rate]]</f>
        <v>1.575</v>
      </c>
      <c r="U16" s="204">
        <f t="shared" ref="U16:U23" si="7">P16+T16</f>
        <v>4.5250000000000004</v>
      </c>
      <c r="V16" s="189">
        <f t="shared" ref="V16:V79" si="8">$V$2</f>
        <v>0.15</v>
      </c>
      <c r="W16" s="253">
        <f t="shared" si="3"/>
        <v>0.15</v>
      </c>
      <c r="X16" s="204">
        <f t="shared" si="4"/>
        <v>3.3925000000000001</v>
      </c>
      <c r="Y16" s="204">
        <f t="shared" ref="Y16:Y23" si="9">T16+(T16*W16)</f>
        <v>1.81125</v>
      </c>
      <c r="Z16" s="204">
        <f t="shared" ref="Z16:Z23" si="10">IFERROR(ROUNDUP(X16+Y16,2)," ")</f>
        <v>5.21</v>
      </c>
      <c r="AA16" s="206">
        <f>+Table1[[#This Row],[calculated sale price]]</f>
        <v>5.21</v>
      </c>
      <c r="AB16" s="205"/>
      <c r="AC16" s="209"/>
    </row>
    <row r="17" spans="1:29" x14ac:dyDescent="0.25">
      <c r="A17" s="188">
        <v>1008</v>
      </c>
      <c r="B17" t="s">
        <v>312</v>
      </c>
      <c r="C17" s="188">
        <v>1</v>
      </c>
      <c r="I17" s="188"/>
      <c r="J17" s="188"/>
      <c r="K17" s="188"/>
      <c r="L17" s="199"/>
      <c r="M17" s="188"/>
      <c r="N17" s="200"/>
      <c r="O17" s="201">
        <v>1.59</v>
      </c>
      <c r="P17" s="201">
        <f>Table1[[#This Row],[unit cost]]</f>
        <v>1.59</v>
      </c>
      <c r="Q17" s="203">
        <v>4</v>
      </c>
      <c r="R17" s="188">
        <v>1</v>
      </c>
      <c r="S17" s="252">
        <f t="shared" si="0"/>
        <v>0.42</v>
      </c>
      <c r="T17" s="204">
        <f>Table1[[#This Row],[man minutes]]*Table1[[#This Row],[labor rate]]</f>
        <v>1.68</v>
      </c>
      <c r="U17" s="204">
        <f t="shared" si="7"/>
        <v>3.27</v>
      </c>
      <c r="V17" s="189">
        <f t="shared" si="8"/>
        <v>0.15</v>
      </c>
      <c r="W17" s="253">
        <f t="shared" si="3"/>
        <v>0.15</v>
      </c>
      <c r="X17" s="204">
        <f t="shared" si="4"/>
        <v>1.8285</v>
      </c>
      <c r="Y17" s="204">
        <f t="shared" si="9"/>
        <v>1.9319999999999999</v>
      </c>
      <c r="Z17" s="204">
        <f t="shared" si="10"/>
        <v>3.7699999999999996</v>
      </c>
      <c r="AA17" s="206">
        <f>+Table1[[#This Row],[calculated sale price]]</f>
        <v>3.7699999999999996</v>
      </c>
      <c r="AB17" s="205"/>
      <c r="AC17" s="209"/>
    </row>
    <row r="18" spans="1:29" x14ac:dyDescent="0.25">
      <c r="A18" s="188">
        <v>1009</v>
      </c>
      <c r="B18" t="s">
        <v>313</v>
      </c>
      <c r="C18" s="188">
        <v>1</v>
      </c>
      <c r="I18" s="188"/>
      <c r="J18" s="188"/>
      <c r="K18" s="188"/>
      <c r="L18" s="199"/>
      <c r="M18" s="188"/>
      <c r="N18" s="200"/>
      <c r="O18" s="201">
        <v>4.28</v>
      </c>
      <c r="P18" s="201">
        <f>Table1[[#This Row],[unit cost]]</f>
        <v>4.28</v>
      </c>
      <c r="Q18" s="203">
        <v>4.25</v>
      </c>
      <c r="R18" s="188">
        <v>1</v>
      </c>
      <c r="S18" s="252">
        <f t="shared" si="0"/>
        <v>0.42</v>
      </c>
      <c r="T18" s="204">
        <f>Table1[[#This Row],[man minutes]]*Table1[[#This Row],[labor rate]]</f>
        <v>1.7849999999999999</v>
      </c>
      <c r="U18" s="204">
        <f t="shared" si="7"/>
        <v>6.0650000000000004</v>
      </c>
      <c r="V18" s="189">
        <f t="shared" si="8"/>
        <v>0.15</v>
      </c>
      <c r="W18" s="253">
        <f t="shared" si="3"/>
        <v>0.15</v>
      </c>
      <c r="X18" s="204">
        <f t="shared" si="4"/>
        <v>4.9219999999999997</v>
      </c>
      <c r="Y18" s="204">
        <f t="shared" si="9"/>
        <v>2.0527500000000001</v>
      </c>
      <c r="Z18" s="204">
        <f t="shared" si="10"/>
        <v>6.9799999999999995</v>
      </c>
      <c r="AA18" s="206">
        <f>+Table1[[#This Row],[calculated sale price]]</f>
        <v>6.9799999999999995</v>
      </c>
      <c r="AB18" s="205"/>
      <c r="AC18" s="209"/>
    </row>
    <row r="19" spans="1:29" x14ac:dyDescent="0.25">
      <c r="A19" s="188">
        <v>1010</v>
      </c>
      <c r="B19" t="s">
        <v>314</v>
      </c>
      <c r="C19" s="188">
        <v>1</v>
      </c>
      <c r="I19" s="188"/>
      <c r="J19" s="188"/>
      <c r="K19" s="188"/>
      <c r="L19" s="199"/>
      <c r="M19" s="188"/>
      <c r="N19" s="200"/>
      <c r="O19" s="201">
        <v>9.3000000000000007</v>
      </c>
      <c r="P19" s="201">
        <f>Table1[[#This Row],[unit cost]]</f>
        <v>9.3000000000000007</v>
      </c>
      <c r="Q19" s="203">
        <v>7.5</v>
      </c>
      <c r="R19" s="188">
        <v>1</v>
      </c>
      <c r="S19" s="252">
        <f t="shared" si="0"/>
        <v>0.42</v>
      </c>
      <c r="T19" s="204">
        <f>Table1[[#This Row],[man minutes]]*Table1[[#This Row],[labor rate]]</f>
        <v>3.15</v>
      </c>
      <c r="U19" s="204">
        <f t="shared" si="7"/>
        <v>12.450000000000001</v>
      </c>
      <c r="V19" s="189">
        <f t="shared" si="8"/>
        <v>0.15</v>
      </c>
      <c r="W19" s="253">
        <f t="shared" si="3"/>
        <v>0.15</v>
      </c>
      <c r="X19" s="204">
        <f t="shared" si="4"/>
        <v>10.695</v>
      </c>
      <c r="Y19" s="204">
        <f t="shared" si="9"/>
        <v>3.6225000000000001</v>
      </c>
      <c r="Z19" s="204">
        <f t="shared" si="10"/>
        <v>14.32</v>
      </c>
      <c r="AA19" s="206">
        <f>+Table1[[#This Row],[calculated sale price]]</f>
        <v>14.32</v>
      </c>
      <c r="AB19" s="205"/>
      <c r="AC19" s="209"/>
    </row>
    <row r="20" spans="1:29" x14ac:dyDescent="0.25">
      <c r="A20" s="188">
        <v>1011</v>
      </c>
      <c r="B20" t="s">
        <v>390</v>
      </c>
      <c r="C20" s="188">
        <v>1</v>
      </c>
      <c r="I20" s="188"/>
      <c r="J20" s="188"/>
      <c r="K20" s="188"/>
      <c r="L20" s="199"/>
      <c r="M20" s="188"/>
      <c r="N20" s="200"/>
      <c r="O20" s="201">
        <v>3.41</v>
      </c>
      <c r="P20" s="201">
        <f>Table1[[#This Row],[unit cost]]</f>
        <v>3.41</v>
      </c>
      <c r="Q20" s="203">
        <v>4.25</v>
      </c>
      <c r="R20" s="188">
        <v>1</v>
      </c>
      <c r="S20" s="252">
        <f t="shared" si="0"/>
        <v>0.42</v>
      </c>
      <c r="T20" s="204">
        <f>Table1[[#This Row],[man minutes]]*Table1[[#This Row],[labor rate]]</f>
        <v>1.7849999999999999</v>
      </c>
      <c r="U20" s="204">
        <f t="shared" si="7"/>
        <v>5.1950000000000003</v>
      </c>
      <c r="V20" s="189">
        <f t="shared" si="8"/>
        <v>0.15</v>
      </c>
      <c r="W20" s="253">
        <f t="shared" si="3"/>
        <v>0.15</v>
      </c>
      <c r="X20" s="204">
        <f t="shared" si="4"/>
        <v>3.9215</v>
      </c>
      <c r="Y20" s="204">
        <f t="shared" si="9"/>
        <v>2.0527500000000001</v>
      </c>
      <c r="Z20" s="204">
        <f t="shared" si="10"/>
        <v>5.9799999999999995</v>
      </c>
      <c r="AA20" s="206">
        <f>+Table1[[#This Row],[calculated sale price]]</f>
        <v>5.9799999999999995</v>
      </c>
      <c r="AB20" s="205"/>
      <c r="AC20" s="209"/>
    </row>
    <row r="21" spans="1:29" x14ac:dyDescent="0.25">
      <c r="A21" s="188">
        <v>1012</v>
      </c>
      <c r="B21" t="s">
        <v>315</v>
      </c>
      <c r="C21" s="188">
        <v>1</v>
      </c>
      <c r="I21" s="188"/>
      <c r="J21" s="188"/>
      <c r="K21" s="188"/>
      <c r="L21" s="199"/>
      <c r="M21" s="188"/>
      <c r="N21" s="200"/>
      <c r="O21" s="201">
        <v>0.98</v>
      </c>
      <c r="P21" s="201">
        <f>Table1[[#This Row],[unit cost]]</f>
        <v>0.98</v>
      </c>
      <c r="Q21" s="203">
        <v>2</v>
      </c>
      <c r="R21" s="188">
        <v>1</v>
      </c>
      <c r="S21" s="252">
        <f t="shared" si="0"/>
        <v>0.42</v>
      </c>
      <c r="T21" s="204">
        <f>Table1[[#This Row],[man minutes]]*Table1[[#This Row],[labor rate]]</f>
        <v>0.84</v>
      </c>
      <c r="U21" s="204">
        <f t="shared" si="7"/>
        <v>1.8199999999999998</v>
      </c>
      <c r="V21" s="189">
        <f t="shared" si="8"/>
        <v>0.15</v>
      </c>
      <c r="W21" s="253">
        <f t="shared" si="3"/>
        <v>0.15</v>
      </c>
      <c r="X21" s="204">
        <f t="shared" si="4"/>
        <v>1.127</v>
      </c>
      <c r="Y21" s="204">
        <f t="shared" si="9"/>
        <v>0.96599999999999997</v>
      </c>
      <c r="Z21" s="204">
        <f t="shared" si="10"/>
        <v>2.0999999999999996</v>
      </c>
      <c r="AA21" s="206">
        <f>+Table1[[#This Row],[calculated sale price]]</f>
        <v>2.0999999999999996</v>
      </c>
      <c r="AB21" s="205"/>
      <c r="AC21" s="209"/>
    </row>
    <row r="22" spans="1:29" x14ac:dyDescent="0.25">
      <c r="A22" s="188">
        <v>1013</v>
      </c>
      <c r="B22" t="s">
        <v>318</v>
      </c>
      <c r="C22" s="188">
        <v>1</v>
      </c>
      <c r="I22" s="188"/>
      <c r="J22" s="188"/>
      <c r="K22" s="188"/>
      <c r="L22" s="199"/>
      <c r="M22" s="188"/>
      <c r="N22" s="200"/>
      <c r="O22" s="201">
        <v>1.1599999999999999</v>
      </c>
      <c r="P22" s="201">
        <f>Table1[[#This Row],[unit cost]]</f>
        <v>1.1599999999999999</v>
      </c>
      <c r="Q22" s="203">
        <v>1.5</v>
      </c>
      <c r="R22" s="188">
        <v>1</v>
      </c>
      <c r="S22" s="252">
        <f t="shared" si="0"/>
        <v>0.42</v>
      </c>
      <c r="T22" s="204">
        <f>Table1[[#This Row],[man minutes]]*Table1[[#This Row],[labor rate]]</f>
        <v>0.63</v>
      </c>
      <c r="U22" s="204">
        <f t="shared" si="7"/>
        <v>1.79</v>
      </c>
      <c r="V22" s="189">
        <f t="shared" si="8"/>
        <v>0.15</v>
      </c>
      <c r="W22" s="253">
        <f t="shared" si="3"/>
        <v>0.15</v>
      </c>
      <c r="X22" s="204">
        <f t="shared" si="4"/>
        <v>1.3339999999999999</v>
      </c>
      <c r="Y22" s="204">
        <f t="shared" si="9"/>
        <v>0.72450000000000003</v>
      </c>
      <c r="Z22" s="204">
        <f t="shared" si="10"/>
        <v>2.0599999999999996</v>
      </c>
      <c r="AA22" s="206">
        <f>+Table1[[#This Row],[calculated sale price]]</f>
        <v>2.0599999999999996</v>
      </c>
      <c r="AB22" s="205"/>
      <c r="AC22" s="209"/>
    </row>
    <row r="23" spans="1:29" x14ac:dyDescent="0.25">
      <c r="A23" s="188">
        <v>1014</v>
      </c>
      <c r="B23" t="s">
        <v>316</v>
      </c>
      <c r="C23" s="188">
        <v>1</v>
      </c>
      <c r="I23" s="188"/>
      <c r="J23" s="188"/>
      <c r="K23" s="188"/>
      <c r="L23" s="199"/>
      <c r="M23" s="188"/>
      <c r="N23" s="200"/>
      <c r="O23" s="201">
        <v>0.88</v>
      </c>
      <c r="P23" s="201">
        <f>Table1[[#This Row],[unit cost]]</f>
        <v>0.88</v>
      </c>
      <c r="Q23" s="203">
        <v>1.5</v>
      </c>
      <c r="R23" s="188">
        <v>1</v>
      </c>
      <c r="S23" s="252">
        <f t="shared" si="0"/>
        <v>0.42</v>
      </c>
      <c r="T23" s="204">
        <f>Table1[[#This Row],[man minutes]]*Table1[[#This Row],[labor rate]]</f>
        <v>0.63</v>
      </c>
      <c r="U23" s="204">
        <f t="shared" si="7"/>
        <v>1.51</v>
      </c>
      <c r="V23" s="189">
        <f t="shared" si="8"/>
        <v>0.15</v>
      </c>
      <c r="W23" s="253">
        <f t="shared" si="3"/>
        <v>0.15</v>
      </c>
      <c r="X23" s="204">
        <f t="shared" si="4"/>
        <v>1.012</v>
      </c>
      <c r="Y23" s="204">
        <f t="shared" si="9"/>
        <v>0.72450000000000003</v>
      </c>
      <c r="Z23" s="204">
        <f t="shared" si="10"/>
        <v>1.74</v>
      </c>
      <c r="AA23" s="206">
        <f>+Table1[[#This Row],[calculated sale price]]</f>
        <v>1.74</v>
      </c>
      <c r="AB23" s="205"/>
      <c r="AC23" s="209"/>
    </row>
    <row r="24" spans="1:29" x14ac:dyDescent="0.25">
      <c r="A24" s="188">
        <v>1015</v>
      </c>
      <c r="B24" t="s">
        <v>317</v>
      </c>
      <c r="C24" s="188">
        <v>1</v>
      </c>
      <c r="I24" s="188"/>
      <c r="J24" s="188"/>
      <c r="K24" s="188"/>
      <c r="L24" s="199"/>
      <c r="M24" s="188"/>
      <c r="N24" s="200"/>
      <c r="O24" s="201">
        <v>2.56</v>
      </c>
      <c r="P24" s="201">
        <f>Table1[[#This Row],[unit cost]]</f>
        <v>2.56</v>
      </c>
      <c r="Q24" s="203">
        <v>1.25</v>
      </c>
      <c r="R24" s="188">
        <v>1</v>
      </c>
      <c r="S24" s="252">
        <f t="shared" si="0"/>
        <v>0.42</v>
      </c>
      <c r="T24" s="204">
        <f>Table1[[#This Row],[man minutes]]*Table1[[#This Row],[labor rate]]</f>
        <v>0.52500000000000002</v>
      </c>
      <c r="U24" s="204">
        <f t="shared" ref="U24:U87" si="11">P24+T24</f>
        <v>3.085</v>
      </c>
      <c r="V24" s="189">
        <f t="shared" si="8"/>
        <v>0.15</v>
      </c>
      <c r="W24" s="253">
        <f t="shared" si="3"/>
        <v>0.15</v>
      </c>
      <c r="X24" s="204">
        <f t="shared" ref="X24:X87" si="12">P24*(1+V24)</f>
        <v>2.944</v>
      </c>
      <c r="Y24" s="204">
        <f t="shared" ref="Y24:Y87" si="13">T24+(T24*W24)</f>
        <v>0.60375000000000001</v>
      </c>
      <c r="Z24" s="204">
        <f t="shared" ref="Z24:Z87" si="14">IFERROR(ROUNDUP(X24+Y24,2)," ")</f>
        <v>3.55</v>
      </c>
      <c r="AA24" s="206">
        <f>+Table1[[#This Row],[calculated sale price]]</f>
        <v>3.55</v>
      </c>
      <c r="AB24" s="205"/>
      <c r="AC24" s="209"/>
    </row>
    <row r="25" spans="1:29" x14ac:dyDescent="0.25">
      <c r="A25" s="188">
        <v>1016</v>
      </c>
      <c r="B25" t="s">
        <v>319</v>
      </c>
      <c r="C25" s="188">
        <v>1</v>
      </c>
      <c r="I25" s="188"/>
      <c r="J25" s="188"/>
      <c r="K25" s="188"/>
      <c r="L25" s="199"/>
      <c r="M25" s="188"/>
      <c r="N25" s="200"/>
      <c r="O25" s="201">
        <v>2.81</v>
      </c>
      <c r="P25" s="201">
        <f>Table1[[#This Row],[unit cost]]</f>
        <v>2.81</v>
      </c>
      <c r="Q25" s="203">
        <v>2.5</v>
      </c>
      <c r="R25" s="188">
        <v>1</v>
      </c>
      <c r="S25" s="252">
        <f t="shared" si="0"/>
        <v>0.42</v>
      </c>
      <c r="T25" s="204">
        <f>Table1[[#This Row],[man minutes]]*Table1[[#This Row],[labor rate]]</f>
        <v>1.05</v>
      </c>
      <c r="U25" s="204">
        <f t="shared" si="11"/>
        <v>3.8600000000000003</v>
      </c>
      <c r="V25" s="189">
        <f t="shared" si="8"/>
        <v>0.15</v>
      </c>
      <c r="W25" s="253">
        <f t="shared" si="3"/>
        <v>0.15</v>
      </c>
      <c r="X25" s="204">
        <f t="shared" si="12"/>
        <v>3.2314999999999996</v>
      </c>
      <c r="Y25" s="204">
        <f t="shared" si="13"/>
        <v>1.2075</v>
      </c>
      <c r="Z25" s="204">
        <f t="shared" si="14"/>
        <v>4.4399999999999995</v>
      </c>
      <c r="AA25" s="206">
        <f>+Table1[[#This Row],[calculated sale price]]</f>
        <v>4.4399999999999995</v>
      </c>
      <c r="AB25" s="205"/>
      <c r="AC25" s="209"/>
    </row>
    <row r="26" spans="1:29" x14ac:dyDescent="0.25">
      <c r="A26" s="188">
        <v>1017</v>
      </c>
      <c r="B26" t="s">
        <v>320</v>
      </c>
      <c r="C26" s="188">
        <v>1</v>
      </c>
      <c r="I26" s="188"/>
      <c r="J26" s="188"/>
      <c r="K26" s="188"/>
      <c r="L26" s="199"/>
      <c r="M26" s="188"/>
      <c r="N26" s="200"/>
      <c r="O26" s="201">
        <v>4.71</v>
      </c>
      <c r="P26" s="201">
        <f>Table1[[#This Row],[unit cost]]</f>
        <v>4.71</v>
      </c>
      <c r="Q26" s="203">
        <v>4.25</v>
      </c>
      <c r="R26" s="188">
        <v>1</v>
      </c>
      <c r="S26" s="252">
        <f t="shared" si="0"/>
        <v>0.42</v>
      </c>
      <c r="T26" s="204">
        <f>Table1[[#This Row],[man minutes]]*Table1[[#This Row],[labor rate]]</f>
        <v>1.7849999999999999</v>
      </c>
      <c r="U26" s="204">
        <f t="shared" si="11"/>
        <v>6.4950000000000001</v>
      </c>
      <c r="V26" s="189">
        <f t="shared" si="8"/>
        <v>0.15</v>
      </c>
      <c r="W26" s="253">
        <f t="shared" si="3"/>
        <v>0.15</v>
      </c>
      <c r="X26" s="204">
        <f t="shared" si="12"/>
        <v>5.4164999999999992</v>
      </c>
      <c r="Y26" s="204">
        <f t="shared" si="13"/>
        <v>2.0527500000000001</v>
      </c>
      <c r="Z26" s="204">
        <f t="shared" si="14"/>
        <v>7.47</v>
      </c>
      <c r="AA26" s="206">
        <f>+Table1[[#This Row],[calculated sale price]]</f>
        <v>7.47</v>
      </c>
      <c r="AB26" s="205"/>
      <c r="AC26" s="209"/>
    </row>
    <row r="27" spans="1:29" x14ac:dyDescent="0.25">
      <c r="A27" s="188">
        <v>1018</v>
      </c>
      <c r="B27" t="s">
        <v>321</v>
      </c>
      <c r="C27" s="188">
        <v>1</v>
      </c>
      <c r="I27" s="188"/>
      <c r="J27" s="188"/>
      <c r="K27" s="188"/>
      <c r="L27" s="199"/>
      <c r="M27" s="188"/>
      <c r="N27" s="200"/>
      <c r="O27" s="201">
        <v>2.29</v>
      </c>
      <c r="P27" s="201">
        <f>Table1[[#This Row],[unit cost]]</f>
        <v>2.29</v>
      </c>
      <c r="Q27" s="203">
        <v>4.5</v>
      </c>
      <c r="R27" s="188">
        <v>1</v>
      </c>
      <c r="S27" s="252">
        <f t="shared" si="0"/>
        <v>0.42</v>
      </c>
      <c r="T27" s="204">
        <f>Table1[[#This Row],[man minutes]]*Table1[[#This Row],[labor rate]]</f>
        <v>1.89</v>
      </c>
      <c r="U27" s="204">
        <f t="shared" si="11"/>
        <v>4.18</v>
      </c>
      <c r="V27" s="189">
        <f t="shared" si="8"/>
        <v>0.15</v>
      </c>
      <c r="W27" s="253">
        <f t="shared" si="3"/>
        <v>0.15</v>
      </c>
      <c r="X27" s="204">
        <f t="shared" si="12"/>
        <v>2.6334999999999997</v>
      </c>
      <c r="Y27" s="204">
        <f t="shared" si="13"/>
        <v>2.1734999999999998</v>
      </c>
      <c r="Z27" s="204">
        <f t="shared" si="14"/>
        <v>4.8099999999999996</v>
      </c>
      <c r="AA27" s="206">
        <f>+Table1[[#This Row],[calculated sale price]]</f>
        <v>4.8099999999999996</v>
      </c>
      <c r="AB27" s="205"/>
      <c r="AC27" s="209"/>
    </row>
    <row r="28" spans="1:29" x14ac:dyDescent="0.25">
      <c r="A28" s="188">
        <v>1019</v>
      </c>
      <c r="B28" t="s">
        <v>322</v>
      </c>
      <c r="C28" s="188">
        <v>1</v>
      </c>
      <c r="I28" s="188"/>
      <c r="J28" s="188"/>
      <c r="K28" s="188"/>
      <c r="L28" s="199"/>
      <c r="M28" s="188"/>
      <c r="N28" s="200"/>
      <c r="O28" s="201">
        <v>2.15</v>
      </c>
      <c r="P28" s="201">
        <f>Table1[[#This Row],[unit cost]]</f>
        <v>2.15</v>
      </c>
      <c r="Q28" s="203">
        <v>3.25</v>
      </c>
      <c r="R28" s="188">
        <v>1</v>
      </c>
      <c r="S28" s="252">
        <f t="shared" si="0"/>
        <v>0.42</v>
      </c>
      <c r="T28" s="204">
        <f>Table1[[#This Row],[man minutes]]*Table1[[#This Row],[labor rate]]</f>
        <v>1.365</v>
      </c>
      <c r="U28" s="204">
        <f t="shared" si="11"/>
        <v>3.5149999999999997</v>
      </c>
      <c r="V28" s="189">
        <f t="shared" si="8"/>
        <v>0.15</v>
      </c>
      <c r="W28" s="253">
        <f t="shared" si="3"/>
        <v>0.15</v>
      </c>
      <c r="X28" s="204">
        <f t="shared" si="12"/>
        <v>2.4724999999999997</v>
      </c>
      <c r="Y28" s="204">
        <f t="shared" si="13"/>
        <v>1.56975</v>
      </c>
      <c r="Z28" s="204">
        <f t="shared" si="14"/>
        <v>4.05</v>
      </c>
      <c r="AA28" s="206">
        <f>+Table1[[#This Row],[calculated sale price]]</f>
        <v>4.05</v>
      </c>
      <c r="AB28" s="205"/>
      <c r="AC28" s="209"/>
    </row>
    <row r="29" spans="1:29" x14ac:dyDescent="0.25">
      <c r="A29" s="188">
        <v>1020</v>
      </c>
      <c r="B29" t="s">
        <v>323</v>
      </c>
      <c r="C29" s="188">
        <v>1</v>
      </c>
      <c r="I29" s="188"/>
      <c r="J29" s="188"/>
      <c r="K29" s="188"/>
      <c r="L29" s="199"/>
      <c r="M29" s="188"/>
      <c r="N29" s="200"/>
      <c r="O29" s="201">
        <v>2</v>
      </c>
      <c r="P29" s="201">
        <f>Table1[[#This Row],[unit cost]]</f>
        <v>2</v>
      </c>
      <c r="Q29" s="203">
        <v>1.5</v>
      </c>
      <c r="R29" s="188">
        <v>1</v>
      </c>
      <c r="S29" s="252">
        <f t="shared" si="0"/>
        <v>0.42</v>
      </c>
      <c r="T29" s="204">
        <f>Table1[[#This Row],[man minutes]]*Table1[[#This Row],[labor rate]]</f>
        <v>0.63</v>
      </c>
      <c r="U29" s="204">
        <f t="shared" si="11"/>
        <v>2.63</v>
      </c>
      <c r="V29" s="189">
        <f t="shared" si="8"/>
        <v>0.15</v>
      </c>
      <c r="W29" s="253">
        <f t="shared" si="3"/>
        <v>0.15</v>
      </c>
      <c r="X29" s="204">
        <f t="shared" si="12"/>
        <v>2.2999999999999998</v>
      </c>
      <c r="Y29" s="204">
        <f t="shared" si="13"/>
        <v>0.72450000000000003</v>
      </c>
      <c r="Z29" s="204">
        <f t="shared" si="14"/>
        <v>3.03</v>
      </c>
      <c r="AA29" s="206">
        <f>+Table1[[#This Row],[calculated sale price]]</f>
        <v>3.03</v>
      </c>
      <c r="AB29" s="205"/>
      <c r="AC29" s="209"/>
    </row>
    <row r="30" spans="1:29" x14ac:dyDescent="0.25">
      <c r="A30" s="188">
        <v>1021</v>
      </c>
      <c r="B30" t="s">
        <v>324</v>
      </c>
      <c r="C30" s="188">
        <v>1</v>
      </c>
      <c r="I30" s="188"/>
      <c r="J30" s="188"/>
      <c r="K30" s="188"/>
      <c r="L30" s="199"/>
      <c r="M30" s="188"/>
      <c r="N30" s="200"/>
      <c r="O30" s="201">
        <v>1.18</v>
      </c>
      <c r="P30" s="201">
        <f>Table1[[#This Row],[unit cost]]</f>
        <v>1.18</v>
      </c>
      <c r="Q30" s="203">
        <v>2</v>
      </c>
      <c r="R30" s="188">
        <v>1</v>
      </c>
      <c r="S30" s="252">
        <f t="shared" si="0"/>
        <v>0.42</v>
      </c>
      <c r="T30" s="204">
        <f>Table1[[#This Row],[man minutes]]*Table1[[#This Row],[labor rate]]</f>
        <v>0.84</v>
      </c>
      <c r="U30" s="204">
        <f t="shared" si="11"/>
        <v>2.02</v>
      </c>
      <c r="V30" s="189">
        <f t="shared" si="8"/>
        <v>0.15</v>
      </c>
      <c r="W30" s="253">
        <f t="shared" si="3"/>
        <v>0.15</v>
      </c>
      <c r="X30" s="204">
        <f t="shared" si="12"/>
        <v>1.3569999999999998</v>
      </c>
      <c r="Y30" s="204">
        <f t="shared" si="13"/>
        <v>0.96599999999999997</v>
      </c>
      <c r="Z30" s="204">
        <f t="shared" si="14"/>
        <v>2.3299999999999996</v>
      </c>
      <c r="AA30" s="206">
        <f>+Table1[[#This Row],[calculated sale price]]</f>
        <v>2.3299999999999996</v>
      </c>
      <c r="AB30" s="205"/>
      <c r="AC30" s="209"/>
    </row>
    <row r="31" spans="1:29" x14ac:dyDescent="0.25">
      <c r="A31" s="188">
        <v>1022</v>
      </c>
      <c r="B31" t="s">
        <v>325</v>
      </c>
      <c r="C31" s="188">
        <v>1</v>
      </c>
      <c r="I31" s="188"/>
      <c r="J31" s="188"/>
      <c r="K31" s="188"/>
      <c r="L31" s="199"/>
      <c r="M31" s="188"/>
      <c r="N31" s="200"/>
      <c r="O31" s="201">
        <v>0.44</v>
      </c>
      <c r="P31" s="201">
        <f>Table1[[#This Row],[unit cost]]</f>
        <v>0.44</v>
      </c>
      <c r="Q31" s="203">
        <v>0.5</v>
      </c>
      <c r="R31" s="188">
        <v>1</v>
      </c>
      <c r="S31" s="252">
        <f t="shared" si="0"/>
        <v>0.42</v>
      </c>
      <c r="T31" s="204">
        <f>Table1[[#This Row],[man minutes]]*Table1[[#This Row],[labor rate]]</f>
        <v>0.21</v>
      </c>
      <c r="U31" s="204">
        <f t="shared" si="11"/>
        <v>0.65</v>
      </c>
      <c r="V31" s="189">
        <f t="shared" si="8"/>
        <v>0.15</v>
      </c>
      <c r="W31" s="253">
        <f t="shared" si="3"/>
        <v>0.15</v>
      </c>
      <c r="X31" s="204">
        <f t="shared" si="12"/>
        <v>0.50600000000000001</v>
      </c>
      <c r="Y31" s="204">
        <f t="shared" si="13"/>
        <v>0.24149999999999999</v>
      </c>
      <c r="Z31" s="204">
        <f t="shared" si="14"/>
        <v>0.75</v>
      </c>
      <c r="AA31" s="206">
        <f>+Table1[[#This Row],[calculated sale price]]</f>
        <v>0.75</v>
      </c>
      <c r="AB31" s="205"/>
      <c r="AC31" s="209"/>
    </row>
    <row r="32" spans="1:29" x14ac:dyDescent="0.25">
      <c r="A32" s="188">
        <v>1023</v>
      </c>
      <c r="B32" t="s">
        <v>326</v>
      </c>
      <c r="C32" s="188">
        <v>1</v>
      </c>
      <c r="I32" s="188"/>
      <c r="J32" s="188"/>
      <c r="K32" s="188"/>
      <c r="L32" s="199"/>
      <c r="M32" s="188"/>
      <c r="N32" s="200"/>
      <c r="O32" s="201">
        <v>0.78</v>
      </c>
      <c r="P32" s="201">
        <f>Table1[[#This Row],[unit cost]]</f>
        <v>0.78</v>
      </c>
      <c r="Q32" s="203">
        <v>0.75</v>
      </c>
      <c r="R32" s="188">
        <v>1</v>
      </c>
      <c r="S32" s="252">
        <f t="shared" si="0"/>
        <v>0.42</v>
      </c>
      <c r="T32" s="204">
        <f>Table1[[#This Row],[man minutes]]*Table1[[#This Row],[labor rate]]</f>
        <v>0.315</v>
      </c>
      <c r="U32" s="204">
        <f t="shared" si="11"/>
        <v>1.095</v>
      </c>
      <c r="V32" s="189">
        <f t="shared" si="8"/>
        <v>0.15</v>
      </c>
      <c r="W32" s="253">
        <f t="shared" si="3"/>
        <v>0.15</v>
      </c>
      <c r="X32" s="204">
        <f t="shared" si="12"/>
        <v>0.89699999999999991</v>
      </c>
      <c r="Y32" s="204">
        <f t="shared" si="13"/>
        <v>0.36225000000000002</v>
      </c>
      <c r="Z32" s="204">
        <f t="shared" si="14"/>
        <v>1.26</v>
      </c>
      <c r="AA32" s="206">
        <f>+Table1[[#This Row],[calculated sale price]]</f>
        <v>1.26</v>
      </c>
      <c r="AB32" s="205"/>
      <c r="AC32" s="209"/>
    </row>
    <row r="33" spans="1:29" x14ac:dyDescent="0.25">
      <c r="A33" s="188">
        <v>1024</v>
      </c>
      <c r="B33" t="s">
        <v>327</v>
      </c>
      <c r="C33" s="188">
        <v>1</v>
      </c>
      <c r="I33" s="188"/>
      <c r="J33" s="188"/>
      <c r="K33" s="188"/>
      <c r="L33" s="199"/>
      <c r="M33" s="188"/>
      <c r="N33" s="200"/>
      <c r="O33" s="201">
        <v>0.85</v>
      </c>
      <c r="P33" s="201">
        <f>Table1[[#This Row],[unit cost]]</f>
        <v>0.85</v>
      </c>
      <c r="Q33" s="203">
        <v>1</v>
      </c>
      <c r="R33" s="188">
        <v>1</v>
      </c>
      <c r="S33" s="252">
        <f t="shared" si="0"/>
        <v>0.42</v>
      </c>
      <c r="T33" s="204">
        <f>Table1[[#This Row],[man minutes]]*Table1[[#This Row],[labor rate]]</f>
        <v>0.42</v>
      </c>
      <c r="U33" s="204">
        <f t="shared" si="11"/>
        <v>1.27</v>
      </c>
      <c r="V33" s="189">
        <f t="shared" si="8"/>
        <v>0.15</v>
      </c>
      <c r="W33" s="253">
        <f t="shared" si="3"/>
        <v>0.15</v>
      </c>
      <c r="X33" s="204">
        <f t="shared" si="12"/>
        <v>0.97749999999999992</v>
      </c>
      <c r="Y33" s="204">
        <f t="shared" si="13"/>
        <v>0.48299999999999998</v>
      </c>
      <c r="Z33" s="204">
        <f t="shared" si="14"/>
        <v>1.47</v>
      </c>
      <c r="AA33" s="206">
        <f>+Table1[[#This Row],[calculated sale price]]</f>
        <v>1.47</v>
      </c>
      <c r="AB33" s="205"/>
      <c r="AC33" s="209"/>
    </row>
    <row r="34" spans="1:29" x14ac:dyDescent="0.25">
      <c r="A34" s="188">
        <v>1025</v>
      </c>
      <c r="B34" s="336" t="s">
        <v>328</v>
      </c>
      <c r="C34" s="188">
        <v>1</v>
      </c>
      <c r="I34" s="188"/>
      <c r="J34" s="188"/>
      <c r="K34" s="188"/>
      <c r="L34" s="199"/>
      <c r="M34" s="188"/>
      <c r="N34" s="200"/>
      <c r="O34" s="201">
        <v>0.69</v>
      </c>
      <c r="P34" s="201">
        <f>Table1[[#This Row],[unit cost]]</f>
        <v>0.69</v>
      </c>
      <c r="Q34" s="203">
        <v>0.25</v>
      </c>
      <c r="R34" s="188">
        <v>1</v>
      </c>
      <c r="S34" s="252">
        <f t="shared" si="0"/>
        <v>0.42</v>
      </c>
      <c r="T34" s="204">
        <f>Table1[[#This Row],[man minutes]]*Table1[[#This Row],[labor rate]]</f>
        <v>0.105</v>
      </c>
      <c r="U34" s="204">
        <f t="shared" si="11"/>
        <v>0.79499999999999993</v>
      </c>
      <c r="V34" s="189">
        <f t="shared" si="8"/>
        <v>0.15</v>
      </c>
      <c r="W34" s="253">
        <f t="shared" si="3"/>
        <v>0.15</v>
      </c>
      <c r="X34" s="204">
        <f t="shared" si="12"/>
        <v>0.79349999999999987</v>
      </c>
      <c r="Y34" s="204">
        <f t="shared" si="13"/>
        <v>0.12075</v>
      </c>
      <c r="Z34" s="204">
        <f t="shared" si="14"/>
        <v>0.92</v>
      </c>
      <c r="AA34" s="206">
        <f>+Table1[[#This Row],[calculated sale price]]</f>
        <v>0.92</v>
      </c>
      <c r="AB34" s="205"/>
      <c r="AC34" s="209"/>
    </row>
    <row r="35" spans="1:29" x14ac:dyDescent="0.25">
      <c r="A35" s="188">
        <v>1026</v>
      </c>
      <c r="B35" t="s">
        <v>329</v>
      </c>
      <c r="C35" s="188">
        <v>1</v>
      </c>
      <c r="I35" s="188"/>
      <c r="J35" s="188"/>
      <c r="K35" s="188"/>
      <c r="L35" s="199"/>
      <c r="M35" s="188"/>
      <c r="N35" s="200"/>
      <c r="O35" s="201">
        <v>1.1399999999999999</v>
      </c>
      <c r="P35" s="201">
        <f>Table1[[#This Row],[unit cost]]</f>
        <v>1.1399999999999999</v>
      </c>
      <c r="Q35" s="203">
        <v>2</v>
      </c>
      <c r="R35" s="188">
        <v>1</v>
      </c>
      <c r="S35" s="252">
        <f t="shared" si="0"/>
        <v>0.42</v>
      </c>
      <c r="T35" s="204">
        <f>Table1[[#This Row],[man minutes]]*Table1[[#This Row],[labor rate]]</f>
        <v>0.84</v>
      </c>
      <c r="U35" s="204">
        <f t="shared" si="11"/>
        <v>1.98</v>
      </c>
      <c r="V35" s="189">
        <f t="shared" si="8"/>
        <v>0.15</v>
      </c>
      <c r="W35" s="253">
        <f t="shared" si="3"/>
        <v>0.15</v>
      </c>
      <c r="X35" s="204">
        <f t="shared" si="12"/>
        <v>1.3109999999999997</v>
      </c>
      <c r="Y35" s="204">
        <f t="shared" si="13"/>
        <v>0.96599999999999997</v>
      </c>
      <c r="Z35" s="204">
        <f t="shared" si="14"/>
        <v>2.2799999999999998</v>
      </c>
      <c r="AA35" s="206">
        <f>+Table1[[#This Row],[calculated sale price]]</f>
        <v>2.2799999999999998</v>
      </c>
      <c r="AB35" s="205"/>
      <c r="AC35" s="209"/>
    </row>
    <row r="36" spans="1:29" x14ac:dyDescent="0.25">
      <c r="A36" s="188">
        <v>1027</v>
      </c>
      <c r="B36" t="s">
        <v>330</v>
      </c>
      <c r="C36" s="188">
        <v>1</v>
      </c>
      <c r="I36" s="188"/>
      <c r="J36" s="188"/>
      <c r="K36" s="188"/>
      <c r="L36" s="199"/>
      <c r="M36" s="188"/>
      <c r="N36" s="200"/>
      <c r="O36" s="201">
        <v>1.1599999999999999</v>
      </c>
      <c r="P36" s="201">
        <f>Table1[[#This Row],[unit cost]]</f>
        <v>1.1599999999999999</v>
      </c>
      <c r="Q36" s="203">
        <v>0.5</v>
      </c>
      <c r="R36" s="188">
        <v>1</v>
      </c>
      <c r="S36" s="252">
        <f t="shared" si="0"/>
        <v>0.42</v>
      </c>
      <c r="T36" s="204">
        <f>Table1[[#This Row],[man minutes]]*Table1[[#This Row],[labor rate]]</f>
        <v>0.21</v>
      </c>
      <c r="U36" s="204">
        <f t="shared" si="11"/>
        <v>1.3699999999999999</v>
      </c>
      <c r="V36" s="189">
        <f t="shared" si="8"/>
        <v>0.15</v>
      </c>
      <c r="W36" s="253">
        <f t="shared" si="3"/>
        <v>0.15</v>
      </c>
      <c r="X36" s="204">
        <f t="shared" si="12"/>
        <v>1.3339999999999999</v>
      </c>
      <c r="Y36" s="204">
        <f t="shared" si="13"/>
        <v>0.24149999999999999</v>
      </c>
      <c r="Z36" s="204">
        <f t="shared" si="14"/>
        <v>1.58</v>
      </c>
      <c r="AA36" s="206">
        <f>+Table1[[#This Row],[calculated sale price]]</f>
        <v>1.58</v>
      </c>
      <c r="AB36" s="205"/>
      <c r="AC36" s="209"/>
    </row>
    <row r="37" spans="1:29" x14ac:dyDescent="0.25">
      <c r="A37" s="188">
        <v>1028</v>
      </c>
      <c r="B37" t="s">
        <v>331</v>
      </c>
      <c r="C37" s="188">
        <v>1</v>
      </c>
      <c r="I37" s="188"/>
      <c r="J37" s="188"/>
      <c r="K37" s="188"/>
      <c r="L37" s="199"/>
      <c r="M37" s="188"/>
      <c r="N37" s="200"/>
      <c r="O37" s="201">
        <v>0.47</v>
      </c>
      <c r="P37" s="201">
        <f>Table1[[#This Row],[unit cost]]</f>
        <v>0.47</v>
      </c>
      <c r="Q37" s="203">
        <v>0.5</v>
      </c>
      <c r="R37" s="188">
        <v>1</v>
      </c>
      <c r="S37" s="252">
        <f t="shared" si="0"/>
        <v>0.42</v>
      </c>
      <c r="T37" s="204">
        <f>Table1[[#This Row],[man minutes]]*Table1[[#This Row],[labor rate]]</f>
        <v>0.21</v>
      </c>
      <c r="U37" s="204">
        <f t="shared" si="11"/>
        <v>0.67999999999999994</v>
      </c>
      <c r="V37" s="189">
        <f t="shared" si="8"/>
        <v>0.15</v>
      </c>
      <c r="W37" s="253">
        <f t="shared" si="3"/>
        <v>0.15</v>
      </c>
      <c r="X37" s="204">
        <f t="shared" si="12"/>
        <v>0.54049999999999998</v>
      </c>
      <c r="Y37" s="204">
        <f t="shared" si="13"/>
        <v>0.24149999999999999</v>
      </c>
      <c r="Z37" s="204">
        <f t="shared" si="14"/>
        <v>0.79</v>
      </c>
      <c r="AA37" s="206">
        <f>+Table1[[#This Row],[calculated sale price]]</f>
        <v>0.79</v>
      </c>
      <c r="AB37" s="205"/>
      <c r="AC37" s="209"/>
    </row>
    <row r="38" spans="1:29" x14ac:dyDescent="0.25">
      <c r="A38" s="188">
        <v>1029</v>
      </c>
      <c r="B38" t="s">
        <v>332</v>
      </c>
      <c r="C38" s="188">
        <v>1</v>
      </c>
      <c r="I38" s="188"/>
      <c r="J38" s="188"/>
      <c r="K38" s="188"/>
      <c r="L38" s="199"/>
      <c r="M38" s="188"/>
      <c r="N38" s="200"/>
      <c r="O38" s="201">
        <v>0.3</v>
      </c>
      <c r="P38" s="201">
        <f>Table1[[#This Row],[unit cost]]</f>
        <v>0.3</v>
      </c>
      <c r="Q38" s="203">
        <v>0.25</v>
      </c>
      <c r="R38" s="188">
        <v>1</v>
      </c>
      <c r="S38" s="252">
        <f t="shared" si="0"/>
        <v>0.42</v>
      </c>
      <c r="T38" s="204">
        <f>Table1[[#This Row],[man minutes]]*Table1[[#This Row],[labor rate]]</f>
        <v>0.105</v>
      </c>
      <c r="U38" s="204">
        <f t="shared" si="11"/>
        <v>0.40499999999999997</v>
      </c>
      <c r="V38" s="189">
        <f t="shared" si="8"/>
        <v>0.15</v>
      </c>
      <c r="W38" s="253">
        <f t="shared" si="3"/>
        <v>0.15</v>
      </c>
      <c r="X38" s="204">
        <f t="shared" si="12"/>
        <v>0.34499999999999997</v>
      </c>
      <c r="Y38" s="204">
        <f t="shared" si="13"/>
        <v>0.12075</v>
      </c>
      <c r="Z38" s="204">
        <f t="shared" si="14"/>
        <v>0.47000000000000003</v>
      </c>
      <c r="AA38" s="206">
        <f>+Table1[[#This Row],[calculated sale price]]</f>
        <v>0.47000000000000003</v>
      </c>
      <c r="AB38" s="205"/>
      <c r="AC38" s="209"/>
    </row>
    <row r="39" spans="1:29" x14ac:dyDescent="0.25">
      <c r="A39" s="188">
        <v>1030</v>
      </c>
      <c r="B39" t="s">
        <v>333</v>
      </c>
      <c r="C39" s="188">
        <v>1</v>
      </c>
      <c r="I39" s="188"/>
      <c r="J39" s="188"/>
      <c r="K39" s="188"/>
      <c r="L39" s="199"/>
      <c r="M39" s="188"/>
      <c r="N39" s="200"/>
      <c r="O39" s="201">
        <v>0.56000000000000005</v>
      </c>
      <c r="P39" s="201">
        <f>Table1[[#This Row],[unit cost]]</f>
        <v>0.56000000000000005</v>
      </c>
      <c r="Q39" s="203">
        <v>1.25</v>
      </c>
      <c r="R39" s="188">
        <v>1</v>
      </c>
      <c r="S39" s="252">
        <f t="shared" si="0"/>
        <v>0.42</v>
      </c>
      <c r="T39" s="204">
        <f>Table1[[#This Row],[man minutes]]*Table1[[#This Row],[labor rate]]</f>
        <v>0.52500000000000002</v>
      </c>
      <c r="U39" s="204">
        <f t="shared" si="11"/>
        <v>1.085</v>
      </c>
      <c r="V39" s="189">
        <f t="shared" si="8"/>
        <v>0.15</v>
      </c>
      <c r="W39" s="253">
        <f t="shared" si="3"/>
        <v>0.15</v>
      </c>
      <c r="X39" s="204">
        <f t="shared" si="12"/>
        <v>0.64400000000000002</v>
      </c>
      <c r="Y39" s="204">
        <f t="shared" si="13"/>
        <v>0.60375000000000001</v>
      </c>
      <c r="Z39" s="204">
        <f t="shared" si="14"/>
        <v>1.25</v>
      </c>
      <c r="AA39" s="206">
        <f>+Table1[[#This Row],[calculated sale price]]</f>
        <v>1.25</v>
      </c>
      <c r="AB39" s="205"/>
      <c r="AC39" s="209"/>
    </row>
    <row r="40" spans="1:29" x14ac:dyDescent="0.25">
      <c r="A40" s="188">
        <v>1031</v>
      </c>
      <c r="B40" t="s">
        <v>334</v>
      </c>
      <c r="C40" s="188">
        <v>1</v>
      </c>
      <c r="I40" s="188"/>
      <c r="J40" s="188"/>
      <c r="K40" s="188"/>
      <c r="L40" s="199"/>
      <c r="M40" s="188"/>
      <c r="N40" s="200"/>
      <c r="O40" s="201">
        <v>10.43</v>
      </c>
      <c r="P40" s="201">
        <f>Table1[[#This Row],[unit cost]]</f>
        <v>10.43</v>
      </c>
      <c r="Q40" s="203">
        <v>5.5</v>
      </c>
      <c r="R40" s="188">
        <v>1</v>
      </c>
      <c r="S40" s="252">
        <f t="shared" si="0"/>
        <v>0.42</v>
      </c>
      <c r="T40" s="204">
        <f>Table1[[#This Row],[man minutes]]*Table1[[#This Row],[labor rate]]</f>
        <v>2.31</v>
      </c>
      <c r="U40" s="204">
        <f t="shared" si="11"/>
        <v>12.74</v>
      </c>
      <c r="V40" s="189">
        <f t="shared" si="8"/>
        <v>0.15</v>
      </c>
      <c r="W40" s="253">
        <f t="shared" si="3"/>
        <v>0.15</v>
      </c>
      <c r="X40" s="204">
        <f t="shared" si="12"/>
        <v>11.994499999999999</v>
      </c>
      <c r="Y40" s="204">
        <f t="shared" si="13"/>
        <v>2.6564999999999999</v>
      </c>
      <c r="Z40" s="204">
        <f t="shared" si="14"/>
        <v>14.66</v>
      </c>
      <c r="AA40" s="206">
        <f>+Table1[[#This Row],[calculated sale price]]</f>
        <v>14.66</v>
      </c>
      <c r="AB40" s="205"/>
      <c r="AC40" s="209"/>
    </row>
    <row r="41" spans="1:29" x14ac:dyDescent="0.25">
      <c r="A41" s="188">
        <v>1032</v>
      </c>
      <c r="B41" t="s">
        <v>335</v>
      </c>
      <c r="C41" s="188">
        <v>1</v>
      </c>
      <c r="I41" s="188"/>
      <c r="J41" s="188"/>
      <c r="K41" s="188"/>
      <c r="L41" s="199"/>
      <c r="M41" s="188"/>
      <c r="N41" s="200"/>
      <c r="O41" s="201">
        <v>2.19</v>
      </c>
      <c r="P41" s="201">
        <f>Table1[[#This Row],[unit cost]]</f>
        <v>2.19</v>
      </c>
      <c r="Q41" s="203">
        <v>5.5</v>
      </c>
      <c r="R41" s="188">
        <v>1</v>
      </c>
      <c r="S41" s="252">
        <f t="shared" si="0"/>
        <v>0.42</v>
      </c>
      <c r="T41" s="204">
        <f>Table1[[#This Row],[man minutes]]*Table1[[#This Row],[labor rate]]</f>
        <v>2.31</v>
      </c>
      <c r="U41" s="204">
        <f t="shared" si="11"/>
        <v>4.5</v>
      </c>
      <c r="V41" s="189">
        <f t="shared" si="8"/>
        <v>0.15</v>
      </c>
      <c r="W41" s="253">
        <f t="shared" si="3"/>
        <v>0.15</v>
      </c>
      <c r="X41" s="204">
        <f t="shared" si="12"/>
        <v>2.5185</v>
      </c>
      <c r="Y41" s="204">
        <f t="shared" si="13"/>
        <v>2.6564999999999999</v>
      </c>
      <c r="Z41" s="204">
        <f t="shared" si="14"/>
        <v>5.18</v>
      </c>
      <c r="AA41" s="206">
        <f>+Table1[[#This Row],[calculated sale price]]</f>
        <v>5.18</v>
      </c>
      <c r="AB41" s="205"/>
      <c r="AC41" s="209"/>
    </row>
    <row r="42" spans="1:29" x14ac:dyDescent="0.25">
      <c r="A42" s="188">
        <v>1033</v>
      </c>
      <c r="B42" t="s">
        <v>336</v>
      </c>
      <c r="C42" s="188">
        <v>1</v>
      </c>
      <c r="I42" s="188"/>
      <c r="J42" s="188"/>
      <c r="K42" s="188"/>
      <c r="L42" s="199"/>
      <c r="M42" s="188"/>
      <c r="N42" s="200"/>
      <c r="O42" s="201">
        <v>4.2</v>
      </c>
      <c r="P42" s="201">
        <f>Table1[[#This Row],[unit cost]]</f>
        <v>4.2</v>
      </c>
      <c r="Q42" s="203">
        <v>3.25</v>
      </c>
      <c r="R42" s="188">
        <v>1</v>
      </c>
      <c r="S42" s="252">
        <f t="shared" si="0"/>
        <v>0.42</v>
      </c>
      <c r="T42" s="204">
        <f>Table1[[#This Row],[man minutes]]*Table1[[#This Row],[labor rate]]</f>
        <v>1.365</v>
      </c>
      <c r="U42" s="204">
        <f t="shared" si="11"/>
        <v>5.5650000000000004</v>
      </c>
      <c r="V42" s="189">
        <f t="shared" si="8"/>
        <v>0.15</v>
      </c>
      <c r="W42" s="253">
        <f t="shared" si="3"/>
        <v>0.15</v>
      </c>
      <c r="X42" s="204">
        <f t="shared" si="12"/>
        <v>4.83</v>
      </c>
      <c r="Y42" s="204">
        <f t="shared" si="13"/>
        <v>1.56975</v>
      </c>
      <c r="Z42" s="204">
        <f t="shared" si="14"/>
        <v>6.3999999999999995</v>
      </c>
      <c r="AA42" s="206">
        <f>+Table1[[#This Row],[calculated sale price]]</f>
        <v>6.3999999999999995</v>
      </c>
      <c r="AB42" s="205"/>
      <c r="AC42" s="209"/>
    </row>
    <row r="43" spans="1:29" x14ac:dyDescent="0.25">
      <c r="A43" s="188">
        <v>1034</v>
      </c>
      <c r="B43" t="s">
        <v>337</v>
      </c>
      <c r="C43" s="188">
        <v>1</v>
      </c>
      <c r="I43" s="188"/>
      <c r="J43" s="188"/>
      <c r="K43" s="188"/>
      <c r="L43" s="199"/>
      <c r="M43" s="188"/>
      <c r="N43" s="200"/>
      <c r="O43" s="201">
        <v>0.83</v>
      </c>
      <c r="P43" s="201">
        <f>Table1[[#This Row],[unit cost]]</f>
        <v>0.83</v>
      </c>
      <c r="Q43" s="203">
        <v>1.25</v>
      </c>
      <c r="R43" s="188">
        <v>1</v>
      </c>
      <c r="S43" s="252">
        <f t="shared" si="0"/>
        <v>0.42</v>
      </c>
      <c r="T43" s="204">
        <f>Table1[[#This Row],[man minutes]]*Table1[[#This Row],[labor rate]]</f>
        <v>0.52500000000000002</v>
      </c>
      <c r="U43" s="204">
        <f t="shared" si="11"/>
        <v>1.355</v>
      </c>
      <c r="V43" s="189">
        <f t="shared" si="8"/>
        <v>0.15</v>
      </c>
      <c r="W43" s="253">
        <f t="shared" si="3"/>
        <v>0.15</v>
      </c>
      <c r="X43" s="204">
        <f t="shared" si="12"/>
        <v>0.9544999999999999</v>
      </c>
      <c r="Y43" s="204">
        <f t="shared" si="13"/>
        <v>0.60375000000000001</v>
      </c>
      <c r="Z43" s="204">
        <f t="shared" si="14"/>
        <v>1.56</v>
      </c>
      <c r="AA43" s="206">
        <f>+Table1[[#This Row],[calculated sale price]]</f>
        <v>1.56</v>
      </c>
      <c r="AB43" s="205"/>
      <c r="AC43" s="209"/>
    </row>
    <row r="44" spans="1:29" x14ac:dyDescent="0.25">
      <c r="A44" s="188">
        <v>1035</v>
      </c>
      <c r="B44" t="s">
        <v>338</v>
      </c>
      <c r="C44" s="188">
        <v>1</v>
      </c>
      <c r="I44" s="188"/>
      <c r="J44" s="188"/>
      <c r="K44" s="188"/>
      <c r="L44" s="199"/>
      <c r="M44" s="188"/>
      <c r="N44" s="200"/>
      <c r="O44" s="201">
        <v>1.9</v>
      </c>
      <c r="P44" s="201">
        <f>Table1[[#This Row],[unit cost]]</f>
        <v>1.9</v>
      </c>
      <c r="Q44" s="203">
        <v>2</v>
      </c>
      <c r="R44" s="188">
        <v>1</v>
      </c>
      <c r="S44" s="252">
        <f t="shared" si="0"/>
        <v>0.42</v>
      </c>
      <c r="T44" s="204">
        <f>Table1[[#This Row],[man minutes]]*Table1[[#This Row],[labor rate]]</f>
        <v>0.84</v>
      </c>
      <c r="U44" s="204">
        <f t="shared" si="11"/>
        <v>2.7399999999999998</v>
      </c>
      <c r="V44" s="189">
        <f t="shared" si="8"/>
        <v>0.15</v>
      </c>
      <c r="W44" s="253">
        <f t="shared" si="3"/>
        <v>0.15</v>
      </c>
      <c r="X44" s="204">
        <f t="shared" si="12"/>
        <v>2.1849999999999996</v>
      </c>
      <c r="Y44" s="204">
        <f t="shared" si="13"/>
        <v>0.96599999999999997</v>
      </c>
      <c r="Z44" s="204">
        <f t="shared" si="14"/>
        <v>3.1599999999999997</v>
      </c>
      <c r="AA44" s="206">
        <f>+Table1[[#This Row],[calculated sale price]]</f>
        <v>3.1599999999999997</v>
      </c>
      <c r="AB44" s="205"/>
      <c r="AC44" s="209"/>
    </row>
    <row r="45" spans="1:29" x14ac:dyDescent="0.25">
      <c r="A45" s="188">
        <v>1036</v>
      </c>
      <c r="B45" t="s">
        <v>339</v>
      </c>
      <c r="C45" s="188">
        <v>1</v>
      </c>
      <c r="I45" s="188"/>
      <c r="J45" s="188"/>
      <c r="K45" s="188"/>
      <c r="L45" s="199"/>
      <c r="M45" s="188"/>
      <c r="N45" s="200"/>
      <c r="O45" s="201">
        <v>1.77</v>
      </c>
      <c r="P45" s="201">
        <f>Table1[[#This Row],[unit cost]]</f>
        <v>1.77</v>
      </c>
      <c r="Q45" s="203">
        <v>3.25</v>
      </c>
      <c r="R45" s="188">
        <v>1</v>
      </c>
      <c r="S45" s="252">
        <f t="shared" si="0"/>
        <v>0.42</v>
      </c>
      <c r="T45" s="204">
        <f>Table1[[#This Row],[man minutes]]*Table1[[#This Row],[labor rate]]</f>
        <v>1.365</v>
      </c>
      <c r="U45" s="204">
        <f t="shared" si="11"/>
        <v>3.1349999999999998</v>
      </c>
      <c r="V45" s="189">
        <f t="shared" si="8"/>
        <v>0.15</v>
      </c>
      <c r="W45" s="253">
        <f t="shared" si="3"/>
        <v>0.15</v>
      </c>
      <c r="X45" s="204">
        <f t="shared" si="12"/>
        <v>2.0354999999999999</v>
      </c>
      <c r="Y45" s="204">
        <f t="shared" si="13"/>
        <v>1.56975</v>
      </c>
      <c r="Z45" s="204">
        <f t="shared" si="14"/>
        <v>3.61</v>
      </c>
      <c r="AA45" s="206">
        <f>+Table1[[#This Row],[calculated sale price]]</f>
        <v>3.61</v>
      </c>
      <c r="AB45" s="205"/>
      <c r="AC45" s="209"/>
    </row>
    <row r="46" spans="1:29" x14ac:dyDescent="0.25">
      <c r="A46" s="188">
        <v>1037</v>
      </c>
      <c r="B46" t="s">
        <v>340</v>
      </c>
      <c r="C46" s="188">
        <v>1</v>
      </c>
      <c r="I46" s="188"/>
      <c r="J46" s="188"/>
      <c r="K46" s="188"/>
      <c r="L46" s="199"/>
      <c r="M46" s="188"/>
      <c r="N46" s="200"/>
      <c r="O46" s="201">
        <v>1.77</v>
      </c>
      <c r="P46" s="201">
        <f>Table1[[#This Row],[unit cost]]</f>
        <v>1.77</v>
      </c>
      <c r="Q46" s="203">
        <v>4</v>
      </c>
      <c r="R46" s="188">
        <v>1</v>
      </c>
      <c r="S46" s="252">
        <f t="shared" si="0"/>
        <v>0.42</v>
      </c>
      <c r="T46" s="204">
        <f>Table1[[#This Row],[man minutes]]*Table1[[#This Row],[labor rate]]</f>
        <v>1.68</v>
      </c>
      <c r="U46" s="204">
        <f t="shared" si="11"/>
        <v>3.45</v>
      </c>
      <c r="V46" s="189">
        <f t="shared" si="8"/>
        <v>0.15</v>
      </c>
      <c r="W46" s="253">
        <f t="shared" si="3"/>
        <v>0.15</v>
      </c>
      <c r="X46" s="204">
        <f t="shared" si="12"/>
        <v>2.0354999999999999</v>
      </c>
      <c r="Y46" s="204">
        <f t="shared" si="13"/>
        <v>1.9319999999999999</v>
      </c>
      <c r="Z46" s="204">
        <f t="shared" si="14"/>
        <v>3.9699999999999998</v>
      </c>
      <c r="AA46" s="206">
        <f>+Table1[[#This Row],[calculated sale price]]</f>
        <v>3.9699999999999998</v>
      </c>
      <c r="AB46" s="205"/>
      <c r="AC46" s="209"/>
    </row>
    <row r="47" spans="1:29" x14ac:dyDescent="0.25">
      <c r="A47" s="188">
        <v>1038</v>
      </c>
      <c r="B47" s="336" t="s">
        <v>341</v>
      </c>
      <c r="C47" s="188">
        <v>1</v>
      </c>
      <c r="I47" s="188"/>
      <c r="J47" s="188"/>
      <c r="K47" s="188"/>
      <c r="L47" s="199"/>
      <c r="M47" s="188"/>
      <c r="N47" s="200"/>
      <c r="O47" s="201">
        <v>1.1100000000000001</v>
      </c>
      <c r="P47" s="201">
        <f>Table1[[#This Row],[unit cost]]</f>
        <v>1.1100000000000001</v>
      </c>
      <c r="Q47" s="203">
        <v>2.5</v>
      </c>
      <c r="R47" s="188">
        <v>1</v>
      </c>
      <c r="S47" s="252">
        <f t="shared" si="0"/>
        <v>0.42</v>
      </c>
      <c r="T47" s="204">
        <f>Table1[[#This Row],[man minutes]]*Table1[[#This Row],[labor rate]]</f>
        <v>1.05</v>
      </c>
      <c r="U47" s="204">
        <f t="shared" si="11"/>
        <v>2.16</v>
      </c>
      <c r="V47" s="189">
        <f t="shared" si="8"/>
        <v>0.15</v>
      </c>
      <c r="W47" s="253">
        <f t="shared" si="3"/>
        <v>0.15</v>
      </c>
      <c r="X47" s="204">
        <f t="shared" si="12"/>
        <v>1.2765</v>
      </c>
      <c r="Y47" s="204">
        <f t="shared" si="13"/>
        <v>1.2075</v>
      </c>
      <c r="Z47" s="204">
        <f t="shared" si="14"/>
        <v>2.4899999999999998</v>
      </c>
      <c r="AA47" s="206">
        <f>+Table1[[#This Row],[calculated sale price]]</f>
        <v>2.4899999999999998</v>
      </c>
      <c r="AB47" s="205"/>
      <c r="AC47" s="209"/>
    </row>
    <row r="48" spans="1:29" x14ac:dyDescent="0.25">
      <c r="A48" s="188">
        <v>1039</v>
      </c>
      <c r="B48" t="s">
        <v>342</v>
      </c>
      <c r="C48" s="188">
        <v>1</v>
      </c>
      <c r="I48" s="188"/>
      <c r="J48" s="188"/>
      <c r="K48" s="188"/>
      <c r="L48" s="199"/>
      <c r="M48" s="188"/>
      <c r="N48" s="200"/>
      <c r="O48" s="201">
        <v>0.61</v>
      </c>
      <c r="P48" s="201">
        <f>Table1[[#This Row],[unit cost]]</f>
        <v>0.61</v>
      </c>
      <c r="Q48" s="203">
        <v>1.5</v>
      </c>
      <c r="R48" s="188">
        <v>1</v>
      </c>
      <c r="S48" s="252">
        <f t="shared" si="0"/>
        <v>0.42</v>
      </c>
      <c r="T48" s="204">
        <f>Table1[[#This Row],[man minutes]]*Table1[[#This Row],[labor rate]]</f>
        <v>0.63</v>
      </c>
      <c r="U48" s="204">
        <f t="shared" si="11"/>
        <v>1.24</v>
      </c>
      <c r="V48" s="189">
        <f t="shared" si="8"/>
        <v>0.15</v>
      </c>
      <c r="W48" s="253">
        <f t="shared" si="3"/>
        <v>0.15</v>
      </c>
      <c r="X48" s="204">
        <f t="shared" si="12"/>
        <v>0.7014999999999999</v>
      </c>
      <c r="Y48" s="204">
        <f t="shared" si="13"/>
        <v>0.72450000000000003</v>
      </c>
      <c r="Z48" s="204">
        <f t="shared" si="14"/>
        <v>1.43</v>
      </c>
      <c r="AA48" s="206">
        <f>+Table1[[#This Row],[calculated sale price]]</f>
        <v>1.43</v>
      </c>
      <c r="AB48" s="205"/>
      <c r="AC48" s="209"/>
    </row>
    <row r="49" spans="1:29" x14ac:dyDescent="0.25">
      <c r="A49" s="188">
        <v>1040</v>
      </c>
      <c r="B49" t="s">
        <v>343</v>
      </c>
      <c r="C49" s="188">
        <v>1</v>
      </c>
      <c r="I49" s="188"/>
      <c r="J49" s="188"/>
      <c r="K49" s="188"/>
      <c r="L49" s="199"/>
      <c r="M49" s="188"/>
      <c r="N49" s="200"/>
      <c r="O49" s="201">
        <v>0.48</v>
      </c>
      <c r="P49" s="201">
        <f>Table1[[#This Row],[unit cost]]</f>
        <v>0.48</v>
      </c>
      <c r="Q49" s="203">
        <v>0.5</v>
      </c>
      <c r="R49" s="188">
        <v>1</v>
      </c>
      <c r="S49" s="252">
        <f t="shared" si="0"/>
        <v>0.42</v>
      </c>
      <c r="T49" s="204">
        <f>Table1[[#This Row],[man minutes]]*Table1[[#This Row],[labor rate]]</f>
        <v>0.21</v>
      </c>
      <c r="U49" s="204">
        <f t="shared" si="11"/>
        <v>0.69</v>
      </c>
      <c r="V49" s="189">
        <f t="shared" si="8"/>
        <v>0.15</v>
      </c>
      <c r="W49" s="253">
        <f t="shared" si="3"/>
        <v>0.15</v>
      </c>
      <c r="X49" s="204">
        <f t="shared" si="12"/>
        <v>0.55199999999999994</v>
      </c>
      <c r="Y49" s="204">
        <f t="shared" si="13"/>
        <v>0.24149999999999999</v>
      </c>
      <c r="Z49" s="204">
        <f t="shared" si="14"/>
        <v>0.8</v>
      </c>
      <c r="AA49" s="206">
        <f>+Table1[[#This Row],[calculated sale price]]</f>
        <v>0.8</v>
      </c>
      <c r="AB49" s="205"/>
      <c r="AC49" s="209"/>
    </row>
    <row r="50" spans="1:29" x14ac:dyDescent="0.25">
      <c r="A50" s="188">
        <v>1041</v>
      </c>
      <c r="B50" t="s">
        <v>344</v>
      </c>
      <c r="C50" s="188">
        <v>1</v>
      </c>
      <c r="I50" s="188"/>
      <c r="J50" s="188"/>
      <c r="K50" s="188"/>
      <c r="L50" s="199"/>
      <c r="M50" s="188"/>
      <c r="N50" s="200"/>
      <c r="O50" s="201">
        <v>0.55000000000000004</v>
      </c>
      <c r="P50" s="201">
        <f>Table1[[#This Row],[unit cost]]</f>
        <v>0.55000000000000004</v>
      </c>
      <c r="Q50" s="203">
        <v>2.5</v>
      </c>
      <c r="R50" s="188">
        <v>1</v>
      </c>
      <c r="S50" s="252">
        <f t="shared" si="0"/>
        <v>0.42</v>
      </c>
      <c r="T50" s="204">
        <f>Table1[[#This Row],[man minutes]]*Table1[[#This Row],[labor rate]]</f>
        <v>1.05</v>
      </c>
      <c r="U50" s="204">
        <f t="shared" si="11"/>
        <v>1.6</v>
      </c>
      <c r="V50" s="189">
        <f t="shared" si="8"/>
        <v>0.15</v>
      </c>
      <c r="W50" s="253">
        <f t="shared" si="3"/>
        <v>0.15</v>
      </c>
      <c r="X50" s="204">
        <f t="shared" si="12"/>
        <v>0.63249999999999995</v>
      </c>
      <c r="Y50" s="204">
        <f t="shared" si="13"/>
        <v>1.2075</v>
      </c>
      <c r="Z50" s="204">
        <f t="shared" si="14"/>
        <v>1.84</v>
      </c>
      <c r="AA50" s="206">
        <f>+Table1[[#This Row],[calculated sale price]]</f>
        <v>1.84</v>
      </c>
      <c r="AB50" s="205"/>
      <c r="AC50" s="209"/>
    </row>
    <row r="51" spans="1:29" x14ac:dyDescent="0.25">
      <c r="A51" s="188">
        <v>1042</v>
      </c>
      <c r="B51" t="s">
        <v>345</v>
      </c>
      <c r="C51" s="188">
        <v>1</v>
      </c>
      <c r="I51" s="188"/>
      <c r="J51" s="188"/>
      <c r="K51" s="188"/>
      <c r="L51" s="199"/>
      <c r="M51" s="188"/>
      <c r="N51" s="200"/>
      <c r="O51" s="201">
        <v>0.3</v>
      </c>
      <c r="P51" s="201">
        <f>Table1[[#This Row],[unit cost]]</f>
        <v>0.3</v>
      </c>
      <c r="Q51" s="203">
        <v>0.25</v>
      </c>
      <c r="R51" s="188">
        <v>1</v>
      </c>
      <c r="S51" s="252">
        <f t="shared" si="0"/>
        <v>0.42</v>
      </c>
      <c r="T51" s="204">
        <f>Table1[[#This Row],[man minutes]]*Table1[[#This Row],[labor rate]]</f>
        <v>0.105</v>
      </c>
      <c r="U51" s="204">
        <f t="shared" si="11"/>
        <v>0.40499999999999997</v>
      </c>
      <c r="V51" s="189">
        <f t="shared" si="8"/>
        <v>0.15</v>
      </c>
      <c r="W51" s="253">
        <f t="shared" si="3"/>
        <v>0.15</v>
      </c>
      <c r="X51" s="204">
        <f t="shared" si="12"/>
        <v>0.34499999999999997</v>
      </c>
      <c r="Y51" s="204">
        <f t="shared" si="13"/>
        <v>0.12075</v>
      </c>
      <c r="Z51" s="204">
        <f t="shared" si="14"/>
        <v>0.47000000000000003</v>
      </c>
      <c r="AA51" s="206">
        <f>+Table1[[#This Row],[calculated sale price]]</f>
        <v>0.47000000000000003</v>
      </c>
      <c r="AB51" s="205"/>
      <c r="AC51" s="209"/>
    </row>
    <row r="52" spans="1:29" x14ac:dyDescent="0.25">
      <c r="A52" s="188">
        <v>1043</v>
      </c>
      <c r="B52" t="s">
        <v>346</v>
      </c>
      <c r="C52" s="188">
        <v>1</v>
      </c>
      <c r="I52" s="188"/>
      <c r="J52" s="188"/>
      <c r="K52" s="188"/>
      <c r="L52" s="199"/>
      <c r="M52" s="188"/>
      <c r="N52" s="200"/>
      <c r="O52" s="201">
        <v>0.14000000000000001</v>
      </c>
      <c r="P52" s="201">
        <f>Table1[[#This Row],[unit cost]]</f>
        <v>0.14000000000000001</v>
      </c>
      <c r="Q52" s="203">
        <v>0.25</v>
      </c>
      <c r="R52" s="188">
        <v>1</v>
      </c>
      <c r="S52" s="252">
        <f t="shared" si="0"/>
        <v>0.42</v>
      </c>
      <c r="T52" s="204">
        <f>Table1[[#This Row],[man minutes]]*Table1[[#This Row],[labor rate]]</f>
        <v>0.105</v>
      </c>
      <c r="U52" s="204">
        <f t="shared" si="11"/>
        <v>0.245</v>
      </c>
      <c r="V52" s="189">
        <f t="shared" si="8"/>
        <v>0.15</v>
      </c>
      <c r="W52" s="253">
        <f t="shared" si="3"/>
        <v>0.15</v>
      </c>
      <c r="X52" s="204">
        <f t="shared" si="12"/>
        <v>0.161</v>
      </c>
      <c r="Y52" s="204">
        <f t="shared" si="13"/>
        <v>0.12075</v>
      </c>
      <c r="Z52" s="204">
        <f t="shared" si="14"/>
        <v>0.29000000000000004</v>
      </c>
      <c r="AA52" s="206">
        <f>+Table1[[#This Row],[calculated sale price]]</f>
        <v>0.29000000000000004</v>
      </c>
      <c r="AB52" s="205"/>
      <c r="AC52" s="209"/>
    </row>
    <row r="53" spans="1:29" x14ac:dyDescent="0.25">
      <c r="A53" s="188">
        <v>1044</v>
      </c>
      <c r="B53" t="s">
        <v>348</v>
      </c>
      <c r="C53" s="188">
        <v>1</v>
      </c>
      <c r="I53" s="188"/>
      <c r="J53" s="188"/>
      <c r="K53" s="188"/>
      <c r="L53" s="199"/>
      <c r="M53" s="188"/>
      <c r="N53" s="200"/>
      <c r="O53" s="201">
        <v>0.28999999999999998</v>
      </c>
      <c r="P53" s="201">
        <f>Table1[[#This Row],[unit cost]]</f>
        <v>0.28999999999999998</v>
      </c>
      <c r="Q53" s="203">
        <v>1.25</v>
      </c>
      <c r="R53" s="188">
        <v>1</v>
      </c>
      <c r="S53" s="252">
        <f t="shared" si="0"/>
        <v>0.42</v>
      </c>
      <c r="T53" s="204">
        <f>Table1[[#This Row],[man minutes]]*Table1[[#This Row],[labor rate]]</f>
        <v>0.52500000000000002</v>
      </c>
      <c r="U53" s="204">
        <f t="shared" si="11"/>
        <v>0.81499999999999995</v>
      </c>
      <c r="V53" s="189">
        <f t="shared" si="8"/>
        <v>0.15</v>
      </c>
      <c r="W53" s="253">
        <f t="shared" si="3"/>
        <v>0.15</v>
      </c>
      <c r="X53" s="204">
        <f t="shared" si="12"/>
        <v>0.33349999999999996</v>
      </c>
      <c r="Y53" s="204">
        <f t="shared" si="13"/>
        <v>0.60375000000000001</v>
      </c>
      <c r="Z53" s="204">
        <f t="shared" si="14"/>
        <v>0.94000000000000006</v>
      </c>
      <c r="AA53" s="206">
        <f>+Table1[[#This Row],[calculated sale price]]</f>
        <v>0.94000000000000006</v>
      </c>
      <c r="AB53" s="205"/>
      <c r="AC53" s="209"/>
    </row>
    <row r="54" spans="1:29" x14ac:dyDescent="0.25">
      <c r="A54" s="188">
        <v>1045</v>
      </c>
      <c r="B54" t="s">
        <v>347</v>
      </c>
      <c r="C54" s="188">
        <v>1</v>
      </c>
      <c r="I54" s="188"/>
      <c r="J54" s="188"/>
      <c r="K54" s="188"/>
      <c r="L54" s="199"/>
      <c r="M54" s="188"/>
      <c r="N54" s="200"/>
      <c r="O54" s="201">
        <v>0.43</v>
      </c>
      <c r="P54" s="201">
        <f>Table1[[#This Row],[unit cost]]</f>
        <v>0.43</v>
      </c>
      <c r="Q54" s="203">
        <v>1.25</v>
      </c>
      <c r="R54" s="188">
        <v>1</v>
      </c>
      <c r="S54" s="252">
        <f t="shared" si="0"/>
        <v>0.42</v>
      </c>
      <c r="T54" s="204">
        <f>Table1[[#This Row],[man minutes]]*Table1[[#This Row],[labor rate]]</f>
        <v>0.52500000000000002</v>
      </c>
      <c r="U54" s="204">
        <f t="shared" si="11"/>
        <v>0.95500000000000007</v>
      </c>
      <c r="V54" s="189">
        <f t="shared" si="8"/>
        <v>0.15</v>
      </c>
      <c r="W54" s="253">
        <f t="shared" si="3"/>
        <v>0.15</v>
      </c>
      <c r="X54" s="204">
        <f t="shared" si="12"/>
        <v>0.49449999999999994</v>
      </c>
      <c r="Y54" s="204">
        <f t="shared" si="13"/>
        <v>0.60375000000000001</v>
      </c>
      <c r="Z54" s="204">
        <f t="shared" si="14"/>
        <v>1.1000000000000001</v>
      </c>
      <c r="AA54" s="206">
        <f>+Table1[[#This Row],[calculated sale price]]</f>
        <v>1.1000000000000001</v>
      </c>
      <c r="AB54" s="205"/>
      <c r="AC54" s="209"/>
    </row>
    <row r="55" spans="1:29" x14ac:dyDescent="0.25">
      <c r="A55" s="188">
        <v>1046</v>
      </c>
      <c r="B55" t="s">
        <v>349</v>
      </c>
      <c r="C55" s="188">
        <v>1</v>
      </c>
      <c r="I55" s="188"/>
      <c r="J55" s="188"/>
      <c r="K55" s="188"/>
      <c r="L55" s="199"/>
      <c r="M55" s="188"/>
      <c r="N55" s="200"/>
      <c r="O55" s="201">
        <v>1.54</v>
      </c>
      <c r="P55" s="201">
        <f>Table1[[#This Row],[unit cost]]</f>
        <v>1.54</v>
      </c>
      <c r="Q55" s="203">
        <v>4.75</v>
      </c>
      <c r="R55" s="188">
        <v>1</v>
      </c>
      <c r="S55" s="252">
        <f t="shared" si="0"/>
        <v>0.42</v>
      </c>
      <c r="T55" s="204">
        <f>Table1[[#This Row],[man minutes]]*Table1[[#This Row],[labor rate]]</f>
        <v>1.9949999999999999</v>
      </c>
      <c r="U55" s="204">
        <f t="shared" si="11"/>
        <v>3.5350000000000001</v>
      </c>
      <c r="V55" s="189">
        <f t="shared" si="8"/>
        <v>0.15</v>
      </c>
      <c r="W55" s="253">
        <f t="shared" si="3"/>
        <v>0.15</v>
      </c>
      <c r="X55" s="204">
        <f t="shared" si="12"/>
        <v>1.7709999999999999</v>
      </c>
      <c r="Y55" s="204">
        <f t="shared" si="13"/>
        <v>2.2942499999999999</v>
      </c>
      <c r="Z55" s="204">
        <f t="shared" si="14"/>
        <v>4.0699999999999994</v>
      </c>
      <c r="AA55" s="206">
        <f>+Table1[[#This Row],[calculated sale price]]</f>
        <v>4.0699999999999994</v>
      </c>
      <c r="AB55" s="205"/>
      <c r="AC55" s="209"/>
    </row>
    <row r="56" spans="1:29" x14ac:dyDescent="0.25">
      <c r="A56" s="188">
        <v>1047</v>
      </c>
      <c r="B56" t="s">
        <v>350</v>
      </c>
      <c r="C56" s="188">
        <v>1</v>
      </c>
      <c r="I56" s="188"/>
      <c r="J56" s="188"/>
      <c r="K56" s="188"/>
      <c r="L56" s="199"/>
      <c r="M56" s="188"/>
      <c r="N56" s="200"/>
      <c r="O56" s="201">
        <v>1.51</v>
      </c>
      <c r="P56" s="201">
        <f>Table1[[#This Row],[unit cost]]</f>
        <v>1.51</v>
      </c>
      <c r="Q56" s="203">
        <v>4</v>
      </c>
      <c r="R56" s="188">
        <v>1</v>
      </c>
      <c r="S56" s="252">
        <f t="shared" si="0"/>
        <v>0.42</v>
      </c>
      <c r="T56" s="204">
        <f>Table1[[#This Row],[man minutes]]*Table1[[#This Row],[labor rate]]</f>
        <v>1.68</v>
      </c>
      <c r="U56" s="204">
        <f t="shared" si="11"/>
        <v>3.19</v>
      </c>
      <c r="V56" s="189">
        <f t="shared" si="8"/>
        <v>0.15</v>
      </c>
      <c r="W56" s="253">
        <f t="shared" si="3"/>
        <v>0.15</v>
      </c>
      <c r="X56" s="204">
        <f t="shared" si="12"/>
        <v>1.7364999999999999</v>
      </c>
      <c r="Y56" s="204">
        <f t="shared" si="13"/>
        <v>1.9319999999999999</v>
      </c>
      <c r="Z56" s="204">
        <f t="shared" si="14"/>
        <v>3.67</v>
      </c>
      <c r="AA56" s="206">
        <f>+Table1[[#This Row],[calculated sale price]]</f>
        <v>3.67</v>
      </c>
      <c r="AB56" s="205"/>
      <c r="AC56" s="209"/>
    </row>
    <row r="57" spans="1:29" x14ac:dyDescent="0.25">
      <c r="A57" s="188">
        <v>1048</v>
      </c>
      <c r="B57" t="s">
        <v>351</v>
      </c>
      <c r="C57" s="188">
        <v>1</v>
      </c>
      <c r="I57" s="188"/>
      <c r="J57" s="188"/>
      <c r="K57" s="188"/>
      <c r="L57" s="199"/>
      <c r="M57" s="188"/>
      <c r="N57" s="200"/>
      <c r="O57" s="201">
        <v>0.05</v>
      </c>
      <c r="P57" s="201">
        <f>Table1[[#This Row],[unit cost]]</f>
        <v>0.05</v>
      </c>
      <c r="Q57" s="203">
        <v>1</v>
      </c>
      <c r="R57" s="188">
        <v>1</v>
      </c>
      <c r="S57" s="252">
        <f t="shared" si="0"/>
        <v>0.42</v>
      </c>
      <c r="T57" s="204">
        <f>Table1[[#This Row],[man minutes]]*Table1[[#This Row],[labor rate]]</f>
        <v>0.42</v>
      </c>
      <c r="U57" s="204">
        <f t="shared" si="11"/>
        <v>0.47</v>
      </c>
      <c r="V57" s="189">
        <f t="shared" si="8"/>
        <v>0.15</v>
      </c>
      <c r="W57" s="253">
        <f t="shared" si="3"/>
        <v>0.15</v>
      </c>
      <c r="X57" s="204">
        <f t="shared" si="12"/>
        <v>5.7499999999999996E-2</v>
      </c>
      <c r="Y57" s="204">
        <f t="shared" si="13"/>
        <v>0.48299999999999998</v>
      </c>
      <c r="Z57" s="204">
        <f t="shared" si="14"/>
        <v>0.55000000000000004</v>
      </c>
      <c r="AA57" s="206">
        <f>+Table1[[#This Row],[calculated sale price]]</f>
        <v>0.55000000000000004</v>
      </c>
      <c r="AB57" s="205"/>
      <c r="AC57" s="209"/>
    </row>
    <row r="58" spans="1:29" x14ac:dyDescent="0.25">
      <c r="A58" s="188">
        <v>1049</v>
      </c>
      <c r="B58" t="s">
        <v>352</v>
      </c>
      <c r="C58" s="188">
        <v>1</v>
      </c>
      <c r="I58" s="188"/>
      <c r="J58" s="188"/>
      <c r="K58" s="188"/>
      <c r="L58" s="199"/>
      <c r="M58" s="188"/>
      <c r="N58" s="200"/>
      <c r="O58" s="201">
        <v>0.63</v>
      </c>
      <c r="P58" s="201">
        <f>Table1[[#This Row],[unit cost]]</f>
        <v>0.63</v>
      </c>
      <c r="Q58" s="203">
        <v>1.5</v>
      </c>
      <c r="R58" s="188">
        <v>1</v>
      </c>
      <c r="S58" s="252">
        <f t="shared" si="0"/>
        <v>0.42</v>
      </c>
      <c r="T58" s="204">
        <f>Table1[[#This Row],[man minutes]]*Table1[[#This Row],[labor rate]]</f>
        <v>0.63</v>
      </c>
      <c r="U58" s="204">
        <f t="shared" si="11"/>
        <v>1.26</v>
      </c>
      <c r="V58" s="189">
        <f t="shared" si="8"/>
        <v>0.15</v>
      </c>
      <c r="W58" s="253">
        <f t="shared" si="3"/>
        <v>0.15</v>
      </c>
      <c r="X58" s="204">
        <f t="shared" si="12"/>
        <v>0.72449999999999992</v>
      </c>
      <c r="Y58" s="204">
        <f t="shared" si="13"/>
        <v>0.72450000000000003</v>
      </c>
      <c r="Z58" s="204">
        <f t="shared" si="14"/>
        <v>1.45</v>
      </c>
      <c r="AA58" s="206">
        <f>+Table1[[#This Row],[calculated sale price]]</f>
        <v>1.45</v>
      </c>
      <c r="AB58" s="205"/>
      <c r="AC58" s="209"/>
    </row>
    <row r="59" spans="1:29" x14ac:dyDescent="0.25">
      <c r="A59" s="188">
        <v>1050</v>
      </c>
      <c r="B59" t="s">
        <v>353</v>
      </c>
      <c r="C59" s="188">
        <v>1</v>
      </c>
      <c r="I59" s="188"/>
      <c r="J59" s="188"/>
      <c r="K59" s="188"/>
      <c r="L59" s="199"/>
      <c r="M59" s="188"/>
      <c r="N59" s="200"/>
      <c r="O59" s="201">
        <v>1.3</v>
      </c>
      <c r="P59" s="201">
        <f>Table1[[#This Row],[unit cost]]</f>
        <v>1.3</v>
      </c>
      <c r="Q59" s="203">
        <v>1.25</v>
      </c>
      <c r="R59" s="188">
        <v>1</v>
      </c>
      <c r="S59" s="252">
        <f t="shared" si="0"/>
        <v>0.42</v>
      </c>
      <c r="T59" s="204">
        <f>Table1[[#This Row],[man minutes]]*Table1[[#This Row],[labor rate]]</f>
        <v>0.52500000000000002</v>
      </c>
      <c r="U59" s="204">
        <f t="shared" si="11"/>
        <v>1.8250000000000002</v>
      </c>
      <c r="V59" s="189">
        <f t="shared" si="8"/>
        <v>0.15</v>
      </c>
      <c r="W59" s="253">
        <f t="shared" si="3"/>
        <v>0.15</v>
      </c>
      <c r="X59" s="204">
        <f t="shared" si="12"/>
        <v>1.4949999999999999</v>
      </c>
      <c r="Y59" s="204">
        <f t="shared" si="13"/>
        <v>0.60375000000000001</v>
      </c>
      <c r="Z59" s="204">
        <f t="shared" si="14"/>
        <v>2.0999999999999996</v>
      </c>
      <c r="AA59" s="206">
        <f>+Table1[[#This Row],[calculated sale price]]</f>
        <v>2.0999999999999996</v>
      </c>
      <c r="AB59" s="205"/>
      <c r="AC59" s="209"/>
    </row>
    <row r="60" spans="1:29" x14ac:dyDescent="0.25">
      <c r="A60" s="188">
        <v>1051</v>
      </c>
      <c r="B60" t="s">
        <v>354</v>
      </c>
      <c r="C60" s="188">
        <v>1</v>
      </c>
      <c r="I60" s="188"/>
      <c r="J60" s="188"/>
      <c r="K60" s="188"/>
      <c r="L60" s="199"/>
      <c r="M60" s="188"/>
      <c r="N60" s="200"/>
      <c r="O60" s="201">
        <v>1.94</v>
      </c>
      <c r="P60" s="201">
        <f>Table1[[#This Row],[unit cost]]</f>
        <v>1.94</v>
      </c>
      <c r="Q60" s="203">
        <v>1.25</v>
      </c>
      <c r="R60" s="188">
        <v>1</v>
      </c>
      <c r="S60" s="252">
        <f t="shared" si="0"/>
        <v>0.42</v>
      </c>
      <c r="T60" s="204">
        <f>Table1[[#This Row],[man minutes]]*Table1[[#This Row],[labor rate]]</f>
        <v>0.52500000000000002</v>
      </c>
      <c r="U60" s="204">
        <f t="shared" si="11"/>
        <v>2.4649999999999999</v>
      </c>
      <c r="V60" s="189">
        <f t="shared" si="8"/>
        <v>0.15</v>
      </c>
      <c r="W60" s="253">
        <f t="shared" si="3"/>
        <v>0.15</v>
      </c>
      <c r="X60" s="204">
        <f t="shared" si="12"/>
        <v>2.2309999999999999</v>
      </c>
      <c r="Y60" s="204">
        <f t="shared" si="13"/>
        <v>0.60375000000000001</v>
      </c>
      <c r="Z60" s="204">
        <f t="shared" si="14"/>
        <v>2.84</v>
      </c>
      <c r="AA60" s="206">
        <f>+Table1[[#This Row],[calculated sale price]]</f>
        <v>2.84</v>
      </c>
      <c r="AB60" s="205"/>
      <c r="AC60" s="209"/>
    </row>
    <row r="61" spans="1:29" x14ac:dyDescent="0.25">
      <c r="A61" s="188">
        <v>1052</v>
      </c>
      <c r="B61" t="s">
        <v>355</v>
      </c>
      <c r="C61" s="188">
        <v>1</v>
      </c>
      <c r="I61" s="188"/>
      <c r="J61" s="188"/>
      <c r="K61" s="188"/>
      <c r="L61" s="199"/>
      <c r="M61" s="188"/>
      <c r="N61" s="200"/>
      <c r="O61" s="201">
        <v>0.59</v>
      </c>
      <c r="P61" s="201">
        <f>Table1[[#This Row],[unit cost]]</f>
        <v>0.59</v>
      </c>
      <c r="Q61" s="203">
        <v>1.5</v>
      </c>
      <c r="R61" s="188">
        <v>1</v>
      </c>
      <c r="S61" s="252">
        <f t="shared" ref="S61:S124" si="15">$S$2</f>
        <v>0.42</v>
      </c>
      <c r="T61" s="204">
        <f>Table1[[#This Row],[man minutes]]*Table1[[#This Row],[labor rate]]</f>
        <v>0.63</v>
      </c>
      <c r="U61" s="204">
        <f t="shared" si="11"/>
        <v>1.22</v>
      </c>
      <c r="V61" s="189">
        <f t="shared" si="8"/>
        <v>0.15</v>
      </c>
      <c r="W61" s="253">
        <f t="shared" si="3"/>
        <v>0.15</v>
      </c>
      <c r="X61" s="204">
        <f t="shared" si="12"/>
        <v>0.67849999999999988</v>
      </c>
      <c r="Y61" s="204">
        <f t="shared" si="13"/>
        <v>0.72450000000000003</v>
      </c>
      <c r="Z61" s="204">
        <f t="shared" si="14"/>
        <v>1.41</v>
      </c>
      <c r="AA61" s="206">
        <f>+Table1[[#This Row],[calculated sale price]]</f>
        <v>1.41</v>
      </c>
      <c r="AB61" s="205"/>
      <c r="AC61" s="209"/>
    </row>
    <row r="62" spans="1:29" x14ac:dyDescent="0.25">
      <c r="A62" s="188">
        <v>1053</v>
      </c>
      <c r="B62" t="s">
        <v>356</v>
      </c>
      <c r="C62" s="188">
        <v>1</v>
      </c>
      <c r="I62" s="188"/>
      <c r="J62" s="188"/>
      <c r="K62" s="188"/>
      <c r="L62" s="199"/>
      <c r="M62" s="188"/>
      <c r="N62" s="200"/>
      <c r="O62" s="201">
        <v>0.28000000000000003</v>
      </c>
      <c r="P62" s="201">
        <f>Table1[[#This Row],[unit cost]]</f>
        <v>0.28000000000000003</v>
      </c>
      <c r="Q62" s="203">
        <v>1</v>
      </c>
      <c r="R62" s="188">
        <v>1</v>
      </c>
      <c r="S62" s="252">
        <f t="shared" si="15"/>
        <v>0.42</v>
      </c>
      <c r="T62" s="204">
        <f>Table1[[#This Row],[man minutes]]*Table1[[#This Row],[labor rate]]</f>
        <v>0.42</v>
      </c>
      <c r="U62" s="204">
        <f t="shared" si="11"/>
        <v>0.7</v>
      </c>
      <c r="V62" s="189">
        <f t="shared" si="8"/>
        <v>0.15</v>
      </c>
      <c r="W62" s="253">
        <f t="shared" ref="W62:W125" si="16">$W$2</f>
        <v>0.15</v>
      </c>
      <c r="X62" s="204">
        <f t="shared" si="12"/>
        <v>0.32200000000000001</v>
      </c>
      <c r="Y62" s="204">
        <f t="shared" si="13"/>
        <v>0.48299999999999998</v>
      </c>
      <c r="Z62" s="204">
        <f t="shared" si="14"/>
        <v>0.81</v>
      </c>
      <c r="AA62" s="206">
        <f>+Table1[[#This Row],[calculated sale price]]</f>
        <v>0.81</v>
      </c>
      <c r="AB62" s="205"/>
      <c r="AC62" s="209"/>
    </row>
    <row r="63" spans="1:29" x14ac:dyDescent="0.25">
      <c r="A63" s="188">
        <v>1054</v>
      </c>
      <c r="B63" t="s">
        <v>357</v>
      </c>
      <c r="C63" s="188">
        <v>1</v>
      </c>
      <c r="I63" s="188"/>
      <c r="J63" s="188"/>
      <c r="K63" s="188"/>
      <c r="L63" s="199"/>
      <c r="M63" s="188"/>
      <c r="N63" s="200"/>
      <c r="O63" s="201">
        <v>1.23</v>
      </c>
      <c r="P63" s="201">
        <f>Table1[[#This Row],[unit cost]]</f>
        <v>1.23</v>
      </c>
      <c r="Q63" s="203">
        <v>1.5</v>
      </c>
      <c r="R63" s="188">
        <v>1</v>
      </c>
      <c r="S63" s="252">
        <f t="shared" si="15"/>
        <v>0.42</v>
      </c>
      <c r="T63" s="204">
        <f>Table1[[#This Row],[man minutes]]*Table1[[#This Row],[labor rate]]</f>
        <v>0.63</v>
      </c>
      <c r="U63" s="204">
        <f t="shared" si="11"/>
        <v>1.8599999999999999</v>
      </c>
      <c r="V63" s="189">
        <f t="shared" si="8"/>
        <v>0.15</v>
      </c>
      <c r="W63" s="253">
        <f t="shared" si="16"/>
        <v>0.15</v>
      </c>
      <c r="X63" s="204">
        <f t="shared" si="12"/>
        <v>1.4144999999999999</v>
      </c>
      <c r="Y63" s="204">
        <f t="shared" si="13"/>
        <v>0.72450000000000003</v>
      </c>
      <c r="Z63" s="204">
        <f t="shared" si="14"/>
        <v>2.1399999999999997</v>
      </c>
      <c r="AA63" s="206">
        <f>+Table1[[#This Row],[calculated sale price]]</f>
        <v>2.1399999999999997</v>
      </c>
      <c r="AB63" s="205"/>
      <c r="AC63" s="209"/>
    </row>
    <row r="64" spans="1:29" x14ac:dyDescent="0.25">
      <c r="A64" s="188">
        <v>1055</v>
      </c>
      <c r="B64" t="s">
        <v>358</v>
      </c>
      <c r="C64" s="188">
        <v>1</v>
      </c>
      <c r="I64" s="188"/>
      <c r="J64" s="188"/>
      <c r="K64" s="188"/>
      <c r="L64" s="199"/>
      <c r="M64" s="188"/>
      <c r="N64" s="200"/>
      <c r="O64" s="201">
        <v>2.08</v>
      </c>
      <c r="P64" s="201">
        <f>Table1[[#This Row],[unit cost]]</f>
        <v>2.08</v>
      </c>
      <c r="Q64" s="203">
        <v>1</v>
      </c>
      <c r="R64" s="188">
        <v>1</v>
      </c>
      <c r="S64" s="252">
        <f t="shared" si="15"/>
        <v>0.42</v>
      </c>
      <c r="T64" s="204">
        <f>Table1[[#This Row],[man minutes]]*Table1[[#This Row],[labor rate]]</f>
        <v>0.42</v>
      </c>
      <c r="U64" s="204">
        <f t="shared" si="11"/>
        <v>2.5</v>
      </c>
      <c r="V64" s="189">
        <f t="shared" si="8"/>
        <v>0.15</v>
      </c>
      <c r="W64" s="253">
        <f t="shared" si="16"/>
        <v>0.15</v>
      </c>
      <c r="X64" s="204">
        <f t="shared" si="12"/>
        <v>2.3919999999999999</v>
      </c>
      <c r="Y64" s="204">
        <f t="shared" si="13"/>
        <v>0.48299999999999998</v>
      </c>
      <c r="Z64" s="204">
        <f t="shared" si="14"/>
        <v>2.88</v>
      </c>
      <c r="AA64" s="206">
        <f>+Table1[[#This Row],[calculated sale price]]</f>
        <v>2.88</v>
      </c>
      <c r="AB64" s="205"/>
      <c r="AC64" s="209"/>
    </row>
    <row r="65" spans="1:29" x14ac:dyDescent="0.25">
      <c r="A65" s="188">
        <v>1056</v>
      </c>
      <c r="B65" t="s">
        <v>359</v>
      </c>
      <c r="C65" s="188">
        <v>1</v>
      </c>
      <c r="I65" s="188"/>
      <c r="J65" s="188"/>
      <c r="K65" s="188"/>
      <c r="L65" s="199"/>
      <c r="M65" s="188"/>
      <c r="N65" s="200"/>
      <c r="O65" s="201">
        <v>1.32</v>
      </c>
      <c r="P65" s="201">
        <f>Table1[[#This Row],[unit cost]]</f>
        <v>1.32</v>
      </c>
      <c r="Q65" s="203">
        <v>1</v>
      </c>
      <c r="R65" s="188">
        <v>1</v>
      </c>
      <c r="S65" s="252">
        <f t="shared" si="15"/>
        <v>0.42</v>
      </c>
      <c r="T65" s="204">
        <f>Table1[[#This Row],[man minutes]]*Table1[[#This Row],[labor rate]]</f>
        <v>0.42</v>
      </c>
      <c r="U65" s="204">
        <f t="shared" si="11"/>
        <v>1.74</v>
      </c>
      <c r="V65" s="189">
        <f t="shared" si="8"/>
        <v>0.15</v>
      </c>
      <c r="W65" s="253">
        <f t="shared" si="16"/>
        <v>0.15</v>
      </c>
      <c r="X65" s="204">
        <f t="shared" si="12"/>
        <v>1.518</v>
      </c>
      <c r="Y65" s="204">
        <f t="shared" si="13"/>
        <v>0.48299999999999998</v>
      </c>
      <c r="Z65" s="204">
        <f t="shared" si="14"/>
        <v>2.0099999999999998</v>
      </c>
      <c r="AA65" s="206">
        <f>+Table1[[#This Row],[calculated sale price]]</f>
        <v>2.0099999999999998</v>
      </c>
      <c r="AB65" s="205"/>
      <c r="AC65" s="209"/>
    </row>
    <row r="66" spans="1:29" x14ac:dyDescent="0.25">
      <c r="A66" s="188">
        <v>1057</v>
      </c>
      <c r="B66" t="s">
        <v>360</v>
      </c>
      <c r="C66" s="188">
        <v>1</v>
      </c>
      <c r="I66" s="188"/>
      <c r="J66" s="188"/>
      <c r="K66" s="188"/>
      <c r="L66" s="199"/>
      <c r="M66" s="188"/>
      <c r="N66" s="200"/>
      <c r="O66" s="201">
        <v>2.16</v>
      </c>
      <c r="P66" s="201">
        <f>Table1[[#This Row],[unit cost]]</f>
        <v>2.16</v>
      </c>
      <c r="Q66" s="203">
        <v>3.5</v>
      </c>
      <c r="R66" s="188">
        <v>1</v>
      </c>
      <c r="S66" s="252">
        <f t="shared" si="15"/>
        <v>0.42</v>
      </c>
      <c r="T66" s="204">
        <f>Table1[[#This Row],[man minutes]]*Table1[[#This Row],[labor rate]]</f>
        <v>1.47</v>
      </c>
      <c r="U66" s="204">
        <f t="shared" si="11"/>
        <v>3.63</v>
      </c>
      <c r="V66" s="189">
        <f t="shared" si="8"/>
        <v>0.15</v>
      </c>
      <c r="W66" s="253">
        <f t="shared" si="16"/>
        <v>0.15</v>
      </c>
      <c r="X66" s="204">
        <f t="shared" si="12"/>
        <v>2.484</v>
      </c>
      <c r="Y66" s="204">
        <f t="shared" si="13"/>
        <v>1.6904999999999999</v>
      </c>
      <c r="Z66" s="204">
        <f t="shared" si="14"/>
        <v>4.18</v>
      </c>
      <c r="AA66" s="206">
        <f>+Table1[[#This Row],[calculated sale price]]</f>
        <v>4.18</v>
      </c>
      <c r="AB66" s="205"/>
      <c r="AC66" s="209"/>
    </row>
    <row r="67" spans="1:29" x14ac:dyDescent="0.25">
      <c r="A67" s="188">
        <v>1058</v>
      </c>
      <c r="B67" t="s">
        <v>361</v>
      </c>
      <c r="C67" s="188">
        <v>1</v>
      </c>
      <c r="I67" s="188"/>
      <c r="J67" s="188"/>
      <c r="K67" s="188"/>
      <c r="L67" s="199"/>
      <c r="M67" s="188"/>
      <c r="N67" s="200"/>
      <c r="O67" s="201">
        <v>4.28</v>
      </c>
      <c r="P67" s="201">
        <f>Table1[[#This Row],[unit cost]]</f>
        <v>4.28</v>
      </c>
      <c r="Q67" s="203">
        <v>4.25</v>
      </c>
      <c r="R67" s="188">
        <v>1</v>
      </c>
      <c r="S67" s="252">
        <f t="shared" si="15"/>
        <v>0.42</v>
      </c>
      <c r="T67" s="204">
        <f>Table1[[#This Row],[man minutes]]*Table1[[#This Row],[labor rate]]</f>
        <v>1.7849999999999999</v>
      </c>
      <c r="U67" s="204">
        <f t="shared" si="11"/>
        <v>6.0650000000000004</v>
      </c>
      <c r="V67" s="189">
        <f t="shared" si="8"/>
        <v>0.15</v>
      </c>
      <c r="W67" s="253">
        <f t="shared" si="16"/>
        <v>0.15</v>
      </c>
      <c r="X67" s="204">
        <f t="shared" si="12"/>
        <v>4.9219999999999997</v>
      </c>
      <c r="Y67" s="204">
        <f t="shared" si="13"/>
        <v>2.0527500000000001</v>
      </c>
      <c r="Z67" s="204">
        <f t="shared" si="14"/>
        <v>6.9799999999999995</v>
      </c>
      <c r="AA67" s="206">
        <f>+Table1[[#This Row],[calculated sale price]]</f>
        <v>6.9799999999999995</v>
      </c>
      <c r="AB67" s="205"/>
      <c r="AC67" s="209"/>
    </row>
    <row r="68" spans="1:29" x14ac:dyDescent="0.25">
      <c r="A68" s="188">
        <v>1059</v>
      </c>
      <c r="B68" t="s">
        <v>362</v>
      </c>
      <c r="C68" s="188">
        <v>1</v>
      </c>
      <c r="I68" s="188"/>
      <c r="J68" s="188"/>
      <c r="K68" s="188"/>
      <c r="L68" s="199"/>
      <c r="M68" s="188"/>
      <c r="N68" s="200"/>
      <c r="O68" s="201">
        <v>3.41</v>
      </c>
      <c r="P68" s="201">
        <f>Table1[[#This Row],[unit cost]]</f>
        <v>3.41</v>
      </c>
      <c r="Q68" s="203">
        <v>4.25</v>
      </c>
      <c r="R68" s="188">
        <v>1</v>
      </c>
      <c r="S68" s="252">
        <f t="shared" si="15"/>
        <v>0.42</v>
      </c>
      <c r="T68" s="204">
        <f>Table1[[#This Row],[man minutes]]*Table1[[#This Row],[labor rate]]</f>
        <v>1.7849999999999999</v>
      </c>
      <c r="U68" s="204">
        <f t="shared" si="11"/>
        <v>5.1950000000000003</v>
      </c>
      <c r="V68" s="189">
        <f t="shared" si="8"/>
        <v>0.15</v>
      </c>
      <c r="W68" s="253">
        <f t="shared" si="16"/>
        <v>0.15</v>
      </c>
      <c r="X68" s="204">
        <f t="shared" si="12"/>
        <v>3.9215</v>
      </c>
      <c r="Y68" s="204">
        <f t="shared" si="13"/>
        <v>2.0527500000000001</v>
      </c>
      <c r="Z68" s="204">
        <f t="shared" si="14"/>
        <v>5.9799999999999995</v>
      </c>
      <c r="AA68" s="206">
        <f>+Table1[[#This Row],[calculated sale price]]</f>
        <v>5.9799999999999995</v>
      </c>
      <c r="AB68" s="205"/>
      <c r="AC68" s="209"/>
    </row>
    <row r="69" spans="1:29" x14ac:dyDescent="0.25">
      <c r="A69" s="188">
        <v>1060</v>
      </c>
      <c r="B69" t="s">
        <v>363</v>
      </c>
      <c r="C69" s="188">
        <v>1</v>
      </c>
      <c r="I69" s="188"/>
      <c r="J69" s="188"/>
      <c r="K69" s="188"/>
      <c r="L69" s="199"/>
      <c r="M69" s="188"/>
      <c r="N69" s="200"/>
      <c r="O69" s="201">
        <v>1.51</v>
      </c>
      <c r="P69" s="201">
        <f>Table1[[#This Row],[unit cost]]</f>
        <v>1.51</v>
      </c>
      <c r="Q69" s="203">
        <v>4</v>
      </c>
      <c r="R69" s="188">
        <v>1</v>
      </c>
      <c r="S69" s="252">
        <f t="shared" si="15"/>
        <v>0.42</v>
      </c>
      <c r="T69" s="204">
        <f>Table1[[#This Row],[man minutes]]*Table1[[#This Row],[labor rate]]</f>
        <v>1.68</v>
      </c>
      <c r="U69" s="204">
        <f t="shared" si="11"/>
        <v>3.19</v>
      </c>
      <c r="V69" s="189">
        <f t="shared" si="8"/>
        <v>0.15</v>
      </c>
      <c r="W69" s="253">
        <f t="shared" si="16"/>
        <v>0.15</v>
      </c>
      <c r="X69" s="204">
        <f t="shared" si="12"/>
        <v>1.7364999999999999</v>
      </c>
      <c r="Y69" s="204">
        <f t="shared" si="13"/>
        <v>1.9319999999999999</v>
      </c>
      <c r="Z69" s="204">
        <f t="shared" si="14"/>
        <v>3.67</v>
      </c>
      <c r="AA69" s="206">
        <f>+Table1[[#This Row],[calculated sale price]]</f>
        <v>3.67</v>
      </c>
      <c r="AB69" s="205"/>
      <c r="AC69" s="209"/>
    </row>
    <row r="70" spans="1:29" x14ac:dyDescent="0.25">
      <c r="A70" s="188">
        <v>1061</v>
      </c>
      <c r="B70" t="s">
        <v>364</v>
      </c>
      <c r="C70" s="188">
        <v>1</v>
      </c>
      <c r="I70" s="188"/>
      <c r="J70" s="188"/>
      <c r="K70" s="188"/>
      <c r="L70" s="199"/>
      <c r="M70" s="188"/>
      <c r="N70" s="200"/>
      <c r="O70" s="201">
        <v>0</v>
      </c>
      <c r="P70" s="201">
        <f>Table1[[#This Row],[unit cost]]</f>
        <v>0</v>
      </c>
      <c r="Q70" s="203"/>
      <c r="R70" s="188">
        <v>1</v>
      </c>
      <c r="S70" s="252">
        <f t="shared" si="15"/>
        <v>0.42</v>
      </c>
      <c r="T70" s="204">
        <f>Table1[[#This Row],[man minutes]]*Table1[[#This Row],[labor rate]]</f>
        <v>0</v>
      </c>
      <c r="U70" s="204">
        <f t="shared" si="11"/>
        <v>0</v>
      </c>
      <c r="V70" s="189">
        <f t="shared" si="8"/>
        <v>0.15</v>
      </c>
      <c r="W70" s="253">
        <f t="shared" si="16"/>
        <v>0.15</v>
      </c>
      <c r="X70" s="204">
        <f t="shared" si="12"/>
        <v>0</v>
      </c>
      <c r="Y70" s="204">
        <f t="shared" si="13"/>
        <v>0</v>
      </c>
      <c r="Z70" s="204">
        <f t="shared" si="14"/>
        <v>0</v>
      </c>
      <c r="AA70" s="206">
        <f>+Table1[[#This Row],[calculated sale price]]</f>
        <v>0</v>
      </c>
      <c r="AB70" s="205"/>
      <c r="AC70" s="209"/>
    </row>
    <row r="71" spans="1:29" x14ac:dyDescent="0.25">
      <c r="A71" s="188">
        <v>1062</v>
      </c>
      <c r="B71" t="s">
        <v>365</v>
      </c>
      <c r="C71" s="188">
        <v>1</v>
      </c>
      <c r="I71" s="188"/>
      <c r="J71" s="188"/>
      <c r="K71" s="188"/>
      <c r="L71" s="199"/>
      <c r="M71" s="188"/>
      <c r="N71" s="200"/>
      <c r="O71" s="201">
        <v>1.63</v>
      </c>
      <c r="P71" s="201">
        <f>Table1[[#This Row],[unit cost]]</f>
        <v>1.63</v>
      </c>
      <c r="Q71" s="203">
        <v>1.5</v>
      </c>
      <c r="R71" s="188">
        <v>1</v>
      </c>
      <c r="S71" s="252">
        <f t="shared" si="15"/>
        <v>0.42</v>
      </c>
      <c r="T71" s="204">
        <f>Table1[[#This Row],[man minutes]]*Table1[[#This Row],[labor rate]]</f>
        <v>0.63</v>
      </c>
      <c r="U71" s="204">
        <f t="shared" si="11"/>
        <v>2.2599999999999998</v>
      </c>
      <c r="V71" s="189">
        <f t="shared" si="8"/>
        <v>0.15</v>
      </c>
      <c r="W71" s="253">
        <f t="shared" si="16"/>
        <v>0.15</v>
      </c>
      <c r="X71" s="204">
        <f t="shared" si="12"/>
        <v>1.8744999999999998</v>
      </c>
      <c r="Y71" s="204">
        <f t="shared" si="13"/>
        <v>0.72450000000000003</v>
      </c>
      <c r="Z71" s="204">
        <f t="shared" si="14"/>
        <v>2.5999999999999996</v>
      </c>
      <c r="AA71" s="206">
        <f>+Table1[[#This Row],[calculated sale price]]</f>
        <v>2.5999999999999996</v>
      </c>
      <c r="AB71" s="205"/>
      <c r="AC71" s="209"/>
    </row>
    <row r="72" spans="1:29" x14ac:dyDescent="0.25">
      <c r="A72" s="188">
        <v>1063</v>
      </c>
      <c r="B72" s="337" t="s">
        <v>366</v>
      </c>
      <c r="C72" s="188">
        <v>1</v>
      </c>
      <c r="I72" s="188"/>
      <c r="J72" s="188"/>
      <c r="K72" s="188"/>
      <c r="L72" s="199"/>
      <c r="M72" s="188"/>
      <c r="N72" s="200"/>
      <c r="O72" s="201">
        <v>1.63</v>
      </c>
      <c r="P72" s="201">
        <f>Table1[[#This Row],[unit cost]]</f>
        <v>1.63</v>
      </c>
      <c r="Q72" s="203">
        <v>1.5</v>
      </c>
      <c r="R72" s="188">
        <v>1</v>
      </c>
      <c r="S72" s="252">
        <f t="shared" si="15"/>
        <v>0.42</v>
      </c>
      <c r="T72" s="204">
        <f>Table1[[#This Row],[man minutes]]*Table1[[#This Row],[labor rate]]</f>
        <v>0.63</v>
      </c>
      <c r="U72" s="204">
        <f t="shared" si="11"/>
        <v>2.2599999999999998</v>
      </c>
      <c r="V72" s="189">
        <f t="shared" si="8"/>
        <v>0.15</v>
      </c>
      <c r="W72" s="253">
        <f t="shared" si="16"/>
        <v>0.15</v>
      </c>
      <c r="X72" s="204">
        <f t="shared" si="12"/>
        <v>1.8744999999999998</v>
      </c>
      <c r="Y72" s="204">
        <f t="shared" si="13"/>
        <v>0.72450000000000003</v>
      </c>
      <c r="Z72" s="204">
        <f t="shared" si="14"/>
        <v>2.5999999999999996</v>
      </c>
      <c r="AA72" s="206">
        <f>+Table1[[#This Row],[calculated sale price]]</f>
        <v>2.5999999999999996</v>
      </c>
      <c r="AB72" s="205"/>
      <c r="AC72" s="209"/>
    </row>
    <row r="73" spans="1:29" x14ac:dyDescent="0.25">
      <c r="A73" s="188">
        <v>1064</v>
      </c>
      <c r="B73" s="337" t="s">
        <v>367</v>
      </c>
      <c r="C73" s="188">
        <v>1</v>
      </c>
      <c r="I73" s="188"/>
      <c r="J73" s="188"/>
      <c r="K73" s="188"/>
      <c r="L73" s="199"/>
      <c r="M73" s="188"/>
      <c r="N73" s="200"/>
      <c r="O73" s="201">
        <v>2.2999999999999998</v>
      </c>
      <c r="P73" s="201">
        <f>Table1[[#This Row],[unit cost]]</f>
        <v>2.2999999999999998</v>
      </c>
      <c r="Q73" s="203">
        <v>1.5</v>
      </c>
      <c r="R73" s="188">
        <v>1</v>
      </c>
      <c r="S73" s="252">
        <f t="shared" si="15"/>
        <v>0.42</v>
      </c>
      <c r="T73" s="204">
        <f>Table1[[#This Row],[man minutes]]*Table1[[#This Row],[labor rate]]</f>
        <v>0.63</v>
      </c>
      <c r="U73" s="204">
        <f t="shared" si="11"/>
        <v>2.9299999999999997</v>
      </c>
      <c r="V73" s="189">
        <f t="shared" si="8"/>
        <v>0.15</v>
      </c>
      <c r="W73" s="253">
        <f t="shared" si="16"/>
        <v>0.15</v>
      </c>
      <c r="X73" s="204">
        <f t="shared" si="12"/>
        <v>2.6449999999999996</v>
      </c>
      <c r="Y73" s="204">
        <f t="shared" si="13"/>
        <v>0.72450000000000003</v>
      </c>
      <c r="Z73" s="204">
        <f t="shared" si="14"/>
        <v>3.3699999999999997</v>
      </c>
      <c r="AA73" s="206">
        <f>+Table1[[#This Row],[calculated sale price]]</f>
        <v>3.3699999999999997</v>
      </c>
      <c r="AB73" s="205"/>
      <c r="AC73" s="209"/>
    </row>
    <row r="74" spans="1:29" x14ac:dyDescent="0.25">
      <c r="A74" s="188">
        <v>1065</v>
      </c>
      <c r="B74" s="337" t="s">
        <v>368</v>
      </c>
      <c r="C74" s="188">
        <v>1</v>
      </c>
      <c r="I74" s="188"/>
      <c r="J74" s="188"/>
      <c r="K74" s="188"/>
      <c r="L74" s="199"/>
      <c r="M74" s="188"/>
      <c r="N74" s="200"/>
      <c r="O74" s="201">
        <v>2.0499999999999998</v>
      </c>
      <c r="P74" s="201">
        <f>Table1[[#This Row],[unit cost]]</f>
        <v>2.0499999999999998</v>
      </c>
      <c r="Q74" s="203">
        <v>1.5</v>
      </c>
      <c r="R74" s="188">
        <v>1</v>
      </c>
      <c r="S74" s="252">
        <f t="shared" si="15"/>
        <v>0.42</v>
      </c>
      <c r="T74" s="204">
        <f>Table1[[#This Row],[man minutes]]*Table1[[#This Row],[labor rate]]</f>
        <v>0.63</v>
      </c>
      <c r="U74" s="204">
        <f t="shared" si="11"/>
        <v>2.6799999999999997</v>
      </c>
      <c r="V74" s="189">
        <f t="shared" si="8"/>
        <v>0.15</v>
      </c>
      <c r="W74" s="253">
        <f t="shared" si="16"/>
        <v>0.15</v>
      </c>
      <c r="X74" s="204">
        <f t="shared" si="12"/>
        <v>2.3574999999999995</v>
      </c>
      <c r="Y74" s="204">
        <f t="shared" si="13"/>
        <v>0.72450000000000003</v>
      </c>
      <c r="Z74" s="204">
        <f t="shared" si="14"/>
        <v>3.09</v>
      </c>
      <c r="AA74" s="206">
        <f>+Table1[[#This Row],[calculated sale price]]</f>
        <v>3.09</v>
      </c>
      <c r="AB74" s="205"/>
      <c r="AC74" s="209"/>
    </row>
    <row r="75" spans="1:29" x14ac:dyDescent="0.25">
      <c r="A75" s="188">
        <v>1066</v>
      </c>
      <c r="B75" t="s">
        <v>369</v>
      </c>
      <c r="C75" s="188">
        <v>1</v>
      </c>
      <c r="I75" s="188"/>
      <c r="J75" s="188"/>
      <c r="K75" s="188"/>
      <c r="L75" s="199"/>
      <c r="M75" s="188"/>
      <c r="N75" s="200"/>
      <c r="O75" s="201">
        <v>1.68</v>
      </c>
      <c r="P75" s="201">
        <f>Table1[[#This Row],[unit cost]]</f>
        <v>1.68</v>
      </c>
      <c r="Q75" s="203">
        <v>1.5</v>
      </c>
      <c r="R75" s="188">
        <v>1</v>
      </c>
      <c r="S75" s="252">
        <f t="shared" si="15"/>
        <v>0.42</v>
      </c>
      <c r="T75" s="204">
        <f>Table1[[#This Row],[man minutes]]*Table1[[#This Row],[labor rate]]</f>
        <v>0.63</v>
      </c>
      <c r="U75" s="204">
        <f t="shared" si="11"/>
        <v>2.31</v>
      </c>
      <c r="V75" s="189">
        <f t="shared" si="8"/>
        <v>0.15</v>
      </c>
      <c r="W75" s="253">
        <f t="shared" si="16"/>
        <v>0.15</v>
      </c>
      <c r="X75" s="204">
        <f t="shared" si="12"/>
        <v>1.9319999999999997</v>
      </c>
      <c r="Y75" s="204">
        <f t="shared" si="13"/>
        <v>0.72450000000000003</v>
      </c>
      <c r="Z75" s="204">
        <f t="shared" si="14"/>
        <v>2.6599999999999997</v>
      </c>
      <c r="AA75" s="206">
        <f>+Table1[[#This Row],[calculated sale price]]</f>
        <v>2.6599999999999997</v>
      </c>
      <c r="AB75" s="205"/>
      <c r="AC75" s="209"/>
    </row>
    <row r="76" spans="1:29" x14ac:dyDescent="0.25">
      <c r="A76" s="188">
        <v>1067</v>
      </c>
      <c r="B76" t="s">
        <v>370</v>
      </c>
      <c r="C76" s="188">
        <v>1</v>
      </c>
      <c r="I76" s="188"/>
      <c r="J76" s="188"/>
      <c r="K76" s="188"/>
      <c r="L76" s="199"/>
      <c r="M76" s="188"/>
      <c r="N76" s="200"/>
      <c r="O76" s="201">
        <v>1.8</v>
      </c>
      <c r="P76" s="201">
        <f>Table1[[#This Row],[unit cost]]</f>
        <v>1.8</v>
      </c>
      <c r="Q76" s="203">
        <v>2</v>
      </c>
      <c r="R76" s="188">
        <v>1</v>
      </c>
      <c r="S76" s="252">
        <f t="shared" si="15"/>
        <v>0.42</v>
      </c>
      <c r="T76" s="204">
        <f>Table1[[#This Row],[man minutes]]*Table1[[#This Row],[labor rate]]</f>
        <v>0.84</v>
      </c>
      <c r="U76" s="204">
        <f t="shared" si="11"/>
        <v>2.64</v>
      </c>
      <c r="V76" s="189">
        <f t="shared" si="8"/>
        <v>0.15</v>
      </c>
      <c r="W76" s="253">
        <f t="shared" si="16"/>
        <v>0.15</v>
      </c>
      <c r="X76" s="204">
        <f t="shared" si="12"/>
        <v>2.0699999999999998</v>
      </c>
      <c r="Y76" s="204">
        <f t="shared" si="13"/>
        <v>0.96599999999999997</v>
      </c>
      <c r="Z76" s="204">
        <f t="shared" si="14"/>
        <v>3.0399999999999996</v>
      </c>
      <c r="AA76" s="206">
        <f>+Table1[[#This Row],[calculated sale price]]</f>
        <v>3.0399999999999996</v>
      </c>
      <c r="AB76" s="205"/>
      <c r="AC76" s="209"/>
    </row>
    <row r="77" spans="1:29" x14ac:dyDescent="0.25">
      <c r="A77" s="188">
        <v>1068</v>
      </c>
      <c r="B77" t="s">
        <v>371</v>
      </c>
      <c r="C77" s="188">
        <v>1</v>
      </c>
      <c r="I77" s="188"/>
      <c r="J77" s="188"/>
      <c r="K77" s="188"/>
      <c r="L77" s="199"/>
      <c r="M77" s="188"/>
      <c r="N77" s="200"/>
      <c r="O77" s="201">
        <v>0.94</v>
      </c>
      <c r="P77" s="201">
        <f>Table1[[#This Row],[unit cost]]</f>
        <v>0.94</v>
      </c>
      <c r="Q77" s="203">
        <v>1.5</v>
      </c>
      <c r="R77" s="188">
        <v>1</v>
      </c>
      <c r="S77" s="252">
        <f t="shared" si="15"/>
        <v>0.42</v>
      </c>
      <c r="T77" s="204">
        <f>Table1[[#This Row],[man minutes]]*Table1[[#This Row],[labor rate]]</f>
        <v>0.63</v>
      </c>
      <c r="U77" s="204">
        <f t="shared" si="11"/>
        <v>1.5699999999999998</v>
      </c>
      <c r="V77" s="189">
        <f t="shared" si="8"/>
        <v>0.15</v>
      </c>
      <c r="W77" s="253">
        <f t="shared" si="16"/>
        <v>0.15</v>
      </c>
      <c r="X77" s="204">
        <f t="shared" si="12"/>
        <v>1.081</v>
      </c>
      <c r="Y77" s="204">
        <f t="shared" si="13"/>
        <v>0.72450000000000003</v>
      </c>
      <c r="Z77" s="204">
        <f t="shared" si="14"/>
        <v>1.81</v>
      </c>
      <c r="AA77" s="206">
        <f>+Table1[[#This Row],[calculated sale price]]</f>
        <v>1.81</v>
      </c>
      <c r="AB77" s="205"/>
      <c r="AC77" s="209"/>
    </row>
    <row r="78" spans="1:29" x14ac:dyDescent="0.25">
      <c r="A78" s="188">
        <v>1069</v>
      </c>
      <c r="B78" t="s">
        <v>372</v>
      </c>
      <c r="C78" s="188">
        <v>1</v>
      </c>
      <c r="I78" s="188"/>
      <c r="J78" s="188"/>
      <c r="K78" s="188"/>
      <c r="L78" s="199"/>
      <c r="M78" s="188"/>
      <c r="N78" s="200"/>
      <c r="O78" s="201">
        <v>1.77</v>
      </c>
      <c r="P78" s="201">
        <f>Table1[[#This Row],[unit cost]]</f>
        <v>1.77</v>
      </c>
      <c r="Q78" s="203">
        <v>2</v>
      </c>
      <c r="R78" s="188">
        <v>1</v>
      </c>
      <c r="S78" s="252">
        <f t="shared" si="15"/>
        <v>0.42</v>
      </c>
      <c r="T78" s="204">
        <f>Table1[[#This Row],[man minutes]]*Table1[[#This Row],[labor rate]]</f>
        <v>0.84</v>
      </c>
      <c r="U78" s="204">
        <f t="shared" si="11"/>
        <v>2.61</v>
      </c>
      <c r="V78" s="189">
        <f t="shared" si="8"/>
        <v>0.15</v>
      </c>
      <c r="W78" s="253">
        <f t="shared" si="16"/>
        <v>0.15</v>
      </c>
      <c r="X78" s="204">
        <f t="shared" si="12"/>
        <v>2.0354999999999999</v>
      </c>
      <c r="Y78" s="204">
        <f t="shared" si="13"/>
        <v>0.96599999999999997</v>
      </c>
      <c r="Z78" s="204">
        <f t="shared" si="14"/>
        <v>3.01</v>
      </c>
      <c r="AA78" s="206">
        <f>+Table1[[#This Row],[calculated sale price]]</f>
        <v>3.01</v>
      </c>
      <c r="AB78" s="205"/>
      <c r="AC78" s="209"/>
    </row>
    <row r="79" spans="1:29" x14ac:dyDescent="0.25">
      <c r="A79" s="188">
        <v>1070</v>
      </c>
      <c r="B79" t="s">
        <v>373</v>
      </c>
      <c r="C79" s="188">
        <v>1</v>
      </c>
      <c r="I79" s="188"/>
      <c r="J79" s="188"/>
      <c r="K79" s="188"/>
      <c r="L79" s="199"/>
      <c r="M79" s="188"/>
      <c r="N79" s="200"/>
      <c r="O79" s="201">
        <v>1.1399999999999999</v>
      </c>
      <c r="P79" s="201">
        <f>Table1[[#This Row],[unit cost]]</f>
        <v>1.1399999999999999</v>
      </c>
      <c r="Q79" s="203">
        <v>2</v>
      </c>
      <c r="R79" s="188">
        <v>1</v>
      </c>
      <c r="S79" s="252">
        <f t="shared" si="15"/>
        <v>0.42</v>
      </c>
      <c r="T79" s="204">
        <f>Table1[[#This Row],[man minutes]]*Table1[[#This Row],[labor rate]]</f>
        <v>0.84</v>
      </c>
      <c r="U79" s="204">
        <f t="shared" si="11"/>
        <v>1.98</v>
      </c>
      <c r="V79" s="189">
        <f t="shared" si="8"/>
        <v>0.15</v>
      </c>
      <c r="W79" s="253">
        <f t="shared" si="16"/>
        <v>0.15</v>
      </c>
      <c r="X79" s="204">
        <f t="shared" si="12"/>
        <v>1.3109999999999997</v>
      </c>
      <c r="Y79" s="204">
        <f t="shared" si="13"/>
        <v>0.96599999999999997</v>
      </c>
      <c r="Z79" s="204">
        <f t="shared" si="14"/>
        <v>2.2799999999999998</v>
      </c>
      <c r="AA79" s="206">
        <f>+Table1[[#This Row],[calculated sale price]]</f>
        <v>2.2799999999999998</v>
      </c>
      <c r="AB79" s="205"/>
      <c r="AC79" s="209"/>
    </row>
    <row r="80" spans="1:29" x14ac:dyDescent="0.25">
      <c r="A80" s="188">
        <v>1071</v>
      </c>
      <c r="B80" t="s">
        <v>374</v>
      </c>
      <c r="C80" s="188">
        <v>1</v>
      </c>
      <c r="I80" s="188"/>
      <c r="J80" s="188"/>
      <c r="K80" s="188"/>
      <c r="L80" s="199"/>
      <c r="M80" s="188"/>
      <c r="N80" s="200"/>
      <c r="O80" s="201">
        <v>1.23</v>
      </c>
      <c r="P80" s="201">
        <f>Table1[[#This Row],[unit cost]]</f>
        <v>1.23</v>
      </c>
      <c r="Q80" s="203">
        <v>1.5</v>
      </c>
      <c r="R80" s="188">
        <v>1</v>
      </c>
      <c r="S80" s="252">
        <f t="shared" si="15"/>
        <v>0.42</v>
      </c>
      <c r="T80" s="204">
        <f>Table1[[#This Row],[man minutes]]*Table1[[#This Row],[labor rate]]</f>
        <v>0.63</v>
      </c>
      <c r="U80" s="204">
        <f t="shared" si="11"/>
        <v>1.8599999999999999</v>
      </c>
      <c r="V80" s="189">
        <f t="shared" ref="V80:V143" si="17">$V$2</f>
        <v>0.15</v>
      </c>
      <c r="W80" s="253">
        <f t="shared" si="16"/>
        <v>0.15</v>
      </c>
      <c r="X80" s="204">
        <f t="shared" si="12"/>
        <v>1.4144999999999999</v>
      </c>
      <c r="Y80" s="204">
        <f t="shared" si="13"/>
        <v>0.72450000000000003</v>
      </c>
      <c r="Z80" s="204">
        <f t="shared" si="14"/>
        <v>2.1399999999999997</v>
      </c>
      <c r="AA80" s="206">
        <f>+Table1[[#This Row],[calculated sale price]]</f>
        <v>2.1399999999999997</v>
      </c>
      <c r="AB80" s="205"/>
      <c r="AC80" s="209"/>
    </row>
    <row r="81" spans="1:29" x14ac:dyDescent="0.25">
      <c r="A81" s="188">
        <v>1072</v>
      </c>
      <c r="B81" t="s">
        <v>375</v>
      </c>
      <c r="C81" s="188">
        <v>1</v>
      </c>
      <c r="I81" s="188"/>
      <c r="J81" s="188"/>
      <c r="K81" s="188"/>
      <c r="L81" s="199"/>
      <c r="M81" s="188"/>
      <c r="N81" s="200"/>
      <c r="O81" s="201">
        <v>2.08</v>
      </c>
      <c r="P81" s="201">
        <f>Table1[[#This Row],[unit cost]]</f>
        <v>2.08</v>
      </c>
      <c r="Q81" s="203">
        <v>1</v>
      </c>
      <c r="R81" s="188">
        <v>1</v>
      </c>
      <c r="S81" s="252">
        <f t="shared" si="15"/>
        <v>0.42</v>
      </c>
      <c r="T81" s="204">
        <f>Table1[[#This Row],[man minutes]]*Table1[[#This Row],[labor rate]]</f>
        <v>0.42</v>
      </c>
      <c r="U81" s="204">
        <f t="shared" si="11"/>
        <v>2.5</v>
      </c>
      <c r="V81" s="189">
        <f t="shared" si="17"/>
        <v>0.15</v>
      </c>
      <c r="W81" s="253">
        <f t="shared" si="16"/>
        <v>0.15</v>
      </c>
      <c r="X81" s="204">
        <f t="shared" si="12"/>
        <v>2.3919999999999999</v>
      </c>
      <c r="Y81" s="204">
        <f t="shared" si="13"/>
        <v>0.48299999999999998</v>
      </c>
      <c r="Z81" s="204">
        <f t="shared" si="14"/>
        <v>2.88</v>
      </c>
      <c r="AA81" s="206">
        <f>+Table1[[#This Row],[calculated sale price]]</f>
        <v>2.88</v>
      </c>
      <c r="AB81" s="205"/>
      <c r="AC81" s="209"/>
    </row>
    <row r="82" spans="1:29" x14ac:dyDescent="0.25">
      <c r="A82" s="188">
        <v>1073</v>
      </c>
      <c r="B82" t="s">
        <v>376</v>
      </c>
      <c r="C82" s="188">
        <v>1</v>
      </c>
      <c r="I82" s="188"/>
      <c r="J82" s="188"/>
      <c r="K82" s="188"/>
      <c r="L82" s="199"/>
      <c r="M82" s="188"/>
      <c r="N82" s="200"/>
      <c r="O82" s="201">
        <v>1.32</v>
      </c>
      <c r="P82" s="201">
        <f>Table1[[#This Row],[unit cost]]</f>
        <v>1.32</v>
      </c>
      <c r="Q82" s="203">
        <v>1</v>
      </c>
      <c r="R82" s="188">
        <v>1</v>
      </c>
      <c r="S82" s="252">
        <f t="shared" si="15"/>
        <v>0.42</v>
      </c>
      <c r="T82" s="204">
        <f>Table1[[#This Row],[man minutes]]*Table1[[#This Row],[labor rate]]</f>
        <v>0.42</v>
      </c>
      <c r="U82" s="204">
        <f t="shared" si="11"/>
        <v>1.74</v>
      </c>
      <c r="V82" s="189">
        <f t="shared" si="17"/>
        <v>0.15</v>
      </c>
      <c r="W82" s="253">
        <f t="shared" si="16"/>
        <v>0.15</v>
      </c>
      <c r="X82" s="204">
        <f t="shared" si="12"/>
        <v>1.518</v>
      </c>
      <c r="Y82" s="204">
        <f t="shared" si="13"/>
        <v>0.48299999999999998</v>
      </c>
      <c r="Z82" s="204">
        <f t="shared" si="14"/>
        <v>2.0099999999999998</v>
      </c>
      <c r="AA82" s="206">
        <f>+Table1[[#This Row],[calculated sale price]]</f>
        <v>2.0099999999999998</v>
      </c>
      <c r="AB82" s="205"/>
      <c r="AC82" s="209"/>
    </row>
    <row r="83" spans="1:29" x14ac:dyDescent="0.25">
      <c r="A83" s="188">
        <v>1074</v>
      </c>
      <c r="B83" t="s">
        <v>377</v>
      </c>
      <c r="C83" s="188">
        <v>1</v>
      </c>
      <c r="I83" s="188"/>
      <c r="J83" s="188"/>
      <c r="K83" s="188"/>
      <c r="L83" s="199"/>
      <c r="M83" s="188"/>
      <c r="N83" s="200"/>
      <c r="O83" s="201">
        <v>1.98</v>
      </c>
      <c r="P83" s="201">
        <f>Table1[[#This Row],[unit cost]]</f>
        <v>1.98</v>
      </c>
      <c r="Q83" s="203">
        <v>3.5</v>
      </c>
      <c r="R83" s="188">
        <v>1</v>
      </c>
      <c r="S83" s="252">
        <f t="shared" si="15"/>
        <v>0.42</v>
      </c>
      <c r="T83" s="204">
        <f>Table1[[#This Row],[man minutes]]*Table1[[#This Row],[labor rate]]</f>
        <v>1.47</v>
      </c>
      <c r="U83" s="204">
        <f t="shared" si="11"/>
        <v>3.45</v>
      </c>
      <c r="V83" s="189">
        <f t="shared" si="17"/>
        <v>0.15</v>
      </c>
      <c r="W83" s="253">
        <f t="shared" si="16"/>
        <v>0.15</v>
      </c>
      <c r="X83" s="204">
        <f t="shared" si="12"/>
        <v>2.2769999999999997</v>
      </c>
      <c r="Y83" s="204">
        <f t="shared" si="13"/>
        <v>1.6904999999999999</v>
      </c>
      <c r="Z83" s="204">
        <f t="shared" si="14"/>
        <v>3.9699999999999998</v>
      </c>
      <c r="AA83" s="206">
        <f>+Table1[[#This Row],[calculated sale price]]</f>
        <v>3.9699999999999998</v>
      </c>
      <c r="AB83" s="205"/>
      <c r="AC83" s="209"/>
    </row>
    <row r="84" spans="1:29" x14ac:dyDescent="0.25">
      <c r="A84" s="188">
        <v>1075</v>
      </c>
      <c r="B84" t="s">
        <v>379</v>
      </c>
      <c r="C84" s="188">
        <v>1</v>
      </c>
      <c r="I84" s="188"/>
      <c r="J84" s="188"/>
      <c r="K84" s="188"/>
      <c r="L84" s="199"/>
      <c r="M84" s="188"/>
      <c r="N84" s="200"/>
      <c r="O84" s="201">
        <v>4.28</v>
      </c>
      <c r="P84" s="201">
        <f>Table1[[#This Row],[unit cost]]</f>
        <v>4.28</v>
      </c>
      <c r="Q84" s="203">
        <v>4.25</v>
      </c>
      <c r="R84" s="188">
        <v>1</v>
      </c>
      <c r="S84" s="252">
        <f t="shared" si="15"/>
        <v>0.42</v>
      </c>
      <c r="T84" s="204">
        <f>Table1[[#This Row],[man minutes]]*Table1[[#This Row],[labor rate]]</f>
        <v>1.7849999999999999</v>
      </c>
      <c r="U84" s="204">
        <f t="shared" si="11"/>
        <v>6.0650000000000004</v>
      </c>
      <c r="V84" s="189">
        <f t="shared" si="17"/>
        <v>0.15</v>
      </c>
      <c r="W84" s="253">
        <f t="shared" si="16"/>
        <v>0.15</v>
      </c>
      <c r="X84" s="204">
        <f t="shared" si="12"/>
        <v>4.9219999999999997</v>
      </c>
      <c r="Y84" s="204">
        <f t="shared" si="13"/>
        <v>2.0527500000000001</v>
      </c>
      <c r="Z84" s="204">
        <f t="shared" si="14"/>
        <v>6.9799999999999995</v>
      </c>
      <c r="AA84" s="206">
        <f>+Table1[[#This Row],[calculated sale price]]</f>
        <v>6.9799999999999995</v>
      </c>
      <c r="AB84" s="205"/>
      <c r="AC84" s="209"/>
    </row>
    <row r="85" spans="1:29" x14ac:dyDescent="0.25">
      <c r="A85" s="188">
        <v>1076</v>
      </c>
      <c r="B85" t="s">
        <v>378</v>
      </c>
      <c r="C85" s="188">
        <v>1</v>
      </c>
      <c r="I85" s="188"/>
      <c r="J85" s="188"/>
      <c r="K85" s="188"/>
      <c r="L85" s="199"/>
      <c r="M85" s="188"/>
      <c r="N85" s="200"/>
      <c r="O85" s="201">
        <v>4.2</v>
      </c>
      <c r="P85" s="201">
        <f>Table1[[#This Row],[unit cost]]</f>
        <v>4.2</v>
      </c>
      <c r="Q85" s="203">
        <v>3.25</v>
      </c>
      <c r="R85" s="188">
        <v>1</v>
      </c>
      <c r="S85" s="252">
        <f t="shared" si="15"/>
        <v>0.42</v>
      </c>
      <c r="T85" s="204">
        <f>Table1[[#This Row],[man minutes]]*Table1[[#This Row],[labor rate]]</f>
        <v>1.365</v>
      </c>
      <c r="U85" s="204">
        <f t="shared" si="11"/>
        <v>5.5650000000000004</v>
      </c>
      <c r="V85" s="189">
        <f t="shared" si="17"/>
        <v>0.15</v>
      </c>
      <c r="W85" s="253">
        <f t="shared" si="16"/>
        <v>0.15</v>
      </c>
      <c r="X85" s="204">
        <f t="shared" si="12"/>
        <v>4.83</v>
      </c>
      <c r="Y85" s="204">
        <f t="shared" si="13"/>
        <v>1.56975</v>
      </c>
      <c r="Z85" s="204">
        <f t="shared" si="14"/>
        <v>6.3999999999999995</v>
      </c>
      <c r="AA85" s="206">
        <f>+Table1[[#This Row],[calculated sale price]]</f>
        <v>6.3999999999999995</v>
      </c>
      <c r="AB85" s="205"/>
      <c r="AC85" s="209"/>
    </row>
    <row r="86" spans="1:29" x14ac:dyDescent="0.25">
      <c r="A86" s="188">
        <v>1077</v>
      </c>
      <c r="B86" t="s">
        <v>380</v>
      </c>
      <c r="C86" s="188">
        <v>1</v>
      </c>
      <c r="I86" s="188"/>
      <c r="J86" s="188"/>
      <c r="K86" s="188"/>
      <c r="L86" s="199"/>
      <c r="M86" s="188"/>
      <c r="N86" s="200"/>
      <c r="O86" s="201">
        <v>3.43</v>
      </c>
      <c r="P86" s="201">
        <f>Table1[[#This Row],[unit cost]]</f>
        <v>3.43</v>
      </c>
      <c r="Q86" s="203">
        <v>3.25</v>
      </c>
      <c r="R86" s="188">
        <v>1</v>
      </c>
      <c r="S86" s="252">
        <f t="shared" si="15"/>
        <v>0.42</v>
      </c>
      <c r="T86" s="204">
        <f>Table1[[#This Row],[man minutes]]*Table1[[#This Row],[labor rate]]</f>
        <v>1.365</v>
      </c>
      <c r="U86" s="204">
        <f t="shared" si="11"/>
        <v>4.7949999999999999</v>
      </c>
      <c r="V86" s="189">
        <f t="shared" si="17"/>
        <v>0.15</v>
      </c>
      <c r="W86" s="253">
        <f t="shared" si="16"/>
        <v>0.15</v>
      </c>
      <c r="X86" s="204">
        <f t="shared" si="12"/>
        <v>3.9444999999999997</v>
      </c>
      <c r="Y86" s="204">
        <f t="shared" si="13"/>
        <v>1.56975</v>
      </c>
      <c r="Z86" s="204">
        <f t="shared" si="14"/>
        <v>5.52</v>
      </c>
      <c r="AA86" s="206">
        <f>+Table1[[#This Row],[calculated sale price]]</f>
        <v>5.52</v>
      </c>
      <c r="AB86" s="205"/>
      <c r="AC86" s="209"/>
    </row>
    <row r="87" spans="1:29" x14ac:dyDescent="0.25">
      <c r="A87" s="188">
        <v>1078</v>
      </c>
      <c r="B87" t="s">
        <v>382</v>
      </c>
      <c r="C87" s="188">
        <v>1</v>
      </c>
      <c r="I87" s="188"/>
      <c r="J87" s="188"/>
      <c r="K87" s="188"/>
      <c r="L87" s="199"/>
      <c r="M87" s="188"/>
      <c r="N87" s="200"/>
      <c r="O87" s="201">
        <v>1.54</v>
      </c>
      <c r="P87" s="201">
        <f>Table1[[#This Row],[unit cost]]</f>
        <v>1.54</v>
      </c>
      <c r="Q87" s="203">
        <v>1.5</v>
      </c>
      <c r="R87" s="188">
        <v>1</v>
      </c>
      <c r="S87" s="252">
        <f t="shared" si="15"/>
        <v>0.42</v>
      </c>
      <c r="T87" s="204">
        <f>Table1[[#This Row],[man minutes]]*Table1[[#This Row],[labor rate]]</f>
        <v>0.63</v>
      </c>
      <c r="U87" s="204">
        <f t="shared" si="11"/>
        <v>2.17</v>
      </c>
      <c r="V87" s="189">
        <f t="shared" si="17"/>
        <v>0.15</v>
      </c>
      <c r="W87" s="253">
        <f t="shared" si="16"/>
        <v>0.15</v>
      </c>
      <c r="X87" s="204">
        <f t="shared" si="12"/>
        <v>1.7709999999999999</v>
      </c>
      <c r="Y87" s="204">
        <f t="shared" si="13"/>
        <v>0.72450000000000003</v>
      </c>
      <c r="Z87" s="204">
        <f t="shared" si="14"/>
        <v>2.5</v>
      </c>
      <c r="AA87" s="206">
        <f>+Table1[[#This Row],[calculated sale price]]</f>
        <v>2.5</v>
      </c>
      <c r="AB87" s="205"/>
      <c r="AC87" s="209"/>
    </row>
    <row r="88" spans="1:29" x14ac:dyDescent="0.25">
      <c r="A88" s="188">
        <v>1079</v>
      </c>
      <c r="B88" t="s">
        <v>383</v>
      </c>
      <c r="C88" s="188">
        <v>1</v>
      </c>
      <c r="I88" s="188"/>
      <c r="J88" s="188"/>
      <c r="K88" s="188"/>
      <c r="L88" s="199"/>
      <c r="M88" s="188"/>
      <c r="N88" s="200"/>
      <c r="O88" s="201">
        <v>1.6</v>
      </c>
      <c r="P88" s="201">
        <f>Table1[[#This Row],[unit cost]]</f>
        <v>1.6</v>
      </c>
      <c r="Q88" s="203">
        <v>1.5</v>
      </c>
      <c r="R88" s="188">
        <v>1</v>
      </c>
      <c r="S88" s="252">
        <f t="shared" si="15"/>
        <v>0.42</v>
      </c>
      <c r="T88" s="204">
        <f>Table1[[#This Row],[man minutes]]*Table1[[#This Row],[labor rate]]</f>
        <v>0.63</v>
      </c>
      <c r="U88" s="204">
        <f t="shared" ref="U88:U151" si="18">P88+T88</f>
        <v>2.23</v>
      </c>
      <c r="V88" s="189">
        <f t="shared" si="17"/>
        <v>0.15</v>
      </c>
      <c r="W88" s="253">
        <f t="shared" si="16"/>
        <v>0.15</v>
      </c>
      <c r="X88" s="204">
        <f t="shared" ref="X88:X151" si="19">P88*(1+V88)</f>
        <v>1.8399999999999999</v>
      </c>
      <c r="Y88" s="204">
        <f t="shared" ref="Y88:Y151" si="20">T88+(T88*W88)</f>
        <v>0.72450000000000003</v>
      </c>
      <c r="Z88" s="204">
        <f t="shared" ref="Z88:Z151" si="21">IFERROR(ROUNDUP(X88+Y88,2)," ")</f>
        <v>2.57</v>
      </c>
      <c r="AA88" s="206">
        <f>+Table1[[#This Row],[calculated sale price]]</f>
        <v>2.57</v>
      </c>
      <c r="AB88" s="205"/>
      <c r="AC88" s="209"/>
    </row>
    <row r="89" spans="1:29" x14ac:dyDescent="0.25">
      <c r="A89" s="188">
        <v>1080</v>
      </c>
      <c r="B89" t="s">
        <v>384</v>
      </c>
      <c r="C89" s="188">
        <v>1</v>
      </c>
      <c r="I89" s="188"/>
      <c r="J89" s="188"/>
      <c r="K89" s="188"/>
      <c r="L89" s="199"/>
      <c r="M89" s="188"/>
      <c r="N89" s="200"/>
      <c r="O89" s="201">
        <v>2.35</v>
      </c>
      <c r="P89" s="201">
        <f>Table1[[#This Row],[unit cost]]</f>
        <v>2.35</v>
      </c>
      <c r="Q89" s="203">
        <v>1.5</v>
      </c>
      <c r="R89" s="188">
        <v>1</v>
      </c>
      <c r="S89" s="252">
        <f t="shared" si="15"/>
        <v>0.42</v>
      </c>
      <c r="T89" s="204">
        <f>Table1[[#This Row],[man minutes]]*Table1[[#This Row],[labor rate]]</f>
        <v>0.63</v>
      </c>
      <c r="U89" s="204">
        <f t="shared" si="18"/>
        <v>2.98</v>
      </c>
      <c r="V89" s="189">
        <f t="shared" si="17"/>
        <v>0.15</v>
      </c>
      <c r="W89" s="253">
        <f t="shared" si="16"/>
        <v>0.15</v>
      </c>
      <c r="X89" s="204">
        <f t="shared" si="19"/>
        <v>2.7024999999999997</v>
      </c>
      <c r="Y89" s="204">
        <f t="shared" si="20"/>
        <v>0.72450000000000003</v>
      </c>
      <c r="Z89" s="204">
        <f t="shared" si="21"/>
        <v>3.4299999999999997</v>
      </c>
      <c r="AA89" s="206">
        <f>+Table1[[#This Row],[calculated sale price]]</f>
        <v>3.4299999999999997</v>
      </c>
      <c r="AB89" s="205"/>
      <c r="AC89" s="209"/>
    </row>
    <row r="90" spans="1:29" x14ac:dyDescent="0.25">
      <c r="A90" s="188">
        <v>1081</v>
      </c>
      <c r="B90" t="s">
        <v>385</v>
      </c>
      <c r="C90" s="188">
        <v>1</v>
      </c>
      <c r="I90" s="188"/>
      <c r="J90" s="188"/>
      <c r="K90" s="188"/>
      <c r="L90" s="199"/>
      <c r="M90" s="188"/>
      <c r="N90" s="200"/>
      <c r="O90" s="201">
        <v>2.0499999999999998</v>
      </c>
      <c r="P90" s="201">
        <f>Table1[[#This Row],[unit cost]]</f>
        <v>2.0499999999999998</v>
      </c>
      <c r="Q90" s="203">
        <v>1.5</v>
      </c>
      <c r="R90" s="188">
        <v>1</v>
      </c>
      <c r="S90" s="252">
        <f t="shared" si="15"/>
        <v>0.42</v>
      </c>
      <c r="T90" s="204">
        <f>Table1[[#This Row],[man minutes]]*Table1[[#This Row],[labor rate]]</f>
        <v>0.63</v>
      </c>
      <c r="U90" s="204">
        <f t="shared" si="18"/>
        <v>2.6799999999999997</v>
      </c>
      <c r="V90" s="189">
        <f t="shared" si="17"/>
        <v>0.15</v>
      </c>
      <c r="W90" s="253">
        <f t="shared" si="16"/>
        <v>0.15</v>
      </c>
      <c r="X90" s="204">
        <f t="shared" si="19"/>
        <v>2.3574999999999995</v>
      </c>
      <c r="Y90" s="204">
        <f t="shared" si="20"/>
        <v>0.72450000000000003</v>
      </c>
      <c r="Z90" s="204">
        <f t="shared" si="21"/>
        <v>3.09</v>
      </c>
      <c r="AA90" s="206">
        <f>+Table1[[#This Row],[calculated sale price]]</f>
        <v>3.09</v>
      </c>
      <c r="AB90" s="205"/>
      <c r="AC90" s="209"/>
    </row>
    <row r="91" spans="1:29" x14ac:dyDescent="0.25">
      <c r="A91" s="188">
        <v>1082</v>
      </c>
      <c r="B91" t="s">
        <v>386</v>
      </c>
      <c r="C91" s="188">
        <v>1</v>
      </c>
      <c r="I91" s="188"/>
      <c r="J91" s="188"/>
      <c r="K91" s="188"/>
      <c r="L91" s="199"/>
      <c r="M91" s="188"/>
      <c r="N91" s="200"/>
      <c r="O91" s="201">
        <v>2.25</v>
      </c>
      <c r="P91" s="201">
        <f>Table1[[#This Row],[unit cost]]</f>
        <v>2.25</v>
      </c>
      <c r="Q91" s="203">
        <v>1.5</v>
      </c>
      <c r="R91" s="188">
        <v>1</v>
      </c>
      <c r="S91" s="252">
        <f t="shared" si="15"/>
        <v>0.42</v>
      </c>
      <c r="T91" s="204">
        <f>Table1[[#This Row],[man minutes]]*Table1[[#This Row],[labor rate]]</f>
        <v>0.63</v>
      </c>
      <c r="U91" s="204">
        <f t="shared" si="18"/>
        <v>2.88</v>
      </c>
      <c r="V91" s="189">
        <f t="shared" si="17"/>
        <v>0.15</v>
      </c>
      <c r="W91" s="253">
        <f t="shared" si="16"/>
        <v>0.15</v>
      </c>
      <c r="X91" s="204">
        <f t="shared" si="19"/>
        <v>2.5874999999999999</v>
      </c>
      <c r="Y91" s="204">
        <f t="shared" si="20"/>
        <v>0.72450000000000003</v>
      </c>
      <c r="Z91" s="204">
        <f t="shared" si="21"/>
        <v>3.32</v>
      </c>
      <c r="AA91" s="206">
        <f>+Table1[[#This Row],[calculated sale price]]</f>
        <v>3.32</v>
      </c>
      <c r="AB91" s="205"/>
      <c r="AC91" s="209"/>
    </row>
    <row r="92" spans="1:29" x14ac:dyDescent="0.25">
      <c r="A92" s="188">
        <v>1083</v>
      </c>
      <c r="B92" t="s">
        <v>381</v>
      </c>
      <c r="C92" s="188">
        <v>1</v>
      </c>
      <c r="I92" s="188"/>
      <c r="J92" s="188"/>
      <c r="K92" s="188"/>
      <c r="L92" s="199"/>
      <c r="M92" s="188"/>
      <c r="N92" s="200"/>
      <c r="O92" s="201">
        <v>2.0499999999999998</v>
      </c>
      <c r="P92" s="201">
        <f>Table1[[#This Row],[unit cost]]</f>
        <v>2.0499999999999998</v>
      </c>
      <c r="Q92" s="203">
        <v>2</v>
      </c>
      <c r="R92" s="188">
        <v>1</v>
      </c>
      <c r="S92" s="252">
        <f t="shared" si="15"/>
        <v>0.42</v>
      </c>
      <c r="T92" s="204">
        <f>Table1[[#This Row],[man minutes]]*Table1[[#This Row],[labor rate]]</f>
        <v>0.84</v>
      </c>
      <c r="U92" s="204">
        <f t="shared" si="18"/>
        <v>2.8899999999999997</v>
      </c>
      <c r="V92" s="189">
        <f t="shared" si="17"/>
        <v>0.15</v>
      </c>
      <c r="W92" s="253">
        <f t="shared" si="16"/>
        <v>0.15</v>
      </c>
      <c r="X92" s="204">
        <f t="shared" si="19"/>
        <v>2.3574999999999995</v>
      </c>
      <c r="Y92" s="204">
        <f t="shared" si="20"/>
        <v>0.96599999999999997</v>
      </c>
      <c r="Z92" s="204">
        <f t="shared" si="21"/>
        <v>3.3299999999999996</v>
      </c>
      <c r="AA92" s="206">
        <f>+Table1[[#This Row],[calculated sale price]]</f>
        <v>3.3299999999999996</v>
      </c>
      <c r="AB92" s="205"/>
      <c r="AC92" s="209"/>
    </row>
    <row r="93" spans="1:29" x14ac:dyDescent="0.25">
      <c r="A93" s="188">
        <v>1084</v>
      </c>
      <c r="B93" t="s">
        <v>387</v>
      </c>
      <c r="C93" s="188">
        <v>1</v>
      </c>
      <c r="I93" s="188"/>
      <c r="J93" s="188"/>
      <c r="K93" s="188"/>
      <c r="L93" s="199"/>
      <c r="M93" s="188"/>
      <c r="N93" s="200"/>
      <c r="O93" s="201">
        <v>1.05</v>
      </c>
      <c r="P93" s="201">
        <f>Table1[[#This Row],[unit cost]]</f>
        <v>1.05</v>
      </c>
      <c r="Q93" s="203">
        <v>2</v>
      </c>
      <c r="R93" s="188">
        <v>1</v>
      </c>
      <c r="S93" s="252">
        <f t="shared" si="15"/>
        <v>0.42</v>
      </c>
      <c r="T93" s="204">
        <f>Table1[[#This Row],[man minutes]]*Table1[[#This Row],[labor rate]]</f>
        <v>0.84</v>
      </c>
      <c r="U93" s="204">
        <f t="shared" si="18"/>
        <v>1.8900000000000001</v>
      </c>
      <c r="V93" s="189">
        <f t="shared" si="17"/>
        <v>0.15</v>
      </c>
      <c r="W93" s="253">
        <f t="shared" si="16"/>
        <v>0.15</v>
      </c>
      <c r="X93" s="204">
        <f t="shared" si="19"/>
        <v>1.2075</v>
      </c>
      <c r="Y93" s="204">
        <f t="shared" si="20"/>
        <v>0.96599999999999997</v>
      </c>
      <c r="Z93" s="204">
        <f t="shared" si="21"/>
        <v>2.1799999999999997</v>
      </c>
      <c r="AA93" s="206">
        <f>+Table1[[#This Row],[calculated sale price]]</f>
        <v>2.1799999999999997</v>
      </c>
      <c r="AB93" s="205"/>
      <c r="AC93" s="209"/>
    </row>
    <row r="94" spans="1:29" x14ac:dyDescent="0.25">
      <c r="A94" s="188">
        <v>1085</v>
      </c>
      <c r="B94" t="s">
        <v>388</v>
      </c>
      <c r="C94" s="188">
        <v>1</v>
      </c>
      <c r="I94" s="188"/>
      <c r="J94" s="188"/>
      <c r="K94" s="188"/>
      <c r="L94" s="199"/>
      <c r="M94" s="188"/>
      <c r="N94" s="200"/>
      <c r="O94" s="201">
        <v>2.02</v>
      </c>
      <c r="P94" s="201">
        <f>Table1[[#This Row],[unit cost]]</f>
        <v>2.02</v>
      </c>
      <c r="Q94" s="203">
        <v>2</v>
      </c>
      <c r="R94" s="188">
        <v>1</v>
      </c>
      <c r="S94" s="252">
        <f t="shared" si="15"/>
        <v>0.42</v>
      </c>
      <c r="T94" s="204">
        <f>Table1[[#This Row],[man minutes]]*Table1[[#This Row],[labor rate]]</f>
        <v>0.84</v>
      </c>
      <c r="U94" s="204">
        <f t="shared" si="18"/>
        <v>2.86</v>
      </c>
      <c r="V94" s="189">
        <f t="shared" si="17"/>
        <v>0.15</v>
      </c>
      <c r="W94" s="253">
        <f t="shared" si="16"/>
        <v>0.15</v>
      </c>
      <c r="X94" s="204">
        <f t="shared" si="19"/>
        <v>2.323</v>
      </c>
      <c r="Y94" s="204">
        <f t="shared" si="20"/>
        <v>0.96599999999999997</v>
      </c>
      <c r="Z94" s="204">
        <f t="shared" si="21"/>
        <v>3.2899999999999996</v>
      </c>
      <c r="AA94" s="206">
        <f>+Table1[[#This Row],[calculated sale price]]</f>
        <v>3.2899999999999996</v>
      </c>
      <c r="AB94" s="205"/>
      <c r="AC94" s="209"/>
    </row>
    <row r="95" spans="1:29" x14ac:dyDescent="0.25">
      <c r="A95" s="188">
        <v>1086</v>
      </c>
      <c r="B95" t="s">
        <v>389</v>
      </c>
      <c r="C95" s="188">
        <v>1</v>
      </c>
      <c r="I95" s="188"/>
      <c r="J95" s="188"/>
      <c r="K95" s="188"/>
      <c r="L95" s="199"/>
      <c r="M95" s="188"/>
      <c r="N95" s="200"/>
      <c r="O95" s="201">
        <v>1.1399999999999999</v>
      </c>
      <c r="P95" s="201">
        <f>Table1[[#This Row],[unit cost]]</f>
        <v>1.1399999999999999</v>
      </c>
      <c r="Q95" s="203">
        <v>1.5</v>
      </c>
      <c r="R95" s="188">
        <v>1</v>
      </c>
      <c r="S95" s="252">
        <f t="shared" si="15"/>
        <v>0.42</v>
      </c>
      <c r="T95" s="204">
        <f>Table1[[#This Row],[man minutes]]*Table1[[#This Row],[labor rate]]</f>
        <v>0.63</v>
      </c>
      <c r="U95" s="204">
        <f t="shared" si="18"/>
        <v>1.77</v>
      </c>
      <c r="V95" s="189">
        <f t="shared" si="17"/>
        <v>0.15</v>
      </c>
      <c r="W95" s="253">
        <f t="shared" si="16"/>
        <v>0.15</v>
      </c>
      <c r="X95" s="204">
        <f t="shared" si="19"/>
        <v>1.3109999999999997</v>
      </c>
      <c r="Y95" s="204">
        <f t="shared" si="20"/>
        <v>0.72450000000000003</v>
      </c>
      <c r="Z95" s="204">
        <f t="shared" si="21"/>
        <v>2.0399999999999996</v>
      </c>
      <c r="AA95" s="206">
        <f>+Table1[[#This Row],[calculated sale price]]</f>
        <v>2.0399999999999996</v>
      </c>
      <c r="AB95" s="205"/>
      <c r="AC95" s="209"/>
    </row>
    <row r="96" spans="1:29" x14ac:dyDescent="0.25">
      <c r="A96" s="188">
        <v>1087</v>
      </c>
      <c r="C96" s="188">
        <v>1</v>
      </c>
      <c r="I96" s="188"/>
      <c r="J96" s="188"/>
      <c r="K96" s="188"/>
      <c r="L96" s="199"/>
      <c r="M96" s="188"/>
      <c r="N96" s="200"/>
      <c r="O96" s="201">
        <v>0</v>
      </c>
      <c r="P96" s="201">
        <f>Table1[[#This Row],[unit cost]]</f>
        <v>0</v>
      </c>
      <c r="Q96" s="203"/>
      <c r="R96" s="188">
        <v>1</v>
      </c>
      <c r="S96" s="252">
        <f t="shared" si="15"/>
        <v>0.42</v>
      </c>
      <c r="T96" s="204">
        <f>Table1[[#This Row],[man minutes]]*Table1[[#This Row],[labor rate]]</f>
        <v>0</v>
      </c>
      <c r="U96" s="204">
        <f t="shared" si="18"/>
        <v>0</v>
      </c>
      <c r="V96" s="189">
        <f t="shared" si="17"/>
        <v>0.15</v>
      </c>
      <c r="W96" s="253">
        <f t="shared" si="16"/>
        <v>0.15</v>
      </c>
      <c r="X96" s="204">
        <f t="shared" si="19"/>
        <v>0</v>
      </c>
      <c r="Y96" s="204">
        <f t="shared" si="20"/>
        <v>0</v>
      </c>
      <c r="Z96" s="204">
        <f t="shared" si="21"/>
        <v>0</v>
      </c>
      <c r="AA96" s="206">
        <f>+Table1[[#This Row],[calculated sale price]]</f>
        <v>0</v>
      </c>
      <c r="AB96" s="205"/>
      <c r="AC96" s="209"/>
    </row>
    <row r="97" spans="1:29" x14ac:dyDescent="0.25">
      <c r="A97" s="188">
        <v>1088</v>
      </c>
      <c r="B97" t="s">
        <v>534</v>
      </c>
      <c r="C97" s="188">
        <v>1</v>
      </c>
      <c r="I97" s="188"/>
      <c r="J97" s="188"/>
      <c r="K97" s="188"/>
      <c r="L97" s="199"/>
      <c r="M97" s="188"/>
      <c r="N97" s="200"/>
      <c r="O97" s="201">
        <v>2.91</v>
      </c>
      <c r="P97" s="201">
        <f>Table1[[#This Row],[unit cost]]</f>
        <v>2.91</v>
      </c>
      <c r="Q97" s="203">
        <v>3.75</v>
      </c>
      <c r="R97" s="188">
        <v>1</v>
      </c>
      <c r="S97" s="252">
        <f t="shared" si="15"/>
        <v>0.42</v>
      </c>
      <c r="T97" s="204">
        <f>Table1[[#This Row],[man minutes]]*Table1[[#This Row],[labor rate]]</f>
        <v>1.575</v>
      </c>
      <c r="U97" s="204">
        <f t="shared" si="18"/>
        <v>4.4850000000000003</v>
      </c>
      <c r="V97" s="189">
        <f t="shared" si="17"/>
        <v>0.15</v>
      </c>
      <c r="W97" s="253">
        <f t="shared" si="16"/>
        <v>0.15</v>
      </c>
      <c r="X97" s="204">
        <f t="shared" si="19"/>
        <v>3.3464999999999998</v>
      </c>
      <c r="Y97" s="204">
        <f t="shared" si="20"/>
        <v>1.81125</v>
      </c>
      <c r="Z97" s="204">
        <f t="shared" si="21"/>
        <v>5.16</v>
      </c>
      <c r="AA97" s="206">
        <f>+Table1[[#This Row],[calculated sale price]]</f>
        <v>5.16</v>
      </c>
      <c r="AB97" s="205"/>
      <c r="AC97" s="209"/>
    </row>
    <row r="98" spans="1:29" x14ac:dyDescent="0.25">
      <c r="A98" s="188">
        <v>1089</v>
      </c>
      <c r="B98" t="s">
        <v>535</v>
      </c>
      <c r="C98" s="188">
        <v>1</v>
      </c>
      <c r="I98" s="188"/>
      <c r="J98" s="188"/>
      <c r="K98" s="188"/>
      <c r="L98" s="199"/>
      <c r="M98" s="188"/>
      <c r="N98" s="200"/>
      <c r="O98" s="201">
        <v>1.24</v>
      </c>
      <c r="P98" s="201">
        <f>Table1[[#This Row],[unit cost]]</f>
        <v>1.24</v>
      </c>
      <c r="Q98" s="203">
        <v>3.25</v>
      </c>
      <c r="R98" s="188">
        <v>1</v>
      </c>
      <c r="S98" s="252">
        <f t="shared" si="15"/>
        <v>0.42</v>
      </c>
      <c r="T98" s="204">
        <f>Table1[[#This Row],[man minutes]]*Table1[[#This Row],[labor rate]]</f>
        <v>1.365</v>
      </c>
      <c r="U98" s="204">
        <f t="shared" si="18"/>
        <v>2.605</v>
      </c>
      <c r="V98" s="189">
        <f t="shared" si="17"/>
        <v>0.15</v>
      </c>
      <c r="W98" s="253">
        <f t="shared" si="16"/>
        <v>0.15</v>
      </c>
      <c r="X98" s="204">
        <f t="shared" si="19"/>
        <v>1.4259999999999999</v>
      </c>
      <c r="Y98" s="204">
        <f t="shared" si="20"/>
        <v>1.56975</v>
      </c>
      <c r="Z98" s="204">
        <f t="shared" si="21"/>
        <v>3</v>
      </c>
      <c r="AA98" s="206">
        <f>+Table1[[#This Row],[calculated sale price]]</f>
        <v>3</v>
      </c>
      <c r="AB98" s="205"/>
      <c r="AC98" s="209"/>
    </row>
    <row r="99" spans="1:29" x14ac:dyDescent="0.25">
      <c r="A99" s="188">
        <v>1090</v>
      </c>
      <c r="B99" t="s">
        <v>536</v>
      </c>
      <c r="C99" s="188">
        <v>1</v>
      </c>
      <c r="I99" s="188"/>
      <c r="J99" s="188"/>
      <c r="K99" s="188"/>
      <c r="L99" s="199"/>
      <c r="M99" s="188"/>
      <c r="N99" s="200"/>
      <c r="O99" s="201">
        <v>5.24</v>
      </c>
      <c r="P99" s="201">
        <f>Table1[[#This Row],[unit cost]]</f>
        <v>5.24</v>
      </c>
      <c r="Q99" s="203">
        <v>4</v>
      </c>
      <c r="R99" s="188">
        <v>1</v>
      </c>
      <c r="S99" s="252">
        <f t="shared" si="15"/>
        <v>0.42</v>
      </c>
      <c r="T99" s="204">
        <f>Table1[[#This Row],[man minutes]]*Table1[[#This Row],[labor rate]]</f>
        <v>1.68</v>
      </c>
      <c r="U99" s="204">
        <f t="shared" si="18"/>
        <v>6.92</v>
      </c>
      <c r="V99" s="189">
        <f t="shared" si="17"/>
        <v>0.15</v>
      </c>
      <c r="W99" s="253">
        <f t="shared" si="16"/>
        <v>0.15</v>
      </c>
      <c r="X99" s="204">
        <f t="shared" si="19"/>
        <v>6.0259999999999998</v>
      </c>
      <c r="Y99" s="204">
        <f t="shared" si="20"/>
        <v>1.9319999999999999</v>
      </c>
      <c r="Z99" s="204">
        <f t="shared" si="21"/>
        <v>7.96</v>
      </c>
      <c r="AA99" s="206">
        <f>+Table1[[#This Row],[calculated sale price]]</f>
        <v>7.96</v>
      </c>
      <c r="AB99" s="205"/>
      <c r="AC99" s="209"/>
    </row>
    <row r="100" spans="1:29" x14ac:dyDescent="0.25">
      <c r="A100" s="188">
        <v>1091</v>
      </c>
      <c r="B100" t="s">
        <v>537</v>
      </c>
      <c r="C100" s="188">
        <v>1</v>
      </c>
      <c r="I100" s="188"/>
      <c r="J100" s="188"/>
      <c r="K100" s="188"/>
      <c r="L100" s="199"/>
      <c r="M100" s="188"/>
      <c r="N100" s="200"/>
      <c r="O100" s="201">
        <v>3.57</v>
      </c>
      <c r="P100" s="201">
        <f>Table1[[#This Row],[unit cost]]</f>
        <v>3.57</v>
      </c>
      <c r="Q100" s="203">
        <v>2.5</v>
      </c>
      <c r="R100" s="188">
        <v>1</v>
      </c>
      <c r="S100" s="252">
        <f t="shared" si="15"/>
        <v>0.42</v>
      </c>
      <c r="T100" s="204">
        <f>Table1[[#This Row],[man minutes]]*Table1[[#This Row],[labor rate]]</f>
        <v>1.05</v>
      </c>
      <c r="U100" s="204">
        <f t="shared" si="18"/>
        <v>4.62</v>
      </c>
      <c r="V100" s="189">
        <f t="shared" si="17"/>
        <v>0.15</v>
      </c>
      <c r="W100" s="253">
        <f t="shared" si="16"/>
        <v>0.15</v>
      </c>
      <c r="X100" s="204">
        <f t="shared" si="19"/>
        <v>4.1054999999999993</v>
      </c>
      <c r="Y100" s="204">
        <f t="shared" si="20"/>
        <v>1.2075</v>
      </c>
      <c r="Z100" s="204">
        <f t="shared" si="21"/>
        <v>5.3199999999999994</v>
      </c>
      <c r="AA100" s="206">
        <f>+Table1[[#This Row],[calculated sale price]]</f>
        <v>5.3199999999999994</v>
      </c>
      <c r="AB100" s="205"/>
      <c r="AC100" s="209"/>
    </row>
    <row r="101" spans="1:29" x14ac:dyDescent="0.25">
      <c r="A101" s="188">
        <v>1092</v>
      </c>
      <c r="B101" t="s">
        <v>538</v>
      </c>
      <c r="C101" s="188">
        <v>1</v>
      </c>
      <c r="I101" s="188"/>
      <c r="J101" s="188"/>
      <c r="K101" s="188"/>
      <c r="L101" s="199"/>
      <c r="M101" s="188"/>
      <c r="N101" s="200"/>
      <c r="O101" s="201">
        <v>0.99</v>
      </c>
      <c r="P101" s="201">
        <f>Table1[[#This Row],[unit cost]]</f>
        <v>0.99</v>
      </c>
      <c r="Q101" s="203">
        <v>1</v>
      </c>
      <c r="R101" s="188">
        <v>1</v>
      </c>
      <c r="S101" s="252">
        <f t="shared" si="15"/>
        <v>0.42</v>
      </c>
      <c r="T101" s="204">
        <f>Table1[[#This Row],[man minutes]]*Table1[[#This Row],[labor rate]]</f>
        <v>0.42</v>
      </c>
      <c r="U101" s="204">
        <f t="shared" si="18"/>
        <v>1.41</v>
      </c>
      <c r="V101" s="189">
        <f t="shared" si="17"/>
        <v>0.15</v>
      </c>
      <c r="W101" s="253">
        <f t="shared" si="16"/>
        <v>0.15</v>
      </c>
      <c r="X101" s="204">
        <f t="shared" si="19"/>
        <v>1.1384999999999998</v>
      </c>
      <c r="Y101" s="204">
        <f t="shared" si="20"/>
        <v>0.48299999999999998</v>
      </c>
      <c r="Z101" s="204">
        <f t="shared" si="21"/>
        <v>1.6300000000000001</v>
      </c>
      <c r="AA101" s="206">
        <f>+Table1[[#This Row],[calculated sale price]]</f>
        <v>1.6300000000000001</v>
      </c>
      <c r="AB101" s="205"/>
      <c r="AC101" s="209"/>
    </row>
    <row r="102" spans="1:29" x14ac:dyDescent="0.25">
      <c r="A102" s="188">
        <v>1093</v>
      </c>
      <c r="B102" t="s">
        <v>514</v>
      </c>
      <c r="C102" s="188">
        <v>1</v>
      </c>
      <c r="I102" s="188"/>
      <c r="J102" s="188"/>
      <c r="K102" s="188"/>
      <c r="L102" s="199"/>
      <c r="M102" s="188"/>
      <c r="N102" s="200"/>
      <c r="O102" s="201">
        <v>5.72</v>
      </c>
      <c r="P102" s="201">
        <f>Table1[[#This Row],[unit cost]]</f>
        <v>5.72</v>
      </c>
      <c r="Q102" s="203">
        <v>5.75</v>
      </c>
      <c r="R102" s="188">
        <v>1</v>
      </c>
      <c r="S102" s="252">
        <f t="shared" si="15"/>
        <v>0.42</v>
      </c>
      <c r="T102" s="204">
        <f>Table1[[#This Row],[man minutes]]*Table1[[#This Row],[labor rate]]</f>
        <v>2.415</v>
      </c>
      <c r="U102" s="204">
        <f t="shared" si="18"/>
        <v>8.1349999999999998</v>
      </c>
      <c r="V102" s="189">
        <f t="shared" si="17"/>
        <v>0.15</v>
      </c>
      <c r="W102" s="253">
        <f t="shared" si="16"/>
        <v>0.15</v>
      </c>
      <c r="X102" s="204">
        <f t="shared" si="19"/>
        <v>6.5779999999999994</v>
      </c>
      <c r="Y102" s="204">
        <f t="shared" si="20"/>
        <v>2.77725</v>
      </c>
      <c r="Z102" s="204">
        <f t="shared" si="21"/>
        <v>9.36</v>
      </c>
      <c r="AA102" s="206">
        <f>+Table1[[#This Row],[calculated sale price]]</f>
        <v>9.36</v>
      </c>
      <c r="AB102" s="205"/>
      <c r="AC102" s="209"/>
    </row>
    <row r="103" spans="1:29" x14ac:dyDescent="0.25">
      <c r="A103" s="188">
        <v>1094</v>
      </c>
      <c r="B103" t="s">
        <v>477</v>
      </c>
      <c r="C103" s="188">
        <v>1</v>
      </c>
      <c r="I103" s="188"/>
      <c r="J103" s="188"/>
      <c r="K103" s="188"/>
      <c r="L103" s="199"/>
      <c r="M103" s="188"/>
      <c r="N103" s="200"/>
      <c r="O103" s="201">
        <v>17.55</v>
      </c>
      <c r="P103" s="201">
        <f>Table1[[#This Row],[unit cost]]</f>
        <v>17.55</v>
      </c>
      <c r="Q103" s="203">
        <v>8</v>
      </c>
      <c r="R103" s="188">
        <v>1</v>
      </c>
      <c r="S103" s="252">
        <f t="shared" si="15"/>
        <v>0.42</v>
      </c>
      <c r="T103" s="204">
        <f>Table1[[#This Row],[man minutes]]*Table1[[#This Row],[labor rate]]</f>
        <v>3.36</v>
      </c>
      <c r="U103" s="204">
        <f t="shared" si="18"/>
        <v>20.91</v>
      </c>
      <c r="V103" s="189">
        <f t="shared" si="17"/>
        <v>0.15</v>
      </c>
      <c r="W103" s="253">
        <f t="shared" si="16"/>
        <v>0.15</v>
      </c>
      <c r="X103" s="204">
        <f t="shared" si="19"/>
        <v>20.182500000000001</v>
      </c>
      <c r="Y103" s="204">
        <f t="shared" si="20"/>
        <v>3.8639999999999999</v>
      </c>
      <c r="Z103" s="204">
        <f t="shared" si="21"/>
        <v>24.05</v>
      </c>
      <c r="AA103" s="206">
        <f>+Table1[[#This Row],[calculated sale price]]</f>
        <v>24.05</v>
      </c>
      <c r="AB103" s="205"/>
      <c r="AC103" s="209"/>
    </row>
    <row r="104" spans="1:29" x14ac:dyDescent="0.25">
      <c r="A104" s="188">
        <v>1095</v>
      </c>
      <c r="B104" t="s">
        <v>478</v>
      </c>
      <c r="C104" s="188">
        <v>1</v>
      </c>
      <c r="I104" s="188"/>
      <c r="J104" s="188"/>
      <c r="K104" s="188"/>
      <c r="L104" s="199"/>
      <c r="M104" s="188"/>
      <c r="N104" s="200"/>
      <c r="O104" s="201">
        <v>4.47</v>
      </c>
      <c r="P104" s="201">
        <f>Table1[[#This Row],[unit cost]]</f>
        <v>4.47</v>
      </c>
      <c r="Q104" s="203">
        <v>3.75</v>
      </c>
      <c r="R104" s="188">
        <v>1</v>
      </c>
      <c r="S104" s="252">
        <f t="shared" si="15"/>
        <v>0.42</v>
      </c>
      <c r="T104" s="204">
        <f>Table1[[#This Row],[man minutes]]*Table1[[#This Row],[labor rate]]</f>
        <v>1.575</v>
      </c>
      <c r="U104" s="204">
        <f t="shared" si="18"/>
        <v>6.0449999999999999</v>
      </c>
      <c r="V104" s="189">
        <f t="shared" si="17"/>
        <v>0.15</v>
      </c>
      <c r="W104" s="253">
        <f t="shared" si="16"/>
        <v>0.15</v>
      </c>
      <c r="X104" s="204">
        <f t="shared" si="19"/>
        <v>5.1404999999999994</v>
      </c>
      <c r="Y104" s="204">
        <f t="shared" si="20"/>
        <v>1.81125</v>
      </c>
      <c r="Z104" s="204">
        <f t="shared" si="21"/>
        <v>6.96</v>
      </c>
      <c r="AA104" s="206">
        <f>+Table1[[#This Row],[calculated sale price]]</f>
        <v>6.96</v>
      </c>
      <c r="AB104" s="205"/>
      <c r="AC104" s="209"/>
    </row>
    <row r="105" spans="1:29" x14ac:dyDescent="0.25">
      <c r="A105" s="188">
        <v>1096</v>
      </c>
      <c r="B105" t="s">
        <v>479</v>
      </c>
      <c r="C105" s="188">
        <v>1</v>
      </c>
      <c r="I105" s="188"/>
      <c r="J105" s="188"/>
      <c r="K105" s="188"/>
      <c r="L105" s="199"/>
      <c r="M105" s="188"/>
      <c r="N105" s="200"/>
      <c r="O105" s="201">
        <v>1.43</v>
      </c>
      <c r="P105" s="201">
        <f>Table1[[#This Row],[unit cost]]</f>
        <v>1.43</v>
      </c>
      <c r="Q105" s="203">
        <v>4</v>
      </c>
      <c r="R105" s="188">
        <v>1</v>
      </c>
      <c r="S105" s="252">
        <f t="shared" si="15"/>
        <v>0.42</v>
      </c>
      <c r="T105" s="204">
        <f>Table1[[#This Row],[man minutes]]*Table1[[#This Row],[labor rate]]</f>
        <v>1.68</v>
      </c>
      <c r="U105" s="204">
        <f t="shared" si="18"/>
        <v>3.11</v>
      </c>
      <c r="V105" s="189">
        <f t="shared" si="17"/>
        <v>0.15</v>
      </c>
      <c r="W105" s="253">
        <f t="shared" si="16"/>
        <v>0.15</v>
      </c>
      <c r="X105" s="204">
        <f t="shared" si="19"/>
        <v>1.6444999999999999</v>
      </c>
      <c r="Y105" s="204">
        <f t="shared" si="20"/>
        <v>1.9319999999999999</v>
      </c>
      <c r="Z105" s="204">
        <f t="shared" si="21"/>
        <v>3.5799999999999996</v>
      </c>
      <c r="AA105" s="206">
        <f>+Table1[[#This Row],[calculated sale price]]</f>
        <v>3.5799999999999996</v>
      </c>
      <c r="AB105" s="205"/>
      <c r="AC105" s="209"/>
    </row>
    <row r="106" spans="1:29" x14ac:dyDescent="0.25">
      <c r="A106" s="188">
        <v>1097</v>
      </c>
      <c r="B106" t="s">
        <v>515</v>
      </c>
      <c r="C106" s="188">
        <v>1</v>
      </c>
      <c r="I106" s="188"/>
      <c r="J106" s="188"/>
      <c r="K106" s="188"/>
      <c r="L106" s="199"/>
      <c r="M106" s="188"/>
      <c r="N106" s="200"/>
      <c r="O106" s="201">
        <v>4.4400000000000004</v>
      </c>
      <c r="P106" s="201">
        <f>Table1[[#This Row],[unit cost]]</f>
        <v>4.4400000000000004</v>
      </c>
      <c r="Q106" s="203">
        <v>2</v>
      </c>
      <c r="R106" s="188">
        <v>1</v>
      </c>
      <c r="S106" s="252">
        <f t="shared" si="15"/>
        <v>0.42</v>
      </c>
      <c r="T106" s="204">
        <f>Table1[[#This Row],[man minutes]]*Table1[[#This Row],[labor rate]]</f>
        <v>0.84</v>
      </c>
      <c r="U106" s="204">
        <f t="shared" si="18"/>
        <v>5.28</v>
      </c>
      <c r="V106" s="189">
        <f t="shared" si="17"/>
        <v>0.15</v>
      </c>
      <c r="W106" s="253">
        <f t="shared" si="16"/>
        <v>0.15</v>
      </c>
      <c r="X106" s="204">
        <f t="shared" si="19"/>
        <v>5.1059999999999999</v>
      </c>
      <c r="Y106" s="204">
        <f t="shared" si="20"/>
        <v>0.96599999999999997</v>
      </c>
      <c r="Z106" s="204">
        <f t="shared" si="21"/>
        <v>6.08</v>
      </c>
      <c r="AA106" s="206">
        <f>+Table1[[#This Row],[calculated sale price]]</f>
        <v>6.08</v>
      </c>
      <c r="AB106" s="205"/>
      <c r="AC106" s="209"/>
    </row>
    <row r="107" spans="1:29" x14ac:dyDescent="0.25">
      <c r="A107" s="188">
        <v>1098</v>
      </c>
      <c r="B107" t="s">
        <v>480</v>
      </c>
      <c r="C107" s="188">
        <v>1</v>
      </c>
      <c r="I107" s="188"/>
      <c r="J107" s="188"/>
      <c r="K107" s="188"/>
      <c r="L107" s="199"/>
      <c r="M107" s="188"/>
      <c r="N107" s="200"/>
      <c r="O107" s="201">
        <v>2.0299999999999998</v>
      </c>
      <c r="P107" s="201">
        <f>Table1[[#This Row],[unit cost]]</f>
        <v>2.0299999999999998</v>
      </c>
      <c r="Q107" s="203">
        <v>2.75</v>
      </c>
      <c r="R107" s="188">
        <v>1</v>
      </c>
      <c r="S107" s="252">
        <f t="shared" si="15"/>
        <v>0.42</v>
      </c>
      <c r="T107" s="204">
        <f>Table1[[#This Row],[man minutes]]*Table1[[#This Row],[labor rate]]</f>
        <v>1.155</v>
      </c>
      <c r="U107" s="204">
        <f t="shared" si="18"/>
        <v>3.1849999999999996</v>
      </c>
      <c r="V107" s="189">
        <f t="shared" si="17"/>
        <v>0.15</v>
      </c>
      <c r="W107" s="253">
        <f t="shared" si="16"/>
        <v>0.15</v>
      </c>
      <c r="X107" s="204">
        <f t="shared" si="19"/>
        <v>2.3344999999999998</v>
      </c>
      <c r="Y107" s="204">
        <f t="shared" si="20"/>
        <v>1.3282499999999999</v>
      </c>
      <c r="Z107" s="204">
        <f t="shared" si="21"/>
        <v>3.67</v>
      </c>
      <c r="AA107" s="206">
        <f>+Table1[[#This Row],[calculated sale price]]</f>
        <v>3.67</v>
      </c>
      <c r="AB107" s="205"/>
      <c r="AC107" s="209"/>
    </row>
    <row r="108" spans="1:29" x14ac:dyDescent="0.25">
      <c r="A108" s="188">
        <v>1099</v>
      </c>
      <c r="B108" t="s">
        <v>481</v>
      </c>
      <c r="C108" s="188">
        <v>1</v>
      </c>
      <c r="I108" s="188"/>
      <c r="J108" s="188"/>
      <c r="K108" s="188"/>
      <c r="L108" s="199"/>
      <c r="M108" s="188"/>
      <c r="N108" s="200"/>
      <c r="O108" s="201">
        <v>1.02</v>
      </c>
      <c r="P108" s="201">
        <f>Table1[[#This Row],[unit cost]]</f>
        <v>1.02</v>
      </c>
      <c r="Q108" s="203">
        <v>1.5</v>
      </c>
      <c r="R108" s="188">
        <v>1</v>
      </c>
      <c r="S108" s="252">
        <f t="shared" si="15"/>
        <v>0.42</v>
      </c>
      <c r="T108" s="204">
        <f>Table1[[#This Row],[man minutes]]*Table1[[#This Row],[labor rate]]</f>
        <v>0.63</v>
      </c>
      <c r="U108" s="204">
        <f t="shared" si="18"/>
        <v>1.65</v>
      </c>
      <c r="V108" s="189">
        <f t="shared" si="17"/>
        <v>0.15</v>
      </c>
      <c r="W108" s="253">
        <f t="shared" si="16"/>
        <v>0.15</v>
      </c>
      <c r="X108" s="204">
        <f t="shared" si="19"/>
        <v>1.1729999999999998</v>
      </c>
      <c r="Y108" s="204">
        <f t="shared" si="20"/>
        <v>0.72450000000000003</v>
      </c>
      <c r="Z108" s="204">
        <f t="shared" si="21"/>
        <v>1.9</v>
      </c>
      <c r="AA108" s="206">
        <f>+Table1[[#This Row],[calculated sale price]]</f>
        <v>1.9</v>
      </c>
      <c r="AB108" s="205"/>
      <c r="AC108" s="209"/>
    </row>
    <row r="109" spans="1:29" x14ac:dyDescent="0.25">
      <c r="A109" s="188">
        <v>1100</v>
      </c>
      <c r="B109" t="s">
        <v>482</v>
      </c>
      <c r="C109" s="188">
        <v>1</v>
      </c>
      <c r="I109" s="188"/>
      <c r="J109" s="188"/>
      <c r="K109" s="188"/>
      <c r="L109" s="199"/>
      <c r="M109" s="188"/>
      <c r="N109" s="200"/>
      <c r="O109" s="201">
        <v>1.52</v>
      </c>
      <c r="P109" s="201">
        <f>Table1[[#This Row],[unit cost]]</f>
        <v>1.52</v>
      </c>
      <c r="Q109" s="203">
        <v>2</v>
      </c>
      <c r="R109" s="188">
        <v>1</v>
      </c>
      <c r="S109" s="252">
        <f t="shared" si="15"/>
        <v>0.42</v>
      </c>
      <c r="T109" s="204">
        <f>Table1[[#This Row],[man minutes]]*Table1[[#This Row],[labor rate]]</f>
        <v>0.84</v>
      </c>
      <c r="U109" s="204">
        <f t="shared" si="18"/>
        <v>2.36</v>
      </c>
      <c r="V109" s="189">
        <f t="shared" si="17"/>
        <v>0.15</v>
      </c>
      <c r="W109" s="253">
        <f t="shared" si="16"/>
        <v>0.15</v>
      </c>
      <c r="X109" s="204">
        <f t="shared" si="19"/>
        <v>1.7479999999999998</v>
      </c>
      <c r="Y109" s="204">
        <f t="shared" si="20"/>
        <v>0.96599999999999997</v>
      </c>
      <c r="Z109" s="204">
        <f t="shared" si="21"/>
        <v>2.7199999999999998</v>
      </c>
      <c r="AA109" s="206">
        <f>+Table1[[#This Row],[calculated sale price]]</f>
        <v>2.7199999999999998</v>
      </c>
      <c r="AB109" s="205"/>
      <c r="AC109" s="209"/>
    </row>
    <row r="110" spans="1:29" x14ac:dyDescent="0.25">
      <c r="A110" s="188">
        <v>1101</v>
      </c>
      <c r="B110" t="s">
        <v>483</v>
      </c>
      <c r="C110" s="188">
        <v>1</v>
      </c>
      <c r="I110" s="188"/>
      <c r="J110" s="188"/>
      <c r="K110" s="188"/>
      <c r="L110" s="199"/>
      <c r="M110" s="188"/>
      <c r="N110" s="200"/>
      <c r="O110" s="201">
        <v>1.31</v>
      </c>
      <c r="P110" s="201">
        <f>Table1[[#This Row],[unit cost]]</f>
        <v>1.31</v>
      </c>
      <c r="Q110" s="203">
        <v>2.25</v>
      </c>
      <c r="R110" s="188">
        <v>1</v>
      </c>
      <c r="S110" s="252">
        <f t="shared" si="15"/>
        <v>0.42</v>
      </c>
      <c r="T110" s="204">
        <f>Table1[[#This Row],[man minutes]]*Table1[[#This Row],[labor rate]]</f>
        <v>0.94499999999999995</v>
      </c>
      <c r="U110" s="204">
        <f t="shared" si="18"/>
        <v>2.2549999999999999</v>
      </c>
      <c r="V110" s="189">
        <f t="shared" si="17"/>
        <v>0.15</v>
      </c>
      <c r="W110" s="253">
        <f t="shared" si="16"/>
        <v>0.15</v>
      </c>
      <c r="X110" s="204">
        <f t="shared" si="19"/>
        <v>1.5065</v>
      </c>
      <c r="Y110" s="204">
        <f t="shared" si="20"/>
        <v>1.0867499999999999</v>
      </c>
      <c r="Z110" s="204">
        <f t="shared" si="21"/>
        <v>2.5999999999999996</v>
      </c>
      <c r="AA110" s="206">
        <f>+Table1[[#This Row],[calculated sale price]]</f>
        <v>2.5999999999999996</v>
      </c>
      <c r="AB110" s="205"/>
      <c r="AC110" s="209"/>
    </row>
    <row r="111" spans="1:29" x14ac:dyDescent="0.25">
      <c r="A111" s="188">
        <v>1102</v>
      </c>
      <c r="B111" t="s">
        <v>484</v>
      </c>
      <c r="C111" s="188">
        <v>1</v>
      </c>
      <c r="I111" s="188"/>
      <c r="J111" s="188"/>
      <c r="K111" s="188"/>
      <c r="L111" s="199"/>
      <c r="M111" s="188"/>
      <c r="N111" s="200"/>
      <c r="O111" s="201">
        <v>4.42</v>
      </c>
      <c r="P111" s="201">
        <f>Table1[[#This Row],[unit cost]]</f>
        <v>4.42</v>
      </c>
      <c r="Q111" s="203">
        <v>2.5</v>
      </c>
      <c r="R111" s="188">
        <v>1</v>
      </c>
      <c r="S111" s="252">
        <f t="shared" si="15"/>
        <v>0.42</v>
      </c>
      <c r="T111" s="204">
        <f>Table1[[#This Row],[man minutes]]*Table1[[#This Row],[labor rate]]</f>
        <v>1.05</v>
      </c>
      <c r="U111" s="204">
        <f t="shared" si="18"/>
        <v>5.47</v>
      </c>
      <c r="V111" s="189">
        <f t="shared" si="17"/>
        <v>0.15</v>
      </c>
      <c r="W111" s="253">
        <f t="shared" si="16"/>
        <v>0.15</v>
      </c>
      <c r="X111" s="204">
        <f t="shared" si="19"/>
        <v>5.0829999999999993</v>
      </c>
      <c r="Y111" s="204">
        <f t="shared" si="20"/>
        <v>1.2075</v>
      </c>
      <c r="Z111" s="204">
        <f t="shared" si="21"/>
        <v>6.3</v>
      </c>
      <c r="AA111" s="206">
        <f>+Table1[[#This Row],[calculated sale price]]</f>
        <v>6.3</v>
      </c>
      <c r="AB111" s="205"/>
      <c r="AC111" s="209"/>
    </row>
    <row r="112" spans="1:29" x14ac:dyDescent="0.25">
      <c r="A112" s="188">
        <v>1103</v>
      </c>
      <c r="B112" t="s">
        <v>485</v>
      </c>
      <c r="C112" s="188">
        <v>1</v>
      </c>
      <c r="I112" s="188"/>
      <c r="J112" s="188"/>
      <c r="K112" s="188"/>
      <c r="L112" s="199"/>
      <c r="M112" s="188"/>
      <c r="N112" s="200"/>
      <c r="O112" s="201">
        <v>3.47</v>
      </c>
      <c r="P112" s="201">
        <f>Table1[[#This Row],[unit cost]]</f>
        <v>3.47</v>
      </c>
      <c r="Q112" s="203">
        <v>4.5</v>
      </c>
      <c r="R112" s="188">
        <v>1</v>
      </c>
      <c r="S112" s="252">
        <f t="shared" si="15"/>
        <v>0.42</v>
      </c>
      <c r="T112" s="204">
        <f>Table1[[#This Row],[man minutes]]*Table1[[#This Row],[labor rate]]</f>
        <v>1.89</v>
      </c>
      <c r="U112" s="204">
        <f t="shared" si="18"/>
        <v>5.36</v>
      </c>
      <c r="V112" s="189">
        <f t="shared" si="17"/>
        <v>0.15</v>
      </c>
      <c r="W112" s="253">
        <f t="shared" si="16"/>
        <v>0.15</v>
      </c>
      <c r="X112" s="204">
        <f t="shared" si="19"/>
        <v>3.9904999999999999</v>
      </c>
      <c r="Y112" s="204">
        <f t="shared" si="20"/>
        <v>2.1734999999999998</v>
      </c>
      <c r="Z112" s="204">
        <f t="shared" si="21"/>
        <v>6.17</v>
      </c>
      <c r="AA112" s="206">
        <f>+Table1[[#This Row],[calculated sale price]]</f>
        <v>6.17</v>
      </c>
      <c r="AB112" s="205"/>
      <c r="AC112" s="209"/>
    </row>
    <row r="113" spans="1:29" x14ac:dyDescent="0.25">
      <c r="A113" s="188">
        <v>1104</v>
      </c>
      <c r="B113" t="s">
        <v>486</v>
      </c>
      <c r="C113" s="188">
        <v>1</v>
      </c>
      <c r="I113" s="188"/>
      <c r="J113" s="188"/>
      <c r="K113" s="188"/>
      <c r="L113" s="199"/>
      <c r="M113" s="188"/>
      <c r="N113" s="200"/>
      <c r="O113" s="201">
        <v>4.04</v>
      </c>
      <c r="P113" s="201">
        <f>Table1[[#This Row],[unit cost]]</f>
        <v>4.04</v>
      </c>
      <c r="Q113" s="203">
        <v>4.5</v>
      </c>
      <c r="R113" s="188">
        <v>1</v>
      </c>
      <c r="S113" s="252">
        <f t="shared" si="15"/>
        <v>0.42</v>
      </c>
      <c r="T113" s="204">
        <f>Table1[[#This Row],[man minutes]]*Table1[[#This Row],[labor rate]]</f>
        <v>1.89</v>
      </c>
      <c r="U113" s="204">
        <f t="shared" si="18"/>
        <v>5.93</v>
      </c>
      <c r="V113" s="189">
        <f t="shared" si="17"/>
        <v>0.15</v>
      </c>
      <c r="W113" s="253">
        <f t="shared" si="16"/>
        <v>0.15</v>
      </c>
      <c r="X113" s="204">
        <f t="shared" si="19"/>
        <v>4.6459999999999999</v>
      </c>
      <c r="Y113" s="204">
        <f t="shared" si="20"/>
        <v>2.1734999999999998</v>
      </c>
      <c r="Z113" s="204">
        <f t="shared" si="21"/>
        <v>6.8199999999999994</v>
      </c>
      <c r="AA113" s="206">
        <f>+Table1[[#This Row],[calculated sale price]]</f>
        <v>6.8199999999999994</v>
      </c>
      <c r="AB113" s="205"/>
      <c r="AC113" s="209"/>
    </row>
    <row r="114" spans="1:29" x14ac:dyDescent="0.25">
      <c r="A114" s="188">
        <v>1105</v>
      </c>
      <c r="B114" t="s">
        <v>487</v>
      </c>
      <c r="C114" s="188">
        <v>1</v>
      </c>
      <c r="I114" s="188"/>
      <c r="J114" s="188"/>
      <c r="K114" s="188"/>
      <c r="L114" s="199"/>
      <c r="M114" s="188"/>
      <c r="N114" s="200"/>
      <c r="O114" s="201">
        <v>1.8908519783774043</v>
      </c>
      <c r="P114" s="201">
        <f>Table1[[#This Row],[unit cost]]</f>
        <v>1.8908519783774043</v>
      </c>
      <c r="Q114" s="203">
        <v>3.25</v>
      </c>
      <c r="R114" s="188">
        <v>1</v>
      </c>
      <c r="S114" s="252">
        <f t="shared" si="15"/>
        <v>0.42</v>
      </c>
      <c r="T114" s="204">
        <f>Table1[[#This Row],[man minutes]]*Table1[[#This Row],[labor rate]]</f>
        <v>1.365</v>
      </c>
      <c r="U114" s="204">
        <f t="shared" si="18"/>
        <v>3.2558519783774043</v>
      </c>
      <c r="V114" s="189">
        <f t="shared" si="17"/>
        <v>0.15</v>
      </c>
      <c r="W114" s="253">
        <f t="shared" si="16"/>
        <v>0.15</v>
      </c>
      <c r="X114" s="204">
        <f t="shared" si="19"/>
        <v>2.1744797751340146</v>
      </c>
      <c r="Y114" s="204">
        <f t="shared" si="20"/>
        <v>1.56975</v>
      </c>
      <c r="Z114" s="204">
        <f t="shared" si="21"/>
        <v>3.75</v>
      </c>
      <c r="AA114" s="206">
        <f>+Table1[[#This Row],[calculated sale price]]</f>
        <v>3.75</v>
      </c>
      <c r="AB114" s="205"/>
      <c r="AC114" s="209"/>
    </row>
    <row r="115" spans="1:29" x14ac:dyDescent="0.25">
      <c r="A115" s="188">
        <v>1106</v>
      </c>
      <c r="B115" t="s">
        <v>488</v>
      </c>
      <c r="C115" s="188">
        <v>1</v>
      </c>
      <c r="I115" s="188"/>
      <c r="J115" s="188"/>
      <c r="K115" s="188"/>
      <c r="L115" s="199"/>
      <c r="M115" s="188"/>
      <c r="N115" s="200"/>
      <c r="O115" s="201">
        <v>1.97</v>
      </c>
      <c r="P115" s="201">
        <f>Table1[[#This Row],[unit cost]]</f>
        <v>1.97</v>
      </c>
      <c r="Q115" s="203">
        <v>2.5</v>
      </c>
      <c r="R115" s="188">
        <v>1</v>
      </c>
      <c r="S115" s="252">
        <f t="shared" si="15"/>
        <v>0.42</v>
      </c>
      <c r="T115" s="204">
        <f>Table1[[#This Row],[man minutes]]*Table1[[#This Row],[labor rate]]</f>
        <v>1.05</v>
      </c>
      <c r="U115" s="204">
        <f t="shared" si="18"/>
        <v>3.02</v>
      </c>
      <c r="V115" s="189">
        <f t="shared" si="17"/>
        <v>0.15</v>
      </c>
      <c r="W115" s="253">
        <f t="shared" si="16"/>
        <v>0.15</v>
      </c>
      <c r="X115" s="204">
        <f t="shared" si="19"/>
        <v>2.2654999999999998</v>
      </c>
      <c r="Y115" s="204">
        <f t="shared" si="20"/>
        <v>1.2075</v>
      </c>
      <c r="Z115" s="204">
        <f t="shared" si="21"/>
        <v>3.48</v>
      </c>
      <c r="AA115" s="206">
        <f>+Table1[[#This Row],[calculated sale price]]</f>
        <v>3.48</v>
      </c>
      <c r="AB115" s="205"/>
      <c r="AC115" s="209"/>
    </row>
    <row r="116" spans="1:29" x14ac:dyDescent="0.25">
      <c r="A116" s="188">
        <v>1107</v>
      </c>
      <c r="B116" t="s">
        <v>489</v>
      </c>
      <c r="C116" s="188">
        <v>1</v>
      </c>
      <c r="I116" s="188"/>
      <c r="J116" s="188"/>
      <c r="K116" s="188"/>
      <c r="L116" s="199"/>
      <c r="M116" s="188"/>
      <c r="N116" s="200"/>
      <c r="O116" s="201">
        <v>1.29</v>
      </c>
      <c r="P116" s="201">
        <f>Table1[[#This Row],[unit cost]]</f>
        <v>1.29</v>
      </c>
      <c r="Q116" s="203">
        <v>2.5</v>
      </c>
      <c r="R116" s="188">
        <v>1</v>
      </c>
      <c r="S116" s="252">
        <f t="shared" si="15"/>
        <v>0.42</v>
      </c>
      <c r="T116" s="204">
        <f>Table1[[#This Row],[man minutes]]*Table1[[#This Row],[labor rate]]</f>
        <v>1.05</v>
      </c>
      <c r="U116" s="204">
        <f t="shared" si="18"/>
        <v>2.34</v>
      </c>
      <c r="V116" s="189">
        <f t="shared" si="17"/>
        <v>0.15</v>
      </c>
      <c r="W116" s="253">
        <f t="shared" si="16"/>
        <v>0.15</v>
      </c>
      <c r="X116" s="204">
        <f t="shared" si="19"/>
        <v>1.4834999999999998</v>
      </c>
      <c r="Y116" s="204">
        <f t="shared" si="20"/>
        <v>1.2075</v>
      </c>
      <c r="Z116" s="204">
        <f t="shared" si="21"/>
        <v>2.6999999999999997</v>
      </c>
      <c r="AA116" s="206">
        <f>+Table1[[#This Row],[calculated sale price]]</f>
        <v>2.6999999999999997</v>
      </c>
      <c r="AB116" s="205"/>
      <c r="AC116" s="209"/>
    </row>
    <row r="117" spans="1:29" x14ac:dyDescent="0.25">
      <c r="A117" s="188">
        <v>1108</v>
      </c>
      <c r="B117" t="s">
        <v>324</v>
      </c>
      <c r="C117" s="188">
        <v>1</v>
      </c>
      <c r="I117" s="188"/>
      <c r="J117" s="188"/>
      <c r="K117" s="188"/>
      <c r="L117" s="199"/>
      <c r="M117" s="188"/>
      <c r="N117" s="200"/>
      <c r="O117" s="201">
        <v>0.55000000000000004</v>
      </c>
      <c r="P117" s="201">
        <f>Table1[[#This Row],[unit cost]]</f>
        <v>0.55000000000000004</v>
      </c>
      <c r="Q117" s="203">
        <v>2</v>
      </c>
      <c r="R117" s="188">
        <v>1</v>
      </c>
      <c r="S117" s="252">
        <f t="shared" si="15"/>
        <v>0.42</v>
      </c>
      <c r="T117" s="204">
        <f>Table1[[#This Row],[man minutes]]*Table1[[#This Row],[labor rate]]</f>
        <v>0.84</v>
      </c>
      <c r="U117" s="204">
        <f t="shared" si="18"/>
        <v>1.3900000000000001</v>
      </c>
      <c r="V117" s="189">
        <f t="shared" si="17"/>
        <v>0.15</v>
      </c>
      <c r="W117" s="253">
        <f t="shared" si="16"/>
        <v>0.15</v>
      </c>
      <c r="X117" s="204">
        <f t="shared" si="19"/>
        <v>0.63249999999999995</v>
      </c>
      <c r="Y117" s="204">
        <f t="shared" si="20"/>
        <v>0.96599999999999997</v>
      </c>
      <c r="Z117" s="204">
        <f t="shared" si="21"/>
        <v>1.6</v>
      </c>
      <c r="AA117" s="206">
        <f>+Table1[[#This Row],[calculated sale price]]</f>
        <v>1.6</v>
      </c>
      <c r="AB117" s="205"/>
      <c r="AC117" s="209"/>
    </row>
    <row r="118" spans="1:29" x14ac:dyDescent="0.25">
      <c r="A118" s="188">
        <v>1109</v>
      </c>
      <c r="B118" t="s">
        <v>490</v>
      </c>
      <c r="C118" s="188">
        <v>1</v>
      </c>
      <c r="I118" s="188"/>
      <c r="J118" s="188"/>
      <c r="K118" s="188"/>
      <c r="L118" s="199"/>
      <c r="M118" s="188"/>
      <c r="N118" s="200"/>
      <c r="O118" s="407">
        <v>8.33</v>
      </c>
      <c r="P118" s="201">
        <f>Table1[[#This Row],[unit cost]]</f>
        <v>8.33</v>
      </c>
      <c r="Q118" s="203">
        <v>0.5</v>
      </c>
      <c r="R118" s="188">
        <v>1</v>
      </c>
      <c r="S118" s="252">
        <f t="shared" si="15"/>
        <v>0.42</v>
      </c>
      <c r="T118" s="204">
        <f>Table1[[#This Row],[man minutes]]*Table1[[#This Row],[labor rate]]</f>
        <v>0.21</v>
      </c>
      <c r="U118" s="204">
        <f t="shared" si="18"/>
        <v>8.5400000000000009</v>
      </c>
      <c r="V118" s="189">
        <f t="shared" si="17"/>
        <v>0.15</v>
      </c>
      <c r="W118" s="253">
        <f t="shared" si="16"/>
        <v>0.15</v>
      </c>
      <c r="X118" s="204">
        <f t="shared" si="19"/>
        <v>9.5794999999999995</v>
      </c>
      <c r="Y118" s="204">
        <f t="shared" si="20"/>
        <v>0.24149999999999999</v>
      </c>
      <c r="Z118" s="204">
        <f t="shared" si="21"/>
        <v>9.83</v>
      </c>
      <c r="AA118" s="206">
        <f>+Table1[[#This Row],[calculated sale price]]</f>
        <v>9.83</v>
      </c>
      <c r="AB118" s="205"/>
      <c r="AC118" s="209"/>
    </row>
    <row r="119" spans="1:29" x14ac:dyDescent="0.25">
      <c r="A119" s="188">
        <v>1110</v>
      </c>
      <c r="B119" t="s">
        <v>491</v>
      </c>
      <c r="C119" s="188">
        <v>1</v>
      </c>
      <c r="I119" s="188"/>
      <c r="J119" s="188"/>
      <c r="K119" s="188"/>
      <c r="L119" s="199"/>
      <c r="M119" s="188"/>
      <c r="N119" s="200"/>
      <c r="O119" s="201">
        <v>3.39</v>
      </c>
      <c r="P119" s="201">
        <f>Table1[[#This Row],[unit cost]]</f>
        <v>3.39</v>
      </c>
      <c r="Q119" s="203">
        <v>1</v>
      </c>
      <c r="R119" s="188">
        <v>1</v>
      </c>
      <c r="S119" s="252">
        <f t="shared" si="15"/>
        <v>0.42</v>
      </c>
      <c r="T119" s="204">
        <f>Table1[[#This Row],[man minutes]]*Table1[[#This Row],[labor rate]]</f>
        <v>0.42</v>
      </c>
      <c r="U119" s="204">
        <f t="shared" si="18"/>
        <v>3.81</v>
      </c>
      <c r="V119" s="189">
        <f t="shared" si="17"/>
        <v>0.15</v>
      </c>
      <c r="W119" s="253">
        <f t="shared" si="16"/>
        <v>0.15</v>
      </c>
      <c r="X119" s="204">
        <f t="shared" si="19"/>
        <v>3.8984999999999999</v>
      </c>
      <c r="Y119" s="204">
        <f t="shared" si="20"/>
        <v>0.48299999999999998</v>
      </c>
      <c r="Z119" s="204">
        <f t="shared" si="21"/>
        <v>4.3899999999999997</v>
      </c>
      <c r="AA119" s="206">
        <f>+Table1[[#This Row],[calculated sale price]]</f>
        <v>4.3899999999999997</v>
      </c>
      <c r="AB119" s="205"/>
      <c r="AC119" s="209"/>
    </row>
    <row r="120" spans="1:29" x14ac:dyDescent="0.25">
      <c r="A120" s="188">
        <v>1111</v>
      </c>
      <c r="B120" t="s">
        <v>492</v>
      </c>
      <c r="C120" s="188">
        <v>1</v>
      </c>
      <c r="I120" s="188"/>
      <c r="J120" s="188"/>
      <c r="K120" s="188"/>
      <c r="L120" s="199"/>
      <c r="M120" s="188"/>
      <c r="N120" s="200"/>
      <c r="O120" s="201">
        <v>0</v>
      </c>
      <c r="P120" s="201">
        <f>Table1[[#This Row],[unit cost]]</f>
        <v>0</v>
      </c>
      <c r="Q120" s="406">
        <v>2.75</v>
      </c>
      <c r="R120" s="188">
        <v>1</v>
      </c>
      <c r="S120" s="252">
        <f t="shared" si="15"/>
        <v>0.42</v>
      </c>
      <c r="T120" s="204">
        <f>Table1[[#This Row],[man minutes]]*Table1[[#This Row],[labor rate]]</f>
        <v>1.155</v>
      </c>
      <c r="U120" s="204">
        <f t="shared" si="18"/>
        <v>1.155</v>
      </c>
      <c r="V120" s="189">
        <f t="shared" si="17"/>
        <v>0.15</v>
      </c>
      <c r="W120" s="253">
        <f t="shared" si="16"/>
        <v>0.15</v>
      </c>
      <c r="X120" s="204">
        <f t="shared" si="19"/>
        <v>0</v>
      </c>
      <c r="Y120" s="204">
        <f t="shared" si="20"/>
        <v>1.3282499999999999</v>
      </c>
      <c r="Z120" s="204">
        <f t="shared" si="21"/>
        <v>1.33</v>
      </c>
      <c r="AA120" s="206">
        <f>+Table1[[#This Row],[calculated sale price]]</f>
        <v>1.33</v>
      </c>
      <c r="AB120" s="205"/>
      <c r="AC120" s="209"/>
    </row>
    <row r="121" spans="1:29" x14ac:dyDescent="0.25">
      <c r="A121" s="188">
        <v>1112</v>
      </c>
      <c r="B121" t="s">
        <v>493</v>
      </c>
      <c r="C121" s="188">
        <v>1</v>
      </c>
      <c r="I121" s="188"/>
      <c r="J121" s="188"/>
      <c r="K121" s="188"/>
      <c r="L121" s="199"/>
      <c r="M121" s="188"/>
      <c r="N121" s="200"/>
      <c r="O121" s="201">
        <v>0.29738124999999999</v>
      </c>
      <c r="P121" s="201">
        <f>Table1[[#This Row],[unit cost]]</f>
        <v>0.29738124999999999</v>
      </c>
      <c r="Q121" s="203">
        <v>0.25</v>
      </c>
      <c r="R121" s="188">
        <v>1</v>
      </c>
      <c r="S121" s="252">
        <f t="shared" si="15"/>
        <v>0.42</v>
      </c>
      <c r="T121" s="204">
        <f>Table1[[#This Row],[man minutes]]*Table1[[#This Row],[labor rate]]</f>
        <v>0.105</v>
      </c>
      <c r="U121" s="204">
        <f t="shared" si="18"/>
        <v>0.40238124999999997</v>
      </c>
      <c r="V121" s="189">
        <f t="shared" si="17"/>
        <v>0.15</v>
      </c>
      <c r="W121" s="253">
        <f t="shared" si="16"/>
        <v>0.15</v>
      </c>
      <c r="X121" s="204">
        <f t="shared" si="19"/>
        <v>0.34198843749999996</v>
      </c>
      <c r="Y121" s="204">
        <f t="shared" si="20"/>
        <v>0.12075</v>
      </c>
      <c r="Z121" s="204">
        <f t="shared" si="21"/>
        <v>0.47000000000000003</v>
      </c>
      <c r="AA121" s="206">
        <f>+Table1[[#This Row],[calculated sale price]]</f>
        <v>0.47000000000000003</v>
      </c>
      <c r="AB121" s="205"/>
      <c r="AC121" s="209"/>
    </row>
    <row r="122" spans="1:29" x14ac:dyDescent="0.25">
      <c r="A122" s="188">
        <v>1113</v>
      </c>
      <c r="B122" t="s">
        <v>494</v>
      </c>
      <c r="C122" s="188">
        <v>1</v>
      </c>
      <c r="I122" s="188"/>
      <c r="J122" s="188"/>
      <c r="K122" s="188"/>
      <c r="L122" s="199"/>
      <c r="M122" s="188"/>
      <c r="N122" s="200"/>
      <c r="O122" s="201">
        <v>0.3</v>
      </c>
      <c r="P122" s="201">
        <f>Table1[[#This Row],[unit cost]]</f>
        <v>0.3</v>
      </c>
      <c r="Q122" s="203">
        <v>0.5</v>
      </c>
      <c r="R122" s="188">
        <v>1</v>
      </c>
      <c r="S122" s="252">
        <f t="shared" si="15"/>
        <v>0.42</v>
      </c>
      <c r="T122" s="204">
        <f>Table1[[#This Row],[man minutes]]*Table1[[#This Row],[labor rate]]</f>
        <v>0.21</v>
      </c>
      <c r="U122" s="204">
        <f t="shared" si="18"/>
        <v>0.51</v>
      </c>
      <c r="V122" s="189">
        <f t="shared" si="17"/>
        <v>0.15</v>
      </c>
      <c r="W122" s="253">
        <f t="shared" si="16"/>
        <v>0.15</v>
      </c>
      <c r="X122" s="204">
        <f t="shared" si="19"/>
        <v>0.34499999999999997</v>
      </c>
      <c r="Y122" s="204">
        <f t="shared" si="20"/>
        <v>0.24149999999999999</v>
      </c>
      <c r="Z122" s="204">
        <f t="shared" si="21"/>
        <v>0.59</v>
      </c>
      <c r="AA122" s="206">
        <f>+Table1[[#This Row],[calculated sale price]]</f>
        <v>0.59</v>
      </c>
      <c r="AB122" s="205"/>
      <c r="AC122" s="209"/>
    </row>
    <row r="123" spans="1:29" x14ac:dyDescent="0.25">
      <c r="A123" s="188">
        <v>1114</v>
      </c>
      <c r="B123" t="s">
        <v>495</v>
      </c>
      <c r="C123" s="188">
        <v>1</v>
      </c>
      <c r="I123" s="188"/>
      <c r="J123" s="188"/>
      <c r="K123" s="188"/>
      <c r="L123" s="199"/>
      <c r="M123" s="188"/>
      <c r="N123" s="200"/>
      <c r="O123" s="201">
        <v>1.24</v>
      </c>
      <c r="P123" s="201">
        <f>Table1[[#This Row],[unit cost]]</f>
        <v>1.24</v>
      </c>
      <c r="Q123" s="203">
        <v>1.3</v>
      </c>
      <c r="R123" s="188">
        <v>1</v>
      </c>
      <c r="S123" s="252">
        <f t="shared" si="15"/>
        <v>0.42</v>
      </c>
      <c r="T123" s="204">
        <f>Table1[[#This Row],[man minutes]]*Table1[[#This Row],[labor rate]]</f>
        <v>0.54600000000000004</v>
      </c>
      <c r="U123" s="204">
        <f t="shared" si="18"/>
        <v>1.786</v>
      </c>
      <c r="V123" s="189">
        <f t="shared" si="17"/>
        <v>0.15</v>
      </c>
      <c r="W123" s="253">
        <f t="shared" si="16"/>
        <v>0.15</v>
      </c>
      <c r="X123" s="204">
        <f t="shared" si="19"/>
        <v>1.4259999999999999</v>
      </c>
      <c r="Y123" s="204">
        <f t="shared" si="20"/>
        <v>0.62790000000000001</v>
      </c>
      <c r="Z123" s="204">
        <f t="shared" si="21"/>
        <v>2.0599999999999996</v>
      </c>
      <c r="AA123" s="206">
        <f>+Table1[[#This Row],[calculated sale price]]</f>
        <v>2.0599999999999996</v>
      </c>
      <c r="AB123" s="205"/>
      <c r="AC123" s="209"/>
    </row>
    <row r="124" spans="1:29" x14ac:dyDescent="0.25">
      <c r="A124" s="188">
        <v>1115</v>
      </c>
      <c r="B124" t="s">
        <v>496</v>
      </c>
      <c r="C124" s="188">
        <v>1</v>
      </c>
      <c r="I124" s="188"/>
      <c r="J124" s="188"/>
      <c r="K124" s="188"/>
      <c r="L124" s="199"/>
      <c r="M124" s="188"/>
      <c r="N124" s="200"/>
      <c r="O124" s="201">
        <v>11.02</v>
      </c>
      <c r="P124" s="201">
        <f>Table1[[#This Row],[unit cost]]</f>
        <v>11.02</v>
      </c>
      <c r="Q124" s="203">
        <v>5.5</v>
      </c>
      <c r="R124" s="188">
        <v>1</v>
      </c>
      <c r="S124" s="252">
        <f t="shared" si="15"/>
        <v>0.42</v>
      </c>
      <c r="T124" s="204">
        <f>Table1[[#This Row],[man minutes]]*Table1[[#This Row],[labor rate]]</f>
        <v>2.31</v>
      </c>
      <c r="U124" s="204">
        <f t="shared" si="18"/>
        <v>13.33</v>
      </c>
      <c r="V124" s="189">
        <f t="shared" si="17"/>
        <v>0.15</v>
      </c>
      <c r="W124" s="253">
        <f t="shared" si="16"/>
        <v>0.15</v>
      </c>
      <c r="X124" s="204">
        <f t="shared" si="19"/>
        <v>12.672999999999998</v>
      </c>
      <c r="Y124" s="204">
        <f t="shared" si="20"/>
        <v>2.6564999999999999</v>
      </c>
      <c r="Z124" s="204">
        <f t="shared" si="21"/>
        <v>15.33</v>
      </c>
      <c r="AA124" s="206">
        <f>+Table1[[#This Row],[calculated sale price]]</f>
        <v>15.33</v>
      </c>
      <c r="AB124" s="205"/>
      <c r="AC124" s="209"/>
    </row>
    <row r="125" spans="1:29" x14ac:dyDescent="0.25">
      <c r="A125" s="188">
        <v>1116</v>
      </c>
      <c r="B125" t="s">
        <v>497</v>
      </c>
      <c r="C125" s="188">
        <v>1</v>
      </c>
      <c r="I125" s="188"/>
      <c r="J125" s="188"/>
      <c r="K125" s="188"/>
      <c r="L125" s="199"/>
      <c r="M125" s="188"/>
      <c r="N125" s="200"/>
      <c r="O125" s="201">
        <v>3.19</v>
      </c>
      <c r="P125" s="201">
        <f>Table1[[#This Row],[unit cost]]</f>
        <v>3.19</v>
      </c>
      <c r="Q125" s="203">
        <v>5.5</v>
      </c>
      <c r="R125" s="188">
        <v>1</v>
      </c>
      <c r="S125" s="252">
        <f t="shared" ref="S125:S188" si="22">$S$2</f>
        <v>0.42</v>
      </c>
      <c r="T125" s="204">
        <f>Table1[[#This Row],[man minutes]]*Table1[[#This Row],[labor rate]]</f>
        <v>2.31</v>
      </c>
      <c r="U125" s="204">
        <f t="shared" si="18"/>
        <v>5.5</v>
      </c>
      <c r="V125" s="189">
        <f t="shared" si="17"/>
        <v>0.15</v>
      </c>
      <c r="W125" s="253">
        <f t="shared" si="16"/>
        <v>0.15</v>
      </c>
      <c r="X125" s="204">
        <f t="shared" si="19"/>
        <v>3.6684999999999999</v>
      </c>
      <c r="Y125" s="204">
        <f t="shared" si="20"/>
        <v>2.6564999999999999</v>
      </c>
      <c r="Z125" s="204">
        <f t="shared" si="21"/>
        <v>6.33</v>
      </c>
      <c r="AA125" s="206">
        <f>+Table1[[#This Row],[calculated sale price]]</f>
        <v>6.33</v>
      </c>
      <c r="AB125" s="205"/>
      <c r="AC125" s="209"/>
    </row>
    <row r="126" spans="1:29" x14ac:dyDescent="0.25">
      <c r="A126" s="188">
        <v>1117</v>
      </c>
      <c r="B126" t="s">
        <v>498</v>
      </c>
      <c r="C126" s="188">
        <v>1</v>
      </c>
      <c r="I126" s="188"/>
      <c r="J126" s="188"/>
      <c r="K126" s="188"/>
      <c r="L126" s="199"/>
      <c r="M126" s="188"/>
      <c r="N126" s="200"/>
      <c r="O126" s="201">
        <v>4.29</v>
      </c>
      <c r="P126" s="201">
        <f>Table1[[#This Row],[unit cost]]</f>
        <v>4.29</v>
      </c>
      <c r="Q126" s="203">
        <v>3.75</v>
      </c>
      <c r="R126" s="188">
        <v>1</v>
      </c>
      <c r="S126" s="252">
        <f t="shared" si="22"/>
        <v>0.42</v>
      </c>
      <c r="T126" s="204">
        <f>Table1[[#This Row],[man minutes]]*Table1[[#This Row],[labor rate]]</f>
        <v>1.575</v>
      </c>
      <c r="U126" s="204">
        <f t="shared" si="18"/>
        <v>5.8650000000000002</v>
      </c>
      <c r="V126" s="189">
        <f t="shared" si="17"/>
        <v>0.15</v>
      </c>
      <c r="W126" s="253">
        <f t="shared" ref="W126:W189" si="23">$W$2</f>
        <v>0.15</v>
      </c>
      <c r="X126" s="204">
        <f t="shared" si="19"/>
        <v>4.9334999999999996</v>
      </c>
      <c r="Y126" s="204">
        <f t="shared" si="20"/>
        <v>1.81125</v>
      </c>
      <c r="Z126" s="204">
        <f t="shared" si="21"/>
        <v>6.75</v>
      </c>
      <c r="AA126" s="206">
        <f>+Table1[[#This Row],[calculated sale price]]</f>
        <v>6.75</v>
      </c>
      <c r="AB126" s="205"/>
      <c r="AC126" s="209"/>
    </row>
    <row r="127" spans="1:29" x14ac:dyDescent="0.25">
      <c r="A127" s="188">
        <v>1118</v>
      </c>
      <c r="B127" t="s">
        <v>499</v>
      </c>
      <c r="C127" s="188">
        <v>1</v>
      </c>
      <c r="I127" s="188"/>
      <c r="J127" s="188"/>
      <c r="K127" s="188"/>
      <c r="L127" s="199"/>
      <c r="M127" s="188"/>
      <c r="N127" s="200"/>
      <c r="O127" s="201">
        <v>0.89</v>
      </c>
      <c r="P127" s="201">
        <f>Table1[[#This Row],[unit cost]]</f>
        <v>0.89</v>
      </c>
      <c r="Q127" s="203">
        <v>1.25</v>
      </c>
      <c r="R127" s="188">
        <v>1</v>
      </c>
      <c r="S127" s="252">
        <f t="shared" si="22"/>
        <v>0.42</v>
      </c>
      <c r="T127" s="204">
        <f>Table1[[#This Row],[man minutes]]*Table1[[#This Row],[labor rate]]</f>
        <v>0.52500000000000002</v>
      </c>
      <c r="U127" s="204">
        <f t="shared" si="18"/>
        <v>1.415</v>
      </c>
      <c r="V127" s="189">
        <f t="shared" si="17"/>
        <v>0.15</v>
      </c>
      <c r="W127" s="253">
        <f t="shared" si="23"/>
        <v>0.15</v>
      </c>
      <c r="X127" s="204">
        <f t="shared" si="19"/>
        <v>1.0234999999999999</v>
      </c>
      <c r="Y127" s="204">
        <f t="shared" si="20"/>
        <v>0.60375000000000001</v>
      </c>
      <c r="Z127" s="204">
        <f t="shared" si="21"/>
        <v>1.6300000000000001</v>
      </c>
      <c r="AA127" s="206">
        <f>+Table1[[#This Row],[calculated sale price]]</f>
        <v>1.6300000000000001</v>
      </c>
      <c r="AB127" s="205"/>
      <c r="AC127" s="209"/>
    </row>
    <row r="128" spans="1:29" x14ac:dyDescent="0.25">
      <c r="A128" s="188">
        <v>1119</v>
      </c>
      <c r="B128" t="s">
        <v>512</v>
      </c>
      <c r="C128" s="188">
        <v>1</v>
      </c>
      <c r="I128" s="188"/>
      <c r="J128" s="188"/>
      <c r="K128" s="188"/>
      <c r="L128" s="199"/>
      <c r="M128" s="188"/>
      <c r="N128" s="200"/>
      <c r="O128" s="407">
        <v>1.56</v>
      </c>
      <c r="P128" s="201">
        <f>Table1[[#This Row],[unit cost]]</f>
        <v>1.56</v>
      </c>
      <c r="Q128" s="203">
        <v>1.75</v>
      </c>
      <c r="R128" s="188">
        <v>1</v>
      </c>
      <c r="S128" s="252">
        <f t="shared" si="22"/>
        <v>0.42</v>
      </c>
      <c r="T128" s="204">
        <f>Table1[[#This Row],[man minutes]]*Table1[[#This Row],[labor rate]]</f>
        <v>0.73499999999999999</v>
      </c>
      <c r="U128" s="204">
        <f t="shared" si="18"/>
        <v>2.2949999999999999</v>
      </c>
      <c r="V128" s="189">
        <f t="shared" si="17"/>
        <v>0.15</v>
      </c>
      <c r="W128" s="253">
        <f t="shared" si="23"/>
        <v>0.15</v>
      </c>
      <c r="X128" s="204">
        <f t="shared" si="19"/>
        <v>1.7939999999999998</v>
      </c>
      <c r="Y128" s="204">
        <f t="shared" si="20"/>
        <v>0.84524999999999995</v>
      </c>
      <c r="Z128" s="204">
        <f t="shared" si="21"/>
        <v>2.6399999999999997</v>
      </c>
      <c r="AA128" s="206">
        <f>+Table1[[#This Row],[calculated sale price]]</f>
        <v>2.6399999999999997</v>
      </c>
      <c r="AB128" s="205"/>
      <c r="AC128" s="209"/>
    </row>
    <row r="129" spans="1:29" x14ac:dyDescent="0.25">
      <c r="A129" s="188">
        <v>1120</v>
      </c>
      <c r="B129" t="s">
        <v>500</v>
      </c>
      <c r="C129" s="188">
        <v>1</v>
      </c>
      <c r="I129" s="188"/>
      <c r="J129" s="188"/>
      <c r="K129" s="188"/>
      <c r="L129" s="199"/>
      <c r="M129" s="188"/>
      <c r="N129" s="200"/>
      <c r="O129" s="201">
        <v>0</v>
      </c>
      <c r="P129" s="201">
        <f>Table1[[#This Row],[unit cost]]</f>
        <v>0</v>
      </c>
      <c r="Q129" s="406">
        <v>2</v>
      </c>
      <c r="R129" s="188">
        <v>1</v>
      </c>
      <c r="S129" s="252">
        <f t="shared" si="22"/>
        <v>0.42</v>
      </c>
      <c r="T129" s="204">
        <f>Table1[[#This Row],[man minutes]]*Table1[[#This Row],[labor rate]]</f>
        <v>0.84</v>
      </c>
      <c r="U129" s="204">
        <f t="shared" si="18"/>
        <v>0.84</v>
      </c>
      <c r="V129" s="189">
        <f t="shared" si="17"/>
        <v>0.15</v>
      </c>
      <c r="W129" s="253">
        <f t="shared" si="23"/>
        <v>0.15</v>
      </c>
      <c r="X129" s="204">
        <f t="shared" si="19"/>
        <v>0</v>
      </c>
      <c r="Y129" s="204">
        <f t="shared" si="20"/>
        <v>0.96599999999999997</v>
      </c>
      <c r="Z129" s="204">
        <f t="shared" si="21"/>
        <v>0.97</v>
      </c>
      <c r="AA129" s="206">
        <f>+Table1[[#This Row],[calculated sale price]]</f>
        <v>0.97</v>
      </c>
      <c r="AB129" s="205"/>
      <c r="AC129" s="209"/>
    </row>
    <row r="130" spans="1:29" x14ac:dyDescent="0.25">
      <c r="A130" s="188">
        <v>1121</v>
      </c>
      <c r="B130" t="s">
        <v>501</v>
      </c>
      <c r="C130" s="188">
        <v>1</v>
      </c>
      <c r="I130" s="188"/>
      <c r="J130" s="188"/>
      <c r="K130" s="188"/>
      <c r="L130" s="199"/>
      <c r="M130" s="188"/>
      <c r="N130" s="200"/>
      <c r="O130" s="201">
        <v>1.87</v>
      </c>
      <c r="P130" s="201">
        <f>Table1[[#This Row],[unit cost]]</f>
        <v>1.87</v>
      </c>
      <c r="Q130" s="203">
        <v>4</v>
      </c>
      <c r="R130" s="188">
        <v>1</v>
      </c>
      <c r="S130" s="252">
        <f t="shared" si="22"/>
        <v>0.42</v>
      </c>
      <c r="T130" s="204">
        <f>Table1[[#This Row],[man minutes]]*Table1[[#This Row],[labor rate]]</f>
        <v>1.68</v>
      </c>
      <c r="U130" s="204">
        <f t="shared" si="18"/>
        <v>3.55</v>
      </c>
      <c r="V130" s="189">
        <f t="shared" si="17"/>
        <v>0.15</v>
      </c>
      <c r="W130" s="253">
        <f t="shared" si="23"/>
        <v>0.15</v>
      </c>
      <c r="X130" s="204">
        <f t="shared" si="19"/>
        <v>2.1505000000000001</v>
      </c>
      <c r="Y130" s="204">
        <f t="shared" si="20"/>
        <v>1.9319999999999999</v>
      </c>
      <c r="Z130" s="204">
        <f t="shared" si="21"/>
        <v>4.09</v>
      </c>
      <c r="AA130" s="206">
        <f>+Table1[[#This Row],[calculated sale price]]</f>
        <v>4.09</v>
      </c>
      <c r="AB130" s="205"/>
      <c r="AC130" s="209"/>
    </row>
    <row r="131" spans="1:29" x14ac:dyDescent="0.25">
      <c r="A131" s="188">
        <v>1122</v>
      </c>
      <c r="B131" t="s">
        <v>502</v>
      </c>
      <c r="C131" s="188">
        <v>1</v>
      </c>
      <c r="I131" s="188"/>
      <c r="J131" s="188"/>
      <c r="K131" s="188"/>
      <c r="L131" s="199"/>
      <c r="M131" s="188"/>
      <c r="N131" s="200"/>
      <c r="O131" s="201">
        <v>2.56</v>
      </c>
      <c r="P131" s="201">
        <f>Table1[[#This Row],[unit cost]]</f>
        <v>2.56</v>
      </c>
      <c r="Q131" s="203">
        <v>3.25</v>
      </c>
      <c r="R131" s="188">
        <v>1</v>
      </c>
      <c r="S131" s="252">
        <f t="shared" si="22"/>
        <v>0.42</v>
      </c>
      <c r="T131" s="204">
        <f>Table1[[#This Row],[man minutes]]*Table1[[#This Row],[labor rate]]</f>
        <v>1.365</v>
      </c>
      <c r="U131" s="204">
        <f t="shared" si="18"/>
        <v>3.9249999999999998</v>
      </c>
      <c r="V131" s="189">
        <f t="shared" si="17"/>
        <v>0.15</v>
      </c>
      <c r="W131" s="253">
        <f t="shared" si="23"/>
        <v>0.15</v>
      </c>
      <c r="X131" s="204">
        <f t="shared" si="19"/>
        <v>2.944</v>
      </c>
      <c r="Y131" s="204">
        <f t="shared" si="20"/>
        <v>1.56975</v>
      </c>
      <c r="Z131" s="204">
        <f t="shared" si="21"/>
        <v>4.5199999999999996</v>
      </c>
      <c r="AA131" s="206">
        <f>+Table1[[#This Row],[calculated sale price]]</f>
        <v>4.5199999999999996</v>
      </c>
      <c r="AB131" s="205"/>
      <c r="AC131" s="209"/>
    </row>
    <row r="132" spans="1:29" x14ac:dyDescent="0.25">
      <c r="A132" s="188">
        <v>1123</v>
      </c>
      <c r="B132" t="s">
        <v>503</v>
      </c>
      <c r="C132" s="188">
        <v>1</v>
      </c>
      <c r="I132" s="188"/>
      <c r="J132" s="188"/>
      <c r="K132" s="188"/>
      <c r="L132" s="199"/>
      <c r="M132" s="188"/>
      <c r="N132" s="200"/>
      <c r="O132" s="201">
        <v>1.17</v>
      </c>
      <c r="P132" s="201">
        <f>Table1[[#This Row],[unit cost]]</f>
        <v>1.17</v>
      </c>
      <c r="Q132" s="203">
        <v>2.75</v>
      </c>
      <c r="R132" s="188">
        <v>1</v>
      </c>
      <c r="S132" s="252">
        <f t="shared" si="22"/>
        <v>0.42</v>
      </c>
      <c r="T132" s="204">
        <f>Table1[[#This Row],[man minutes]]*Table1[[#This Row],[labor rate]]</f>
        <v>1.155</v>
      </c>
      <c r="U132" s="204">
        <f t="shared" si="18"/>
        <v>2.3250000000000002</v>
      </c>
      <c r="V132" s="189">
        <f t="shared" si="17"/>
        <v>0.15</v>
      </c>
      <c r="W132" s="253">
        <f t="shared" si="23"/>
        <v>0.15</v>
      </c>
      <c r="X132" s="204">
        <f t="shared" si="19"/>
        <v>1.3454999999999999</v>
      </c>
      <c r="Y132" s="204">
        <f t="shared" si="20"/>
        <v>1.3282499999999999</v>
      </c>
      <c r="Z132" s="204">
        <f t="shared" si="21"/>
        <v>2.6799999999999997</v>
      </c>
      <c r="AA132" s="206">
        <f>+Table1[[#This Row],[calculated sale price]]</f>
        <v>2.6799999999999997</v>
      </c>
      <c r="AB132" s="205"/>
      <c r="AC132" s="209"/>
    </row>
    <row r="133" spans="1:29" x14ac:dyDescent="0.25">
      <c r="A133" s="188">
        <v>1124</v>
      </c>
      <c r="B133" t="s">
        <v>504</v>
      </c>
      <c r="C133" s="188">
        <v>1</v>
      </c>
      <c r="I133" s="188"/>
      <c r="J133" s="188"/>
      <c r="K133" s="188"/>
      <c r="L133" s="199"/>
      <c r="M133" s="188"/>
      <c r="N133" s="200"/>
      <c r="O133" s="201">
        <v>1</v>
      </c>
      <c r="P133" s="201">
        <f>Table1[[#This Row],[unit cost]]</f>
        <v>1</v>
      </c>
      <c r="Q133" s="203">
        <v>1.75</v>
      </c>
      <c r="R133" s="188">
        <v>1</v>
      </c>
      <c r="S133" s="252">
        <f t="shared" si="22"/>
        <v>0.42</v>
      </c>
      <c r="T133" s="204">
        <f>Table1[[#This Row],[man minutes]]*Table1[[#This Row],[labor rate]]</f>
        <v>0.73499999999999999</v>
      </c>
      <c r="U133" s="204">
        <f t="shared" si="18"/>
        <v>1.7349999999999999</v>
      </c>
      <c r="V133" s="189">
        <f t="shared" si="17"/>
        <v>0.15</v>
      </c>
      <c r="W133" s="253">
        <f t="shared" si="23"/>
        <v>0.15</v>
      </c>
      <c r="X133" s="204">
        <f t="shared" si="19"/>
        <v>1.1499999999999999</v>
      </c>
      <c r="Y133" s="204">
        <f t="shared" si="20"/>
        <v>0.84524999999999995</v>
      </c>
      <c r="Z133" s="204">
        <f t="shared" si="21"/>
        <v>2</v>
      </c>
      <c r="AA133" s="206">
        <f>+Table1[[#This Row],[calculated sale price]]</f>
        <v>2</v>
      </c>
      <c r="AB133" s="205"/>
      <c r="AC133" s="209"/>
    </row>
    <row r="134" spans="1:29" x14ac:dyDescent="0.25">
      <c r="A134" s="188">
        <v>1125</v>
      </c>
      <c r="B134" t="s">
        <v>539</v>
      </c>
      <c r="C134" s="188">
        <v>1</v>
      </c>
      <c r="I134" s="188"/>
      <c r="J134" s="188"/>
      <c r="K134" s="188"/>
      <c r="L134" s="199"/>
      <c r="M134" s="188"/>
      <c r="N134" s="200"/>
      <c r="O134" s="201">
        <v>0.46</v>
      </c>
      <c r="P134" s="201">
        <f>Table1[[#This Row],[unit cost]]</f>
        <v>0.46</v>
      </c>
      <c r="Q134" s="203">
        <v>0.5</v>
      </c>
      <c r="R134" s="188">
        <v>1</v>
      </c>
      <c r="S134" s="252">
        <f t="shared" si="22"/>
        <v>0.42</v>
      </c>
      <c r="T134" s="204">
        <f>Table1[[#This Row],[man minutes]]*Table1[[#This Row],[labor rate]]</f>
        <v>0.21</v>
      </c>
      <c r="U134" s="204">
        <f t="shared" si="18"/>
        <v>0.67</v>
      </c>
      <c r="V134" s="189">
        <f t="shared" si="17"/>
        <v>0.15</v>
      </c>
      <c r="W134" s="253">
        <f t="shared" si="23"/>
        <v>0.15</v>
      </c>
      <c r="X134" s="204">
        <f t="shared" si="19"/>
        <v>0.52900000000000003</v>
      </c>
      <c r="Y134" s="204">
        <f t="shared" si="20"/>
        <v>0.24149999999999999</v>
      </c>
      <c r="Z134" s="204">
        <f t="shared" si="21"/>
        <v>0.78</v>
      </c>
      <c r="AA134" s="206">
        <f>+Table1[[#This Row],[calculated sale price]]</f>
        <v>0.78</v>
      </c>
      <c r="AB134" s="205"/>
      <c r="AC134" s="209"/>
    </row>
    <row r="135" spans="1:29" x14ac:dyDescent="0.25">
      <c r="A135" s="188">
        <v>1126</v>
      </c>
      <c r="B135" t="s">
        <v>344</v>
      </c>
      <c r="C135" s="188">
        <v>1</v>
      </c>
      <c r="I135" s="188"/>
      <c r="J135" s="188"/>
      <c r="K135" s="188"/>
      <c r="L135" s="199"/>
      <c r="M135" s="188"/>
      <c r="N135" s="200"/>
      <c r="O135" s="201">
        <v>0.55000000000000004</v>
      </c>
      <c r="P135" s="201">
        <f>Table1[[#This Row],[unit cost]]</f>
        <v>0.55000000000000004</v>
      </c>
      <c r="Q135" s="203">
        <v>2.5</v>
      </c>
      <c r="R135" s="188">
        <v>1</v>
      </c>
      <c r="S135" s="252">
        <f t="shared" si="22"/>
        <v>0.42</v>
      </c>
      <c r="T135" s="204">
        <f>Table1[[#This Row],[man minutes]]*Table1[[#This Row],[labor rate]]</f>
        <v>1.05</v>
      </c>
      <c r="U135" s="204">
        <f t="shared" si="18"/>
        <v>1.6</v>
      </c>
      <c r="V135" s="189">
        <f t="shared" si="17"/>
        <v>0.15</v>
      </c>
      <c r="W135" s="253">
        <f t="shared" si="23"/>
        <v>0.15</v>
      </c>
      <c r="X135" s="204">
        <f t="shared" si="19"/>
        <v>0.63249999999999995</v>
      </c>
      <c r="Y135" s="204">
        <f t="shared" si="20"/>
        <v>1.2075</v>
      </c>
      <c r="Z135" s="204">
        <f t="shared" si="21"/>
        <v>1.84</v>
      </c>
      <c r="AA135" s="206">
        <f>+Table1[[#This Row],[calculated sale price]]</f>
        <v>1.84</v>
      </c>
      <c r="AB135" s="205"/>
      <c r="AC135" s="209"/>
    </row>
    <row r="136" spans="1:29" x14ac:dyDescent="0.25">
      <c r="A136" s="188">
        <v>1127</v>
      </c>
      <c r="B136" t="s">
        <v>505</v>
      </c>
      <c r="C136" s="188">
        <v>1</v>
      </c>
      <c r="I136" s="188"/>
      <c r="J136" s="188"/>
      <c r="K136" s="188"/>
      <c r="L136" s="199"/>
      <c r="M136" s="188"/>
      <c r="N136" s="200"/>
      <c r="O136" s="201">
        <v>0</v>
      </c>
      <c r="P136" s="201">
        <f>Table1[[#This Row],[unit cost]]</f>
        <v>0</v>
      </c>
      <c r="Q136" s="406">
        <v>2</v>
      </c>
      <c r="R136" s="188">
        <v>1</v>
      </c>
      <c r="S136" s="252">
        <f t="shared" si="22"/>
        <v>0.42</v>
      </c>
      <c r="T136" s="204">
        <f>Table1[[#This Row],[man minutes]]*Table1[[#This Row],[labor rate]]</f>
        <v>0.84</v>
      </c>
      <c r="U136" s="204">
        <f t="shared" si="18"/>
        <v>0.84</v>
      </c>
      <c r="V136" s="189">
        <f t="shared" si="17"/>
        <v>0.15</v>
      </c>
      <c r="W136" s="253">
        <f t="shared" si="23"/>
        <v>0.15</v>
      </c>
      <c r="X136" s="204">
        <f t="shared" si="19"/>
        <v>0</v>
      </c>
      <c r="Y136" s="204">
        <f t="shared" si="20"/>
        <v>0.96599999999999997</v>
      </c>
      <c r="Z136" s="204">
        <f t="shared" si="21"/>
        <v>0.97</v>
      </c>
      <c r="AA136" s="206">
        <f>+Table1[[#This Row],[calculated sale price]]</f>
        <v>0.97</v>
      </c>
      <c r="AB136" s="205"/>
      <c r="AC136" s="209"/>
    </row>
    <row r="137" spans="1:29" x14ac:dyDescent="0.25">
      <c r="A137" s="188">
        <v>1128</v>
      </c>
      <c r="B137" t="s">
        <v>506</v>
      </c>
      <c r="C137" s="188">
        <v>1</v>
      </c>
      <c r="I137" s="188"/>
      <c r="J137" s="188"/>
      <c r="K137" s="188"/>
      <c r="L137" s="199"/>
      <c r="M137" s="188"/>
      <c r="N137" s="200"/>
      <c r="O137" s="201">
        <v>0.3</v>
      </c>
      <c r="P137" s="201">
        <f>Table1[[#This Row],[unit cost]]</f>
        <v>0.3</v>
      </c>
      <c r="Q137" s="203">
        <v>0.25</v>
      </c>
      <c r="R137" s="188">
        <v>1</v>
      </c>
      <c r="S137" s="252">
        <f t="shared" si="22"/>
        <v>0.42</v>
      </c>
      <c r="T137" s="204">
        <f>Table1[[#This Row],[man minutes]]*Table1[[#This Row],[labor rate]]</f>
        <v>0.105</v>
      </c>
      <c r="U137" s="204">
        <f t="shared" si="18"/>
        <v>0.40499999999999997</v>
      </c>
      <c r="V137" s="189">
        <f t="shared" si="17"/>
        <v>0.15</v>
      </c>
      <c r="W137" s="253">
        <f t="shared" si="23"/>
        <v>0.15</v>
      </c>
      <c r="X137" s="204">
        <f t="shared" si="19"/>
        <v>0.34499999999999997</v>
      </c>
      <c r="Y137" s="204">
        <f t="shared" si="20"/>
        <v>0.12075</v>
      </c>
      <c r="Z137" s="204">
        <f t="shared" si="21"/>
        <v>0.47000000000000003</v>
      </c>
      <c r="AA137" s="206">
        <f>+Table1[[#This Row],[calculated sale price]]</f>
        <v>0.47000000000000003</v>
      </c>
      <c r="AB137" s="205"/>
      <c r="AC137" s="209"/>
    </row>
    <row r="138" spans="1:29" x14ac:dyDescent="0.25">
      <c r="A138" s="188">
        <v>1129</v>
      </c>
      <c r="B138" t="s">
        <v>507</v>
      </c>
      <c r="C138" s="188">
        <v>1</v>
      </c>
      <c r="I138" s="188"/>
      <c r="J138" s="188"/>
      <c r="K138" s="188"/>
      <c r="L138" s="199"/>
      <c r="M138" s="188"/>
      <c r="N138" s="200"/>
      <c r="O138" s="201">
        <v>0.3</v>
      </c>
      <c r="P138" s="201">
        <f>Table1[[#This Row],[unit cost]]</f>
        <v>0.3</v>
      </c>
      <c r="Q138" s="203">
        <v>0.25</v>
      </c>
      <c r="R138" s="188">
        <v>1</v>
      </c>
      <c r="S138" s="252">
        <f t="shared" si="22"/>
        <v>0.42</v>
      </c>
      <c r="T138" s="204">
        <f>Table1[[#This Row],[man minutes]]*Table1[[#This Row],[labor rate]]</f>
        <v>0.105</v>
      </c>
      <c r="U138" s="204">
        <f t="shared" si="18"/>
        <v>0.40499999999999997</v>
      </c>
      <c r="V138" s="189">
        <f t="shared" si="17"/>
        <v>0.15</v>
      </c>
      <c r="W138" s="253">
        <f t="shared" si="23"/>
        <v>0.15</v>
      </c>
      <c r="X138" s="204">
        <f t="shared" si="19"/>
        <v>0.34499999999999997</v>
      </c>
      <c r="Y138" s="204">
        <f t="shared" si="20"/>
        <v>0.12075</v>
      </c>
      <c r="Z138" s="204">
        <f t="shared" si="21"/>
        <v>0.47000000000000003</v>
      </c>
      <c r="AA138" s="206">
        <f>+Table1[[#This Row],[calculated sale price]]</f>
        <v>0.47000000000000003</v>
      </c>
      <c r="AB138" s="205"/>
      <c r="AC138" s="209"/>
    </row>
    <row r="139" spans="1:29" x14ac:dyDescent="0.25">
      <c r="A139" s="188">
        <v>1130</v>
      </c>
      <c r="B139" t="s">
        <v>508</v>
      </c>
      <c r="C139" s="188">
        <v>1</v>
      </c>
      <c r="I139" s="188"/>
      <c r="J139" s="188"/>
      <c r="K139" s="188"/>
      <c r="L139" s="199"/>
      <c r="M139" s="188"/>
      <c r="N139" s="200"/>
      <c r="O139" s="201">
        <v>0.45</v>
      </c>
      <c r="P139" s="201">
        <f>Table1[[#This Row],[unit cost]]</f>
        <v>0.45</v>
      </c>
      <c r="Q139" s="203">
        <v>1.25</v>
      </c>
      <c r="R139" s="188">
        <v>1</v>
      </c>
      <c r="S139" s="252">
        <f t="shared" si="22"/>
        <v>0.42</v>
      </c>
      <c r="T139" s="204">
        <f>Table1[[#This Row],[man minutes]]*Table1[[#This Row],[labor rate]]</f>
        <v>0.52500000000000002</v>
      </c>
      <c r="U139" s="204">
        <f t="shared" si="18"/>
        <v>0.97500000000000009</v>
      </c>
      <c r="V139" s="189">
        <f t="shared" si="17"/>
        <v>0.15</v>
      </c>
      <c r="W139" s="253">
        <f t="shared" si="23"/>
        <v>0.15</v>
      </c>
      <c r="X139" s="204">
        <f t="shared" si="19"/>
        <v>0.51749999999999996</v>
      </c>
      <c r="Y139" s="204">
        <f t="shared" si="20"/>
        <v>0.60375000000000001</v>
      </c>
      <c r="Z139" s="204">
        <f t="shared" si="21"/>
        <v>1.1300000000000001</v>
      </c>
      <c r="AA139" s="206">
        <f>+Table1[[#This Row],[calculated sale price]]</f>
        <v>1.1300000000000001</v>
      </c>
      <c r="AB139" s="205"/>
      <c r="AC139" s="209"/>
    </row>
    <row r="140" spans="1:29" x14ac:dyDescent="0.25">
      <c r="A140" s="188">
        <v>1131</v>
      </c>
      <c r="B140" t="s">
        <v>509</v>
      </c>
      <c r="C140" s="188">
        <v>1</v>
      </c>
      <c r="I140" s="188"/>
      <c r="J140" s="188"/>
      <c r="K140" s="188"/>
      <c r="L140" s="199"/>
      <c r="M140" s="188"/>
      <c r="N140" s="200"/>
      <c r="O140" s="201">
        <v>3.2439994674807027</v>
      </c>
      <c r="P140" s="201">
        <f>Table1[[#This Row],[unit cost]]</f>
        <v>3.2439994674807027</v>
      </c>
      <c r="Q140" s="203">
        <v>4.25</v>
      </c>
      <c r="R140" s="188">
        <v>1</v>
      </c>
      <c r="S140" s="252">
        <f t="shared" si="22"/>
        <v>0.42</v>
      </c>
      <c r="T140" s="204">
        <f>Table1[[#This Row],[man minutes]]*Table1[[#This Row],[labor rate]]</f>
        <v>1.7849999999999999</v>
      </c>
      <c r="U140" s="204">
        <f t="shared" si="18"/>
        <v>5.0289994674807028</v>
      </c>
      <c r="V140" s="189">
        <f t="shared" si="17"/>
        <v>0.15</v>
      </c>
      <c r="W140" s="253">
        <f t="shared" si="23"/>
        <v>0.15</v>
      </c>
      <c r="X140" s="204">
        <f t="shared" si="19"/>
        <v>3.7305993876028078</v>
      </c>
      <c r="Y140" s="204">
        <f t="shared" si="20"/>
        <v>2.0527500000000001</v>
      </c>
      <c r="Z140" s="204">
        <f t="shared" si="21"/>
        <v>5.79</v>
      </c>
      <c r="AA140" s="206">
        <f>+Table1[[#This Row],[calculated sale price]]</f>
        <v>5.79</v>
      </c>
      <c r="AB140" s="205"/>
      <c r="AC140" s="209"/>
    </row>
    <row r="141" spans="1:29" x14ac:dyDescent="0.25">
      <c r="A141" s="188">
        <v>1132</v>
      </c>
      <c r="B141" t="s">
        <v>510</v>
      </c>
      <c r="C141" s="188">
        <v>1</v>
      </c>
      <c r="I141" s="188"/>
      <c r="J141" s="188"/>
      <c r="K141" s="188"/>
      <c r="L141" s="199"/>
      <c r="M141" s="188"/>
      <c r="N141" s="200"/>
      <c r="O141" s="201">
        <v>2.0352920501543865</v>
      </c>
      <c r="P141" s="201">
        <f>Table1[[#This Row],[unit cost]]</f>
        <v>2.0352920501543865</v>
      </c>
      <c r="Q141" s="203">
        <v>4</v>
      </c>
      <c r="R141" s="188">
        <v>1</v>
      </c>
      <c r="S141" s="252">
        <f t="shared" si="22"/>
        <v>0.42</v>
      </c>
      <c r="T141" s="204">
        <f>Table1[[#This Row],[man minutes]]*Table1[[#This Row],[labor rate]]</f>
        <v>1.68</v>
      </c>
      <c r="U141" s="204">
        <f t="shared" si="18"/>
        <v>3.7152920501543862</v>
      </c>
      <c r="V141" s="189">
        <f t="shared" si="17"/>
        <v>0.15</v>
      </c>
      <c r="W141" s="253">
        <f t="shared" si="23"/>
        <v>0.15</v>
      </c>
      <c r="X141" s="204">
        <f t="shared" si="19"/>
        <v>2.3405858576775445</v>
      </c>
      <c r="Y141" s="204">
        <f t="shared" si="20"/>
        <v>1.9319999999999999</v>
      </c>
      <c r="Z141" s="204">
        <f t="shared" si="21"/>
        <v>4.2799999999999994</v>
      </c>
      <c r="AA141" s="206">
        <f>+Table1[[#This Row],[calculated sale price]]</f>
        <v>4.2799999999999994</v>
      </c>
      <c r="AB141" s="205"/>
      <c r="AC141" s="209"/>
    </row>
    <row r="142" spans="1:29" x14ac:dyDescent="0.25">
      <c r="A142" s="188">
        <v>1133</v>
      </c>
      <c r="B142" t="s">
        <v>511</v>
      </c>
      <c r="C142" s="188">
        <v>1</v>
      </c>
      <c r="I142" s="188"/>
      <c r="J142" s="188"/>
      <c r="K142" s="188"/>
      <c r="L142" s="199"/>
      <c r="M142" s="188"/>
      <c r="N142" s="200"/>
      <c r="O142" s="201">
        <v>1.3139505908421054</v>
      </c>
      <c r="P142" s="201">
        <f>Table1[[#This Row],[unit cost]]</f>
        <v>1.3139505908421054</v>
      </c>
      <c r="Q142" s="203">
        <v>1.5</v>
      </c>
      <c r="R142" s="188">
        <v>1</v>
      </c>
      <c r="S142" s="252">
        <f t="shared" si="22"/>
        <v>0.42</v>
      </c>
      <c r="T142" s="204">
        <f>Table1[[#This Row],[man minutes]]*Table1[[#This Row],[labor rate]]</f>
        <v>0.63</v>
      </c>
      <c r="U142" s="204">
        <f t="shared" si="18"/>
        <v>1.9439505908421055</v>
      </c>
      <c r="V142" s="189">
        <f t="shared" si="17"/>
        <v>0.15</v>
      </c>
      <c r="W142" s="253">
        <f t="shared" si="23"/>
        <v>0.15</v>
      </c>
      <c r="X142" s="204">
        <f t="shared" si="19"/>
        <v>1.5110431794684211</v>
      </c>
      <c r="Y142" s="204">
        <f t="shared" si="20"/>
        <v>0.72450000000000003</v>
      </c>
      <c r="Z142" s="204">
        <f t="shared" si="21"/>
        <v>2.2399999999999998</v>
      </c>
      <c r="AA142" s="206">
        <f>+Table1[[#This Row],[calculated sale price]]</f>
        <v>2.2399999999999998</v>
      </c>
      <c r="AB142" s="205"/>
      <c r="AC142" s="209"/>
    </row>
    <row r="143" spans="1:29" x14ac:dyDescent="0.25">
      <c r="A143" s="188">
        <v>1134</v>
      </c>
      <c r="B143" t="s">
        <v>513</v>
      </c>
      <c r="C143" s="188">
        <v>1</v>
      </c>
      <c r="I143" s="188"/>
      <c r="J143" s="188"/>
      <c r="K143" s="188"/>
      <c r="L143" s="199"/>
      <c r="M143" s="188"/>
      <c r="N143" s="200"/>
      <c r="O143" s="201">
        <v>0</v>
      </c>
      <c r="P143" s="201">
        <f>Table1[[#This Row],[unit cost]]</f>
        <v>0</v>
      </c>
      <c r="Q143" s="406">
        <v>0.5</v>
      </c>
      <c r="R143" s="188">
        <v>1</v>
      </c>
      <c r="S143" s="252">
        <f t="shared" si="22"/>
        <v>0.42</v>
      </c>
      <c r="T143" s="204">
        <f>Table1[[#This Row],[man minutes]]*Table1[[#This Row],[labor rate]]</f>
        <v>0.21</v>
      </c>
      <c r="U143" s="204">
        <f t="shared" si="18"/>
        <v>0.21</v>
      </c>
      <c r="V143" s="189">
        <f t="shared" si="17"/>
        <v>0.15</v>
      </c>
      <c r="W143" s="253">
        <f t="shared" si="23"/>
        <v>0.15</v>
      </c>
      <c r="X143" s="204">
        <f t="shared" si="19"/>
        <v>0</v>
      </c>
      <c r="Y143" s="204">
        <f t="shared" si="20"/>
        <v>0.24149999999999999</v>
      </c>
      <c r="Z143" s="204">
        <f t="shared" si="21"/>
        <v>0.25</v>
      </c>
      <c r="AA143" s="206">
        <f>+Table1[[#This Row],[calculated sale price]]</f>
        <v>0.25</v>
      </c>
      <c r="AB143" s="205"/>
      <c r="AC143" s="209"/>
    </row>
    <row r="144" spans="1:29" x14ac:dyDescent="0.25">
      <c r="A144" s="188">
        <v>1135</v>
      </c>
      <c r="B144" t="s">
        <v>517</v>
      </c>
      <c r="C144" s="188">
        <v>1</v>
      </c>
      <c r="I144" s="188"/>
      <c r="J144" s="188"/>
      <c r="K144" s="188"/>
      <c r="L144" s="199"/>
      <c r="M144" s="188"/>
      <c r="N144" s="200"/>
      <c r="O144" s="201">
        <v>0.98</v>
      </c>
      <c r="P144" s="201">
        <f>Table1[[#This Row],[unit cost]]</f>
        <v>0.98</v>
      </c>
      <c r="Q144" s="203">
        <v>0.5</v>
      </c>
      <c r="R144" s="188">
        <v>1</v>
      </c>
      <c r="S144" s="252">
        <f t="shared" si="22"/>
        <v>0.42</v>
      </c>
      <c r="T144" s="204">
        <f>Table1[[#This Row],[man minutes]]*Table1[[#This Row],[labor rate]]</f>
        <v>0.21</v>
      </c>
      <c r="U144" s="204">
        <f t="shared" si="18"/>
        <v>1.19</v>
      </c>
      <c r="V144" s="189">
        <f t="shared" ref="V144:V207" si="24">$V$2</f>
        <v>0.15</v>
      </c>
      <c r="W144" s="253">
        <f t="shared" si="23"/>
        <v>0.15</v>
      </c>
      <c r="X144" s="204">
        <f t="shared" si="19"/>
        <v>1.127</v>
      </c>
      <c r="Y144" s="204">
        <f t="shared" si="20"/>
        <v>0.24149999999999999</v>
      </c>
      <c r="Z144" s="204">
        <f t="shared" si="21"/>
        <v>1.37</v>
      </c>
      <c r="AA144" s="206">
        <f>+Table1[[#This Row],[calculated sale price]]</f>
        <v>1.37</v>
      </c>
      <c r="AB144" s="205"/>
      <c r="AC144" s="209"/>
    </row>
    <row r="145" spans="1:29" x14ac:dyDescent="0.25">
      <c r="A145" s="188">
        <v>1136</v>
      </c>
      <c r="B145" t="s">
        <v>518</v>
      </c>
      <c r="C145" s="188">
        <v>1</v>
      </c>
      <c r="I145" s="188"/>
      <c r="J145" s="188"/>
      <c r="K145" s="188"/>
      <c r="L145" s="199"/>
      <c r="M145" s="188"/>
      <c r="N145" s="200"/>
      <c r="O145" s="201">
        <v>1.23</v>
      </c>
      <c r="P145" s="201">
        <f>Table1[[#This Row],[unit cost]]</f>
        <v>1.23</v>
      </c>
      <c r="Q145" s="203">
        <v>1.25</v>
      </c>
      <c r="R145" s="188">
        <v>1</v>
      </c>
      <c r="S145" s="252">
        <f t="shared" si="22"/>
        <v>0.42</v>
      </c>
      <c r="T145" s="204">
        <f>Table1[[#This Row],[man minutes]]*Table1[[#This Row],[labor rate]]</f>
        <v>0.52500000000000002</v>
      </c>
      <c r="U145" s="204">
        <f t="shared" si="18"/>
        <v>1.7549999999999999</v>
      </c>
      <c r="V145" s="189">
        <f t="shared" si="24"/>
        <v>0.15</v>
      </c>
      <c r="W145" s="253">
        <f t="shared" si="23"/>
        <v>0.15</v>
      </c>
      <c r="X145" s="204">
        <f t="shared" si="19"/>
        <v>1.4144999999999999</v>
      </c>
      <c r="Y145" s="204">
        <f t="shared" si="20"/>
        <v>0.60375000000000001</v>
      </c>
      <c r="Z145" s="204">
        <f t="shared" si="21"/>
        <v>2.0199999999999996</v>
      </c>
      <c r="AA145" s="206">
        <f>+Table1[[#This Row],[calculated sale price]]</f>
        <v>2.0199999999999996</v>
      </c>
      <c r="AB145" s="205"/>
      <c r="AC145" s="209"/>
    </row>
    <row r="146" spans="1:29" x14ac:dyDescent="0.25">
      <c r="A146" s="188">
        <v>1137</v>
      </c>
      <c r="B146" t="s">
        <v>357</v>
      </c>
      <c r="C146" s="188">
        <v>1</v>
      </c>
      <c r="I146" s="188"/>
      <c r="J146" s="188"/>
      <c r="K146" s="188"/>
      <c r="L146" s="199"/>
      <c r="M146" s="188"/>
      <c r="N146" s="200"/>
      <c r="O146" s="201">
        <v>1.23</v>
      </c>
      <c r="P146" s="201">
        <f>Table1[[#This Row],[unit cost]]</f>
        <v>1.23</v>
      </c>
      <c r="Q146" s="203">
        <v>1.5</v>
      </c>
      <c r="R146" s="188">
        <v>1</v>
      </c>
      <c r="S146" s="252">
        <f t="shared" si="22"/>
        <v>0.42</v>
      </c>
      <c r="T146" s="204">
        <f>Table1[[#This Row],[man minutes]]*Table1[[#This Row],[labor rate]]</f>
        <v>0.63</v>
      </c>
      <c r="U146" s="204">
        <f t="shared" si="18"/>
        <v>1.8599999999999999</v>
      </c>
      <c r="V146" s="189">
        <f t="shared" si="24"/>
        <v>0.15</v>
      </c>
      <c r="W146" s="253">
        <f t="shared" si="23"/>
        <v>0.15</v>
      </c>
      <c r="X146" s="204">
        <f t="shared" si="19"/>
        <v>1.4144999999999999</v>
      </c>
      <c r="Y146" s="204">
        <f t="shared" si="20"/>
        <v>0.72450000000000003</v>
      </c>
      <c r="Z146" s="204">
        <f t="shared" si="21"/>
        <v>2.1399999999999997</v>
      </c>
      <c r="AA146" s="206">
        <f>+Table1[[#This Row],[calculated sale price]]</f>
        <v>2.1399999999999997</v>
      </c>
      <c r="AB146" s="205"/>
      <c r="AC146" s="209"/>
    </row>
    <row r="147" spans="1:29" x14ac:dyDescent="0.25">
      <c r="A147" s="188">
        <v>1138</v>
      </c>
      <c r="B147" t="s">
        <v>358</v>
      </c>
      <c r="C147" s="188">
        <v>1</v>
      </c>
      <c r="I147" s="188"/>
      <c r="J147" s="188"/>
      <c r="K147" s="188"/>
      <c r="L147" s="199"/>
      <c r="M147" s="188"/>
      <c r="N147" s="200"/>
      <c r="O147" s="201">
        <v>2.08</v>
      </c>
      <c r="P147" s="201">
        <f>Table1[[#This Row],[unit cost]]</f>
        <v>2.08</v>
      </c>
      <c r="Q147" s="203">
        <v>1</v>
      </c>
      <c r="R147" s="188">
        <v>1</v>
      </c>
      <c r="S147" s="252">
        <f t="shared" si="22"/>
        <v>0.42</v>
      </c>
      <c r="T147" s="204">
        <f>Table1[[#This Row],[man minutes]]*Table1[[#This Row],[labor rate]]</f>
        <v>0.42</v>
      </c>
      <c r="U147" s="204">
        <f t="shared" si="18"/>
        <v>2.5</v>
      </c>
      <c r="V147" s="189">
        <f t="shared" si="24"/>
        <v>0.15</v>
      </c>
      <c r="W147" s="253">
        <f t="shared" si="23"/>
        <v>0.15</v>
      </c>
      <c r="X147" s="204">
        <f t="shared" si="19"/>
        <v>2.3919999999999999</v>
      </c>
      <c r="Y147" s="204">
        <f t="shared" si="20"/>
        <v>0.48299999999999998</v>
      </c>
      <c r="Z147" s="204">
        <f t="shared" si="21"/>
        <v>2.88</v>
      </c>
      <c r="AA147" s="206">
        <f>+Table1[[#This Row],[calculated sale price]]</f>
        <v>2.88</v>
      </c>
      <c r="AB147" s="205"/>
      <c r="AC147" s="209"/>
    </row>
    <row r="148" spans="1:29" x14ac:dyDescent="0.25">
      <c r="A148" s="188">
        <v>1139</v>
      </c>
      <c r="B148" t="s">
        <v>520</v>
      </c>
      <c r="C148" s="188">
        <v>1</v>
      </c>
      <c r="I148" s="188"/>
      <c r="J148" s="188"/>
      <c r="K148" s="188"/>
      <c r="L148" s="199"/>
      <c r="M148" s="188"/>
      <c r="N148" s="200"/>
      <c r="O148" s="201">
        <v>1.323</v>
      </c>
      <c r="P148" s="201">
        <f>Table1[[#This Row],[unit cost]]</f>
        <v>1.323</v>
      </c>
      <c r="Q148" s="203">
        <v>1</v>
      </c>
      <c r="R148" s="188">
        <v>1</v>
      </c>
      <c r="S148" s="252">
        <f t="shared" si="22"/>
        <v>0.42</v>
      </c>
      <c r="T148" s="204">
        <f>Table1[[#This Row],[man minutes]]*Table1[[#This Row],[labor rate]]</f>
        <v>0.42</v>
      </c>
      <c r="U148" s="204">
        <f t="shared" si="18"/>
        <v>1.7429999999999999</v>
      </c>
      <c r="V148" s="189">
        <f t="shared" si="24"/>
        <v>0.15</v>
      </c>
      <c r="W148" s="253">
        <f t="shared" si="23"/>
        <v>0.15</v>
      </c>
      <c r="X148" s="204">
        <f t="shared" si="19"/>
        <v>1.5214499999999997</v>
      </c>
      <c r="Y148" s="204">
        <f t="shared" si="20"/>
        <v>0.48299999999999998</v>
      </c>
      <c r="Z148" s="204">
        <f t="shared" si="21"/>
        <v>2.0099999999999998</v>
      </c>
      <c r="AA148" s="206">
        <f>+Table1[[#This Row],[calculated sale price]]</f>
        <v>2.0099999999999998</v>
      </c>
      <c r="AB148" s="205"/>
      <c r="AC148" s="209"/>
    </row>
    <row r="149" spans="1:29" x14ac:dyDescent="0.25">
      <c r="A149" s="188">
        <v>1140</v>
      </c>
      <c r="B149" t="s">
        <v>521</v>
      </c>
      <c r="C149" s="188">
        <v>1</v>
      </c>
      <c r="I149" s="188"/>
      <c r="J149" s="188"/>
      <c r="K149" s="188"/>
      <c r="L149" s="199"/>
      <c r="M149" s="188"/>
      <c r="N149" s="200"/>
      <c r="O149" s="201">
        <v>2.16</v>
      </c>
      <c r="P149" s="201">
        <f>Table1[[#This Row],[unit cost]]</f>
        <v>2.16</v>
      </c>
      <c r="Q149" s="203">
        <v>3.75</v>
      </c>
      <c r="R149" s="188">
        <v>1</v>
      </c>
      <c r="S149" s="252">
        <f t="shared" si="22"/>
        <v>0.42</v>
      </c>
      <c r="T149" s="204">
        <f>Table1[[#This Row],[man minutes]]*Table1[[#This Row],[labor rate]]</f>
        <v>1.575</v>
      </c>
      <c r="U149" s="204">
        <f t="shared" si="18"/>
        <v>3.7350000000000003</v>
      </c>
      <c r="V149" s="189">
        <f t="shared" si="24"/>
        <v>0.15</v>
      </c>
      <c r="W149" s="253">
        <f t="shared" si="23"/>
        <v>0.15</v>
      </c>
      <c r="X149" s="204">
        <f t="shared" si="19"/>
        <v>2.484</v>
      </c>
      <c r="Y149" s="204">
        <f t="shared" si="20"/>
        <v>1.81125</v>
      </c>
      <c r="Z149" s="204">
        <f t="shared" si="21"/>
        <v>4.3</v>
      </c>
      <c r="AA149" s="206">
        <f>+Table1[[#This Row],[calculated sale price]]</f>
        <v>4.3</v>
      </c>
      <c r="AB149" s="205"/>
      <c r="AC149" s="209"/>
    </row>
    <row r="150" spans="1:29" x14ac:dyDescent="0.25">
      <c r="A150" s="188">
        <v>1141</v>
      </c>
      <c r="B150" t="s">
        <v>523</v>
      </c>
      <c r="C150" s="188">
        <v>1</v>
      </c>
      <c r="I150" s="188"/>
      <c r="J150" s="188"/>
      <c r="K150" s="188"/>
      <c r="L150" s="199"/>
      <c r="M150" s="188"/>
      <c r="N150" s="200"/>
      <c r="O150" s="201">
        <v>6.93</v>
      </c>
      <c r="P150" s="201">
        <f>Table1[[#This Row],[unit cost]]</f>
        <v>6.93</v>
      </c>
      <c r="Q150" s="203">
        <v>6.25</v>
      </c>
      <c r="R150" s="188">
        <v>1</v>
      </c>
      <c r="S150" s="252">
        <f t="shared" si="22"/>
        <v>0.42</v>
      </c>
      <c r="T150" s="204">
        <f>Table1[[#This Row],[man minutes]]*Table1[[#This Row],[labor rate]]</f>
        <v>2.625</v>
      </c>
      <c r="U150" s="204">
        <f t="shared" si="18"/>
        <v>9.5549999999999997</v>
      </c>
      <c r="V150" s="189">
        <f t="shared" si="24"/>
        <v>0.15</v>
      </c>
      <c r="W150" s="253">
        <f t="shared" si="23"/>
        <v>0.15</v>
      </c>
      <c r="X150" s="204">
        <f t="shared" si="19"/>
        <v>7.9694999999999991</v>
      </c>
      <c r="Y150" s="204">
        <f t="shared" si="20"/>
        <v>3.0187499999999998</v>
      </c>
      <c r="Z150" s="204">
        <f t="shared" si="21"/>
        <v>10.99</v>
      </c>
      <c r="AA150" s="206">
        <f>+Table1[[#This Row],[calculated sale price]]</f>
        <v>10.99</v>
      </c>
      <c r="AB150" s="205"/>
      <c r="AC150" s="209"/>
    </row>
    <row r="151" spans="1:29" x14ac:dyDescent="0.25">
      <c r="A151" s="188">
        <v>1142</v>
      </c>
      <c r="B151" t="s">
        <v>522</v>
      </c>
      <c r="C151" s="188">
        <v>1</v>
      </c>
      <c r="I151" s="188"/>
      <c r="J151" s="188"/>
      <c r="K151" s="188"/>
      <c r="L151" s="199"/>
      <c r="M151" s="188"/>
      <c r="N151" s="200"/>
      <c r="O151" s="201">
        <v>5.72</v>
      </c>
      <c r="P151" s="201">
        <f>Table1[[#This Row],[unit cost]]</f>
        <v>5.72</v>
      </c>
      <c r="Q151" s="203">
        <v>5</v>
      </c>
      <c r="R151" s="188">
        <v>1</v>
      </c>
      <c r="S151" s="252">
        <f t="shared" si="22"/>
        <v>0.42</v>
      </c>
      <c r="T151" s="204">
        <f>Table1[[#This Row],[man minutes]]*Table1[[#This Row],[labor rate]]</f>
        <v>2.1</v>
      </c>
      <c r="U151" s="204">
        <f t="shared" si="18"/>
        <v>7.82</v>
      </c>
      <c r="V151" s="189">
        <f t="shared" si="24"/>
        <v>0.15</v>
      </c>
      <c r="W151" s="253">
        <f t="shared" si="23"/>
        <v>0.15</v>
      </c>
      <c r="X151" s="204">
        <f t="shared" si="19"/>
        <v>6.5779999999999994</v>
      </c>
      <c r="Y151" s="204">
        <f t="shared" si="20"/>
        <v>2.415</v>
      </c>
      <c r="Z151" s="204">
        <f t="shared" si="21"/>
        <v>9</v>
      </c>
      <c r="AA151" s="206">
        <f>+Table1[[#This Row],[calculated sale price]]</f>
        <v>9</v>
      </c>
      <c r="AB151" s="205"/>
      <c r="AC151" s="209"/>
    </row>
    <row r="152" spans="1:29" x14ac:dyDescent="0.25">
      <c r="A152" s="188">
        <v>1143</v>
      </c>
      <c r="B152" t="s">
        <v>524</v>
      </c>
      <c r="C152" s="188">
        <v>1</v>
      </c>
      <c r="I152" s="188"/>
      <c r="J152" s="188"/>
      <c r="K152" s="188"/>
      <c r="L152" s="199"/>
      <c r="M152" s="188"/>
      <c r="N152" s="200"/>
      <c r="O152" s="201">
        <v>6.09</v>
      </c>
      <c r="P152" s="201">
        <f>Table1[[#This Row],[unit cost]]</f>
        <v>6.09</v>
      </c>
      <c r="Q152" s="203">
        <v>4</v>
      </c>
      <c r="R152" s="188">
        <v>1</v>
      </c>
      <c r="S152" s="252">
        <f t="shared" si="22"/>
        <v>0.42</v>
      </c>
      <c r="T152" s="204">
        <f>Table1[[#This Row],[man minutes]]*Table1[[#This Row],[labor rate]]</f>
        <v>1.68</v>
      </c>
      <c r="U152" s="204">
        <f t="shared" ref="U152:U215" si="25">P152+T152</f>
        <v>7.77</v>
      </c>
      <c r="V152" s="189">
        <f t="shared" si="24"/>
        <v>0.15</v>
      </c>
      <c r="W152" s="253">
        <f t="shared" si="23"/>
        <v>0.15</v>
      </c>
      <c r="X152" s="204">
        <f t="shared" ref="X152:X215" si="26">P152*(1+V152)</f>
        <v>7.0034999999999989</v>
      </c>
      <c r="Y152" s="204">
        <f t="shared" ref="Y152:Y215" si="27">T152+(T152*W152)</f>
        <v>1.9319999999999999</v>
      </c>
      <c r="Z152" s="204">
        <f t="shared" ref="Z152:Z215" si="28">IFERROR(ROUNDUP(X152+Y152,2)," ")</f>
        <v>8.94</v>
      </c>
      <c r="AA152" s="206">
        <f>+Table1[[#This Row],[calculated sale price]]</f>
        <v>8.94</v>
      </c>
      <c r="AB152" s="205"/>
      <c r="AC152" s="209"/>
    </row>
    <row r="153" spans="1:29" x14ac:dyDescent="0.25">
      <c r="A153" s="188">
        <v>1144</v>
      </c>
      <c r="B153" t="s">
        <v>525</v>
      </c>
      <c r="C153" s="188">
        <v>1</v>
      </c>
      <c r="I153" s="188"/>
      <c r="J153" s="188"/>
      <c r="K153" s="188"/>
      <c r="L153" s="199"/>
      <c r="M153" s="188"/>
      <c r="N153" s="200"/>
      <c r="O153" s="201">
        <v>2.0099999999999998</v>
      </c>
      <c r="P153" s="201">
        <f>Table1[[#This Row],[unit cost]]</f>
        <v>2.0099999999999998</v>
      </c>
      <c r="Q153" s="203">
        <v>3.75</v>
      </c>
      <c r="R153" s="188">
        <v>1</v>
      </c>
      <c r="S153" s="252">
        <f t="shared" si="22"/>
        <v>0.42</v>
      </c>
      <c r="T153" s="204">
        <f>Table1[[#This Row],[man minutes]]*Table1[[#This Row],[labor rate]]</f>
        <v>1.575</v>
      </c>
      <c r="U153" s="204">
        <f t="shared" si="25"/>
        <v>3.585</v>
      </c>
      <c r="V153" s="189">
        <f t="shared" si="24"/>
        <v>0.15</v>
      </c>
      <c r="W153" s="253">
        <f t="shared" si="23"/>
        <v>0.15</v>
      </c>
      <c r="X153" s="204">
        <f t="shared" si="26"/>
        <v>2.3114999999999997</v>
      </c>
      <c r="Y153" s="204">
        <f t="shared" si="27"/>
        <v>1.81125</v>
      </c>
      <c r="Z153" s="204">
        <f t="shared" si="28"/>
        <v>4.13</v>
      </c>
      <c r="AA153" s="206">
        <f>+Table1[[#This Row],[calculated sale price]]</f>
        <v>4.13</v>
      </c>
      <c r="AB153" s="205"/>
      <c r="AC153" s="209"/>
    </row>
    <row r="154" spans="1:29" x14ac:dyDescent="0.25">
      <c r="A154" s="188">
        <v>1145</v>
      </c>
      <c r="B154" t="s">
        <v>526</v>
      </c>
      <c r="C154" s="188">
        <v>1</v>
      </c>
      <c r="I154" s="188"/>
      <c r="J154" s="188"/>
      <c r="K154" s="188"/>
      <c r="L154" s="199"/>
      <c r="M154" s="188"/>
      <c r="N154" s="200"/>
      <c r="O154" s="201">
        <v>1.96</v>
      </c>
      <c r="P154" s="201">
        <f>Table1[[#This Row],[unit cost]]</f>
        <v>1.96</v>
      </c>
      <c r="Q154" s="203">
        <v>1.5</v>
      </c>
      <c r="R154" s="188">
        <v>1</v>
      </c>
      <c r="S154" s="252">
        <f t="shared" si="22"/>
        <v>0.42</v>
      </c>
      <c r="T154" s="204">
        <f>Table1[[#This Row],[man minutes]]*Table1[[#This Row],[labor rate]]</f>
        <v>0.63</v>
      </c>
      <c r="U154" s="204">
        <f t="shared" si="25"/>
        <v>2.59</v>
      </c>
      <c r="V154" s="189">
        <f t="shared" si="24"/>
        <v>0.15</v>
      </c>
      <c r="W154" s="253">
        <f t="shared" si="23"/>
        <v>0.15</v>
      </c>
      <c r="X154" s="204">
        <f t="shared" si="26"/>
        <v>2.254</v>
      </c>
      <c r="Y154" s="204">
        <f t="shared" si="27"/>
        <v>0.72450000000000003</v>
      </c>
      <c r="Z154" s="204">
        <f t="shared" si="28"/>
        <v>2.98</v>
      </c>
      <c r="AA154" s="206">
        <f>+Table1[[#This Row],[calculated sale price]]</f>
        <v>2.98</v>
      </c>
      <c r="AB154" s="205"/>
      <c r="AC154" s="209"/>
    </row>
    <row r="155" spans="1:29" x14ac:dyDescent="0.25">
      <c r="A155" s="188">
        <v>1146</v>
      </c>
      <c r="B155" s="337" t="s">
        <v>527</v>
      </c>
      <c r="C155" s="188">
        <v>1</v>
      </c>
      <c r="I155" s="188"/>
      <c r="J155" s="188"/>
      <c r="K155" s="188"/>
      <c r="L155" s="199"/>
      <c r="M155" s="188"/>
      <c r="N155" s="200"/>
      <c r="O155" s="201">
        <v>1.68</v>
      </c>
      <c r="P155" s="201">
        <f>Table1[[#This Row],[unit cost]]</f>
        <v>1.68</v>
      </c>
      <c r="Q155" s="203">
        <v>1.5</v>
      </c>
      <c r="R155" s="188">
        <v>1</v>
      </c>
      <c r="S155" s="252">
        <f t="shared" si="22"/>
        <v>0.42</v>
      </c>
      <c r="T155" s="204">
        <f>Table1[[#This Row],[man minutes]]*Table1[[#This Row],[labor rate]]</f>
        <v>0.63</v>
      </c>
      <c r="U155" s="204">
        <f t="shared" si="25"/>
        <v>2.31</v>
      </c>
      <c r="V155" s="189">
        <f t="shared" si="24"/>
        <v>0.15</v>
      </c>
      <c r="W155" s="253">
        <f t="shared" si="23"/>
        <v>0.15</v>
      </c>
      <c r="X155" s="204">
        <f t="shared" si="26"/>
        <v>1.9319999999999997</v>
      </c>
      <c r="Y155" s="204">
        <f t="shared" si="27"/>
        <v>0.72450000000000003</v>
      </c>
      <c r="Z155" s="204">
        <f t="shared" si="28"/>
        <v>2.6599999999999997</v>
      </c>
      <c r="AA155" s="206">
        <f>+Table1[[#This Row],[calculated sale price]]</f>
        <v>2.6599999999999997</v>
      </c>
      <c r="AB155" s="205"/>
      <c r="AC155" s="209"/>
    </row>
    <row r="156" spans="1:29" x14ac:dyDescent="0.25">
      <c r="A156" s="188">
        <v>1147</v>
      </c>
      <c r="B156" s="337" t="s">
        <v>528</v>
      </c>
      <c r="C156" s="188">
        <v>1</v>
      </c>
      <c r="I156" s="188"/>
      <c r="J156" s="188"/>
      <c r="K156" s="188"/>
      <c r="L156" s="199"/>
      <c r="M156" s="188"/>
      <c r="N156" s="200"/>
      <c r="O156" s="201">
        <v>2.2999999999999998</v>
      </c>
      <c r="P156" s="201">
        <f>Table1[[#This Row],[unit cost]]</f>
        <v>2.2999999999999998</v>
      </c>
      <c r="Q156" s="203">
        <v>1.5</v>
      </c>
      <c r="R156" s="188">
        <v>1</v>
      </c>
      <c r="S156" s="252">
        <f t="shared" si="22"/>
        <v>0.42</v>
      </c>
      <c r="T156" s="204">
        <f>Table1[[#This Row],[man minutes]]*Table1[[#This Row],[labor rate]]</f>
        <v>0.63</v>
      </c>
      <c r="U156" s="204">
        <f t="shared" si="25"/>
        <v>2.9299999999999997</v>
      </c>
      <c r="V156" s="189">
        <f t="shared" si="24"/>
        <v>0.15</v>
      </c>
      <c r="W156" s="253">
        <f t="shared" si="23"/>
        <v>0.15</v>
      </c>
      <c r="X156" s="204">
        <f t="shared" si="26"/>
        <v>2.6449999999999996</v>
      </c>
      <c r="Y156" s="204">
        <f t="shared" si="27"/>
        <v>0.72450000000000003</v>
      </c>
      <c r="Z156" s="204">
        <f t="shared" si="28"/>
        <v>3.3699999999999997</v>
      </c>
      <c r="AA156" s="206">
        <f>+Table1[[#This Row],[calculated sale price]]</f>
        <v>3.3699999999999997</v>
      </c>
      <c r="AB156" s="205"/>
      <c r="AC156" s="209"/>
    </row>
    <row r="157" spans="1:29" x14ac:dyDescent="0.25">
      <c r="A157" s="188">
        <v>1148</v>
      </c>
      <c r="B157" s="337" t="s">
        <v>529</v>
      </c>
      <c r="C157" s="188">
        <v>1</v>
      </c>
      <c r="I157" s="188"/>
      <c r="J157" s="188"/>
      <c r="K157" s="188"/>
      <c r="L157" s="199"/>
      <c r="M157" s="188"/>
      <c r="N157" s="200"/>
      <c r="O157" s="201">
        <v>1.63</v>
      </c>
      <c r="P157" s="201">
        <f>Table1[[#This Row],[unit cost]]</f>
        <v>1.63</v>
      </c>
      <c r="Q157" s="203">
        <v>1.5</v>
      </c>
      <c r="R157" s="188">
        <v>1</v>
      </c>
      <c r="S157" s="252">
        <f t="shared" si="22"/>
        <v>0.42</v>
      </c>
      <c r="T157" s="204">
        <f>Table1[[#This Row],[man minutes]]*Table1[[#This Row],[labor rate]]</f>
        <v>0.63</v>
      </c>
      <c r="U157" s="204">
        <f t="shared" si="25"/>
        <v>2.2599999999999998</v>
      </c>
      <c r="V157" s="189">
        <f t="shared" si="24"/>
        <v>0.15</v>
      </c>
      <c r="W157" s="253">
        <f t="shared" si="23"/>
        <v>0.15</v>
      </c>
      <c r="X157" s="204">
        <f t="shared" si="26"/>
        <v>1.8744999999999998</v>
      </c>
      <c r="Y157" s="204">
        <f t="shared" si="27"/>
        <v>0.72450000000000003</v>
      </c>
      <c r="Z157" s="204">
        <f t="shared" si="28"/>
        <v>2.5999999999999996</v>
      </c>
      <c r="AA157" s="206">
        <f>+Table1[[#This Row],[calculated sale price]]</f>
        <v>2.5999999999999996</v>
      </c>
      <c r="AB157" s="205"/>
      <c r="AC157" s="209"/>
    </row>
    <row r="158" spans="1:29" x14ac:dyDescent="0.25">
      <c r="A158" s="188">
        <v>1149</v>
      </c>
      <c r="B158" t="s">
        <v>530</v>
      </c>
      <c r="C158" s="188">
        <v>1</v>
      </c>
      <c r="I158" s="188"/>
      <c r="J158" s="188"/>
      <c r="K158" s="188"/>
      <c r="L158" s="199"/>
      <c r="M158" s="188"/>
      <c r="N158" s="200"/>
      <c r="O158" s="201">
        <v>1.99</v>
      </c>
      <c r="P158" s="201">
        <f>Table1[[#This Row],[unit cost]]</f>
        <v>1.99</v>
      </c>
      <c r="Q158" s="203">
        <v>1.5</v>
      </c>
      <c r="R158" s="188">
        <v>1</v>
      </c>
      <c r="S158" s="252">
        <f t="shared" si="22"/>
        <v>0.42</v>
      </c>
      <c r="T158" s="204">
        <f>Table1[[#This Row],[man minutes]]*Table1[[#This Row],[labor rate]]</f>
        <v>0.63</v>
      </c>
      <c r="U158" s="204">
        <f t="shared" si="25"/>
        <v>2.62</v>
      </c>
      <c r="V158" s="189">
        <f t="shared" si="24"/>
        <v>0.15</v>
      </c>
      <c r="W158" s="253">
        <f t="shared" si="23"/>
        <v>0.15</v>
      </c>
      <c r="X158" s="204">
        <f t="shared" si="26"/>
        <v>2.2885</v>
      </c>
      <c r="Y158" s="204">
        <f t="shared" si="27"/>
        <v>0.72450000000000003</v>
      </c>
      <c r="Z158" s="204">
        <f t="shared" si="28"/>
        <v>3.0199999999999996</v>
      </c>
      <c r="AA158" s="206">
        <f>+Table1[[#This Row],[calculated sale price]]</f>
        <v>3.0199999999999996</v>
      </c>
      <c r="AB158" s="205"/>
      <c r="AC158" s="209"/>
    </row>
    <row r="159" spans="1:29" x14ac:dyDescent="0.25">
      <c r="A159" s="188">
        <v>1150</v>
      </c>
      <c r="B159" t="s">
        <v>532</v>
      </c>
      <c r="C159" s="188">
        <v>1</v>
      </c>
      <c r="I159" s="188"/>
      <c r="J159" s="188"/>
      <c r="K159" s="188"/>
      <c r="L159" s="199"/>
      <c r="M159" s="188"/>
      <c r="N159" s="200"/>
      <c r="O159" s="201">
        <v>1.45</v>
      </c>
      <c r="P159" s="201">
        <f>Table1[[#This Row],[unit cost]]</f>
        <v>1.45</v>
      </c>
      <c r="Q159" s="203">
        <v>2</v>
      </c>
      <c r="R159" s="188">
        <v>1</v>
      </c>
      <c r="S159" s="252">
        <f t="shared" si="22"/>
        <v>0.42</v>
      </c>
      <c r="T159" s="204">
        <f>Table1[[#This Row],[man minutes]]*Table1[[#This Row],[labor rate]]</f>
        <v>0.84</v>
      </c>
      <c r="U159" s="204">
        <f t="shared" si="25"/>
        <v>2.29</v>
      </c>
      <c r="V159" s="189">
        <f t="shared" si="24"/>
        <v>0.15</v>
      </c>
      <c r="W159" s="253">
        <f t="shared" si="23"/>
        <v>0.15</v>
      </c>
      <c r="X159" s="204">
        <f t="shared" si="26"/>
        <v>1.6674999999999998</v>
      </c>
      <c r="Y159" s="204">
        <f t="shared" si="27"/>
        <v>0.96599999999999997</v>
      </c>
      <c r="Z159" s="204">
        <f t="shared" si="28"/>
        <v>2.6399999999999997</v>
      </c>
      <c r="AA159" s="206">
        <f>+Table1[[#This Row],[calculated sale price]]</f>
        <v>2.6399999999999997</v>
      </c>
      <c r="AB159" s="205"/>
      <c r="AC159" s="209"/>
    </row>
    <row r="160" spans="1:29" x14ac:dyDescent="0.25">
      <c r="A160" s="188">
        <v>1151</v>
      </c>
      <c r="B160" t="s">
        <v>531</v>
      </c>
      <c r="C160" s="188">
        <v>1</v>
      </c>
      <c r="I160" s="188"/>
      <c r="J160" s="188"/>
      <c r="K160" s="188"/>
      <c r="L160" s="199"/>
      <c r="M160" s="188"/>
      <c r="N160" s="200"/>
      <c r="O160" s="201">
        <v>1.45</v>
      </c>
      <c r="P160" s="201">
        <f>Table1[[#This Row],[unit cost]]</f>
        <v>1.45</v>
      </c>
      <c r="Q160" s="203">
        <v>2</v>
      </c>
      <c r="R160" s="188">
        <v>1</v>
      </c>
      <c r="S160" s="252">
        <f t="shared" si="22"/>
        <v>0.42</v>
      </c>
      <c r="T160" s="204">
        <f>Table1[[#This Row],[man minutes]]*Table1[[#This Row],[labor rate]]</f>
        <v>0.84</v>
      </c>
      <c r="U160" s="204">
        <f t="shared" si="25"/>
        <v>2.29</v>
      </c>
      <c r="V160" s="189">
        <f t="shared" si="24"/>
        <v>0.15</v>
      </c>
      <c r="W160" s="253">
        <f t="shared" si="23"/>
        <v>0.15</v>
      </c>
      <c r="X160" s="204">
        <f t="shared" si="26"/>
        <v>1.6674999999999998</v>
      </c>
      <c r="Y160" s="204">
        <f t="shared" si="27"/>
        <v>0.96599999999999997</v>
      </c>
      <c r="Z160" s="204">
        <f t="shared" si="28"/>
        <v>2.6399999999999997</v>
      </c>
      <c r="AA160" s="206">
        <f>+Table1[[#This Row],[calculated sale price]]</f>
        <v>2.6399999999999997</v>
      </c>
      <c r="AB160" s="205"/>
      <c r="AC160" s="209"/>
    </row>
    <row r="161" spans="1:29" x14ac:dyDescent="0.25">
      <c r="A161" s="188">
        <v>1152</v>
      </c>
      <c r="B161" t="s">
        <v>533</v>
      </c>
      <c r="C161" s="188">
        <v>1</v>
      </c>
      <c r="I161" s="188"/>
      <c r="J161" s="188"/>
      <c r="K161" s="188"/>
      <c r="L161" s="199"/>
      <c r="M161" s="188"/>
      <c r="N161" s="200"/>
      <c r="O161" s="201">
        <v>1.65</v>
      </c>
      <c r="P161" s="201">
        <f>Table1[[#This Row],[unit cost]]</f>
        <v>1.65</v>
      </c>
      <c r="Q161" s="203">
        <v>2</v>
      </c>
      <c r="R161" s="188">
        <v>1</v>
      </c>
      <c r="S161" s="252">
        <f t="shared" si="22"/>
        <v>0.42</v>
      </c>
      <c r="T161" s="204">
        <f>Table1[[#This Row],[man minutes]]*Table1[[#This Row],[labor rate]]</f>
        <v>0.84</v>
      </c>
      <c r="U161" s="204">
        <f t="shared" si="25"/>
        <v>2.4899999999999998</v>
      </c>
      <c r="V161" s="189">
        <f t="shared" si="24"/>
        <v>0.15</v>
      </c>
      <c r="W161" s="253">
        <f t="shared" si="23"/>
        <v>0.15</v>
      </c>
      <c r="X161" s="204">
        <f t="shared" si="26"/>
        <v>1.8974999999999997</v>
      </c>
      <c r="Y161" s="204">
        <f t="shared" si="27"/>
        <v>0.96599999999999997</v>
      </c>
      <c r="Z161" s="204">
        <f t="shared" si="28"/>
        <v>2.8699999999999997</v>
      </c>
      <c r="AA161" s="206">
        <f>+Table1[[#This Row],[calculated sale price]]</f>
        <v>2.8699999999999997</v>
      </c>
      <c r="AB161" s="205"/>
      <c r="AC161" s="209"/>
    </row>
    <row r="162" spans="1:29" x14ac:dyDescent="0.25">
      <c r="A162" s="188">
        <v>1153</v>
      </c>
      <c r="B162" t="s">
        <v>540</v>
      </c>
      <c r="C162" s="188">
        <v>1</v>
      </c>
      <c r="I162" s="188"/>
      <c r="J162" s="188"/>
      <c r="K162" s="188"/>
      <c r="L162" s="199"/>
      <c r="M162" s="188"/>
      <c r="N162" s="200"/>
      <c r="O162" s="201">
        <v>0.5</v>
      </c>
      <c r="P162" s="201">
        <f>Table1[[#This Row],[unit cost]]</f>
        <v>0.5</v>
      </c>
      <c r="Q162" s="203">
        <v>0.25</v>
      </c>
      <c r="R162" s="188">
        <v>1</v>
      </c>
      <c r="S162" s="252">
        <f t="shared" si="22"/>
        <v>0.42</v>
      </c>
      <c r="T162" s="204">
        <f>Table1[[#This Row],[man minutes]]*Table1[[#This Row],[labor rate]]</f>
        <v>0.105</v>
      </c>
      <c r="U162" s="204">
        <f t="shared" si="25"/>
        <v>0.60499999999999998</v>
      </c>
      <c r="V162" s="189">
        <f t="shared" si="24"/>
        <v>0.15</v>
      </c>
      <c r="W162" s="253">
        <f t="shared" si="23"/>
        <v>0.15</v>
      </c>
      <c r="X162" s="204">
        <f t="shared" si="26"/>
        <v>0.57499999999999996</v>
      </c>
      <c r="Y162" s="204">
        <f t="shared" si="27"/>
        <v>0.12075</v>
      </c>
      <c r="Z162" s="204">
        <f t="shared" si="28"/>
        <v>0.7</v>
      </c>
      <c r="AA162" s="206">
        <f>+Table1[[#This Row],[calculated sale price]]</f>
        <v>0.7</v>
      </c>
      <c r="AB162" s="205"/>
      <c r="AC162" s="209"/>
    </row>
    <row r="163" spans="1:29" x14ac:dyDescent="0.25">
      <c r="A163" s="188">
        <v>1154</v>
      </c>
      <c r="B163" t="s">
        <v>541</v>
      </c>
      <c r="C163" s="188">
        <v>1</v>
      </c>
      <c r="I163" s="188"/>
      <c r="J163" s="188"/>
      <c r="K163" s="188"/>
      <c r="L163" s="199"/>
      <c r="M163" s="188"/>
      <c r="N163" s="200"/>
      <c r="O163" s="201">
        <v>0.4</v>
      </c>
      <c r="P163" s="201">
        <f>Table1[[#This Row],[unit cost]]</f>
        <v>0.4</v>
      </c>
      <c r="Q163" s="203">
        <v>0.25</v>
      </c>
      <c r="R163" s="188">
        <v>1</v>
      </c>
      <c r="S163" s="252">
        <f t="shared" si="22"/>
        <v>0.42</v>
      </c>
      <c r="T163" s="204">
        <f>Table1[[#This Row],[man minutes]]*Table1[[#This Row],[labor rate]]</f>
        <v>0.105</v>
      </c>
      <c r="U163" s="204">
        <f t="shared" si="25"/>
        <v>0.505</v>
      </c>
      <c r="V163" s="189">
        <f t="shared" si="24"/>
        <v>0.15</v>
      </c>
      <c r="W163" s="253">
        <f t="shared" si="23"/>
        <v>0.15</v>
      </c>
      <c r="X163" s="204">
        <f t="shared" si="26"/>
        <v>0.45999999999999996</v>
      </c>
      <c r="Y163" s="204">
        <f t="shared" si="27"/>
        <v>0.12075</v>
      </c>
      <c r="Z163" s="204">
        <f t="shared" si="28"/>
        <v>0.59</v>
      </c>
      <c r="AA163" s="206">
        <f>+Table1[[#This Row],[calculated sale price]]</f>
        <v>0.59</v>
      </c>
      <c r="AB163" s="205"/>
      <c r="AC163" s="209"/>
    </row>
    <row r="164" spans="1:29" x14ac:dyDescent="0.25">
      <c r="A164" s="188">
        <v>1155</v>
      </c>
      <c r="C164" s="188">
        <v>1</v>
      </c>
      <c r="I164" s="188"/>
      <c r="J164" s="188"/>
      <c r="K164" s="188"/>
      <c r="L164" s="199"/>
      <c r="M164" s="188"/>
      <c r="N164" s="200"/>
      <c r="O164" s="201">
        <v>0</v>
      </c>
      <c r="P164" s="201">
        <f>Table1[[#This Row],[unit cost]]</f>
        <v>0</v>
      </c>
      <c r="Q164" s="203"/>
      <c r="R164" s="188">
        <v>1</v>
      </c>
      <c r="S164" s="252">
        <f t="shared" si="22"/>
        <v>0.42</v>
      </c>
      <c r="T164" s="204">
        <f>Table1[[#This Row],[man minutes]]*Table1[[#This Row],[labor rate]]</f>
        <v>0</v>
      </c>
      <c r="U164" s="204">
        <f t="shared" si="25"/>
        <v>0</v>
      </c>
      <c r="V164" s="189">
        <f t="shared" si="24"/>
        <v>0.15</v>
      </c>
      <c r="W164" s="253">
        <f t="shared" si="23"/>
        <v>0.15</v>
      </c>
      <c r="X164" s="204">
        <f t="shared" si="26"/>
        <v>0</v>
      </c>
      <c r="Y164" s="204">
        <f t="shared" si="27"/>
        <v>0</v>
      </c>
      <c r="Z164" s="204">
        <f t="shared" si="28"/>
        <v>0</v>
      </c>
      <c r="AA164" s="206">
        <f>+Table1[[#This Row],[calculated sale price]]</f>
        <v>0</v>
      </c>
      <c r="AB164" s="205"/>
      <c r="AC164" s="209"/>
    </row>
    <row r="165" spans="1:29" x14ac:dyDescent="0.25">
      <c r="A165" s="188">
        <v>1156</v>
      </c>
      <c r="C165" s="188">
        <v>1</v>
      </c>
      <c r="I165" s="188"/>
      <c r="J165" s="188"/>
      <c r="K165" s="188"/>
      <c r="L165" s="199"/>
      <c r="M165" s="188"/>
      <c r="N165" s="200"/>
      <c r="O165" s="201">
        <v>0</v>
      </c>
      <c r="P165" s="201">
        <f>Table1[[#This Row],[unit cost]]</f>
        <v>0</v>
      </c>
      <c r="Q165" s="203"/>
      <c r="R165" s="188">
        <v>1</v>
      </c>
      <c r="S165" s="252">
        <f t="shared" si="22"/>
        <v>0.42</v>
      </c>
      <c r="T165" s="204">
        <f>Table1[[#This Row],[man minutes]]*Table1[[#This Row],[labor rate]]</f>
        <v>0</v>
      </c>
      <c r="U165" s="204">
        <f t="shared" si="25"/>
        <v>0</v>
      </c>
      <c r="V165" s="189">
        <f t="shared" si="24"/>
        <v>0.15</v>
      </c>
      <c r="W165" s="253">
        <f t="shared" si="23"/>
        <v>0.15</v>
      </c>
      <c r="X165" s="204">
        <f t="shared" si="26"/>
        <v>0</v>
      </c>
      <c r="Y165" s="204">
        <f t="shared" si="27"/>
        <v>0</v>
      </c>
      <c r="Z165" s="204">
        <f t="shared" si="28"/>
        <v>0</v>
      </c>
      <c r="AA165" s="206">
        <f>+Table1[[#This Row],[calculated sale price]]</f>
        <v>0</v>
      </c>
      <c r="AB165" s="205"/>
      <c r="AC165" s="209"/>
    </row>
    <row r="166" spans="1:29" x14ac:dyDescent="0.25">
      <c r="A166" s="188">
        <v>1157</v>
      </c>
      <c r="C166" s="188">
        <v>1</v>
      </c>
      <c r="I166" s="188"/>
      <c r="J166" s="188"/>
      <c r="K166" s="188"/>
      <c r="L166" s="199"/>
      <c r="M166" s="188"/>
      <c r="N166" s="200"/>
      <c r="O166" s="201">
        <v>0</v>
      </c>
      <c r="P166" s="201">
        <f>Table1[[#This Row],[unit cost]]</f>
        <v>0</v>
      </c>
      <c r="Q166" s="203"/>
      <c r="R166" s="188">
        <v>1</v>
      </c>
      <c r="S166" s="252">
        <f t="shared" si="22"/>
        <v>0.42</v>
      </c>
      <c r="T166" s="204">
        <f>Table1[[#This Row],[man minutes]]*Table1[[#This Row],[labor rate]]</f>
        <v>0</v>
      </c>
      <c r="U166" s="204">
        <f t="shared" si="25"/>
        <v>0</v>
      </c>
      <c r="V166" s="189">
        <f t="shared" si="24"/>
        <v>0.15</v>
      </c>
      <c r="W166" s="253">
        <f t="shared" si="23"/>
        <v>0.15</v>
      </c>
      <c r="X166" s="204">
        <f t="shared" si="26"/>
        <v>0</v>
      </c>
      <c r="Y166" s="204">
        <f t="shared" si="27"/>
        <v>0</v>
      </c>
      <c r="Z166" s="204">
        <f t="shared" si="28"/>
        <v>0</v>
      </c>
      <c r="AA166" s="206">
        <f>+Table1[[#This Row],[calculated sale price]]</f>
        <v>0</v>
      </c>
      <c r="AB166" s="205"/>
      <c r="AC166" s="209"/>
    </row>
    <row r="167" spans="1:29" x14ac:dyDescent="0.25">
      <c r="A167" s="188">
        <v>1158</v>
      </c>
      <c r="C167" s="188">
        <v>1</v>
      </c>
      <c r="I167" s="188"/>
      <c r="J167" s="188"/>
      <c r="K167" s="188"/>
      <c r="L167" s="199"/>
      <c r="M167" s="188"/>
      <c r="N167" s="200"/>
      <c r="O167" s="201">
        <v>0</v>
      </c>
      <c r="P167" s="201">
        <f>Table1[[#This Row],[unit cost]]</f>
        <v>0</v>
      </c>
      <c r="Q167" s="203"/>
      <c r="R167" s="188">
        <v>1</v>
      </c>
      <c r="S167" s="252">
        <f t="shared" si="22"/>
        <v>0.42</v>
      </c>
      <c r="T167" s="204">
        <f>Table1[[#This Row],[man minutes]]*Table1[[#This Row],[labor rate]]</f>
        <v>0</v>
      </c>
      <c r="U167" s="204">
        <f t="shared" si="25"/>
        <v>0</v>
      </c>
      <c r="V167" s="189">
        <f t="shared" si="24"/>
        <v>0.15</v>
      </c>
      <c r="W167" s="253">
        <f t="shared" si="23"/>
        <v>0.15</v>
      </c>
      <c r="X167" s="204">
        <f t="shared" si="26"/>
        <v>0</v>
      </c>
      <c r="Y167" s="204">
        <f t="shared" si="27"/>
        <v>0</v>
      </c>
      <c r="Z167" s="204">
        <f t="shared" si="28"/>
        <v>0</v>
      </c>
      <c r="AA167" s="206">
        <f>+Table1[[#This Row],[calculated sale price]]</f>
        <v>0</v>
      </c>
      <c r="AB167" s="205"/>
      <c r="AC167" s="209"/>
    </row>
    <row r="168" spans="1:29" x14ac:dyDescent="0.25">
      <c r="A168" s="188">
        <v>1159</v>
      </c>
      <c r="C168" s="188">
        <v>1</v>
      </c>
      <c r="I168" s="188"/>
      <c r="J168" s="188"/>
      <c r="K168" s="188"/>
      <c r="L168" s="199"/>
      <c r="M168" s="188"/>
      <c r="N168" s="200"/>
      <c r="O168" s="201">
        <v>0</v>
      </c>
      <c r="P168" s="201">
        <f>Table1[[#This Row],[unit cost]]</f>
        <v>0</v>
      </c>
      <c r="Q168" s="203"/>
      <c r="R168" s="188">
        <v>1</v>
      </c>
      <c r="S168" s="252">
        <f t="shared" si="22"/>
        <v>0.42</v>
      </c>
      <c r="T168" s="204">
        <f>Table1[[#This Row],[man minutes]]*Table1[[#This Row],[labor rate]]</f>
        <v>0</v>
      </c>
      <c r="U168" s="204">
        <f t="shared" si="25"/>
        <v>0</v>
      </c>
      <c r="V168" s="189">
        <f t="shared" si="24"/>
        <v>0.15</v>
      </c>
      <c r="W168" s="253">
        <f t="shared" si="23"/>
        <v>0.15</v>
      </c>
      <c r="X168" s="204">
        <f t="shared" si="26"/>
        <v>0</v>
      </c>
      <c r="Y168" s="204">
        <f t="shared" si="27"/>
        <v>0</v>
      </c>
      <c r="Z168" s="204">
        <f t="shared" si="28"/>
        <v>0</v>
      </c>
      <c r="AA168" s="206">
        <f>+Table1[[#This Row],[calculated sale price]]</f>
        <v>0</v>
      </c>
      <c r="AB168" s="205"/>
      <c r="AC168" s="209"/>
    </row>
    <row r="169" spans="1:29" x14ac:dyDescent="0.25">
      <c r="A169" s="188">
        <v>1160</v>
      </c>
      <c r="C169" s="188">
        <v>1</v>
      </c>
      <c r="I169" s="188"/>
      <c r="J169" s="188"/>
      <c r="K169" s="188"/>
      <c r="L169" s="199"/>
      <c r="M169" s="188"/>
      <c r="N169" s="200"/>
      <c r="O169" s="201">
        <v>0</v>
      </c>
      <c r="P169" s="201">
        <f>Table1[[#This Row],[unit cost]]</f>
        <v>0</v>
      </c>
      <c r="Q169" s="203"/>
      <c r="R169" s="188">
        <v>1</v>
      </c>
      <c r="S169" s="252">
        <f t="shared" si="22"/>
        <v>0.42</v>
      </c>
      <c r="T169" s="204">
        <f>Table1[[#This Row],[man minutes]]*Table1[[#This Row],[labor rate]]</f>
        <v>0</v>
      </c>
      <c r="U169" s="204">
        <f t="shared" si="25"/>
        <v>0</v>
      </c>
      <c r="V169" s="189">
        <f t="shared" si="24"/>
        <v>0.15</v>
      </c>
      <c r="W169" s="253">
        <f t="shared" si="23"/>
        <v>0.15</v>
      </c>
      <c r="X169" s="204">
        <f t="shared" si="26"/>
        <v>0</v>
      </c>
      <c r="Y169" s="204">
        <f t="shared" si="27"/>
        <v>0</v>
      </c>
      <c r="Z169" s="204">
        <f t="shared" si="28"/>
        <v>0</v>
      </c>
      <c r="AA169" s="206">
        <f>+Table1[[#This Row],[calculated sale price]]</f>
        <v>0</v>
      </c>
      <c r="AB169" s="205"/>
      <c r="AC169" s="209"/>
    </row>
    <row r="170" spans="1:29" x14ac:dyDescent="0.25">
      <c r="A170" s="188">
        <v>1161</v>
      </c>
      <c r="C170" s="188">
        <v>1</v>
      </c>
      <c r="I170" s="188"/>
      <c r="J170" s="188"/>
      <c r="K170" s="188"/>
      <c r="L170" s="199"/>
      <c r="M170" s="188"/>
      <c r="N170" s="200"/>
      <c r="O170" s="201">
        <v>0</v>
      </c>
      <c r="P170" s="201">
        <f>Table1[[#This Row],[unit cost]]</f>
        <v>0</v>
      </c>
      <c r="Q170" s="203"/>
      <c r="R170" s="188">
        <v>1</v>
      </c>
      <c r="S170" s="252">
        <f t="shared" si="22"/>
        <v>0.42</v>
      </c>
      <c r="T170" s="204">
        <f>Table1[[#This Row],[man minutes]]*Table1[[#This Row],[labor rate]]</f>
        <v>0</v>
      </c>
      <c r="U170" s="204">
        <f t="shared" si="25"/>
        <v>0</v>
      </c>
      <c r="V170" s="189">
        <f t="shared" si="24"/>
        <v>0.15</v>
      </c>
      <c r="W170" s="253">
        <f t="shared" si="23"/>
        <v>0.15</v>
      </c>
      <c r="X170" s="204">
        <f t="shared" si="26"/>
        <v>0</v>
      </c>
      <c r="Y170" s="204">
        <f t="shared" si="27"/>
        <v>0</v>
      </c>
      <c r="Z170" s="204">
        <f t="shared" si="28"/>
        <v>0</v>
      </c>
      <c r="AA170" s="206">
        <f>+Table1[[#This Row],[calculated sale price]]</f>
        <v>0</v>
      </c>
      <c r="AB170" s="205"/>
      <c r="AC170" s="209"/>
    </row>
    <row r="171" spans="1:29" x14ac:dyDescent="0.25">
      <c r="A171" s="188">
        <v>1162</v>
      </c>
      <c r="C171" s="188">
        <v>1</v>
      </c>
      <c r="I171" s="188"/>
      <c r="J171" s="188"/>
      <c r="K171" s="188"/>
      <c r="L171" s="199"/>
      <c r="M171" s="188"/>
      <c r="N171" s="200"/>
      <c r="O171" s="201">
        <v>0</v>
      </c>
      <c r="P171" s="201">
        <f>Table1[[#This Row],[unit cost]]</f>
        <v>0</v>
      </c>
      <c r="Q171" s="203"/>
      <c r="R171" s="188">
        <v>1</v>
      </c>
      <c r="S171" s="252">
        <f t="shared" si="22"/>
        <v>0.42</v>
      </c>
      <c r="T171" s="204">
        <f>Table1[[#This Row],[man minutes]]*Table1[[#This Row],[labor rate]]</f>
        <v>0</v>
      </c>
      <c r="U171" s="204">
        <f t="shared" si="25"/>
        <v>0</v>
      </c>
      <c r="V171" s="189">
        <f t="shared" si="24"/>
        <v>0.15</v>
      </c>
      <c r="W171" s="253">
        <f t="shared" si="23"/>
        <v>0.15</v>
      </c>
      <c r="X171" s="204">
        <f t="shared" si="26"/>
        <v>0</v>
      </c>
      <c r="Y171" s="204">
        <f t="shared" si="27"/>
        <v>0</v>
      </c>
      <c r="Z171" s="204">
        <f t="shared" si="28"/>
        <v>0</v>
      </c>
      <c r="AA171" s="206">
        <f>+Table1[[#This Row],[calculated sale price]]</f>
        <v>0</v>
      </c>
      <c r="AB171" s="205"/>
      <c r="AC171" s="209"/>
    </row>
    <row r="172" spans="1:29" x14ac:dyDescent="0.25">
      <c r="A172" s="188">
        <v>1163</v>
      </c>
      <c r="C172" s="188">
        <v>1</v>
      </c>
      <c r="I172" s="188"/>
      <c r="J172" s="188"/>
      <c r="K172" s="188"/>
      <c r="L172" s="199"/>
      <c r="M172" s="188"/>
      <c r="N172" s="200"/>
      <c r="O172" s="201">
        <v>0</v>
      </c>
      <c r="P172" s="201">
        <f>Table1[[#This Row],[unit cost]]</f>
        <v>0</v>
      </c>
      <c r="Q172" s="203"/>
      <c r="R172" s="188">
        <v>1</v>
      </c>
      <c r="S172" s="252">
        <f t="shared" si="22"/>
        <v>0.42</v>
      </c>
      <c r="T172" s="204">
        <f>Table1[[#This Row],[man minutes]]*Table1[[#This Row],[labor rate]]</f>
        <v>0</v>
      </c>
      <c r="U172" s="204">
        <f t="shared" si="25"/>
        <v>0</v>
      </c>
      <c r="V172" s="189">
        <f t="shared" si="24"/>
        <v>0.15</v>
      </c>
      <c r="W172" s="253">
        <f t="shared" si="23"/>
        <v>0.15</v>
      </c>
      <c r="X172" s="204">
        <f t="shared" si="26"/>
        <v>0</v>
      </c>
      <c r="Y172" s="204">
        <f t="shared" si="27"/>
        <v>0</v>
      </c>
      <c r="Z172" s="204">
        <f t="shared" si="28"/>
        <v>0</v>
      </c>
      <c r="AA172" s="206">
        <f>+Table1[[#This Row],[calculated sale price]]</f>
        <v>0</v>
      </c>
      <c r="AB172" s="205"/>
      <c r="AC172" s="209"/>
    </row>
    <row r="173" spans="1:29" x14ac:dyDescent="0.25">
      <c r="A173" s="188">
        <v>1164</v>
      </c>
      <c r="C173" s="188">
        <v>1</v>
      </c>
      <c r="I173" s="188"/>
      <c r="J173" s="188"/>
      <c r="K173" s="188"/>
      <c r="L173" s="199"/>
      <c r="M173" s="188"/>
      <c r="N173" s="200"/>
      <c r="O173" s="201">
        <v>0</v>
      </c>
      <c r="P173" s="201">
        <f>Table1[[#This Row],[unit cost]]</f>
        <v>0</v>
      </c>
      <c r="Q173" s="203"/>
      <c r="R173" s="188">
        <v>1</v>
      </c>
      <c r="S173" s="252">
        <f t="shared" si="22"/>
        <v>0.42</v>
      </c>
      <c r="T173" s="204">
        <f>Table1[[#This Row],[man minutes]]*Table1[[#This Row],[labor rate]]</f>
        <v>0</v>
      </c>
      <c r="U173" s="204">
        <f t="shared" si="25"/>
        <v>0</v>
      </c>
      <c r="V173" s="189">
        <f t="shared" si="24"/>
        <v>0.15</v>
      </c>
      <c r="W173" s="253">
        <f t="shared" si="23"/>
        <v>0.15</v>
      </c>
      <c r="X173" s="204">
        <f t="shared" si="26"/>
        <v>0</v>
      </c>
      <c r="Y173" s="204">
        <f t="shared" si="27"/>
        <v>0</v>
      </c>
      <c r="Z173" s="204">
        <f t="shared" si="28"/>
        <v>0</v>
      </c>
      <c r="AA173" s="206">
        <f>+Table1[[#This Row],[calculated sale price]]</f>
        <v>0</v>
      </c>
      <c r="AB173" s="205"/>
      <c r="AC173" s="209"/>
    </row>
    <row r="174" spans="1:29" x14ac:dyDescent="0.25">
      <c r="A174" s="188">
        <v>1165</v>
      </c>
      <c r="C174" s="188">
        <v>1</v>
      </c>
      <c r="I174" s="188"/>
      <c r="J174" s="188"/>
      <c r="K174" s="188"/>
      <c r="L174" s="199"/>
      <c r="M174" s="188"/>
      <c r="N174" s="200"/>
      <c r="O174" s="201">
        <v>0</v>
      </c>
      <c r="P174" s="201">
        <f>Table1[[#This Row],[unit cost]]</f>
        <v>0</v>
      </c>
      <c r="Q174" s="203"/>
      <c r="R174" s="188">
        <v>1</v>
      </c>
      <c r="S174" s="252">
        <f t="shared" si="22"/>
        <v>0.42</v>
      </c>
      <c r="T174" s="204">
        <f>Table1[[#This Row],[man minutes]]*Table1[[#This Row],[labor rate]]</f>
        <v>0</v>
      </c>
      <c r="U174" s="204">
        <f t="shared" si="25"/>
        <v>0</v>
      </c>
      <c r="V174" s="189">
        <f t="shared" si="24"/>
        <v>0.15</v>
      </c>
      <c r="W174" s="253">
        <f t="shared" si="23"/>
        <v>0.15</v>
      </c>
      <c r="X174" s="204">
        <f t="shared" si="26"/>
        <v>0</v>
      </c>
      <c r="Y174" s="204">
        <f t="shared" si="27"/>
        <v>0</v>
      </c>
      <c r="Z174" s="204">
        <f t="shared" si="28"/>
        <v>0</v>
      </c>
      <c r="AA174" s="206">
        <f>+Table1[[#This Row],[calculated sale price]]</f>
        <v>0</v>
      </c>
      <c r="AB174" s="205"/>
      <c r="AC174" s="209"/>
    </row>
    <row r="175" spans="1:29" x14ac:dyDescent="0.25">
      <c r="A175" s="188">
        <v>1166</v>
      </c>
      <c r="C175" s="188">
        <v>1</v>
      </c>
      <c r="I175" s="188"/>
      <c r="J175" s="188"/>
      <c r="K175" s="188"/>
      <c r="L175" s="199"/>
      <c r="M175" s="188"/>
      <c r="N175" s="200"/>
      <c r="O175" s="201">
        <v>0</v>
      </c>
      <c r="P175" s="201">
        <f>Table1[[#This Row],[unit cost]]</f>
        <v>0</v>
      </c>
      <c r="Q175" s="203"/>
      <c r="R175" s="188">
        <v>1</v>
      </c>
      <c r="S175" s="252">
        <f t="shared" si="22"/>
        <v>0.42</v>
      </c>
      <c r="T175" s="204">
        <f>Table1[[#This Row],[man minutes]]*Table1[[#This Row],[labor rate]]</f>
        <v>0</v>
      </c>
      <c r="U175" s="204">
        <f t="shared" si="25"/>
        <v>0</v>
      </c>
      <c r="V175" s="189">
        <f t="shared" si="24"/>
        <v>0.15</v>
      </c>
      <c r="W175" s="253">
        <f t="shared" si="23"/>
        <v>0.15</v>
      </c>
      <c r="X175" s="204">
        <f t="shared" si="26"/>
        <v>0</v>
      </c>
      <c r="Y175" s="204">
        <f t="shared" si="27"/>
        <v>0</v>
      </c>
      <c r="Z175" s="204">
        <f t="shared" si="28"/>
        <v>0</v>
      </c>
      <c r="AA175" s="206">
        <f>+Table1[[#This Row],[calculated sale price]]</f>
        <v>0</v>
      </c>
      <c r="AB175" s="205"/>
      <c r="AC175" s="209"/>
    </row>
    <row r="176" spans="1:29" x14ac:dyDescent="0.25">
      <c r="A176" s="188">
        <v>1167</v>
      </c>
      <c r="C176" s="188">
        <v>1</v>
      </c>
      <c r="I176" s="188"/>
      <c r="J176" s="188"/>
      <c r="K176" s="188"/>
      <c r="L176" s="199"/>
      <c r="M176" s="188"/>
      <c r="N176" s="200"/>
      <c r="O176" s="201">
        <v>0</v>
      </c>
      <c r="P176" s="201">
        <f>Table1[[#This Row],[unit cost]]</f>
        <v>0</v>
      </c>
      <c r="Q176" s="203"/>
      <c r="R176" s="188">
        <v>1</v>
      </c>
      <c r="S176" s="252">
        <f t="shared" si="22"/>
        <v>0.42</v>
      </c>
      <c r="T176" s="204">
        <f>Table1[[#This Row],[man minutes]]*Table1[[#This Row],[labor rate]]</f>
        <v>0</v>
      </c>
      <c r="U176" s="204">
        <f t="shared" si="25"/>
        <v>0</v>
      </c>
      <c r="V176" s="189">
        <f t="shared" si="24"/>
        <v>0.15</v>
      </c>
      <c r="W176" s="253">
        <f t="shared" si="23"/>
        <v>0.15</v>
      </c>
      <c r="X176" s="204">
        <f t="shared" si="26"/>
        <v>0</v>
      </c>
      <c r="Y176" s="204">
        <f t="shared" si="27"/>
        <v>0</v>
      </c>
      <c r="Z176" s="204">
        <f t="shared" si="28"/>
        <v>0</v>
      </c>
      <c r="AA176" s="206">
        <f>+Table1[[#This Row],[calculated sale price]]</f>
        <v>0</v>
      </c>
      <c r="AB176" s="205"/>
      <c r="AC176" s="209"/>
    </row>
    <row r="177" spans="1:29" x14ac:dyDescent="0.25">
      <c r="A177" s="188">
        <v>1168</v>
      </c>
      <c r="C177" s="188">
        <v>1</v>
      </c>
      <c r="I177" s="188"/>
      <c r="J177" s="188"/>
      <c r="K177" s="188"/>
      <c r="L177" s="199"/>
      <c r="M177" s="188"/>
      <c r="N177" s="200"/>
      <c r="O177" s="201">
        <v>0</v>
      </c>
      <c r="P177" s="201">
        <f>Table1[[#This Row],[unit cost]]</f>
        <v>0</v>
      </c>
      <c r="Q177" s="203"/>
      <c r="R177" s="188">
        <v>1</v>
      </c>
      <c r="S177" s="252">
        <f t="shared" si="22"/>
        <v>0.42</v>
      </c>
      <c r="T177" s="204">
        <f>Table1[[#This Row],[man minutes]]*Table1[[#This Row],[labor rate]]</f>
        <v>0</v>
      </c>
      <c r="U177" s="204">
        <f t="shared" si="25"/>
        <v>0</v>
      </c>
      <c r="V177" s="189">
        <f t="shared" si="24"/>
        <v>0.15</v>
      </c>
      <c r="W177" s="253">
        <f t="shared" si="23"/>
        <v>0.15</v>
      </c>
      <c r="X177" s="204">
        <f t="shared" si="26"/>
        <v>0</v>
      </c>
      <c r="Y177" s="204">
        <f t="shared" si="27"/>
        <v>0</v>
      </c>
      <c r="Z177" s="204">
        <f t="shared" si="28"/>
        <v>0</v>
      </c>
      <c r="AA177" s="206">
        <f>+Table1[[#This Row],[calculated sale price]]</f>
        <v>0</v>
      </c>
      <c r="AB177" s="205"/>
      <c r="AC177" s="209"/>
    </row>
    <row r="178" spans="1:29" x14ac:dyDescent="0.25">
      <c r="A178" s="188">
        <v>1169</v>
      </c>
      <c r="C178" s="188">
        <v>1</v>
      </c>
      <c r="I178" s="188"/>
      <c r="J178" s="188"/>
      <c r="K178" s="188"/>
      <c r="L178" s="199"/>
      <c r="M178" s="188"/>
      <c r="N178" s="200"/>
      <c r="O178" s="201">
        <v>0</v>
      </c>
      <c r="P178" s="201">
        <f>Table1[[#This Row],[unit cost]]</f>
        <v>0</v>
      </c>
      <c r="Q178" s="203"/>
      <c r="R178" s="188">
        <v>1</v>
      </c>
      <c r="S178" s="252">
        <f t="shared" si="22"/>
        <v>0.42</v>
      </c>
      <c r="T178" s="204">
        <f>Table1[[#This Row],[man minutes]]*Table1[[#This Row],[labor rate]]</f>
        <v>0</v>
      </c>
      <c r="U178" s="204">
        <f t="shared" si="25"/>
        <v>0</v>
      </c>
      <c r="V178" s="189">
        <f t="shared" si="24"/>
        <v>0.15</v>
      </c>
      <c r="W178" s="253">
        <f t="shared" si="23"/>
        <v>0.15</v>
      </c>
      <c r="X178" s="204">
        <f t="shared" si="26"/>
        <v>0</v>
      </c>
      <c r="Y178" s="204">
        <f t="shared" si="27"/>
        <v>0</v>
      </c>
      <c r="Z178" s="204">
        <f t="shared" si="28"/>
        <v>0</v>
      </c>
      <c r="AA178" s="206">
        <f>+Table1[[#This Row],[calculated sale price]]</f>
        <v>0</v>
      </c>
      <c r="AB178" s="205"/>
      <c r="AC178" s="209"/>
    </row>
    <row r="179" spans="1:29" x14ac:dyDescent="0.25">
      <c r="A179" s="188">
        <v>1170</v>
      </c>
      <c r="C179" s="188">
        <v>1</v>
      </c>
      <c r="I179" s="188"/>
      <c r="J179" s="188"/>
      <c r="K179" s="188"/>
      <c r="L179" s="199"/>
      <c r="M179" s="188"/>
      <c r="N179" s="200"/>
      <c r="O179" s="201">
        <v>0</v>
      </c>
      <c r="P179" s="201">
        <f>Table1[[#This Row],[unit cost]]</f>
        <v>0</v>
      </c>
      <c r="Q179" s="203"/>
      <c r="R179" s="188">
        <v>1</v>
      </c>
      <c r="S179" s="252">
        <f t="shared" si="22"/>
        <v>0.42</v>
      </c>
      <c r="T179" s="204">
        <f>Table1[[#This Row],[man minutes]]*Table1[[#This Row],[labor rate]]</f>
        <v>0</v>
      </c>
      <c r="U179" s="204">
        <f t="shared" si="25"/>
        <v>0</v>
      </c>
      <c r="V179" s="189">
        <f t="shared" si="24"/>
        <v>0.15</v>
      </c>
      <c r="W179" s="253">
        <f t="shared" si="23"/>
        <v>0.15</v>
      </c>
      <c r="X179" s="204">
        <f t="shared" si="26"/>
        <v>0</v>
      </c>
      <c r="Y179" s="204">
        <f t="shared" si="27"/>
        <v>0</v>
      </c>
      <c r="Z179" s="204">
        <f t="shared" si="28"/>
        <v>0</v>
      </c>
      <c r="AA179" s="206">
        <f>+Table1[[#This Row],[calculated sale price]]</f>
        <v>0</v>
      </c>
      <c r="AB179" s="205"/>
      <c r="AC179" s="209"/>
    </row>
    <row r="180" spans="1:29" x14ac:dyDescent="0.25">
      <c r="A180" s="188">
        <v>1171</v>
      </c>
      <c r="C180" s="188">
        <v>1</v>
      </c>
      <c r="I180" s="188"/>
      <c r="J180" s="188"/>
      <c r="K180" s="188"/>
      <c r="L180" s="199"/>
      <c r="M180" s="188"/>
      <c r="N180" s="200"/>
      <c r="O180" s="201">
        <v>0</v>
      </c>
      <c r="P180" s="201">
        <f>Table1[[#This Row],[unit cost]]</f>
        <v>0</v>
      </c>
      <c r="Q180" s="203"/>
      <c r="R180" s="188">
        <v>1</v>
      </c>
      <c r="S180" s="252">
        <f t="shared" si="22"/>
        <v>0.42</v>
      </c>
      <c r="T180" s="204">
        <f>Table1[[#This Row],[man minutes]]*Table1[[#This Row],[labor rate]]</f>
        <v>0</v>
      </c>
      <c r="U180" s="204">
        <f t="shared" si="25"/>
        <v>0</v>
      </c>
      <c r="V180" s="189">
        <f t="shared" si="24"/>
        <v>0.15</v>
      </c>
      <c r="W180" s="253">
        <f t="shared" si="23"/>
        <v>0.15</v>
      </c>
      <c r="X180" s="204">
        <f t="shared" si="26"/>
        <v>0</v>
      </c>
      <c r="Y180" s="204">
        <f t="shared" si="27"/>
        <v>0</v>
      </c>
      <c r="Z180" s="204">
        <f t="shared" si="28"/>
        <v>0</v>
      </c>
      <c r="AA180" s="206">
        <f>+Table1[[#This Row],[calculated sale price]]</f>
        <v>0</v>
      </c>
      <c r="AB180" s="205"/>
      <c r="AC180" s="209"/>
    </row>
    <row r="181" spans="1:29" x14ac:dyDescent="0.25">
      <c r="A181" s="188">
        <v>1172</v>
      </c>
      <c r="C181" s="188">
        <v>1</v>
      </c>
      <c r="I181" s="188"/>
      <c r="J181" s="188"/>
      <c r="K181" s="188"/>
      <c r="L181" s="199"/>
      <c r="M181" s="188"/>
      <c r="N181" s="200"/>
      <c r="O181" s="201">
        <v>0</v>
      </c>
      <c r="P181" s="201">
        <f>Table1[[#This Row],[unit cost]]</f>
        <v>0</v>
      </c>
      <c r="Q181" s="203"/>
      <c r="R181" s="188">
        <v>1</v>
      </c>
      <c r="S181" s="252">
        <f t="shared" si="22"/>
        <v>0.42</v>
      </c>
      <c r="T181" s="204">
        <f>Table1[[#This Row],[man minutes]]*Table1[[#This Row],[labor rate]]</f>
        <v>0</v>
      </c>
      <c r="U181" s="204">
        <f t="shared" si="25"/>
        <v>0</v>
      </c>
      <c r="V181" s="189">
        <f t="shared" si="24"/>
        <v>0.15</v>
      </c>
      <c r="W181" s="253">
        <f t="shared" si="23"/>
        <v>0.15</v>
      </c>
      <c r="X181" s="204">
        <f t="shared" si="26"/>
        <v>0</v>
      </c>
      <c r="Y181" s="204">
        <f t="shared" si="27"/>
        <v>0</v>
      </c>
      <c r="Z181" s="204">
        <f t="shared" si="28"/>
        <v>0</v>
      </c>
      <c r="AA181" s="206">
        <f>+Table1[[#This Row],[calculated sale price]]</f>
        <v>0</v>
      </c>
      <c r="AB181" s="205"/>
      <c r="AC181" s="209"/>
    </row>
    <row r="182" spans="1:29" x14ac:dyDescent="0.25">
      <c r="A182" s="188">
        <v>1173</v>
      </c>
      <c r="C182" s="188">
        <v>1</v>
      </c>
      <c r="I182" s="188"/>
      <c r="J182" s="188"/>
      <c r="K182" s="188"/>
      <c r="L182" s="199"/>
      <c r="M182" s="188"/>
      <c r="N182" s="200"/>
      <c r="O182" s="201">
        <v>0</v>
      </c>
      <c r="P182" s="201">
        <f>Table1[[#This Row],[unit cost]]</f>
        <v>0</v>
      </c>
      <c r="Q182" s="203"/>
      <c r="R182" s="188">
        <v>1</v>
      </c>
      <c r="S182" s="252">
        <f t="shared" si="22"/>
        <v>0.42</v>
      </c>
      <c r="T182" s="204">
        <f>Table1[[#This Row],[man minutes]]*Table1[[#This Row],[labor rate]]</f>
        <v>0</v>
      </c>
      <c r="U182" s="204">
        <f t="shared" si="25"/>
        <v>0</v>
      </c>
      <c r="V182" s="189">
        <f t="shared" si="24"/>
        <v>0.15</v>
      </c>
      <c r="W182" s="253">
        <f t="shared" si="23"/>
        <v>0.15</v>
      </c>
      <c r="X182" s="204">
        <f t="shared" si="26"/>
        <v>0</v>
      </c>
      <c r="Y182" s="204">
        <f t="shared" si="27"/>
        <v>0</v>
      </c>
      <c r="Z182" s="204">
        <f t="shared" si="28"/>
        <v>0</v>
      </c>
      <c r="AA182" s="206">
        <f>+Table1[[#This Row],[calculated sale price]]</f>
        <v>0</v>
      </c>
      <c r="AB182" s="205"/>
      <c r="AC182" s="209"/>
    </row>
    <row r="183" spans="1:29" x14ac:dyDescent="0.25">
      <c r="A183" s="188">
        <v>1174</v>
      </c>
      <c r="C183" s="188">
        <v>1</v>
      </c>
      <c r="I183" s="188"/>
      <c r="J183" s="188"/>
      <c r="K183" s="188"/>
      <c r="L183" s="199"/>
      <c r="M183" s="188"/>
      <c r="N183" s="200"/>
      <c r="O183" s="201">
        <v>0</v>
      </c>
      <c r="P183" s="201">
        <f>Table1[[#This Row],[unit cost]]</f>
        <v>0</v>
      </c>
      <c r="Q183" s="203"/>
      <c r="R183" s="188">
        <v>1</v>
      </c>
      <c r="S183" s="252">
        <f t="shared" si="22"/>
        <v>0.42</v>
      </c>
      <c r="T183" s="204">
        <f>Table1[[#This Row],[man minutes]]*Table1[[#This Row],[labor rate]]</f>
        <v>0</v>
      </c>
      <c r="U183" s="204">
        <f t="shared" si="25"/>
        <v>0</v>
      </c>
      <c r="V183" s="189">
        <f t="shared" si="24"/>
        <v>0.15</v>
      </c>
      <c r="W183" s="253">
        <f t="shared" si="23"/>
        <v>0.15</v>
      </c>
      <c r="X183" s="204">
        <f t="shared" si="26"/>
        <v>0</v>
      </c>
      <c r="Y183" s="204">
        <f t="shared" si="27"/>
        <v>0</v>
      </c>
      <c r="Z183" s="204">
        <f t="shared" si="28"/>
        <v>0</v>
      </c>
      <c r="AA183" s="206">
        <f>+Table1[[#This Row],[calculated sale price]]</f>
        <v>0</v>
      </c>
      <c r="AB183" s="205"/>
      <c r="AC183" s="209"/>
    </row>
    <row r="184" spans="1:29" x14ac:dyDescent="0.25">
      <c r="A184" s="188">
        <v>1175</v>
      </c>
      <c r="C184" s="188">
        <v>1</v>
      </c>
      <c r="I184" s="188"/>
      <c r="J184" s="188"/>
      <c r="K184" s="188"/>
      <c r="L184" s="199"/>
      <c r="M184" s="188"/>
      <c r="N184" s="200"/>
      <c r="O184" s="201">
        <v>0</v>
      </c>
      <c r="P184" s="201">
        <f>Table1[[#This Row],[unit cost]]</f>
        <v>0</v>
      </c>
      <c r="Q184" s="203"/>
      <c r="R184" s="188">
        <v>1</v>
      </c>
      <c r="S184" s="252">
        <f t="shared" si="22"/>
        <v>0.42</v>
      </c>
      <c r="T184" s="204">
        <f>Table1[[#This Row],[man minutes]]*Table1[[#This Row],[labor rate]]</f>
        <v>0</v>
      </c>
      <c r="U184" s="204">
        <f t="shared" si="25"/>
        <v>0</v>
      </c>
      <c r="V184" s="189">
        <f t="shared" si="24"/>
        <v>0.15</v>
      </c>
      <c r="W184" s="253">
        <f t="shared" si="23"/>
        <v>0.15</v>
      </c>
      <c r="X184" s="204">
        <f t="shared" si="26"/>
        <v>0</v>
      </c>
      <c r="Y184" s="204">
        <f t="shared" si="27"/>
        <v>0</v>
      </c>
      <c r="Z184" s="204">
        <f t="shared" si="28"/>
        <v>0</v>
      </c>
      <c r="AA184" s="206">
        <f>+Table1[[#This Row],[calculated sale price]]</f>
        <v>0</v>
      </c>
      <c r="AB184" s="205"/>
      <c r="AC184" s="209"/>
    </row>
    <row r="185" spans="1:29" x14ac:dyDescent="0.25">
      <c r="A185" s="188">
        <v>1176</v>
      </c>
      <c r="C185" s="188">
        <v>1</v>
      </c>
      <c r="I185" s="188"/>
      <c r="J185" s="188"/>
      <c r="K185" s="188"/>
      <c r="L185" s="199"/>
      <c r="M185" s="188"/>
      <c r="N185" s="200"/>
      <c r="O185" s="201">
        <v>0</v>
      </c>
      <c r="P185" s="201">
        <f>Table1[[#This Row],[unit cost]]</f>
        <v>0</v>
      </c>
      <c r="Q185" s="203"/>
      <c r="R185" s="188">
        <v>1</v>
      </c>
      <c r="S185" s="252">
        <f t="shared" si="22"/>
        <v>0.42</v>
      </c>
      <c r="T185" s="204">
        <f>Table1[[#This Row],[man minutes]]*Table1[[#This Row],[labor rate]]</f>
        <v>0</v>
      </c>
      <c r="U185" s="204">
        <f t="shared" si="25"/>
        <v>0</v>
      </c>
      <c r="V185" s="189">
        <f t="shared" si="24"/>
        <v>0.15</v>
      </c>
      <c r="W185" s="253">
        <f t="shared" si="23"/>
        <v>0.15</v>
      </c>
      <c r="X185" s="204">
        <f t="shared" si="26"/>
        <v>0</v>
      </c>
      <c r="Y185" s="204">
        <f t="shared" si="27"/>
        <v>0</v>
      </c>
      <c r="Z185" s="204">
        <f t="shared" si="28"/>
        <v>0</v>
      </c>
      <c r="AA185" s="206">
        <f>+Table1[[#This Row],[calculated sale price]]</f>
        <v>0</v>
      </c>
      <c r="AB185" s="205"/>
      <c r="AC185" s="209"/>
    </row>
    <row r="186" spans="1:29" x14ac:dyDescent="0.25">
      <c r="A186" s="188">
        <v>1177</v>
      </c>
      <c r="C186" s="188">
        <v>1</v>
      </c>
      <c r="I186" s="188"/>
      <c r="J186" s="188"/>
      <c r="K186" s="188"/>
      <c r="L186" s="199"/>
      <c r="M186" s="188"/>
      <c r="N186" s="200"/>
      <c r="O186" s="201">
        <v>0</v>
      </c>
      <c r="P186" s="201">
        <f>Table1[[#This Row],[unit cost]]</f>
        <v>0</v>
      </c>
      <c r="Q186" s="203"/>
      <c r="R186" s="188">
        <v>1</v>
      </c>
      <c r="S186" s="252">
        <f t="shared" si="22"/>
        <v>0.42</v>
      </c>
      <c r="T186" s="204">
        <f>Table1[[#This Row],[man minutes]]*Table1[[#This Row],[labor rate]]</f>
        <v>0</v>
      </c>
      <c r="U186" s="204">
        <f t="shared" si="25"/>
        <v>0</v>
      </c>
      <c r="V186" s="189">
        <f t="shared" si="24"/>
        <v>0.15</v>
      </c>
      <c r="W186" s="253">
        <f t="shared" si="23"/>
        <v>0.15</v>
      </c>
      <c r="X186" s="204">
        <f t="shared" si="26"/>
        <v>0</v>
      </c>
      <c r="Y186" s="204">
        <f t="shared" si="27"/>
        <v>0</v>
      </c>
      <c r="Z186" s="204">
        <f t="shared" si="28"/>
        <v>0</v>
      </c>
      <c r="AA186" s="206">
        <f>+Table1[[#This Row],[calculated sale price]]</f>
        <v>0</v>
      </c>
      <c r="AB186" s="205"/>
      <c r="AC186" s="209"/>
    </row>
    <row r="187" spans="1:29" x14ac:dyDescent="0.25">
      <c r="A187" s="188">
        <v>1178</v>
      </c>
      <c r="C187" s="188">
        <v>1</v>
      </c>
      <c r="I187" s="188"/>
      <c r="J187" s="188"/>
      <c r="K187" s="188"/>
      <c r="L187" s="199"/>
      <c r="M187" s="188"/>
      <c r="N187" s="200"/>
      <c r="O187" s="201">
        <v>0</v>
      </c>
      <c r="P187" s="201">
        <f>Table1[[#This Row],[unit cost]]</f>
        <v>0</v>
      </c>
      <c r="Q187" s="203"/>
      <c r="R187" s="188">
        <v>1</v>
      </c>
      <c r="S187" s="252">
        <f t="shared" si="22"/>
        <v>0.42</v>
      </c>
      <c r="T187" s="204">
        <f>Table1[[#This Row],[man minutes]]*Table1[[#This Row],[labor rate]]</f>
        <v>0</v>
      </c>
      <c r="U187" s="204">
        <f t="shared" si="25"/>
        <v>0</v>
      </c>
      <c r="V187" s="189">
        <f t="shared" si="24"/>
        <v>0.15</v>
      </c>
      <c r="W187" s="253">
        <f t="shared" si="23"/>
        <v>0.15</v>
      </c>
      <c r="X187" s="204">
        <f t="shared" si="26"/>
        <v>0</v>
      </c>
      <c r="Y187" s="204">
        <f t="shared" si="27"/>
        <v>0</v>
      </c>
      <c r="Z187" s="204">
        <f t="shared" si="28"/>
        <v>0</v>
      </c>
      <c r="AA187" s="206">
        <f>+Table1[[#This Row],[calculated sale price]]</f>
        <v>0</v>
      </c>
      <c r="AB187" s="205"/>
      <c r="AC187" s="209"/>
    </row>
    <row r="188" spans="1:29" x14ac:dyDescent="0.25">
      <c r="A188" s="188">
        <v>1179</v>
      </c>
      <c r="C188" s="188">
        <v>1</v>
      </c>
      <c r="I188" s="188"/>
      <c r="J188" s="188"/>
      <c r="K188" s="188"/>
      <c r="L188" s="199"/>
      <c r="M188" s="188"/>
      <c r="N188" s="200"/>
      <c r="O188" s="201">
        <v>0</v>
      </c>
      <c r="P188" s="201">
        <f>Table1[[#This Row],[unit cost]]</f>
        <v>0</v>
      </c>
      <c r="Q188" s="203"/>
      <c r="R188" s="188">
        <v>1</v>
      </c>
      <c r="S188" s="252">
        <f t="shared" si="22"/>
        <v>0.42</v>
      </c>
      <c r="T188" s="204">
        <f>Table1[[#This Row],[man minutes]]*Table1[[#This Row],[labor rate]]</f>
        <v>0</v>
      </c>
      <c r="U188" s="204">
        <f t="shared" si="25"/>
        <v>0</v>
      </c>
      <c r="V188" s="189">
        <f t="shared" si="24"/>
        <v>0.15</v>
      </c>
      <c r="W188" s="253">
        <f t="shared" si="23"/>
        <v>0.15</v>
      </c>
      <c r="X188" s="204">
        <f t="shared" si="26"/>
        <v>0</v>
      </c>
      <c r="Y188" s="204">
        <f t="shared" si="27"/>
        <v>0</v>
      </c>
      <c r="Z188" s="204">
        <f t="shared" si="28"/>
        <v>0</v>
      </c>
      <c r="AA188" s="206">
        <f>+Table1[[#This Row],[calculated sale price]]</f>
        <v>0</v>
      </c>
      <c r="AB188" s="205"/>
      <c r="AC188" s="209"/>
    </row>
    <row r="189" spans="1:29" x14ac:dyDescent="0.25">
      <c r="A189" s="188">
        <v>1180</v>
      </c>
      <c r="C189" s="188">
        <v>1</v>
      </c>
      <c r="I189" s="188"/>
      <c r="J189" s="188"/>
      <c r="K189" s="188"/>
      <c r="L189" s="199"/>
      <c r="M189" s="188"/>
      <c r="N189" s="200"/>
      <c r="O189" s="201">
        <v>0</v>
      </c>
      <c r="P189" s="201">
        <f>Table1[[#This Row],[unit cost]]</f>
        <v>0</v>
      </c>
      <c r="Q189" s="203"/>
      <c r="R189" s="188">
        <v>1</v>
      </c>
      <c r="S189" s="252">
        <f t="shared" ref="S189:S256" si="29">$S$2</f>
        <v>0.42</v>
      </c>
      <c r="T189" s="204">
        <f>Table1[[#This Row],[man minutes]]*Table1[[#This Row],[labor rate]]</f>
        <v>0</v>
      </c>
      <c r="U189" s="204">
        <f t="shared" si="25"/>
        <v>0</v>
      </c>
      <c r="V189" s="189">
        <f t="shared" si="24"/>
        <v>0.15</v>
      </c>
      <c r="W189" s="253">
        <f t="shared" si="23"/>
        <v>0.15</v>
      </c>
      <c r="X189" s="204">
        <f t="shared" si="26"/>
        <v>0</v>
      </c>
      <c r="Y189" s="204">
        <f t="shared" si="27"/>
        <v>0</v>
      </c>
      <c r="Z189" s="204">
        <f t="shared" si="28"/>
        <v>0</v>
      </c>
      <c r="AA189" s="206">
        <f>+Table1[[#This Row],[calculated sale price]]</f>
        <v>0</v>
      </c>
      <c r="AB189" s="205"/>
      <c r="AC189" s="209"/>
    </row>
    <row r="190" spans="1:29" x14ac:dyDescent="0.25">
      <c r="A190" s="188">
        <v>1181</v>
      </c>
      <c r="C190" s="188">
        <v>1</v>
      </c>
      <c r="I190" s="188"/>
      <c r="J190" s="188"/>
      <c r="K190" s="188"/>
      <c r="L190" s="199"/>
      <c r="M190" s="188"/>
      <c r="N190" s="200"/>
      <c r="O190" s="201">
        <v>0</v>
      </c>
      <c r="P190" s="201">
        <f>Table1[[#This Row],[unit cost]]</f>
        <v>0</v>
      </c>
      <c r="Q190" s="203"/>
      <c r="R190" s="188">
        <v>1</v>
      </c>
      <c r="S190" s="252">
        <f t="shared" si="29"/>
        <v>0.42</v>
      </c>
      <c r="T190" s="204">
        <f>Table1[[#This Row],[man minutes]]*Table1[[#This Row],[labor rate]]</f>
        <v>0</v>
      </c>
      <c r="U190" s="204">
        <f t="shared" si="25"/>
        <v>0</v>
      </c>
      <c r="V190" s="189">
        <f t="shared" si="24"/>
        <v>0.15</v>
      </c>
      <c r="W190" s="253">
        <f t="shared" ref="W190:W253" si="30">$W$2</f>
        <v>0.15</v>
      </c>
      <c r="X190" s="204">
        <f t="shared" si="26"/>
        <v>0</v>
      </c>
      <c r="Y190" s="204">
        <f t="shared" si="27"/>
        <v>0</v>
      </c>
      <c r="Z190" s="204">
        <f t="shared" si="28"/>
        <v>0</v>
      </c>
      <c r="AA190" s="206">
        <f>+Table1[[#This Row],[calculated sale price]]</f>
        <v>0</v>
      </c>
      <c r="AB190" s="205"/>
      <c r="AC190" s="209"/>
    </row>
    <row r="191" spans="1:29" x14ac:dyDescent="0.25">
      <c r="A191" s="188">
        <v>1182</v>
      </c>
      <c r="C191" s="188">
        <v>1</v>
      </c>
      <c r="I191" s="188"/>
      <c r="J191" s="188"/>
      <c r="K191" s="188"/>
      <c r="L191" s="199"/>
      <c r="M191" s="188"/>
      <c r="N191" s="200"/>
      <c r="O191" s="201">
        <v>0</v>
      </c>
      <c r="P191" s="201">
        <f>Table1[[#This Row],[unit cost]]</f>
        <v>0</v>
      </c>
      <c r="Q191" s="203"/>
      <c r="R191" s="188">
        <v>1</v>
      </c>
      <c r="S191" s="252">
        <f t="shared" si="29"/>
        <v>0.42</v>
      </c>
      <c r="T191" s="204">
        <f>Table1[[#This Row],[man minutes]]*Table1[[#This Row],[labor rate]]</f>
        <v>0</v>
      </c>
      <c r="U191" s="204">
        <f t="shared" si="25"/>
        <v>0</v>
      </c>
      <c r="V191" s="189">
        <f t="shared" si="24"/>
        <v>0.15</v>
      </c>
      <c r="W191" s="253">
        <f t="shared" si="30"/>
        <v>0.15</v>
      </c>
      <c r="X191" s="204">
        <f t="shared" si="26"/>
        <v>0</v>
      </c>
      <c r="Y191" s="204">
        <f t="shared" si="27"/>
        <v>0</v>
      </c>
      <c r="Z191" s="204">
        <f t="shared" si="28"/>
        <v>0</v>
      </c>
      <c r="AA191" s="206">
        <f>+Table1[[#This Row],[calculated sale price]]</f>
        <v>0</v>
      </c>
      <c r="AB191" s="205"/>
      <c r="AC191" s="209"/>
    </row>
    <row r="192" spans="1:29" x14ac:dyDescent="0.25">
      <c r="A192" s="188">
        <v>1183</v>
      </c>
      <c r="C192" s="188">
        <v>1</v>
      </c>
      <c r="I192" s="188"/>
      <c r="J192" s="188"/>
      <c r="K192" s="188"/>
      <c r="L192" s="199"/>
      <c r="M192" s="188"/>
      <c r="N192" s="200"/>
      <c r="O192" s="201">
        <v>0</v>
      </c>
      <c r="P192" s="201">
        <f>Table1[[#This Row],[unit cost]]</f>
        <v>0</v>
      </c>
      <c r="Q192" s="203"/>
      <c r="R192" s="188">
        <v>1</v>
      </c>
      <c r="S192" s="252">
        <f t="shared" si="29"/>
        <v>0.42</v>
      </c>
      <c r="T192" s="204">
        <f>Table1[[#This Row],[man minutes]]*Table1[[#This Row],[labor rate]]</f>
        <v>0</v>
      </c>
      <c r="U192" s="204">
        <f t="shared" si="25"/>
        <v>0</v>
      </c>
      <c r="V192" s="189">
        <f t="shared" si="24"/>
        <v>0.15</v>
      </c>
      <c r="W192" s="253">
        <f t="shared" si="30"/>
        <v>0.15</v>
      </c>
      <c r="X192" s="204">
        <f t="shared" si="26"/>
        <v>0</v>
      </c>
      <c r="Y192" s="204">
        <f t="shared" si="27"/>
        <v>0</v>
      </c>
      <c r="Z192" s="204">
        <f t="shared" si="28"/>
        <v>0</v>
      </c>
      <c r="AA192" s="206">
        <f>+Table1[[#This Row],[calculated sale price]]</f>
        <v>0</v>
      </c>
      <c r="AB192" s="205"/>
      <c r="AC192" s="209"/>
    </row>
    <row r="193" spans="1:29" x14ac:dyDescent="0.25">
      <c r="A193" s="188">
        <v>1184</v>
      </c>
      <c r="C193" s="188">
        <v>1</v>
      </c>
      <c r="I193" s="188"/>
      <c r="J193" s="188"/>
      <c r="K193" s="188"/>
      <c r="L193" s="199"/>
      <c r="M193" s="188"/>
      <c r="N193" s="200"/>
      <c r="O193" s="201">
        <v>0</v>
      </c>
      <c r="P193" s="201">
        <f>Table1[[#This Row],[unit cost]]</f>
        <v>0</v>
      </c>
      <c r="Q193" s="203"/>
      <c r="R193" s="188">
        <v>1</v>
      </c>
      <c r="S193" s="252">
        <f t="shared" si="29"/>
        <v>0.42</v>
      </c>
      <c r="T193" s="204">
        <f>Table1[[#This Row],[man minutes]]*Table1[[#This Row],[labor rate]]</f>
        <v>0</v>
      </c>
      <c r="U193" s="204">
        <f t="shared" si="25"/>
        <v>0</v>
      </c>
      <c r="V193" s="189">
        <f t="shared" si="24"/>
        <v>0.15</v>
      </c>
      <c r="W193" s="253">
        <f t="shared" si="30"/>
        <v>0.15</v>
      </c>
      <c r="X193" s="204">
        <f t="shared" si="26"/>
        <v>0</v>
      </c>
      <c r="Y193" s="204">
        <f t="shared" si="27"/>
        <v>0</v>
      </c>
      <c r="Z193" s="204">
        <f t="shared" si="28"/>
        <v>0</v>
      </c>
      <c r="AA193" s="206">
        <f>+Table1[[#This Row],[calculated sale price]]</f>
        <v>0</v>
      </c>
      <c r="AB193" s="205"/>
      <c r="AC193" s="209"/>
    </row>
    <row r="194" spans="1:29" x14ac:dyDescent="0.25">
      <c r="A194" s="188">
        <v>1185</v>
      </c>
      <c r="C194" s="188">
        <v>1</v>
      </c>
      <c r="I194" s="188"/>
      <c r="J194" s="188"/>
      <c r="K194" s="188"/>
      <c r="L194" s="199"/>
      <c r="M194" s="188"/>
      <c r="N194" s="200"/>
      <c r="O194" s="201">
        <v>0</v>
      </c>
      <c r="P194" s="201">
        <f>Table1[[#This Row],[unit cost]]</f>
        <v>0</v>
      </c>
      <c r="Q194" s="203"/>
      <c r="R194" s="188">
        <v>1</v>
      </c>
      <c r="S194" s="252">
        <f t="shared" si="29"/>
        <v>0.42</v>
      </c>
      <c r="T194" s="204">
        <f>Table1[[#This Row],[man minutes]]*Table1[[#This Row],[labor rate]]</f>
        <v>0</v>
      </c>
      <c r="U194" s="204">
        <f t="shared" si="25"/>
        <v>0</v>
      </c>
      <c r="V194" s="189">
        <f t="shared" si="24"/>
        <v>0.15</v>
      </c>
      <c r="W194" s="253">
        <f t="shared" si="30"/>
        <v>0.15</v>
      </c>
      <c r="X194" s="204">
        <f t="shared" si="26"/>
        <v>0</v>
      </c>
      <c r="Y194" s="204">
        <f t="shared" si="27"/>
        <v>0</v>
      </c>
      <c r="Z194" s="204">
        <f t="shared" si="28"/>
        <v>0</v>
      </c>
      <c r="AA194" s="206">
        <f>+Table1[[#This Row],[calculated sale price]]</f>
        <v>0</v>
      </c>
      <c r="AB194" s="205"/>
      <c r="AC194" s="209"/>
    </row>
    <row r="195" spans="1:29" x14ac:dyDescent="0.25">
      <c r="A195" s="188">
        <v>1186</v>
      </c>
      <c r="C195" s="188">
        <v>1</v>
      </c>
      <c r="I195" s="188"/>
      <c r="J195" s="188"/>
      <c r="K195" s="188"/>
      <c r="L195" s="199"/>
      <c r="M195" s="188"/>
      <c r="N195" s="200"/>
      <c r="O195" s="201">
        <v>0</v>
      </c>
      <c r="P195" s="201">
        <f>Table1[[#This Row],[unit cost]]</f>
        <v>0</v>
      </c>
      <c r="Q195" s="203"/>
      <c r="R195" s="188">
        <v>1</v>
      </c>
      <c r="S195" s="252">
        <f t="shared" si="29"/>
        <v>0.42</v>
      </c>
      <c r="T195" s="204">
        <f>Table1[[#This Row],[man minutes]]*Table1[[#This Row],[labor rate]]</f>
        <v>0</v>
      </c>
      <c r="U195" s="204">
        <f t="shared" si="25"/>
        <v>0</v>
      </c>
      <c r="V195" s="189">
        <f t="shared" si="24"/>
        <v>0.15</v>
      </c>
      <c r="W195" s="253">
        <f t="shared" si="30"/>
        <v>0.15</v>
      </c>
      <c r="X195" s="204">
        <f t="shared" si="26"/>
        <v>0</v>
      </c>
      <c r="Y195" s="204">
        <f t="shared" si="27"/>
        <v>0</v>
      </c>
      <c r="Z195" s="204">
        <f t="shared" si="28"/>
        <v>0</v>
      </c>
      <c r="AA195" s="206">
        <f>+Table1[[#This Row],[calculated sale price]]</f>
        <v>0</v>
      </c>
      <c r="AB195" s="205"/>
      <c r="AC195" s="209"/>
    </row>
    <row r="196" spans="1:29" x14ac:dyDescent="0.25">
      <c r="A196" s="188">
        <v>1187</v>
      </c>
      <c r="C196" s="188">
        <v>1</v>
      </c>
      <c r="I196" s="188"/>
      <c r="J196" s="188"/>
      <c r="K196" s="188"/>
      <c r="L196" s="199"/>
      <c r="M196" s="188"/>
      <c r="N196" s="200"/>
      <c r="O196" s="201">
        <v>0</v>
      </c>
      <c r="P196" s="201">
        <f>Table1[[#This Row],[unit cost]]</f>
        <v>0</v>
      </c>
      <c r="Q196" s="203"/>
      <c r="R196" s="188">
        <v>1</v>
      </c>
      <c r="S196" s="252">
        <f t="shared" si="29"/>
        <v>0.42</v>
      </c>
      <c r="T196" s="204">
        <f>Table1[[#This Row],[man minutes]]*Table1[[#This Row],[labor rate]]</f>
        <v>0</v>
      </c>
      <c r="U196" s="204">
        <f t="shared" si="25"/>
        <v>0</v>
      </c>
      <c r="V196" s="189">
        <f t="shared" si="24"/>
        <v>0.15</v>
      </c>
      <c r="W196" s="253">
        <f t="shared" si="30"/>
        <v>0.15</v>
      </c>
      <c r="X196" s="204">
        <f t="shared" si="26"/>
        <v>0</v>
      </c>
      <c r="Y196" s="204">
        <f t="shared" si="27"/>
        <v>0</v>
      </c>
      <c r="Z196" s="204">
        <f t="shared" si="28"/>
        <v>0</v>
      </c>
      <c r="AA196" s="206">
        <f>+Table1[[#This Row],[calculated sale price]]</f>
        <v>0</v>
      </c>
      <c r="AB196" s="205"/>
      <c r="AC196" s="209"/>
    </row>
    <row r="197" spans="1:29" x14ac:dyDescent="0.25">
      <c r="A197" s="188">
        <v>1188</v>
      </c>
      <c r="C197" s="188">
        <v>1</v>
      </c>
      <c r="I197" s="188"/>
      <c r="J197" s="188"/>
      <c r="K197" s="188"/>
      <c r="L197" s="199"/>
      <c r="M197" s="188"/>
      <c r="N197" s="200"/>
      <c r="O197" s="201">
        <v>0</v>
      </c>
      <c r="P197" s="201">
        <f>Table1[[#This Row],[unit cost]]</f>
        <v>0</v>
      </c>
      <c r="Q197" s="203"/>
      <c r="R197" s="188">
        <v>1</v>
      </c>
      <c r="S197" s="252">
        <f t="shared" si="29"/>
        <v>0.42</v>
      </c>
      <c r="T197" s="204">
        <f>Table1[[#This Row],[man minutes]]*Table1[[#This Row],[labor rate]]</f>
        <v>0</v>
      </c>
      <c r="U197" s="204">
        <f t="shared" si="25"/>
        <v>0</v>
      </c>
      <c r="V197" s="189">
        <f t="shared" si="24"/>
        <v>0.15</v>
      </c>
      <c r="W197" s="253">
        <f t="shared" si="30"/>
        <v>0.15</v>
      </c>
      <c r="X197" s="204">
        <f t="shared" si="26"/>
        <v>0</v>
      </c>
      <c r="Y197" s="204">
        <f t="shared" si="27"/>
        <v>0</v>
      </c>
      <c r="Z197" s="204">
        <f t="shared" si="28"/>
        <v>0</v>
      </c>
      <c r="AA197" s="206">
        <f>+Table1[[#This Row],[calculated sale price]]</f>
        <v>0</v>
      </c>
      <c r="AB197" s="205"/>
      <c r="AC197" s="209"/>
    </row>
    <row r="198" spans="1:29" x14ac:dyDescent="0.25">
      <c r="A198" s="188">
        <v>1189</v>
      </c>
      <c r="C198" s="188">
        <v>1</v>
      </c>
      <c r="I198" s="188"/>
      <c r="J198" s="188"/>
      <c r="K198" s="188"/>
      <c r="L198" s="199"/>
      <c r="M198" s="188"/>
      <c r="N198" s="200"/>
      <c r="O198" s="201">
        <v>0</v>
      </c>
      <c r="P198" s="201">
        <f>Table1[[#This Row],[unit cost]]</f>
        <v>0</v>
      </c>
      <c r="Q198" s="203"/>
      <c r="R198" s="188">
        <v>1</v>
      </c>
      <c r="S198" s="252">
        <f t="shared" si="29"/>
        <v>0.42</v>
      </c>
      <c r="T198" s="204">
        <f>Table1[[#This Row],[man minutes]]*Table1[[#This Row],[labor rate]]</f>
        <v>0</v>
      </c>
      <c r="U198" s="204">
        <f t="shared" si="25"/>
        <v>0</v>
      </c>
      <c r="V198" s="189">
        <f t="shared" si="24"/>
        <v>0.15</v>
      </c>
      <c r="W198" s="253">
        <f t="shared" si="30"/>
        <v>0.15</v>
      </c>
      <c r="X198" s="204">
        <f t="shared" si="26"/>
        <v>0</v>
      </c>
      <c r="Y198" s="204">
        <f t="shared" si="27"/>
        <v>0</v>
      </c>
      <c r="Z198" s="204">
        <f t="shared" si="28"/>
        <v>0</v>
      </c>
      <c r="AA198" s="206">
        <f>+Table1[[#This Row],[calculated sale price]]</f>
        <v>0</v>
      </c>
      <c r="AB198" s="205"/>
      <c r="AC198" s="209"/>
    </row>
    <row r="199" spans="1:29" x14ac:dyDescent="0.25">
      <c r="A199" s="188">
        <v>1190</v>
      </c>
      <c r="C199" s="188">
        <v>1</v>
      </c>
      <c r="I199" s="188"/>
      <c r="J199" s="188"/>
      <c r="K199" s="188"/>
      <c r="L199" s="199"/>
      <c r="M199" s="188"/>
      <c r="N199" s="200"/>
      <c r="O199" s="201">
        <v>0</v>
      </c>
      <c r="P199" s="201">
        <f>Table1[[#This Row],[unit cost]]</f>
        <v>0</v>
      </c>
      <c r="Q199" s="203"/>
      <c r="R199" s="188">
        <v>1</v>
      </c>
      <c r="S199" s="252">
        <f t="shared" si="29"/>
        <v>0.42</v>
      </c>
      <c r="T199" s="204">
        <f>Table1[[#This Row],[man minutes]]*Table1[[#This Row],[labor rate]]</f>
        <v>0</v>
      </c>
      <c r="U199" s="204">
        <f t="shared" si="25"/>
        <v>0</v>
      </c>
      <c r="V199" s="189">
        <f t="shared" si="24"/>
        <v>0.15</v>
      </c>
      <c r="W199" s="253">
        <f t="shared" si="30"/>
        <v>0.15</v>
      </c>
      <c r="X199" s="204">
        <f t="shared" si="26"/>
        <v>0</v>
      </c>
      <c r="Y199" s="204">
        <f t="shared" si="27"/>
        <v>0</v>
      </c>
      <c r="Z199" s="204">
        <f t="shared" si="28"/>
        <v>0</v>
      </c>
      <c r="AA199" s="206">
        <f>+Table1[[#This Row],[calculated sale price]]</f>
        <v>0</v>
      </c>
      <c r="AB199" s="205"/>
      <c r="AC199" s="209"/>
    </row>
    <row r="200" spans="1:29" x14ac:dyDescent="0.25">
      <c r="A200" s="188">
        <v>1191</v>
      </c>
      <c r="C200" s="188">
        <v>1</v>
      </c>
      <c r="I200" s="188"/>
      <c r="J200" s="188"/>
      <c r="K200" s="188"/>
      <c r="L200" s="199"/>
      <c r="M200" s="188"/>
      <c r="N200" s="200"/>
      <c r="O200" s="201">
        <v>0</v>
      </c>
      <c r="P200" s="201">
        <f>Table1[[#This Row],[unit cost]]</f>
        <v>0</v>
      </c>
      <c r="Q200" s="203"/>
      <c r="R200" s="188">
        <v>1</v>
      </c>
      <c r="S200" s="252">
        <f t="shared" si="29"/>
        <v>0.42</v>
      </c>
      <c r="T200" s="204">
        <f>Table1[[#This Row],[man minutes]]*Table1[[#This Row],[labor rate]]</f>
        <v>0</v>
      </c>
      <c r="U200" s="204">
        <f t="shared" si="25"/>
        <v>0</v>
      </c>
      <c r="V200" s="189">
        <f t="shared" si="24"/>
        <v>0.15</v>
      </c>
      <c r="W200" s="253">
        <f t="shared" si="30"/>
        <v>0.15</v>
      </c>
      <c r="X200" s="204">
        <f t="shared" si="26"/>
        <v>0</v>
      </c>
      <c r="Y200" s="204">
        <f t="shared" si="27"/>
        <v>0</v>
      </c>
      <c r="Z200" s="204">
        <f t="shared" si="28"/>
        <v>0</v>
      </c>
      <c r="AA200" s="206">
        <f>+Table1[[#This Row],[calculated sale price]]</f>
        <v>0</v>
      </c>
      <c r="AB200" s="205"/>
      <c r="AC200" s="209"/>
    </row>
    <row r="201" spans="1:29" x14ac:dyDescent="0.25">
      <c r="A201" s="188">
        <v>1192</v>
      </c>
      <c r="C201" s="188">
        <v>1</v>
      </c>
      <c r="I201" s="188"/>
      <c r="J201" s="188"/>
      <c r="K201" s="188"/>
      <c r="L201" s="199"/>
      <c r="M201" s="188"/>
      <c r="N201" s="200"/>
      <c r="O201" s="201">
        <v>0</v>
      </c>
      <c r="P201" s="201">
        <f>Table1[[#This Row],[unit cost]]</f>
        <v>0</v>
      </c>
      <c r="Q201" s="203"/>
      <c r="R201" s="188">
        <v>1</v>
      </c>
      <c r="S201" s="252">
        <f t="shared" si="29"/>
        <v>0.42</v>
      </c>
      <c r="T201" s="204">
        <f>Table1[[#This Row],[man minutes]]*Table1[[#This Row],[labor rate]]</f>
        <v>0</v>
      </c>
      <c r="U201" s="204">
        <f t="shared" si="25"/>
        <v>0</v>
      </c>
      <c r="V201" s="189">
        <f t="shared" si="24"/>
        <v>0.15</v>
      </c>
      <c r="W201" s="253">
        <f t="shared" si="30"/>
        <v>0.15</v>
      </c>
      <c r="X201" s="204">
        <f t="shared" si="26"/>
        <v>0</v>
      </c>
      <c r="Y201" s="204">
        <f t="shared" si="27"/>
        <v>0</v>
      </c>
      <c r="Z201" s="204">
        <f t="shared" si="28"/>
        <v>0</v>
      </c>
      <c r="AA201" s="206">
        <f>+Table1[[#This Row],[calculated sale price]]</f>
        <v>0</v>
      </c>
      <c r="AB201" s="205"/>
      <c r="AC201" s="209"/>
    </row>
    <row r="202" spans="1:29" x14ac:dyDescent="0.25">
      <c r="A202" s="188">
        <v>1193</v>
      </c>
      <c r="C202" s="188">
        <v>1</v>
      </c>
      <c r="I202" s="188"/>
      <c r="J202" s="188"/>
      <c r="K202" s="188"/>
      <c r="L202" s="199"/>
      <c r="M202" s="188"/>
      <c r="N202" s="200"/>
      <c r="O202" s="201">
        <v>0</v>
      </c>
      <c r="P202" s="201">
        <f>Table1[[#This Row],[unit cost]]</f>
        <v>0</v>
      </c>
      <c r="Q202" s="203"/>
      <c r="R202" s="188">
        <v>1</v>
      </c>
      <c r="S202" s="252">
        <f t="shared" si="29"/>
        <v>0.42</v>
      </c>
      <c r="T202" s="204">
        <f>Table1[[#This Row],[man minutes]]*Table1[[#This Row],[labor rate]]</f>
        <v>0</v>
      </c>
      <c r="U202" s="204">
        <f t="shared" si="25"/>
        <v>0</v>
      </c>
      <c r="V202" s="189">
        <f t="shared" si="24"/>
        <v>0.15</v>
      </c>
      <c r="W202" s="253">
        <f t="shared" si="30"/>
        <v>0.15</v>
      </c>
      <c r="X202" s="204">
        <f t="shared" si="26"/>
        <v>0</v>
      </c>
      <c r="Y202" s="204">
        <f t="shared" si="27"/>
        <v>0</v>
      </c>
      <c r="Z202" s="204">
        <f t="shared" si="28"/>
        <v>0</v>
      </c>
      <c r="AA202" s="206">
        <f>+Table1[[#This Row],[calculated sale price]]</f>
        <v>0</v>
      </c>
      <c r="AB202" s="205"/>
      <c r="AC202" s="209"/>
    </row>
    <row r="203" spans="1:29" x14ac:dyDescent="0.25">
      <c r="A203" s="188">
        <v>1194</v>
      </c>
      <c r="C203" s="188">
        <v>1</v>
      </c>
      <c r="I203" s="188"/>
      <c r="J203" s="188"/>
      <c r="K203" s="188"/>
      <c r="L203" s="199"/>
      <c r="M203" s="188"/>
      <c r="N203" s="200"/>
      <c r="O203" s="201">
        <v>0</v>
      </c>
      <c r="P203" s="201">
        <f>Table1[[#This Row],[unit cost]]</f>
        <v>0</v>
      </c>
      <c r="Q203" s="203"/>
      <c r="R203" s="188">
        <v>1</v>
      </c>
      <c r="S203" s="252">
        <f t="shared" si="29"/>
        <v>0.42</v>
      </c>
      <c r="T203" s="204">
        <f>Table1[[#This Row],[man minutes]]*Table1[[#This Row],[labor rate]]</f>
        <v>0</v>
      </c>
      <c r="U203" s="204">
        <f t="shared" si="25"/>
        <v>0</v>
      </c>
      <c r="V203" s="189">
        <f t="shared" si="24"/>
        <v>0.15</v>
      </c>
      <c r="W203" s="253">
        <f t="shared" si="30"/>
        <v>0.15</v>
      </c>
      <c r="X203" s="204">
        <f t="shared" si="26"/>
        <v>0</v>
      </c>
      <c r="Y203" s="204">
        <f t="shared" si="27"/>
        <v>0</v>
      </c>
      <c r="Z203" s="204">
        <f t="shared" si="28"/>
        <v>0</v>
      </c>
      <c r="AA203" s="206">
        <f>+Table1[[#This Row],[calculated sale price]]</f>
        <v>0</v>
      </c>
      <c r="AB203" s="205"/>
      <c r="AC203" s="209"/>
    </row>
    <row r="204" spans="1:29" x14ac:dyDescent="0.25">
      <c r="A204" s="188">
        <v>1195</v>
      </c>
      <c r="C204" s="188">
        <v>1</v>
      </c>
      <c r="I204" s="188"/>
      <c r="J204" s="188"/>
      <c r="K204" s="188"/>
      <c r="L204" s="199"/>
      <c r="M204" s="188"/>
      <c r="N204" s="200"/>
      <c r="O204" s="201">
        <v>0</v>
      </c>
      <c r="P204" s="201">
        <f>Table1[[#This Row],[unit cost]]</f>
        <v>0</v>
      </c>
      <c r="Q204" s="203"/>
      <c r="R204" s="188">
        <v>1</v>
      </c>
      <c r="S204" s="252">
        <f t="shared" si="29"/>
        <v>0.42</v>
      </c>
      <c r="T204" s="204">
        <f>Table1[[#This Row],[man minutes]]*Table1[[#This Row],[labor rate]]</f>
        <v>0</v>
      </c>
      <c r="U204" s="204">
        <f t="shared" si="25"/>
        <v>0</v>
      </c>
      <c r="V204" s="189">
        <f t="shared" si="24"/>
        <v>0.15</v>
      </c>
      <c r="W204" s="253">
        <f t="shared" si="30"/>
        <v>0.15</v>
      </c>
      <c r="X204" s="204">
        <f t="shared" si="26"/>
        <v>0</v>
      </c>
      <c r="Y204" s="204">
        <f t="shared" si="27"/>
        <v>0</v>
      </c>
      <c r="Z204" s="204">
        <f t="shared" si="28"/>
        <v>0</v>
      </c>
      <c r="AA204" s="206">
        <f>+Table1[[#This Row],[calculated sale price]]</f>
        <v>0</v>
      </c>
      <c r="AB204" s="205"/>
      <c r="AC204" s="209"/>
    </row>
    <row r="205" spans="1:29" x14ac:dyDescent="0.25">
      <c r="A205" s="188">
        <v>1196</v>
      </c>
      <c r="C205" s="188">
        <v>1</v>
      </c>
      <c r="I205" s="188"/>
      <c r="J205" s="188"/>
      <c r="K205" s="188"/>
      <c r="L205" s="199"/>
      <c r="M205" s="188"/>
      <c r="N205" s="200"/>
      <c r="O205" s="201">
        <v>0</v>
      </c>
      <c r="P205" s="201">
        <f>Table1[[#This Row],[unit cost]]</f>
        <v>0</v>
      </c>
      <c r="Q205" s="203"/>
      <c r="R205" s="188">
        <v>1</v>
      </c>
      <c r="S205" s="252">
        <f t="shared" si="29"/>
        <v>0.42</v>
      </c>
      <c r="T205" s="204">
        <f>Table1[[#This Row],[man minutes]]*Table1[[#This Row],[labor rate]]</f>
        <v>0</v>
      </c>
      <c r="U205" s="204">
        <f t="shared" si="25"/>
        <v>0</v>
      </c>
      <c r="V205" s="189">
        <f t="shared" si="24"/>
        <v>0.15</v>
      </c>
      <c r="W205" s="253">
        <f t="shared" si="30"/>
        <v>0.15</v>
      </c>
      <c r="X205" s="204">
        <f t="shared" si="26"/>
        <v>0</v>
      </c>
      <c r="Y205" s="204">
        <f t="shared" si="27"/>
        <v>0</v>
      </c>
      <c r="Z205" s="204">
        <f t="shared" si="28"/>
        <v>0</v>
      </c>
      <c r="AA205" s="206">
        <f>+Table1[[#This Row],[calculated sale price]]</f>
        <v>0</v>
      </c>
      <c r="AB205" s="205"/>
      <c r="AC205" s="209"/>
    </row>
    <row r="206" spans="1:29" x14ac:dyDescent="0.25">
      <c r="A206" s="188">
        <v>1197</v>
      </c>
      <c r="C206" s="188">
        <v>1</v>
      </c>
      <c r="I206" s="188"/>
      <c r="J206" s="188"/>
      <c r="K206" s="188"/>
      <c r="L206" s="199"/>
      <c r="M206" s="188"/>
      <c r="N206" s="200"/>
      <c r="O206" s="201">
        <v>0</v>
      </c>
      <c r="P206" s="201">
        <f>Table1[[#This Row],[unit cost]]</f>
        <v>0</v>
      </c>
      <c r="Q206" s="203"/>
      <c r="R206" s="188">
        <v>1</v>
      </c>
      <c r="S206" s="252">
        <f t="shared" si="29"/>
        <v>0.42</v>
      </c>
      <c r="T206" s="204">
        <f>Table1[[#This Row],[man minutes]]*Table1[[#This Row],[labor rate]]</f>
        <v>0</v>
      </c>
      <c r="U206" s="204">
        <f t="shared" si="25"/>
        <v>0</v>
      </c>
      <c r="V206" s="189">
        <f t="shared" si="24"/>
        <v>0.15</v>
      </c>
      <c r="W206" s="253">
        <f t="shared" si="30"/>
        <v>0.15</v>
      </c>
      <c r="X206" s="204">
        <f t="shared" si="26"/>
        <v>0</v>
      </c>
      <c r="Y206" s="204">
        <f t="shared" si="27"/>
        <v>0</v>
      </c>
      <c r="Z206" s="204">
        <f t="shared" si="28"/>
        <v>0</v>
      </c>
      <c r="AA206" s="206">
        <f>+Table1[[#This Row],[calculated sale price]]</f>
        <v>0</v>
      </c>
      <c r="AB206" s="205"/>
      <c r="AC206" s="209"/>
    </row>
    <row r="207" spans="1:29" x14ac:dyDescent="0.25">
      <c r="A207" s="188">
        <v>1198</v>
      </c>
      <c r="C207" s="188">
        <v>1</v>
      </c>
      <c r="I207" s="188"/>
      <c r="J207" s="188"/>
      <c r="K207" s="188"/>
      <c r="L207" s="199"/>
      <c r="M207" s="188"/>
      <c r="N207" s="200"/>
      <c r="O207" s="201">
        <v>0</v>
      </c>
      <c r="P207" s="201">
        <f>Table1[[#This Row],[unit cost]]</f>
        <v>0</v>
      </c>
      <c r="Q207" s="203"/>
      <c r="R207" s="188">
        <v>1</v>
      </c>
      <c r="S207" s="252">
        <f t="shared" si="29"/>
        <v>0.42</v>
      </c>
      <c r="T207" s="204">
        <f>Table1[[#This Row],[man minutes]]*Table1[[#This Row],[labor rate]]</f>
        <v>0</v>
      </c>
      <c r="U207" s="204">
        <f t="shared" si="25"/>
        <v>0</v>
      </c>
      <c r="V207" s="189">
        <f t="shared" si="24"/>
        <v>0.15</v>
      </c>
      <c r="W207" s="253">
        <f t="shared" si="30"/>
        <v>0.15</v>
      </c>
      <c r="X207" s="204">
        <f t="shared" si="26"/>
        <v>0</v>
      </c>
      <c r="Y207" s="204">
        <f t="shared" si="27"/>
        <v>0</v>
      </c>
      <c r="Z207" s="204">
        <f t="shared" si="28"/>
        <v>0</v>
      </c>
      <c r="AA207" s="206">
        <f>+Table1[[#This Row],[calculated sale price]]</f>
        <v>0</v>
      </c>
      <c r="AB207" s="205"/>
      <c r="AC207" s="209"/>
    </row>
    <row r="208" spans="1:29" x14ac:dyDescent="0.25">
      <c r="A208" s="188">
        <v>1199</v>
      </c>
      <c r="C208" s="188">
        <v>1</v>
      </c>
      <c r="I208" s="188"/>
      <c r="J208" s="188"/>
      <c r="K208" s="188"/>
      <c r="L208" s="199"/>
      <c r="M208" s="188"/>
      <c r="N208" s="200"/>
      <c r="O208" s="201">
        <v>0</v>
      </c>
      <c r="P208" s="201">
        <f>Table1[[#This Row],[unit cost]]</f>
        <v>0</v>
      </c>
      <c r="Q208" s="203"/>
      <c r="R208" s="188">
        <v>1</v>
      </c>
      <c r="S208" s="252">
        <f t="shared" si="29"/>
        <v>0.42</v>
      </c>
      <c r="T208" s="204">
        <f>Table1[[#This Row],[man minutes]]*Table1[[#This Row],[labor rate]]</f>
        <v>0</v>
      </c>
      <c r="U208" s="204">
        <f t="shared" si="25"/>
        <v>0</v>
      </c>
      <c r="V208" s="189">
        <f t="shared" ref="V208:V253" si="31">$V$2</f>
        <v>0.15</v>
      </c>
      <c r="W208" s="253">
        <f t="shared" si="30"/>
        <v>0.15</v>
      </c>
      <c r="X208" s="204">
        <f t="shared" si="26"/>
        <v>0</v>
      </c>
      <c r="Y208" s="204">
        <f t="shared" si="27"/>
        <v>0</v>
      </c>
      <c r="Z208" s="204">
        <f t="shared" si="28"/>
        <v>0</v>
      </c>
      <c r="AA208" s="206">
        <f>+Table1[[#This Row],[calculated sale price]]</f>
        <v>0</v>
      </c>
      <c r="AB208" s="205"/>
      <c r="AC208" s="209"/>
    </row>
    <row r="209" spans="1:29" x14ac:dyDescent="0.25">
      <c r="A209" s="188">
        <v>1200</v>
      </c>
      <c r="C209" s="188">
        <v>1</v>
      </c>
      <c r="I209" s="188"/>
      <c r="J209" s="188"/>
      <c r="K209" s="188"/>
      <c r="L209" s="199"/>
      <c r="M209" s="188"/>
      <c r="N209" s="200"/>
      <c r="O209" s="201">
        <v>0</v>
      </c>
      <c r="P209" s="201">
        <f>Table1[[#This Row],[unit cost]]</f>
        <v>0</v>
      </c>
      <c r="Q209" s="203"/>
      <c r="R209" s="188">
        <v>1</v>
      </c>
      <c r="S209" s="252">
        <f t="shared" si="29"/>
        <v>0.42</v>
      </c>
      <c r="T209" s="204">
        <f>Table1[[#This Row],[man minutes]]*Table1[[#This Row],[labor rate]]</f>
        <v>0</v>
      </c>
      <c r="U209" s="204">
        <f t="shared" si="25"/>
        <v>0</v>
      </c>
      <c r="V209" s="189">
        <f t="shared" si="31"/>
        <v>0.15</v>
      </c>
      <c r="W209" s="253">
        <f t="shared" si="30"/>
        <v>0.15</v>
      </c>
      <c r="X209" s="204">
        <f t="shared" si="26"/>
        <v>0</v>
      </c>
      <c r="Y209" s="204">
        <f t="shared" si="27"/>
        <v>0</v>
      </c>
      <c r="Z209" s="204">
        <f t="shared" si="28"/>
        <v>0</v>
      </c>
      <c r="AA209" s="206">
        <f>+Table1[[#This Row],[calculated sale price]]</f>
        <v>0</v>
      </c>
      <c r="AB209" s="205"/>
      <c r="AC209" s="209"/>
    </row>
    <row r="210" spans="1:29" x14ac:dyDescent="0.25">
      <c r="A210" s="188">
        <v>1201</v>
      </c>
      <c r="C210" s="188">
        <v>1</v>
      </c>
      <c r="I210" s="188"/>
      <c r="J210" s="188"/>
      <c r="K210" s="188"/>
      <c r="L210" s="199"/>
      <c r="M210" s="188"/>
      <c r="N210" s="200"/>
      <c r="O210" s="201">
        <v>0</v>
      </c>
      <c r="P210" s="201">
        <f>Table1[[#This Row],[unit cost]]</f>
        <v>0</v>
      </c>
      <c r="Q210" s="203"/>
      <c r="R210" s="188">
        <v>1</v>
      </c>
      <c r="S210" s="252">
        <f t="shared" si="29"/>
        <v>0.42</v>
      </c>
      <c r="T210" s="204">
        <f>Table1[[#This Row],[man minutes]]*Table1[[#This Row],[labor rate]]</f>
        <v>0</v>
      </c>
      <c r="U210" s="204">
        <f t="shared" si="25"/>
        <v>0</v>
      </c>
      <c r="V210" s="189">
        <f t="shared" si="31"/>
        <v>0.15</v>
      </c>
      <c r="W210" s="253">
        <f t="shared" si="30"/>
        <v>0.15</v>
      </c>
      <c r="X210" s="204">
        <f t="shared" si="26"/>
        <v>0</v>
      </c>
      <c r="Y210" s="204">
        <f t="shared" si="27"/>
        <v>0</v>
      </c>
      <c r="Z210" s="204">
        <f t="shared" si="28"/>
        <v>0</v>
      </c>
      <c r="AA210" s="206">
        <f>+Table1[[#This Row],[calculated sale price]]</f>
        <v>0</v>
      </c>
      <c r="AB210" s="205"/>
      <c r="AC210" s="209"/>
    </row>
    <row r="211" spans="1:29" x14ac:dyDescent="0.25">
      <c r="A211" s="188">
        <v>1202</v>
      </c>
      <c r="C211" s="188">
        <v>1</v>
      </c>
      <c r="I211" s="188"/>
      <c r="J211" s="188"/>
      <c r="K211" s="188"/>
      <c r="L211" s="199"/>
      <c r="M211" s="188"/>
      <c r="N211" s="200"/>
      <c r="O211" s="201">
        <v>0</v>
      </c>
      <c r="P211" s="201">
        <f>Table1[[#This Row],[unit cost]]</f>
        <v>0</v>
      </c>
      <c r="Q211" s="203"/>
      <c r="R211" s="188">
        <v>1</v>
      </c>
      <c r="S211" s="252">
        <f t="shared" si="29"/>
        <v>0.42</v>
      </c>
      <c r="T211" s="204">
        <f>Table1[[#This Row],[man minutes]]*Table1[[#This Row],[labor rate]]</f>
        <v>0</v>
      </c>
      <c r="U211" s="204">
        <f t="shared" si="25"/>
        <v>0</v>
      </c>
      <c r="V211" s="189">
        <f t="shared" si="31"/>
        <v>0.15</v>
      </c>
      <c r="W211" s="253">
        <f t="shared" si="30"/>
        <v>0.15</v>
      </c>
      <c r="X211" s="204">
        <f t="shared" si="26"/>
        <v>0</v>
      </c>
      <c r="Y211" s="204">
        <f t="shared" si="27"/>
        <v>0</v>
      </c>
      <c r="Z211" s="204">
        <f t="shared" si="28"/>
        <v>0</v>
      </c>
      <c r="AA211" s="206">
        <f>+Table1[[#This Row],[calculated sale price]]</f>
        <v>0</v>
      </c>
      <c r="AB211" s="205"/>
      <c r="AC211" s="209"/>
    </row>
    <row r="212" spans="1:29" x14ac:dyDescent="0.25">
      <c r="A212" s="188">
        <v>1203</v>
      </c>
      <c r="C212" s="188">
        <v>1</v>
      </c>
      <c r="I212" s="188"/>
      <c r="J212" s="188"/>
      <c r="K212" s="188"/>
      <c r="L212" s="199"/>
      <c r="M212" s="188"/>
      <c r="N212" s="200"/>
      <c r="O212" s="201">
        <v>0</v>
      </c>
      <c r="P212" s="201">
        <f>Table1[[#This Row],[unit cost]]</f>
        <v>0</v>
      </c>
      <c r="Q212" s="203"/>
      <c r="R212" s="188">
        <v>1</v>
      </c>
      <c r="S212" s="252">
        <f t="shared" si="29"/>
        <v>0.42</v>
      </c>
      <c r="T212" s="204">
        <f>Table1[[#This Row],[man minutes]]*Table1[[#This Row],[labor rate]]</f>
        <v>0</v>
      </c>
      <c r="U212" s="204">
        <f t="shared" si="25"/>
        <v>0</v>
      </c>
      <c r="V212" s="189">
        <f t="shared" si="31"/>
        <v>0.15</v>
      </c>
      <c r="W212" s="253">
        <f t="shared" si="30"/>
        <v>0.15</v>
      </c>
      <c r="X212" s="204">
        <f t="shared" si="26"/>
        <v>0</v>
      </c>
      <c r="Y212" s="204">
        <f t="shared" si="27"/>
        <v>0</v>
      </c>
      <c r="Z212" s="204">
        <f t="shared" si="28"/>
        <v>0</v>
      </c>
      <c r="AA212" s="206">
        <f>+Table1[[#This Row],[calculated sale price]]</f>
        <v>0</v>
      </c>
      <c r="AB212" s="205"/>
      <c r="AC212" s="209"/>
    </row>
    <row r="213" spans="1:29" x14ac:dyDescent="0.25">
      <c r="A213" s="188">
        <v>1204</v>
      </c>
      <c r="C213" s="188">
        <v>1</v>
      </c>
      <c r="I213" s="188"/>
      <c r="J213" s="188"/>
      <c r="K213" s="188"/>
      <c r="L213" s="199"/>
      <c r="M213" s="188"/>
      <c r="N213" s="200"/>
      <c r="O213" s="201">
        <v>0</v>
      </c>
      <c r="P213" s="201">
        <f>Table1[[#This Row],[unit cost]]</f>
        <v>0</v>
      </c>
      <c r="Q213" s="203"/>
      <c r="R213" s="188">
        <v>1</v>
      </c>
      <c r="S213" s="252">
        <f t="shared" si="29"/>
        <v>0.42</v>
      </c>
      <c r="T213" s="204">
        <f>Table1[[#This Row],[man minutes]]*Table1[[#This Row],[labor rate]]</f>
        <v>0</v>
      </c>
      <c r="U213" s="204">
        <f t="shared" si="25"/>
        <v>0</v>
      </c>
      <c r="V213" s="189">
        <f t="shared" si="31"/>
        <v>0.15</v>
      </c>
      <c r="W213" s="253">
        <f t="shared" si="30"/>
        <v>0.15</v>
      </c>
      <c r="X213" s="204">
        <f t="shared" si="26"/>
        <v>0</v>
      </c>
      <c r="Y213" s="204">
        <f t="shared" si="27"/>
        <v>0</v>
      </c>
      <c r="Z213" s="204">
        <f t="shared" si="28"/>
        <v>0</v>
      </c>
      <c r="AA213" s="206">
        <f>+Table1[[#This Row],[calculated sale price]]</f>
        <v>0</v>
      </c>
      <c r="AB213" s="205"/>
      <c r="AC213" s="209"/>
    </row>
    <row r="214" spans="1:29" x14ac:dyDescent="0.25">
      <c r="A214" s="188">
        <v>1205</v>
      </c>
      <c r="C214" s="188">
        <v>1</v>
      </c>
      <c r="I214" s="188"/>
      <c r="J214" s="188"/>
      <c r="K214" s="188"/>
      <c r="L214" s="199"/>
      <c r="M214" s="188"/>
      <c r="N214" s="200"/>
      <c r="O214" s="201">
        <v>0</v>
      </c>
      <c r="P214" s="201">
        <f>Table1[[#This Row],[unit cost]]</f>
        <v>0</v>
      </c>
      <c r="Q214" s="203"/>
      <c r="R214" s="188">
        <v>1</v>
      </c>
      <c r="S214" s="252">
        <f t="shared" si="29"/>
        <v>0.42</v>
      </c>
      <c r="T214" s="204">
        <f>Table1[[#This Row],[man minutes]]*Table1[[#This Row],[labor rate]]</f>
        <v>0</v>
      </c>
      <c r="U214" s="204">
        <f t="shared" si="25"/>
        <v>0</v>
      </c>
      <c r="V214" s="189">
        <f t="shared" si="31"/>
        <v>0.15</v>
      </c>
      <c r="W214" s="253">
        <f t="shared" si="30"/>
        <v>0.15</v>
      </c>
      <c r="X214" s="204">
        <f t="shared" si="26"/>
        <v>0</v>
      </c>
      <c r="Y214" s="204">
        <f t="shared" si="27"/>
        <v>0</v>
      </c>
      <c r="Z214" s="204">
        <f t="shared" si="28"/>
        <v>0</v>
      </c>
      <c r="AA214" s="206">
        <f>+Table1[[#This Row],[calculated sale price]]</f>
        <v>0</v>
      </c>
      <c r="AB214" s="205"/>
      <c r="AC214" s="209"/>
    </row>
    <row r="215" spans="1:29" x14ac:dyDescent="0.25">
      <c r="A215" s="188">
        <v>1206</v>
      </c>
      <c r="C215" s="188">
        <v>1</v>
      </c>
      <c r="I215" s="188"/>
      <c r="J215" s="188"/>
      <c r="K215" s="188"/>
      <c r="L215" s="199"/>
      <c r="M215" s="188"/>
      <c r="N215" s="200"/>
      <c r="O215" s="201">
        <v>0</v>
      </c>
      <c r="P215" s="201">
        <f>Table1[[#This Row],[unit cost]]</f>
        <v>0</v>
      </c>
      <c r="Q215" s="203"/>
      <c r="R215" s="188">
        <v>1</v>
      </c>
      <c r="S215" s="252">
        <f t="shared" si="29"/>
        <v>0.42</v>
      </c>
      <c r="T215" s="204">
        <f>Table1[[#This Row],[man minutes]]*Table1[[#This Row],[labor rate]]</f>
        <v>0</v>
      </c>
      <c r="U215" s="204">
        <f t="shared" si="25"/>
        <v>0</v>
      </c>
      <c r="V215" s="189">
        <f t="shared" si="31"/>
        <v>0.15</v>
      </c>
      <c r="W215" s="253">
        <f t="shared" si="30"/>
        <v>0.15</v>
      </c>
      <c r="X215" s="204">
        <f t="shared" si="26"/>
        <v>0</v>
      </c>
      <c r="Y215" s="204">
        <f t="shared" si="27"/>
        <v>0</v>
      </c>
      <c r="Z215" s="204">
        <f t="shared" si="28"/>
        <v>0</v>
      </c>
      <c r="AA215" s="206">
        <f>+Table1[[#This Row],[calculated sale price]]</f>
        <v>0</v>
      </c>
      <c r="AB215" s="205"/>
      <c r="AC215" s="209"/>
    </row>
    <row r="216" spans="1:29" x14ac:dyDescent="0.25">
      <c r="A216" s="188">
        <v>1207</v>
      </c>
      <c r="C216" s="188">
        <v>1</v>
      </c>
      <c r="I216" s="188"/>
      <c r="J216" s="188"/>
      <c r="K216" s="188"/>
      <c r="L216" s="199"/>
      <c r="M216" s="188"/>
      <c r="N216" s="200"/>
      <c r="O216" s="201">
        <v>0</v>
      </c>
      <c r="P216" s="201">
        <f>Table1[[#This Row],[unit cost]]</f>
        <v>0</v>
      </c>
      <c r="Q216" s="203"/>
      <c r="R216" s="188">
        <v>1</v>
      </c>
      <c r="S216" s="252">
        <f t="shared" si="29"/>
        <v>0.42</v>
      </c>
      <c r="T216" s="204">
        <f>Table1[[#This Row],[man minutes]]*Table1[[#This Row],[labor rate]]</f>
        <v>0</v>
      </c>
      <c r="U216" s="204">
        <f t="shared" ref="U216:U253" si="32">P216+T216</f>
        <v>0</v>
      </c>
      <c r="V216" s="189">
        <f t="shared" si="31"/>
        <v>0.15</v>
      </c>
      <c r="W216" s="253">
        <f t="shared" si="30"/>
        <v>0.15</v>
      </c>
      <c r="X216" s="204">
        <f t="shared" ref="X216:X253" si="33">P216*(1+V216)</f>
        <v>0</v>
      </c>
      <c r="Y216" s="204">
        <f t="shared" ref="Y216:Y253" si="34">T216+(T216*W216)</f>
        <v>0</v>
      </c>
      <c r="Z216" s="204">
        <f t="shared" ref="Z216:Z253" si="35">IFERROR(ROUNDUP(X216+Y216,2)," ")</f>
        <v>0</v>
      </c>
      <c r="AA216" s="206">
        <f>+Table1[[#This Row],[calculated sale price]]</f>
        <v>0</v>
      </c>
      <c r="AB216" s="205"/>
      <c r="AC216" s="209"/>
    </row>
    <row r="217" spans="1:29" x14ac:dyDescent="0.25">
      <c r="A217" s="188">
        <v>1208</v>
      </c>
      <c r="C217" s="188">
        <v>1</v>
      </c>
      <c r="I217" s="188"/>
      <c r="J217" s="188"/>
      <c r="K217" s="188"/>
      <c r="L217" s="199"/>
      <c r="M217" s="188"/>
      <c r="N217" s="200"/>
      <c r="O217" s="201">
        <v>0</v>
      </c>
      <c r="P217" s="201">
        <f>Table1[[#This Row],[unit cost]]</f>
        <v>0</v>
      </c>
      <c r="Q217" s="203"/>
      <c r="R217" s="188">
        <v>1</v>
      </c>
      <c r="S217" s="252">
        <f t="shared" si="29"/>
        <v>0.42</v>
      </c>
      <c r="T217" s="204">
        <f>Table1[[#This Row],[man minutes]]*Table1[[#This Row],[labor rate]]</f>
        <v>0</v>
      </c>
      <c r="U217" s="204">
        <f t="shared" si="32"/>
        <v>0</v>
      </c>
      <c r="V217" s="189">
        <f t="shared" si="31"/>
        <v>0.15</v>
      </c>
      <c r="W217" s="253">
        <f t="shared" si="30"/>
        <v>0.15</v>
      </c>
      <c r="X217" s="204">
        <f t="shared" si="33"/>
        <v>0</v>
      </c>
      <c r="Y217" s="204">
        <f t="shared" si="34"/>
        <v>0</v>
      </c>
      <c r="Z217" s="204">
        <f t="shared" si="35"/>
        <v>0</v>
      </c>
      <c r="AA217" s="206">
        <f>+Table1[[#This Row],[calculated sale price]]</f>
        <v>0</v>
      </c>
      <c r="AB217" s="205"/>
      <c r="AC217" s="209"/>
    </row>
    <row r="218" spans="1:29" x14ac:dyDescent="0.25">
      <c r="A218" s="188">
        <v>1209</v>
      </c>
      <c r="C218" s="188">
        <v>1</v>
      </c>
      <c r="I218" s="188"/>
      <c r="J218" s="188"/>
      <c r="K218" s="188"/>
      <c r="L218" s="199"/>
      <c r="M218" s="188"/>
      <c r="N218" s="200"/>
      <c r="O218" s="201">
        <v>0</v>
      </c>
      <c r="P218" s="201">
        <f>Table1[[#This Row],[unit cost]]</f>
        <v>0</v>
      </c>
      <c r="Q218" s="203"/>
      <c r="R218" s="188">
        <v>1</v>
      </c>
      <c r="S218" s="252">
        <f t="shared" si="29"/>
        <v>0.42</v>
      </c>
      <c r="T218" s="204">
        <f>Table1[[#This Row],[man minutes]]*Table1[[#This Row],[labor rate]]</f>
        <v>0</v>
      </c>
      <c r="U218" s="204">
        <f t="shared" si="32"/>
        <v>0</v>
      </c>
      <c r="V218" s="189">
        <f t="shared" si="31"/>
        <v>0.15</v>
      </c>
      <c r="W218" s="253">
        <f t="shared" si="30"/>
        <v>0.15</v>
      </c>
      <c r="X218" s="204">
        <f t="shared" si="33"/>
        <v>0</v>
      </c>
      <c r="Y218" s="204">
        <f t="shared" si="34"/>
        <v>0</v>
      </c>
      <c r="Z218" s="204">
        <f t="shared" si="35"/>
        <v>0</v>
      </c>
      <c r="AA218" s="206">
        <f>+Table1[[#This Row],[calculated sale price]]</f>
        <v>0</v>
      </c>
      <c r="AB218" s="205"/>
      <c r="AC218" s="209"/>
    </row>
    <row r="219" spans="1:29" x14ac:dyDescent="0.25">
      <c r="A219" s="188">
        <v>1210</v>
      </c>
      <c r="C219" s="188">
        <v>1</v>
      </c>
      <c r="I219" s="188"/>
      <c r="J219" s="188"/>
      <c r="K219" s="188"/>
      <c r="L219" s="199"/>
      <c r="M219" s="188"/>
      <c r="N219" s="200"/>
      <c r="O219" s="201">
        <v>0</v>
      </c>
      <c r="P219" s="201">
        <f>Table1[[#This Row],[unit cost]]</f>
        <v>0</v>
      </c>
      <c r="Q219" s="203"/>
      <c r="R219" s="188">
        <v>1</v>
      </c>
      <c r="S219" s="252">
        <f t="shared" si="29"/>
        <v>0.42</v>
      </c>
      <c r="T219" s="204">
        <f>Table1[[#This Row],[man minutes]]*Table1[[#This Row],[labor rate]]</f>
        <v>0</v>
      </c>
      <c r="U219" s="204">
        <f t="shared" si="32"/>
        <v>0</v>
      </c>
      <c r="V219" s="189">
        <f t="shared" si="31"/>
        <v>0.15</v>
      </c>
      <c r="W219" s="253">
        <f t="shared" si="30"/>
        <v>0.15</v>
      </c>
      <c r="X219" s="204">
        <f t="shared" si="33"/>
        <v>0</v>
      </c>
      <c r="Y219" s="204">
        <f t="shared" si="34"/>
        <v>0</v>
      </c>
      <c r="Z219" s="204">
        <f t="shared" si="35"/>
        <v>0</v>
      </c>
      <c r="AA219" s="206">
        <f>+Table1[[#This Row],[calculated sale price]]</f>
        <v>0</v>
      </c>
      <c r="AB219" s="205"/>
      <c r="AC219" s="209"/>
    </row>
    <row r="220" spans="1:29" x14ac:dyDescent="0.25">
      <c r="A220" s="188">
        <v>1211</v>
      </c>
      <c r="C220" s="188">
        <v>1</v>
      </c>
      <c r="I220" s="188"/>
      <c r="J220" s="188"/>
      <c r="K220" s="188"/>
      <c r="L220" s="199"/>
      <c r="M220" s="188"/>
      <c r="N220" s="200"/>
      <c r="O220" s="201">
        <v>0</v>
      </c>
      <c r="P220" s="201">
        <f>Table1[[#This Row],[unit cost]]</f>
        <v>0</v>
      </c>
      <c r="Q220" s="203"/>
      <c r="R220" s="188">
        <v>1</v>
      </c>
      <c r="S220" s="252">
        <f t="shared" si="29"/>
        <v>0.42</v>
      </c>
      <c r="T220" s="204">
        <f>Table1[[#This Row],[man minutes]]*Table1[[#This Row],[labor rate]]</f>
        <v>0</v>
      </c>
      <c r="U220" s="204">
        <f t="shared" si="32"/>
        <v>0</v>
      </c>
      <c r="V220" s="189">
        <f t="shared" si="31"/>
        <v>0.15</v>
      </c>
      <c r="W220" s="253">
        <f t="shared" si="30"/>
        <v>0.15</v>
      </c>
      <c r="X220" s="204">
        <f t="shared" si="33"/>
        <v>0</v>
      </c>
      <c r="Y220" s="204">
        <f t="shared" si="34"/>
        <v>0</v>
      </c>
      <c r="Z220" s="204">
        <f t="shared" si="35"/>
        <v>0</v>
      </c>
      <c r="AA220" s="206">
        <f>+Table1[[#This Row],[calculated sale price]]</f>
        <v>0</v>
      </c>
      <c r="AB220" s="205"/>
      <c r="AC220" s="209"/>
    </row>
    <row r="221" spans="1:29" x14ac:dyDescent="0.25">
      <c r="A221" s="188">
        <v>1212</v>
      </c>
      <c r="C221" s="188">
        <v>1</v>
      </c>
      <c r="I221" s="188"/>
      <c r="J221" s="188"/>
      <c r="K221" s="188"/>
      <c r="L221" s="199"/>
      <c r="M221" s="188"/>
      <c r="N221" s="200"/>
      <c r="O221" s="201">
        <v>0</v>
      </c>
      <c r="P221" s="201">
        <f>Table1[[#This Row],[unit cost]]</f>
        <v>0</v>
      </c>
      <c r="Q221" s="203"/>
      <c r="R221" s="188">
        <v>1</v>
      </c>
      <c r="S221" s="252">
        <f t="shared" si="29"/>
        <v>0.42</v>
      </c>
      <c r="T221" s="204">
        <f>Table1[[#This Row],[man minutes]]*Table1[[#This Row],[labor rate]]</f>
        <v>0</v>
      </c>
      <c r="U221" s="204">
        <f t="shared" si="32"/>
        <v>0</v>
      </c>
      <c r="V221" s="189">
        <f t="shared" si="31"/>
        <v>0.15</v>
      </c>
      <c r="W221" s="253">
        <f t="shared" si="30"/>
        <v>0.15</v>
      </c>
      <c r="X221" s="204">
        <f t="shared" si="33"/>
        <v>0</v>
      </c>
      <c r="Y221" s="204">
        <f t="shared" si="34"/>
        <v>0</v>
      </c>
      <c r="Z221" s="204">
        <f t="shared" si="35"/>
        <v>0</v>
      </c>
      <c r="AA221" s="206">
        <f>+Table1[[#This Row],[calculated sale price]]</f>
        <v>0</v>
      </c>
      <c r="AB221" s="205"/>
      <c r="AC221" s="209"/>
    </row>
    <row r="222" spans="1:29" x14ac:dyDescent="0.25">
      <c r="A222" s="188">
        <v>1213</v>
      </c>
      <c r="C222" s="188">
        <v>1</v>
      </c>
      <c r="I222" s="188"/>
      <c r="J222" s="188"/>
      <c r="K222" s="188"/>
      <c r="L222" s="199"/>
      <c r="M222" s="188"/>
      <c r="N222" s="200"/>
      <c r="O222" s="201">
        <v>0</v>
      </c>
      <c r="P222" s="201">
        <f>Table1[[#This Row],[unit cost]]</f>
        <v>0</v>
      </c>
      <c r="Q222" s="203"/>
      <c r="R222" s="188">
        <v>1</v>
      </c>
      <c r="S222" s="252">
        <f t="shared" si="29"/>
        <v>0.42</v>
      </c>
      <c r="T222" s="204">
        <f>Table1[[#This Row],[man minutes]]*Table1[[#This Row],[labor rate]]</f>
        <v>0</v>
      </c>
      <c r="U222" s="204">
        <f t="shared" si="32"/>
        <v>0</v>
      </c>
      <c r="V222" s="189">
        <f t="shared" si="31"/>
        <v>0.15</v>
      </c>
      <c r="W222" s="253">
        <f t="shared" si="30"/>
        <v>0.15</v>
      </c>
      <c r="X222" s="204">
        <f t="shared" si="33"/>
        <v>0</v>
      </c>
      <c r="Y222" s="204">
        <f t="shared" si="34"/>
        <v>0</v>
      </c>
      <c r="Z222" s="204">
        <f t="shared" si="35"/>
        <v>0</v>
      </c>
      <c r="AA222" s="206">
        <f>+Table1[[#This Row],[calculated sale price]]</f>
        <v>0</v>
      </c>
      <c r="AB222" s="205"/>
      <c r="AC222" s="209"/>
    </row>
    <row r="223" spans="1:29" x14ac:dyDescent="0.25">
      <c r="A223" s="188">
        <v>1214</v>
      </c>
      <c r="C223" s="188">
        <v>1</v>
      </c>
      <c r="I223" s="188"/>
      <c r="J223" s="188"/>
      <c r="K223" s="188"/>
      <c r="L223" s="199"/>
      <c r="M223" s="188"/>
      <c r="N223" s="200"/>
      <c r="O223" s="201">
        <v>0</v>
      </c>
      <c r="P223" s="201">
        <f>Table1[[#This Row],[unit cost]]</f>
        <v>0</v>
      </c>
      <c r="Q223" s="203"/>
      <c r="R223" s="188">
        <v>1</v>
      </c>
      <c r="S223" s="252">
        <f t="shared" si="29"/>
        <v>0.42</v>
      </c>
      <c r="T223" s="204">
        <f>Table1[[#This Row],[man minutes]]*Table1[[#This Row],[labor rate]]</f>
        <v>0</v>
      </c>
      <c r="U223" s="204">
        <f t="shared" si="32"/>
        <v>0</v>
      </c>
      <c r="V223" s="189">
        <f t="shared" si="31"/>
        <v>0.15</v>
      </c>
      <c r="W223" s="253">
        <f t="shared" si="30"/>
        <v>0.15</v>
      </c>
      <c r="X223" s="204">
        <f t="shared" si="33"/>
        <v>0</v>
      </c>
      <c r="Y223" s="204">
        <f t="shared" si="34"/>
        <v>0</v>
      </c>
      <c r="Z223" s="204">
        <f t="shared" si="35"/>
        <v>0</v>
      </c>
      <c r="AA223" s="206">
        <f>+Table1[[#This Row],[calculated sale price]]</f>
        <v>0</v>
      </c>
      <c r="AB223" s="205"/>
      <c r="AC223" s="209"/>
    </row>
    <row r="224" spans="1:29" x14ac:dyDescent="0.25">
      <c r="A224" s="188">
        <v>1215</v>
      </c>
      <c r="C224" s="188">
        <v>1</v>
      </c>
      <c r="I224" s="188"/>
      <c r="J224" s="188"/>
      <c r="K224" s="188"/>
      <c r="L224" s="199"/>
      <c r="M224" s="188"/>
      <c r="N224" s="200"/>
      <c r="O224" s="201">
        <v>0</v>
      </c>
      <c r="P224" s="201">
        <f>Table1[[#This Row],[unit cost]]</f>
        <v>0</v>
      </c>
      <c r="Q224" s="203"/>
      <c r="R224" s="188">
        <v>1</v>
      </c>
      <c r="S224" s="252">
        <f t="shared" si="29"/>
        <v>0.42</v>
      </c>
      <c r="T224" s="204">
        <f>Table1[[#This Row],[man minutes]]*Table1[[#This Row],[labor rate]]</f>
        <v>0</v>
      </c>
      <c r="U224" s="204">
        <f t="shared" si="32"/>
        <v>0</v>
      </c>
      <c r="V224" s="189">
        <f t="shared" si="31"/>
        <v>0.15</v>
      </c>
      <c r="W224" s="253">
        <f t="shared" si="30"/>
        <v>0.15</v>
      </c>
      <c r="X224" s="204">
        <f t="shared" si="33"/>
        <v>0</v>
      </c>
      <c r="Y224" s="204">
        <f t="shared" si="34"/>
        <v>0</v>
      </c>
      <c r="Z224" s="204">
        <f t="shared" si="35"/>
        <v>0</v>
      </c>
      <c r="AA224" s="206">
        <f>+Table1[[#This Row],[calculated sale price]]</f>
        <v>0</v>
      </c>
      <c r="AB224" s="205"/>
      <c r="AC224" s="209"/>
    </row>
    <row r="225" spans="1:29" x14ac:dyDescent="0.25">
      <c r="A225" s="188">
        <v>1216</v>
      </c>
      <c r="C225" s="188">
        <v>1</v>
      </c>
      <c r="I225" s="188"/>
      <c r="J225" s="188"/>
      <c r="K225" s="188"/>
      <c r="L225" s="199"/>
      <c r="M225" s="188"/>
      <c r="N225" s="200"/>
      <c r="O225" s="201">
        <v>0</v>
      </c>
      <c r="P225" s="201">
        <f>Table1[[#This Row],[unit cost]]</f>
        <v>0</v>
      </c>
      <c r="Q225" s="203"/>
      <c r="R225" s="188">
        <v>1</v>
      </c>
      <c r="S225" s="252">
        <f t="shared" si="29"/>
        <v>0.42</v>
      </c>
      <c r="T225" s="204">
        <f>Table1[[#This Row],[man minutes]]*Table1[[#This Row],[labor rate]]</f>
        <v>0</v>
      </c>
      <c r="U225" s="204">
        <f t="shared" si="32"/>
        <v>0</v>
      </c>
      <c r="V225" s="189">
        <f t="shared" si="31"/>
        <v>0.15</v>
      </c>
      <c r="W225" s="253">
        <f t="shared" si="30"/>
        <v>0.15</v>
      </c>
      <c r="X225" s="204">
        <f t="shared" si="33"/>
        <v>0</v>
      </c>
      <c r="Y225" s="204">
        <f t="shared" si="34"/>
        <v>0</v>
      </c>
      <c r="Z225" s="204">
        <f t="shared" si="35"/>
        <v>0</v>
      </c>
      <c r="AA225" s="206">
        <f>+Table1[[#This Row],[calculated sale price]]</f>
        <v>0</v>
      </c>
      <c r="AB225" s="205"/>
      <c r="AC225" s="209"/>
    </row>
    <row r="226" spans="1:29" x14ac:dyDescent="0.25">
      <c r="A226" s="188">
        <v>1217</v>
      </c>
      <c r="C226" s="188">
        <v>1</v>
      </c>
      <c r="I226" s="188"/>
      <c r="J226" s="188"/>
      <c r="K226" s="188"/>
      <c r="L226" s="199"/>
      <c r="M226" s="188"/>
      <c r="N226" s="200"/>
      <c r="O226" s="201">
        <v>0</v>
      </c>
      <c r="P226" s="201">
        <f>Table1[[#This Row],[unit cost]]</f>
        <v>0</v>
      </c>
      <c r="Q226" s="203"/>
      <c r="R226" s="188">
        <v>1</v>
      </c>
      <c r="S226" s="252">
        <f t="shared" si="29"/>
        <v>0.42</v>
      </c>
      <c r="T226" s="204">
        <f>Table1[[#This Row],[man minutes]]*Table1[[#This Row],[labor rate]]</f>
        <v>0</v>
      </c>
      <c r="U226" s="204">
        <f t="shared" si="32"/>
        <v>0</v>
      </c>
      <c r="V226" s="189">
        <f t="shared" si="31"/>
        <v>0.15</v>
      </c>
      <c r="W226" s="253">
        <f t="shared" si="30"/>
        <v>0.15</v>
      </c>
      <c r="X226" s="204">
        <f t="shared" si="33"/>
        <v>0</v>
      </c>
      <c r="Y226" s="204">
        <f t="shared" si="34"/>
        <v>0</v>
      </c>
      <c r="Z226" s="204">
        <f t="shared" si="35"/>
        <v>0</v>
      </c>
      <c r="AA226" s="206">
        <f>+Table1[[#This Row],[calculated sale price]]</f>
        <v>0</v>
      </c>
      <c r="AB226" s="205"/>
      <c r="AC226" s="209"/>
    </row>
    <row r="227" spans="1:29" x14ac:dyDescent="0.25">
      <c r="A227" s="188">
        <v>1218</v>
      </c>
      <c r="C227" s="188">
        <v>1</v>
      </c>
      <c r="I227" s="188"/>
      <c r="J227" s="188"/>
      <c r="K227" s="188"/>
      <c r="L227" s="199"/>
      <c r="M227" s="188"/>
      <c r="N227" s="200"/>
      <c r="O227" s="201">
        <v>0</v>
      </c>
      <c r="P227" s="201">
        <f>Table1[[#This Row],[unit cost]]</f>
        <v>0</v>
      </c>
      <c r="Q227" s="203"/>
      <c r="R227" s="188">
        <v>1</v>
      </c>
      <c r="S227" s="252">
        <f t="shared" si="29"/>
        <v>0.42</v>
      </c>
      <c r="T227" s="204">
        <f>Table1[[#This Row],[man minutes]]*Table1[[#This Row],[labor rate]]</f>
        <v>0</v>
      </c>
      <c r="U227" s="204">
        <f t="shared" si="32"/>
        <v>0</v>
      </c>
      <c r="V227" s="189">
        <f t="shared" si="31"/>
        <v>0.15</v>
      </c>
      <c r="W227" s="253">
        <f t="shared" si="30"/>
        <v>0.15</v>
      </c>
      <c r="X227" s="204">
        <f t="shared" si="33"/>
        <v>0</v>
      </c>
      <c r="Y227" s="204">
        <f t="shared" si="34"/>
        <v>0</v>
      </c>
      <c r="Z227" s="204">
        <f t="shared" si="35"/>
        <v>0</v>
      </c>
      <c r="AA227" s="206">
        <f>+Table1[[#This Row],[calculated sale price]]</f>
        <v>0</v>
      </c>
      <c r="AB227" s="205"/>
      <c r="AC227" s="209"/>
    </row>
    <row r="228" spans="1:29" x14ac:dyDescent="0.25">
      <c r="A228" s="188">
        <v>1219</v>
      </c>
      <c r="C228" s="188">
        <v>1</v>
      </c>
      <c r="I228" s="188"/>
      <c r="J228" s="188"/>
      <c r="K228" s="188"/>
      <c r="L228" s="199"/>
      <c r="M228" s="188"/>
      <c r="N228" s="200"/>
      <c r="O228" s="201">
        <v>0</v>
      </c>
      <c r="P228" s="201">
        <f>Table1[[#This Row],[unit cost]]</f>
        <v>0</v>
      </c>
      <c r="Q228" s="203"/>
      <c r="R228" s="188">
        <v>1</v>
      </c>
      <c r="S228" s="252">
        <f t="shared" si="29"/>
        <v>0.42</v>
      </c>
      <c r="T228" s="204">
        <f>Table1[[#This Row],[man minutes]]*Table1[[#This Row],[labor rate]]</f>
        <v>0</v>
      </c>
      <c r="U228" s="204">
        <f t="shared" si="32"/>
        <v>0</v>
      </c>
      <c r="V228" s="189">
        <f t="shared" si="31"/>
        <v>0.15</v>
      </c>
      <c r="W228" s="253">
        <f t="shared" si="30"/>
        <v>0.15</v>
      </c>
      <c r="X228" s="204">
        <f t="shared" si="33"/>
        <v>0</v>
      </c>
      <c r="Y228" s="204">
        <f t="shared" si="34"/>
        <v>0</v>
      </c>
      <c r="Z228" s="204">
        <f t="shared" si="35"/>
        <v>0</v>
      </c>
      <c r="AA228" s="206">
        <f>+Table1[[#This Row],[calculated sale price]]</f>
        <v>0</v>
      </c>
      <c r="AB228" s="205"/>
      <c r="AC228" s="209"/>
    </row>
    <row r="229" spans="1:29" x14ac:dyDescent="0.25">
      <c r="A229" s="188">
        <v>1220</v>
      </c>
      <c r="C229" s="188">
        <v>1</v>
      </c>
      <c r="I229" s="188"/>
      <c r="J229" s="188"/>
      <c r="K229" s="188"/>
      <c r="L229" s="199"/>
      <c r="M229" s="188"/>
      <c r="N229" s="200"/>
      <c r="O229" s="201">
        <v>0</v>
      </c>
      <c r="P229" s="201">
        <f>Table1[[#This Row],[unit cost]]</f>
        <v>0</v>
      </c>
      <c r="Q229" s="203"/>
      <c r="R229" s="188">
        <v>1</v>
      </c>
      <c r="S229" s="252">
        <f t="shared" si="29"/>
        <v>0.42</v>
      </c>
      <c r="T229" s="204">
        <f>Table1[[#This Row],[man minutes]]*Table1[[#This Row],[labor rate]]</f>
        <v>0</v>
      </c>
      <c r="U229" s="204">
        <f t="shared" si="32"/>
        <v>0</v>
      </c>
      <c r="V229" s="189">
        <f t="shared" si="31"/>
        <v>0.15</v>
      </c>
      <c r="W229" s="253">
        <f t="shared" si="30"/>
        <v>0.15</v>
      </c>
      <c r="X229" s="204">
        <f t="shared" si="33"/>
        <v>0</v>
      </c>
      <c r="Y229" s="204">
        <f t="shared" si="34"/>
        <v>0</v>
      </c>
      <c r="Z229" s="204">
        <f t="shared" si="35"/>
        <v>0</v>
      </c>
      <c r="AA229" s="206">
        <f>+Table1[[#This Row],[calculated sale price]]</f>
        <v>0</v>
      </c>
      <c r="AB229" s="205"/>
      <c r="AC229" s="209"/>
    </row>
    <row r="230" spans="1:29" x14ac:dyDescent="0.25">
      <c r="A230" s="188">
        <v>1221</v>
      </c>
      <c r="C230" s="188">
        <v>1</v>
      </c>
      <c r="I230" s="188"/>
      <c r="J230" s="188"/>
      <c r="K230" s="188"/>
      <c r="L230" s="199"/>
      <c r="M230" s="188"/>
      <c r="N230" s="200"/>
      <c r="O230" s="201">
        <v>0</v>
      </c>
      <c r="P230" s="201">
        <f>Table1[[#This Row],[unit cost]]</f>
        <v>0</v>
      </c>
      <c r="Q230" s="203"/>
      <c r="R230" s="188">
        <v>1</v>
      </c>
      <c r="S230" s="252">
        <f t="shared" si="29"/>
        <v>0.42</v>
      </c>
      <c r="T230" s="204">
        <f>Table1[[#This Row],[man minutes]]*Table1[[#This Row],[labor rate]]</f>
        <v>0</v>
      </c>
      <c r="U230" s="204">
        <f t="shared" si="32"/>
        <v>0</v>
      </c>
      <c r="V230" s="189">
        <f t="shared" si="31"/>
        <v>0.15</v>
      </c>
      <c r="W230" s="253">
        <f t="shared" si="30"/>
        <v>0.15</v>
      </c>
      <c r="X230" s="204">
        <f t="shared" si="33"/>
        <v>0</v>
      </c>
      <c r="Y230" s="204">
        <f t="shared" si="34"/>
        <v>0</v>
      </c>
      <c r="Z230" s="204">
        <f t="shared" si="35"/>
        <v>0</v>
      </c>
      <c r="AA230" s="206">
        <f>+Table1[[#This Row],[calculated sale price]]</f>
        <v>0</v>
      </c>
      <c r="AB230" s="205"/>
      <c r="AC230" s="209"/>
    </row>
    <row r="231" spans="1:29" x14ac:dyDescent="0.25">
      <c r="A231" s="188">
        <v>1222</v>
      </c>
      <c r="C231" s="188">
        <v>1</v>
      </c>
      <c r="I231" s="188"/>
      <c r="J231" s="188"/>
      <c r="K231" s="188"/>
      <c r="L231" s="199"/>
      <c r="M231" s="188"/>
      <c r="N231" s="200"/>
      <c r="O231" s="201">
        <v>0</v>
      </c>
      <c r="P231" s="201">
        <f>Table1[[#This Row],[unit cost]]</f>
        <v>0</v>
      </c>
      <c r="Q231" s="203"/>
      <c r="R231" s="188">
        <v>1</v>
      </c>
      <c r="S231" s="252">
        <f t="shared" si="29"/>
        <v>0.42</v>
      </c>
      <c r="T231" s="204">
        <f>Table1[[#This Row],[man minutes]]*Table1[[#This Row],[labor rate]]</f>
        <v>0</v>
      </c>
      <c r="U231" s="204">
        <f t="shared" si="32"/>
        <v>0</v>
      </c>
      <c r="V231" s="189">
        <f t="shared" si="31"/>
        <v>0.15</v>
      </c>
      <c r="W231" s="253">
        <f t="shared" si="30"/>
        <v>0.15</v>
      </c>
      <c r="X231" s="204">
        <f t="shared" si="33"/>
        <v>0</v>
      </c>
      <c r="Y231" s="204">
        <f t="shared" si="34"/>
        <v>0</v>
      </c>
      <c r="Z231" s="204">
        <f t="shared" si="35"/>
        <v>0</v>
      </c>
      <c r="AA231" s="206">
        <f>+Table1[[#This Row],[calculated sale price]]</f>
        <v>0</v>
      </c>
      <c r="AB231" s="205"/>
      <c r="AC231" s="209"/>
    </row>
    <row r="232" spans="1:29" x14ac:dyDescent="0.25">
      <c r="A232" s="188">
        <v>1223</v>
      </c>
      <c r="C232" s="188">
        <v>1</v>
      </c>
      <c r="I232" s="188"/>
      <c r="J232" s="188"/>
      <c r="K232" s="188"/>
      <c r="L232" s="199"/>
      <c r="M232" s="188"/>
      <c r="N232" s="200"/>
      <c r="O232" s="201">
        <v>0</v>
      </c>
      <c r="P232" s="201">
        <f>Table1[[#This Row],[unit cost]]</f>
        <v>0</v>
      </c>
      <c r="Q232" s="203"/>
      <c r="R232" s="188">
        <v>1</v>
      </c>
      <c r="S232" s="252">
        <f t="shared" si="29"/>
        <v>0.42</v>
      </c>
      <c r="T232" s="204">
        <f>Table1[[#This Row],[man minutes]]*Table1[[#This Row],[labor rate]]</f>
        <v>0</v>
      </c>
      <c r="U232" s="204">
        <f t="shared" si="32"/>
        <v>0</v>
      </c>
      <c r="V232" s="189">
        <f t="shared" si="31"/>
        <v>0.15</v>
      </c>
      <c r="W232" s="253">
        <f t="shared" si="30"/>
        <v>0.15</v>
      </c>
      <c r="X232" s="204">
        <f t="shared" si="33"/>
        <v>0</v>
      </c>
      <c r="Y232" s="204">
        <f t="shared" si="34"/>
        <v>0</v>
      </c>
      <c r="Z232" s="204">
        <f t="shared" si="35"/>
        <v>0</v>
      </c>
      <c r="AA232" s="206">
        <f>+Table1[[#This Row],[calculated sale price]]</f>
        <v>0</v>
      </c>
      <c r="AB232" s="205"/>
      <c r="AC232" s="209"/>
    </row>
    <row r="233" spans="1:29" x14ac:dyDescent="0.25">
      <c r="A233" s="188">
        <v>1224</v>
      </c>
      <c r="C233" s="188">
        <v>1</v>
      </c>
      <c r="I233" s="188"/>
      <c r="J233" s="188"/>
      <c r="K233" s="188"/>
      <c r="L233" s="199"/>
      <c r="M233" s="188"/>
      <c r="N233" s="200"/>
      <c r="O233" s="201">
        <v>0</v>
      </c>
      <c r="P233" s="201">
        <f>Table1[[#This Row],[unit cost]]</f>
        <v>0</v>
      </c>
      <c r="Q233" s="203"/>
      <c r="R233" s="188">
        <v>1</v>
      </c>
      <c r="S233" s="252">
        <f t="shared" si="29"/>
        <v>0.42</v>
      </c>
      <c r="T233" s="204">
        <f>Table1[[#This Row],[man minutes]]*Table1[[#This Row],[labor rate]]</f>
        <v>0</v>
      </c>
      <c r="U233" s="204">
        <f t="shared" si="32"/>
        <v>0</v>
      </c>
      <c r="V233" s="189">
        <f t="shared" si="31"/>
        <v>0.15</v>
      </c>
      <c r="W233" s="253">
        <f t="shared" si="30"/>
        <v>0.15</v>
      </c>
      <c r="X233" s="204">
        <f t="shared" si="33"/>
        <v>0</v>
      </c>
      <c r="Y233" s="204">
        <f t="shared" si="34"/>
        <v>0</v>
      </c>
      <c r="Z233" s="204">
        <f t="shared" si="35"/>
        <v>0</v>
      </c>
      <c r="AA233" s="206">
        <f>+Table1[[#This Row],[calculated sale price]]</f>
        <v>0</v>
      </c>
      <c r="AB233" s="205"/>
      <c r="AC233" s="209"/>
    </row>
    <row r="234" spans="1:29" x14ac:dyDescent="0.25">
      <c r="A234" s="188">
        <v>1225</v>
      </c>
      <c r="C234" s="188">
        <v>1</v>
      </c>
      <c r="I234" s="188"/>
      <c r="J234" s="188"/>
      <c r="K234" s="188"/>
      <c r="L234" s="199"/>
      <c r="M234" s="188"/>
      <c r="N234" s="200"/>
      <c r="O234" s="201">
        <v>0</v>
      </c>
      <c r="P234" s="201">
        <f>Table1[[#This Row],[unit cost]]</f>
        <v>0</v>
      </c>
      <c r="Q234" s="203"/>
      <c r="R234" s="188">
        <v>1</v>
      </c>
      <c r="S234" s="252">
        <f t="shared" si="29"/>
        <v>0.42</v>
      </c>
      <c r="T234" s="204">
        <f>Table1[[#This Row],[man minutes]]*Table1[[#This Row],[labor rate]]</f>
        <v>0</v>
      </c>
      <c r="U234" s="204">
        <f t="shared" si="32"/>
        <v>0</v>
      </c>
      <c r="V234" s="189">
        <f t="shared" si="31"/>
        <v>0.15</v>
      </c>
      <c r="W234" s="253">
        <f t="shared" si="30"/>
        <v>0.15</v>
      </c>
      <c r="X234" s="204">
        <f t="shared" si="33"/>
        <v>0</v>
      </c>
      <c r="Y234" s="204">
        <f t="shared" si="34"/>
        <v>0</v>
      </c>
      <c r="Z234" s="204">
        <f t="shared" si="35"/>
        <v>0</v>
      </c>
      <c r="AA234" s="206">
        <f>+Table1[[#This Row],[calculated sale price]]</f>
        <v>0</v>
      </c>
      <c r="AB234" s="205"/>
      <c r="AC234" s="209"/>
    </row>
    <row r="235" spans="1:29" x14ac:dyDescent="0.25">
      <c r="A235" s="188">
        <v>1226</v>
      </c>
      <c r="C235" s="188">
        <v>1</v>
      </c>
      <c r="I235" s="188"/>
      <c r="J235" s="188"/>
      <c r="K235" s="188"/>
      <c r="L235" s="199"/>
      <c r="M235" s="188"/>
      <c r="N235" s="200"/>
      <c r="O235" s="201">
        <v>0</v>
      </c>
      <c r="P235" s="201">
        <f>Table1[[#This Row],[unit cost]]</f>
        <v>0</v>
      </c>
      <c r="Q235" s="203"/>
      <c r="R235" s="188">
        <v>1</v>
      </c>
      <c r="S235" s="252">
        <f t="shared" si="29"/>
        <v>0.42</v>
      </c>
      <c r="T235" s="204">
        <f>Table1[[#This Row],[man minutes]]*Table1[[#This Row],[labor rate]]</f>
        <v>0</v>
      </c>
      <c r="U235" s="204">
        <f t="shared" si="32"/>
        <v>0</v>
      </c>
      <c r="V235" s="189">
        <f t="shared" si="31"/>
        <v>0.15</v>
      </c>
      <c r="W235" s="253">
        <f t="shared" si="30"/>
        <v>0.15</v>
      </c>
      <c r="X235" s="204">
        <f t="shared" si="33"/>
        <v>0</v>
      </c>
      <c r="Y235" s="204">
        <f t="shared" si="34"/>
        <v>0</v>
      </c>
      <c r="Z235" s="204">
        <f t="shared" si="35"/>
        <v>0</v>
      </c>
      <c r="AA235" s="206">
        <f>+Table1[[#This Row],[calculated sale price]]</f>
        <v>0</v>
      </c>
      <c r="AB235" s="205"/>
      <c r="AC235" s="209"/>
    </row>
    <row r="236" spans="1:29" x14ac:dyDescent="0.25">
      <c r="A236" s="188">
        <v>1227</v>
      </c>
      <c r="C236" s="188">
        <v>1</v>
      </c>
      <c r="I236" s="188"/>
      <c r="J236" s="188"/>
      <c r="K236" s="188"/>
      <c r="L236" s="199"/>
      <c r="M236" s="188"/>
      <c r="N236" s="200"/>
      <c r="O236" s="201">
        <v>0</v>
      </c>
      <c r="P236" s="201">
        <f>Table1[[#This Row],[unit cost]]</f>
        <v>0</v>
      </c>
      <c r="Q236" s="203"/>
      <c r="R236" s="188">
        <v>1</v>
      </c>
      <c r="S236" s="252">
        <f t="shared" si="29"/>
        <v>0.42</v>
      </c>
      <c r="T236" s="204">
        <f>Table1[[#This Row],[man minutes]]*Table1[[#This Row],[labor rate]]</f>
        <v>0</v>
      </c>
      <c r="U236" s="204">
        <f t="shared" si="32"/>
        <v>0</v>
      </c>
      <c r="V236" s="189">
        <f t="shared" si="31"/>
        <v>0.15</v>
      </c>
      <c r="W236" s="253">
        <f t="shared" si="30"/>
        <v>0.15</v>
      </c>
      <c r="X236" s="204">
        <f t="shared" si="33"/>
        <v>0</v>
      </c>
      <c r="Y236" s="204">
        <f t="shared" si="34"/>
        <v>0</v>
      </c>
      <c r="Z236" s="204">
        <f t="shared" si="35"/>
        <v>0</v>
      </c>
      <c r="AA236" s="206">
        <f>+Table1[[#This Row],[calculated sale price]]</f>
        <v>0</v>
      </c>
      <c r="AB236" s="205"/>
      <c r="AC236" s="209"/>
    </row>
    <row r="237" spans="1:29" x14ac:dyDescent="0.25">
      <c r="A237" s="188">
        <v>1228</v>
      </c>
      <c r="C237" s="188">
        <v>1</v>
      </c>
      <c r="I237" s="188"/>
      <c r="J237" s="188"/>
      <c r="K237" s="188"/>
      <c r="L237" s="199"/>
      <c r="M237" s="188"/>
      <c r="N237" s="200"/>
      <c r="O237" s="201">
        <v>0</v>
      </c>
      <c r="P237" s="201">
        <f>Table1[[#This Row],[unit cost]]</f>
        <v>0</v>
      </c>
      <c r="Q237" s="203"/>
      <c r="R237" s="188">
        <v>1</v>
      </c>
      <c r="S237" s="252">
        <f t="shared" si="29"/>
        <v>0.42</v>
      </c>
      <c r="T237" s="204">
        <f>Table1[[#This Row],[man minutes]]*Table1[[#This Row],[labor rate]]</f>
        <v>0</v>
      </c>
      <c r="U237" s="204">
        <f t="shared" si="32"/>
        <v>0</v>
      </c>
      <c r="V237" s="189">
        <f t="shared" si="31"/>
        <v>0.15</v>
      </c>
      <c r="W237" s="253">
        <f t="shared" si="30"/>
        <v>0.15</v>
      </c>
      <c r="X237" s="204">
        <f t="shared" si="33"/>
        <v>0</v>
      </c>
      <c r="Y237" s="204">
        <f t="shared" si="34"/>
        <v>0</v>
      </c>
      <c r="Z237" s="204">
        <f t="shared" si="35"/>
        <v>0</v>
      </c>
      <c r="AA237" s="206">
        <f>+Table1[[#This Row],[calculated sale price]]</f>
        <v>0</v>
      </c>
      <c r="AB237" s="205"/>
      <c r="AC237" s="209"/>
    </row>
    <row r="238" spans="1:29" x14ac:dyDescent="0.25">
      <c r="A238" s="188">
        <v>1229</v>
      </c>
      <c r="C238" s="188">
        <v>1</v>
      </c>
      <c r="I238" s="188"/>
      <c r="J238" s="188"/>
      <c r="K238" s="188"/>
      <c r="L238" s="199"/>
      <c r="M238" s="188"/>
      <c r="N238" s="200"/>
      <c r="O238" s="201">
        <v>0</v>
      </c>
      <c r="P238" s="201">
        <f>Table1[[#This Row],[unit cost]]</f>
        <v>0</v>
      </c>
      <c r="Q238" s="203"/>
      <c r="R238" s="188">
        <v>1</v>
      </c>
      <c r="S238" s="252">
        <f t="shared" si="29"/>
        <v>0.42</v>
      </c>
      <c r="T238" s="204">
        <f>Table1[[#This Row],[man minutes]]*Table1[[#This Row],[labor rate]]</f>
        <v>0</v>
      </c>
      <c r="U238" s="204">
        <f t="shared" si="32"/>
        <v>0</v>
      </c>
      <c r="V238" s="189">
        <f t="shared" si="31"/>
        <v>0.15</v>
      </c>
      <c r="W238" s="253">
        <f t="shared" si="30"/>
        <v>0.15</v>
      </c>
      <c r="X238" s="204">
        <f t="shared" si="33"/>
        <v>0</v>
      </c>
      <c r="Y238" s="204">
        <f t="shared" si="34"/>
        <v>0</v>
      </c>
      <c r="Z238" s="204">
        <f t="shared" si="35"/>
        <v>0</v>
      </c>
      <c r="AA238" s="206">
        <f>+Table1[[#This Row],[calculated sale price]]</f>
        <v>0</v>
      </c>
      <c r="AB238" s="205"/>
      <c r="AC238" s="209"/>
    </row>
    <row r="239" spans="1:29" x14ac:dyDescent="0.25">
      <c r="A239" s="188">
        <v>1230</v>
      </c>
      <c r="C239" s="188">
        <v>1</v>
      </c>
      <c r="I239" s="188"/>
      <c r="J239" s="188"/>
      <c r="K239" s="188"/>
      <c r="L239" s="199"/>
      <c r="M239" s="188"/>
      <c r="N239" s="200"/>
      <c r="O239" s="201">
        <v>0</v>
      </c>
      <c r="P239" s="201">
        <f>Table1[[#This Row],[unit cost]]</f>
        <v>0</v>
      </c>
      <c r="Q239" s="203"/>
      <c r="R239" s="188">
        <v>1</v>
      </c>
      <c r="S239" s="252">
        <f t="shared" si="29"/>
        <v>0.42</v>
      </c>
      <c r="T239" s="204">
        <f>Table1[[#This Row],[man minutes]]*Table1[[#This Row],[labor rate]]</f>
        <v>0</v>
      </c>
      <c r="U239" s="204">
        <f t="shared" si="32"/>
        <v>0</v>
      </c>
      <c r="V239" s="189">
        <f t="shared" si="31"/>
        <v>0.15</v>
      </c>
      <c r="W239" s="253">
        <f t="shared" si="30"/>
        <v>0.15</v>
      </c>
      <c r="X239" s="204">
        <f t="shared" si="33"/>
        <v>0</v>
      </c>
      <c r="Y239" s="204">
        <f t="shared" si="34"/>
        <v>0</v>
      </c>
      <c r="Z239" s="204">
        <f t="shared" si="35"/>
        <v>0</v>
      </c>
      <c r="AA239" s="206">
        <f>+Table1[[#This Row],[calculated sale price]]</f>
        <v>0</v>
      </c>
      <c r="AB239" s="205"/>
      <c r="AC239" s="209"/>
    </row>
    <row r="240" spans="1:29" x14ac:dyDescent="0.25">
      <c r="A240" s="188">
        <v>1231</v>
      </c>
      <c r="C240" s="188">
        <v>1</v>
      </c>
      <c r="I240" s="188"/>
      <c r="J240" s="188"/>
      <c r="K240" s="188"/>
      <c r="L240" s="199"/>
      <c r="M240" s="188"/>
      <c r="N240" s="200"/>
      <c r="O240" s="201">
        <v>0</v>
      </c>
      <c r="P240" s="201">
        <f>Table1[[#This Row],[unit cost]]</f>
        <v>0</v>
      </c>
      <c r="Q240" s="203"/>
      <c r="R240" s="188">
        <v>1</v>
      </c>
      <c r="S240" s="252">
        <f t="shared" si="29"/>
        <v>0.42</v>
      </c>
      <c r="T240" s="204">
        <f>Table1[[#This Row],[man minutes]]*Table1[[#This Row],[labor rate]]</f>
        <v>0</v>
      </c>
      <c r="U240" s="204">
        <f t="shared" si="32"/>
        <v>0</v>
      </c>
      <c r="V240" s="189">
        <f t="shared" si="31"/>
        <v>0.15</v>
      </c>
      <c r="W240" s="253">
        <f t="shared" si="30"/>
        <v>0.15</v>
      </c>
      <c r="X240" s="204">
        <f t="shared" si="33"/>
        <v>0</v>
      </c>
      <c r="Y240" s="204">
        <f t="shared" si="34"/>
        <v>0</v>
      </c>
      <c r="Z240" s="204">
        <f t="shared" si="35"/>
        <v>0</v>
      </c>
      <c r="AA240" s="206">
        <f>+Table1[[#This Row],[calculated sale price]]</f>
        <v>0</v>
      </c>
      <c r="AB240" s="205"/>
      <c r="AC240" s="209"/>
    </row>
    <row r="241" spans="1:29" x14ac:dyDescent="0.25">
      <c r="A241" s="188">
        <v>1232</v>
      </c>
      <c r="C241" s="188">
        <v>1</v>
      </c>
      <c r="I241" s="188"/>
      <c r="J241" s="188"/>
      <c r="K241" s="188"/>
      <c r="L241" s="199"/>
      <c r="M241" s="188"/>
      <c r="N241" s="200"/>
      <c r="O241" s="201">
        <v>0</v>
      </c>
      <c r="P241" s="201">
        <f>Table1[[#This Row],[unit cost]]</f>
        <v>0</v>
      </c>
      <c r="Q241" s="203"/>
      <c r="R241" s="188">
        <v>1</v>
      </c>
      <c r="S241" s="252">
        <f t="shared" si="29"/>
        <v>0.42</v>
      </c>
      <c r="T241" s="204">
        <f>Table1[[#This Row],[man minutes]]*Table1[[#This Row],[labor rate]]</f>
        <v>0</v>
      </c>
      <c r="U241" s="204">
        <f t="shared" si="32"/>
        <v>0</v>
      </c>
      <c r="V241" s="189">
        <f t="shared" si="31"/>
        <v>0.15</v>
      </c>
      <c r="W241" s="253">
        <f t="shared" si="30"/>
        <v>0.15</v>
      </c>
      <c r="X241" s="204">
        <f t="shared" si="33"/>
        <v>0</v>
      </c>
      <c r="Y241" s="204">
        <f t="shared" si="34"/>
        <v>0</v>
      </c>
      <c r="Z241" s="204">
        <f t="shared" si="35"/>
        <v>0</v>
      </c>
      <c r="AA241" s="206">
        <f>+Table1[[#This Row],[calculated sale price]]</f>
        <v>0</v>
      </c>
      <c r="AB241" s="205"/>
      <c r="AC241" s="209"/>
    </row>
    <row r="242" spans="1:29" x14ac:dyDescent="0.25">
      <c r="A242" s="188">
        <v>1233</v>
      </c>
      <c r="C242" s="188">
        <v>1</v>
      </c>
      <c r="I242" s="188"/>
      <c r="J242" s="188"/>
      <c r="K242" s="188"/>
      <c r="L242" s="199"/>
      <c r="M242" s="188"/>
      <c r="N242" s="200"/>
      <c r="O242" s="201">
        <v>0</v>
      </c>
      <c r="P242" s="201">
        <f>Table1[[#This Row],[unit cost]]</f>
        <v>0</v>
      </c>
      <c r="Q242" s="203"/>
      <c r="R242" s="188">
        <v>1</v>
      </c>
      <c r="S242" s="252">
        <f t="shared" si="29"/>
        <v>0.42</v>
      </c>
      <c r="T242" s="204">
        <f>Table1[[#This Row],[man minutes]]*Table1[[#This Row],[labor rate]]</f>
        <v>0</v>
      </c>
      <c r="U242" s="204">
        <f t="shared" si="32"/>
        <v>0</v>
      </c>
      <c r="V242" s="189">
        <f t="shared" si="31"/>
        <v>0.15</v>
      </c>
      <c r="W242" s="253">
        <f t="shared" si="30"/>
        <v>0.15</v>
      </c>
      <c r="X242" s="204">
        <f t="shared" si="33"/>
        <v>0</v>
      </c>
      <c r="Y242" s="204">
        <f t="shared" si="34"/>
        <v>0</v>
      </c>
      <c r="Z242" s="204">
        <f t="shared" si="35"/>
        <v>0</v>
      </c>
      <c r="AA242" s="206">
        <f>+Table1[[#This Row],[calculated sale price]]</f>
        <v>0</v>
      </c>
      <c r="AB242" s="205"/>
      <c r="AC242" s="209"/>
    </row>
    <row r="243" spans="1:29" x14ac:dyDescent="0.25">
      <c r="A243" s="188">
        <v>1234</v>
      </c>
      <c r="C243" s="188">
        <v>1</v>
      </c>
      <c r="I243" s="188"/>
      <c r="J243" s="188"/>
      <c r="K243" s="188"/>
      <c r="L243" s="199"/>
      <c r="M243" s="188"/>
      <c r="N243" s="200"/>
      <c r="O243" s="201">
        <v>0</v>
      </c>
      <c r="P243" s="201">
        <f>Table1[[#This Row],[unit cost]]</f>
        <v>0</v>
      </c>
      <c r="Q243" s="203"/>
      <c r="R243" s="188">
        <v>1</v>
      </c>
      <c r="S243" s="252">
        <f t="shared" si="29"/>
        <v>0.42</v>
      </c>
      <c r="T243" s="204">
        <f>Table1[[#This Row],[man minutes]]*Table1[[#This Row],[labor rate]]</f>
        <v>0</v>
      </c>
      <c r="U243" s="204">
        <f t="shared" si="32"/>
        <v>0</v>
      </c>
      <c r="V243" s="189">
        <f t="shared" si="31"/>
        <v>0.15</v>
      </c>
      <c r="W243" s="253">
        <f t="shared" si="30"/>
        <v>0.15</v>
      </c>
      <c r="X243" s="204">
        <f t="shared" si="33"/>
        <v>0</v>
      </c>
      <c r="Y243" s="204">
        <f t="shared" si="34"/>
        <v>0</v>
      </c>
      <c r="Z243" s="204">
        <f t="shared" si="35"/>
        <v>0</v>
      </c>
      <c r="AA243" s="206">
        <f>+Table1[[#This Row],[calculated sale price]]</f>
        <v>0</v>
      </c>
      <c r="AB243" s="205"/>
      <c r="AC243" s="209"/>
    </row>
    <row r="244" spans="1:29" x14ac:dyDescent="0.25">
      <c r="A244" s="188">
        <v>1235</v>
      </c>
      <c r="C244" s="188">
        <v>1</v>
      </c>
      <c r="I244" s="188"/>
      <c r="J244" s="188"/>
      <c r="K244" s="188"/>
      <c r="L244" s="199"/>
      <c r="M244" s="188"/>
      <c r="N244" s="200"/>
      <c r="O244" s="201">
        <v>0</v>
      </c>
      <c r="P244" s="201">
        <f>Table1[[#This Row],[unit cost]]</f>
        <v>0</v>
      </c>
      <c r="Q244" s="203"/>
      <c r="R244" s="188">
        <v>1</v>
      </c>
      <c r="S244" s="252">
        <f t="shared" si="29"/>
        <v>0.42</v>
      </c>
      <c r="T244" s="204">
        <f>Table1[[#This Row],[man minutes]]*Table1[[#This Row],[labor rate]]</f>
        <v>0</v>
      </c>
      <c r="U244" s="204">
        <f t="shared" si="32"/>
        <v>0</v>
      </c>
      <c r="V244" s="189">
        <f t="shared" si="31"/>
        <v>0.15</v>
      </c>
      <c r="W244" s="253">
        <f t="shared" si="30"/>
        <v>0.15</v>
      </c>
      <c r="X244" s="204">
        <f t="shared" si="33"/>
        <v>0</v>
      </c>
      <c r="Y244" s="204">
        <f t="shared" si="34"/>
        <v>0</v>
      </c>
      <c r="Z244" s="204">
        <f t="shared" si="35"/>
        <v>0</v>
      </c>
      <c r="AA244" s="206">
        <f>+Table1[[#This Row],[calculated sale price]]</f>
        <v>0</v>
      </c>
      <c r="AB244" s="205"/>
      <c r="AC244" s="209"/>
    </row>
    <row r="245" spans="1:29" x14ac:dyDescent="0.25">
      <c r="A245" s="188">
        <v>1236</v>
      </c>
      <c r="C245" s="188">
        <v>1</v>
      </c>
      <c r="I245" s="188"/>
      <c r="J245" s="188"/>
      <c r="K245" s="188"/>
      <c r="L245" s="199"/>
      <c r="M245" s="188"/>
      <c r="N245" s="200"/>
      <c r="O245" s="201">
        <v>0</v>
      </c>
      <c r="P245" s="201">
        <f>Table1[[#This Row],[unit cost]]</f>
        <v>0</v>
      </c>
      <c r="Q245" s="203"/>
      <c r="R245" s="188">
        <v>1</v>
      </c>
      <c r="S245" s="252">
        <f t="shared" si="29"/>
        <v>0.42</v>
      </c>
      <c r="T245" s="204">
        <f>Table1[[#This Row],[man minutes]]*Table1[[#This Row],[labor rate]]</f>
        <v>0</v>
      </c>
      <c r="U245" s="204">
        <f t="shared" si="32"/>
        <v>0</v>
      </c>
      <c r="V245" s="189">
        <f t="shared" si="31"/>
        <v>0.15</v>
      </c>
      <c r="W245" s="253">
        <f t="shared" si="30"/>
        <v>0.15</v>
      </c>
      <c r="X245" s="204">
        <f t="shared" si="33"/>
        <v>0</v>
      </c>
      <c r="Y245" s="204">
        <f t="shared" si="34"/>
        <v>0</v>
      </c>
      <c r="Z245" s="204">
        <f t="shared" si="35"/>
        <v>0</v>
      </c>
      <c r="AA245" s="206">
        <f>+Table1[[#This Row],[calculated sale price]]</f>
        <v>0</v>
      </c>
      <c r="AB245" s="205"/>
      <c r="AC245" s="209"/>
    </row>
    <row r="246" spans="1:29" x14ac:dyDescent="0.25">
      <c r="A246" s="188">
        <v>1237</v>
      </c>
      <c r="C246" s="188">
        <v>1</v>
      </c>
      <c r="I246" s="188"/>
      <c r="J246" s="188"/>
      <c r="K246" s="188"/>
      <c r="L246" s="199"/>
      <c r="M246" s="188"/>
      <c r="N246" s="200"/>
      <c r="O246" s="201">
        <v>0</v>
      </c>
      <c r="P246" s="201">
        <f>Table1[[#This Row],[unit cost]]</f>
        <v>0</v>
      </c>
      <c r="Q246" s="203"/>
      <c r="R246" s="188">
        <v>1</v>
      </c>
      <c r="S246" s="252">
        <f t="shared" si="29"/>
        <v>0.42</v>
      </c>
      <c r="T246" s="204">
        <f>Table1[[#This Row],[man minutes]]*Table1[[#This Row],[labor rate]]</f>
        <v>0</v>
      </c>
      <c r="U246" s="204">
        <f t="shared" si="32"/>
        <v>0</v>
      </c>
      <c r="V246" s="189">
        <f t="shared" si="31"/>
        <v>0.15</v>
      </c>
      <c r="W246" s="253">
        <f t="shared" si="30"/>
        <v>0.15</v>
      </c>
      <c r="X246" s="204">
        <f t="shared" si="33"/>
        <v>0</v>
      </c>
      <c r="Y246" s="204">
        <f t="shared" si="34"/>
        <v>0</v>
      </c>
      <c r="Z246" s="204">
        <f t="shared" si="35"/>
        <v>0</v>
      </c>
      <c r="AA246" s="206">
        <f>+Table1[[#This Row],[calculated sale price]]</f>
        <v>0</v>
      </c>
      <c r="AB246" s="205"/>
      <c r="AC246" s="209"/>
    </row>
    <row r="247" spans="1:29" x14ac:dyDescent="0.25">
      <c r="A247" s="188">
        <v>1238</v>
      </c>
      <c r="C247" s="188">
        <v>1</v>
      </c>
      <c r="I247" s="188"/>
      <c r="J247" s="188"/>
      <c r="K247" s="188"/>
      <c r="L247" s="199"/>
      <c r="M247" s="188"/>
      <c r="N247" s="200"/>
      <c r="O247" s="201">
        <v>0</v>
      </c>
      <c r="P247" s="201">
        <f>Table1[[#This Row],[unit cost]]</f>
        <v>0</v>
      </c>
      <c r="Q247" s="203"/>
      <c r="R247" s="188">
        <v>1</v>
      </c>
      <c r="S247" s="252">
        <f t="shared" si="29"/>
        <v>0.42</v>
      </c>
      <c r="T247" s="204">
        <f>Table1[[#This Row],[man minutes]]*Table1[[#This Row],[labor rate]]</f>
        <v>0</v>
      </c>
      <c r="U247" s="204">
        <f t="shared" si="32"/>
        <v>0</v>
      </c>
      <c r="V247" s="189">
        <f t="shared" si="31"/>
        <v>0.15</v>
      </c>
      <c r="W247" s="253">
        <f t="shared" si="30"/>
        <v>0.15</v>
      </c>
      <c r="X247" s="204">
        <f t="shared" si="33"/>
        <v>0</v>
      </c>
      <c r="Y247" s="204">
        <f t="shared" si="34"/>
        <v>0</v>
      </c>
      <c r="Z247" s="204">
        <f t="shared" si="35"/>
        <v>0</v>
      </c>
      <c r="AA247" s="206">
        <f>+Table1[[#This Row],[calculated sale price]]</f>
        <v>0</v>
      </c>
      <c r="AB247" s="205"/>
      <c r="AC247" s="209"/>
    </row>
    <row r="248" spans="1:29" x14ac:dyDescent="0.25">
      <c r="A248" s="188">
        <v>1239</v>
      </c>
      <c r="C248" s="188">
        <v>1</v>
      </c>
      <c r="I248" s="188"/>
      <c r="J248" s="188"/>
      <c r="K248" s="188"/>
      <c r="L248" s="199"/>
      <c r="M248" s="188"/>
      <c r="N248" s="200"/>
      <c r="O248" s="201">
        <v>0</v>
      </c>
      <c r="P248" s="201">
        <f>Table1[[#This Row],[unit cost]]</f>
        <v>0</v>
      </c>
      <c r="Q248" s="203"/>
      <c r="R248" s="188">
        <v>1</v>
      </c>
      <c r="S248" s="252">
        <f t="shared" si="29"/>
        <v>0.42</v>
      </c>
      <c r="T248" s="204">
        <f>Table1[[#This Row],[man minutes]]*Table1[[#This Row],[labor rate]]</f>
        <v>0</v>
      </c>
      <c r="U248" s="204">
        <f t="shared" si="32"/>
        <v>0</v>
      </c>
      <c r="V248" s="189">
        <f t="shared" si="31"/>
        <v>0.15</v>
      </c>
      <c r="W248" s="253">
        <f t="shared" si="30"/>
        <v>0.15</v>
      </c>
      <c r="X248" s="204">
        <f t="shared" si="33"/>
        <v>0</v>
      </c>
      <c r="Y248" s="204">
        <f t="shared" si="34"/>
        <v>0</v>
      </c>
      <c r="Z248" s="204">
        <f t="shared" si="35"/>
        <v>0</v>
      </c>
      <c r="AA248" s="206">
        <f>+Table1[[#This Row],[calculated sale price]]</f>
        <v>0</v>
      </c>
      <c r="AB248" s="205"/>
      <c r="AC248" s="209"/>
    </row>
    <row r="249" spans="1:29" x14ac:dyDescent="0.25">
      <c r="A249" s="188">
        <v>1240</v>
      </c>
      <c r="C249" s="188">
        <v>1</v>
      </c>
      <c r="I249" s="188"/>
      <c r="J249" s="188"/>
      <c r="K249" s="188"/>
      <c r="L249" s="199"/>
      <c r="M249" s="188"/>
      <c r="N249" s="200"/>
      <c r="O249" s="201">
        <v>0</v>
      </c>
      <c r="P249" s="201">
        <f>Table1[[#This Row],[unit cost]]</f>
        <v>0</v>
      </c>
      <c r="Q249" s="203"/>
      <c r="R249" s="188">
        <v>1</v>
      </c>
      <c r="S249" s="252">
        <f t="shared" si="29"/>
        <v>0.42</v>
      </c>
      <c r="T249" s="204">
        <f>Table1[[#This Row],[man minutes]]*Table1[[#This Row],[labor rate]]</f>
        <v>0</v>
      </c>
      <c r="U249" s="204">
        <f t="shared" si="32"/>
        <v>0</v>
      </c>
      <c r="V249" s="189">
        <f t="shared" si="31"/>
        <v>0.15</v>
      </c>
      <c r="W249" s="253">
        <f t="shared" si="30"/>
        <v>0.15</v>
      </c>
      <c r="X249" s="204">
        <f t="shared" si="33"/>
        <v>0</v>
      </c>
      <c r="Y249" s="204">
        <f t="shared" si="34"/>
        <v>0</v>
      </c>
      <c r="Z249" s="204">
        <f t="shared" si="35"/>
        <v>0</v>
      </c>
      <c r="AA249" s="206">
        <f>+Table1[[#This Row],[calculated sale price]]</f>
        <v>0</v>
      </c>
      <c r="AB249" s="205"/>
      <c r="AC249" s="209"/>
    </row>
    <row r="250" spans="1:29" x14ac:dyDescent="0.25">
      <c r="A250" s="188"/>
      <c r="C250" s="188">
        <v>1</v>
      </c>
      <c r="I250" s="188"/>
      <c r="J250" s="188"/>
      <c r="K250" s="188"/>
      <c r="L250" s="199"/>
      <c r="M250" s="188"/>
      <c r="N250" s="200"/>
      <c r="O250" s="201">
        <v>0</v>
      </c>
      <c r="P250" s="201">
        <f>Table1[[#This Row],[unit cost]]</f>
        <v>0</v>
      </c>
      <c r="Q250" s="203"/>
      <c r="R250" s="188">
        <v>1</v>
      </c>
      <c r="S250" s="252">
        <f t="shared" si="29"/>
        <v>0.42</v>
      </c>
      <c r="T250" s="204">
        <f>Table1[[#This Row],[man minutes]]*Table1[[#This Row],[labor rate]]</f>
        <v>0</v>
      </c>
      <c r="U250" s="204">
        <f t="shared" si="32"/>
        <v>0</v>
      </c>
      <c r="V250" s="189">
        <f t="shared" si="31"/>
        <v>0.15</v>
      </c>
      <c r="W250" s="253">
        <f t="shared" si="30"/>
        <v>0.15</v>
      </c>
      <c r="X250" s="204">
        <f t="shared" si="33"/>
        <v>0</v>
      </c>
      <c r="Y250" s="204">
        <f t="shared" si="34"/>
        <v>0</v>
      </c>
      <c r="Z250" s="204">
        <f t="shared" si="35"/>
        <v>0</v>
      </c>
      <c r="AA250" s="206">
        <f>+Table1[[#This Row],[calculated sale price]]</f>
        <v>0</v>
      </c>
      <c r="AB250" s="205"/>
      <c r="AC250" s="209"/>
    </row>
    <row r="251" spans="1:29" x14ac:dyDescent="0.25">
      <c r="A251" s="188"/>
      <c r="C251" s="188">
        <v>1</v>
      </c>
      <c r="I251" s="188"/>
      <c r="J251" s="188"/>
      <c r="K251" s="188"/>
      <c r="L251" s="199"/>
      <c r="M251" s="188"/>
      <c r="N251" s="200"/>
      <c r="O251" s="201">
        <v>0</v>
      </c>
      <c r="P251" s="201">
        <f>Table1[[#This Row],[unit cost]]</f>
        <v>0</v>
      </c>
      <c r="Q251" s="203"/>
      <c r="R251" s="188">
        <v>1</v>
      </c>
      <c r="S251" s="252">
        <f t="shared" si="29"/>
        <v>0.42</v>
      </c>
      <c r="T251" s="204">
        <f>Table1[[#This Row],[man minutes]]*Table1[[#This Row],[labor rate]]</f>
        <v>0</v>
      </c>
      <c r="U251" s="204">
        <f t="shared" si="32"/>
        <v>0</v>
      </c>
      <c r="V251" s="189">
        <f t="shared" si="31"/>
        <v>0.15</v>
      </c>
      <c r="W251" s="253">
        <f t="shared" si="30"/>
        <v>0.15</v>
      </c>
      <c r="X251" s="204">
        <f t="shared" si="33"/>
        <v>0</v>
      </c>
      <c r="Y251" s="204">
        <f t="shared" si="34"/>
        <v>0</v>
      </c>
      <c r="Z251" s="204">
        <f t="shared" si="35"/>
        <v>0</v>
      </c>
      <c r="AA251" s="206">
        <f>+Table1[[#This Row],[calculated sale price]]</f>
        <v>0</v>
      </c>
      <c r="AB251" s="205"/>
      <c r="AC251" s="209"/>
    </row>
    <row r="252" spans="1:29" x14ac:dyDescent="0.25">
      <c r="A252" s="188"/>
      <c r="C252" s="188">
        <v>1</v>
      </c>
      <c r="I252" s="188"/>
      <c r="J252" s="188"/>
      <c r="K252" s="188"/>
      <c r="L252" s="199"/>
      <c r="M252" s="188"/>
      <c r="N252" s="200"/>
      <c r="O252" s="201">
        <v>0</v>
      </c>
      <c r="P252" s="201">
        <f>Table1[[#This Row],[unit cost]]</f>
        <v>0</v>
      </c>
      <c r="Q252" s="203"/>
      <c r="R252" s="188">
        <v>1</v>
      </c>
      <c r="S252" s="252">
        <f t="shared" si="29"/>
        <v>0.42</v>
      </c>
      <c r="T252" s="204">
        <f>Table1[[#This Row],[man minutes]]*Table1[[#This Row],[labor rate]]</f>
        <v>0</v>
      </c>
      <c r="U252" s="204">
        <f t="shared" si="32"/>
        <v>0</v>
      </c>
      <c r="V252" s="189">
        <f t="shared" si="31"/>
        <v>0.15</v>
      </c>
      <c r="W252" s="253">
        <f t="shared" si="30"/>
        <v>0.15</v>
      </c>
      <c r="X252" s="204">
        <f t="shared" si="33"/>
        <v>0</v>
      </c>
      <c r="Y252" s="204">
        <f t="shared" si="34"/>
        <v>0</v>
      </c>
      <c r="Z252" s="204">
        <f t="shared" si="35"/>
        <v>0</v>
      </c>
      <c r="AA252" s="206">
        <f>+Table1[[#This Row],[calculated sale price]]</f>
        <v>0</v>
      </c>
      <c r="AB252" s="205"/>
      <c r="AC252" s="209"/>
    </row>
    <row r="253" spans="1:29" x14ac:dyDescent="0.25">
      <c r="A253" s="188"/>
      <c r="C253" s="188">
        <v>1</v>
      </c>
      <c r="I253" s="188"/>
      <c r="J253" s="188"/>
      <c r="K253" s="188"/>
      <c r="L253" s="199"/>
      <c r="M253" s="188"/>
      <c r="N253" s="200"/>
      <c r="O253" s="201">
        <v>0</v>
      </c>
      <c r="P253" s="201">
        <f>Table1[[#This Row],[unit cost]]</f>
        <v>0</v>
      </c>
      <c r="Q253" s="203"/>
      <c r="R253" s="188">
        <v>1</v>
      </c>
      <c r="S253" s="252">
        <f t="shared" si="29"/>
        <v>0.42</v>
      </c>
      <c r="T253" s="204">
        <f>Table1[[#This Row],[man minutes]]*Table1[[#This Row],[labor rate]]</f>
        <v>0</v>
      </c>
      <c r="U253" s="204">
        <f t="shared" si="32"/>
        <v>0</v>
      </c>
      <c r="V253" s="189">
        <f t="shared" si="31"/>
        <v>0.15</v>
      </c>
      <c r="W253" s="253">
        <f t="shared" si="30"/>
        <v>0.15</v>
      </c>
      <c r="X253" s="204">
        <f t="shared" si="33"/>
        <v>0</v>
      </c>
      <c r="Y253" s="204">
        <f t="shared" si="34"/>
        <v>0</v>
      </c>
      <c r="Z253" s="204">
        <f t="shared" si="35"/>
        <v>0</v>
      </c>
      <c r="AA253" s="206">
        <f>+Table1[[#This Row],[calculated sale price]]</f>
        <v>0</v>
      </c>
      <c r="AB253" s="205"/>
      <c r="AC253" s="209"/>
    </row>
    <row r="254" spans="1:29" x14ac:dyDescent="0.25">
      <c r="A254" s="188"/>
      <c r="C254" s="188"/>
      <c r="I254" s="188"/>
      <c r="J254" s="188"/>
      <c r="K254" s="188"/>
      <c r="L254" s="199"/>
      <c r="M254" s="188"/>
      <c r="N254" s="200"/>
      <c r="O254" s="201"/>
      <c r="P254" s="202"/>
      <c r="Q254" s="203"/>
      <c r="S254" s="204">
        <f t="shared" si="29"/>
        <v>0.42</v>
      </c>
      <c r="T254" s="204"/>
      <c r="U254" s="204"/>
      <c r="X254" s="204"/>
      <c r="Y254" s="204"/>
      <c r="Z254" s="204"/>
      <c r="AA254" s="206"/>
      <c r="AB254" s="205"/>
      <c r="AC254" s="209"/>
    </row>
    <row r="255" spans="1:29" x14ac:dyDescent="0.25">
      <c r="A255" s="188"/>
      <c r="C255" s="188"/>
      <c r="I255" s="188"/>
      <c r="J255" s="188"/>
      <c r="K255" s="188"/>
      <c r="L255" s="199"/>
      <c r="M255" s="188"/>
      <c r="N255" s="200"/>
      <c r="O255" s="201"/>
      <c r="P255" s="202"/>
      <c r="Q255" s="203"/>
      <c r="S255" s="204">
        <f t="shared" si="29"/>
        <v>0.42</v>
      </c>
      <c r="T255" s="204"/>
      <c r="U255" s="204"/>
      <c r="X255" s="204"/>
      <c r="Y255" s="204"/>
      <c r="Z255" s="204"/>
      <c r="AA255" s="206"/>
      <c r="AB255" s="205"/>
      <c r="AC255" s="209"/>
    </row>
    <row r="256" spans="1:29" x14ac:dyDescent="0.25">
      <c r="A256" s="188"/>
      <c r="C256" s="188"/>
      <c r="I256" s="188"/>
      <c r="J256" s="188"/>
      <c r="K256" s="188"/>
      <c r="L256" s="199"/>
      <c r="M256" s="188"/>
      <c r="N256" s="200"/>
      <c r="O256" s="201"/>
      <c r="P256" s="202"/>
      <c r="Q256" s="203"/>
      <c r="S256" s="204">
        <f t="shared" si="29"/>
        <v>0.42</v>
      </c>
      <c r="T256" s="204"/>
      <c r="U256" s="204"/>
      <c r="X256" s="204"/>
      <c r="Y256" s="204"/>
      <c r="Z256" s="204"/>
      <c r="AA256" s="206"/>
      <c r="AB256" s="205"/>
      <c r="AC256" s="209"/>
    </row>
    <row r="257" spans="1:29" x14ac:dyDescent="0.25">
      <c r="A257" s="188"/>
      <c r="C257" s="188"/>
      <c r="I257" s="188"/>
      <c r="J257" s="188"/>
      <c r="K257" s="188"/>
      <c r="L257" s="199"/>
      <c r="M257" s="188"/>
      <c r="N257" s="200"/>
      <c r="O257" s="201"/>
      <c r="P257" s="202"/>
      <c r="Q257" s="203"/>
      <c r="S257" s="210"/>
      <c r="T257" s="210"/>
      <c r="U257" s="210"/>
      <c r="V257" s="211"/>
      <c r="W257" s="199"/>
      <c r="X257" s="210"/>
      <c r="Y257" s="210"/>
      <c r="Z257" s="210"/>
      <c r="AA257" s="241"/>
      <c r="AB257" s="212"/>
      <c r="AC257" s="210"/>
    </row>
    <row r="258" spans="1:29" s="208" customFormat="1" x14ac:dyDescent="0.25">
      <c r="A258"/>
      <c r="B258"/>
      <c r="C258"/>
      <c r="D258" s="188"/>
      <c r="E258" s="188"/>
      <c r="F258" s="188"/>
      <c r="G258" s="188"/>
      <c r="H258" s="188"/>
      <c r="I258"/>
      <c r="J258"/>
      <c r="K258"/>
      <c r="L258" s="188"/>
      <c r="M258"/>
      <c r="N258"/>
      <c r="O258"/>
      <c r="P258"/>
      <c r="Q258" s="187"/>
      <c r="R258" s="188"/>
      <c r="S258"/>
      <c r="T258"/>
      <c r="U258"/>
      <c r="V258" s="189"/>
      <c r="W258" s="190"/>
      <c r="X258"/>
      <c r="Y258"/>
      <c r="Z258"/>
      <c r="AA258" s="175"/>
      <c r="AB258"/>
      <c r="AC258"/>
    </row>
    <row r="266" spans="1:29" s="208" customFormat="1" x14ac:dyDescent="0.25">
      <c r="A266"/>
      <c r="B266"/>
      <c r="C266"/>
      <c r="D266" s="188"/>
      <c r="E266" s="188"/>
      <c r="F266" s="188"/>
      <c r="G266" s="188"/>
      <c r="H266" s="188"/>
      <c r="I266"/>
      <c r="J266"/>
      <c r="K266"/>
      <c r="L266" s="188"/>
      <c r="M266"/>
      <c r="N266"/>
      <c r="O266"/>
      <c r="P266"/>
      <c r="Q266" s="187"/>
      <c r="R266" s="188"/>
      <c r="S266"/>
      <c r="T266"/>
      <c r="U266"/>
      <c r="V266" s="189"/>
      <c r="W266" s="190"/>
      <c r="X266"/>
      <c r="Y266"/>
      <c r="Z266"/>
      <c r="AA266" s="175"/>
      <c r="AB266"/>
      <c r="AC266"/>
    </row>
    <row r="269" spans="1:29" s="208" customFormat="1" x14ac:dyDescent="0.25">
      <c r="A269"/>
      <c r="B269"/>
      <c r="C269"/>
      <c r="D269" s="188"/>
      <c r="E269" s="188"/>
      <c r="F269" s="188"/>
      <c r="G269" s="188"/>
      <c r="H269" s="188"/>
      <c r="I269"/>
      <c r="J269"/>
      <c r="K269"/>
      <c r="L269" s="188"/>
      <c r="M269"/>
      <c r="N269"/>
      <c r="O269"/>
      <c r="P269"/>
      <c r="Q269" s="187"/>
      <c r="R269" s="188"/>
      <c r="S269"/>
      <c r="T269"/>
      <c r="U269"/>
      <c r="V269" s="189"/>
      <c r="W269" s="190"/>
      <c r="X269"/>
      <c r="Y269"/>
      <c r="Z269"/>
      <c r="AA269" s="175"/>
      <c r="AB269"/>
      <c r="AC269"/>
    </row>
    <row r="285" spans="30:30" x14ac:dyDescent="0.25">
      <c r="AD285" s="207"/>
    </row>
    <row r="299" spans="1:29" s="208" customFormat="1" x14ac:dyDescent="0.25">
      <c r="A299"/>
      <c r="B299"/>
      <c r="C299"/>
      <c r="D299" s="188"/>
      <c r="E299" s="188"/>
      <c r="F299" s="188"/>
      <c r="G299" s="188"/>
      <c r="H299" s="188"/>
      <c r="I299"/>
      <c r="J299"/>
      <c r="K299"/>
      <c r="L299" s="188"/>
      <c r="M299"/>
      <c r="N299"/>
      <c r="O299"/>
      <c r="P299"/>
      <c r="Q299" s="187"/>
      <c r="R299" s="188"/>
      <c r="S299"/>
      <c r="T299"/>
      <c r="U299"/>
      <c r="V299" s="189"/>
      <c r="W299" s="190"/>
      <c r="X299"/>
      <c r="Y299"/>
      <c r="Z299"/>
      <c r="AA299" s="175"/>
      <c r="AB299"/>
      <c r="AC299"/>
    </row>
    <row r="316" spans="1:29" s="208" customFormat="1" x14ac:dyDescent="0.25">
      <c r="A316"/>
      <c r="B316"/>
      <c r="C316"/>
      <c r="D316" s="188"/>
      <c r="E316" s="188"/>
      <c r="F316" s="188"/>
      <c r="G316" s="188"/>
      <c r="H316" s="188"/>
      <c r="I316"/>
      <c r="J316"/>
      <c r="K316"/>
      <c r="L316" s="188"/>
      <c r="M316"/>
      <c r="N316"/>
      <c r="O316"/>
      <c r="P316"/>
      <c r="Q316" s="187"/>
      <c r="R316" s="188"/>
      <c r="S316"/>
      <c r="T316"/>
      <c r="U316"/>
      <c r="V316" s="189"/>
      <c r="W316" s="190"/>
      <c r="X316"/>
      <c r="Y316"/>
      <c r="Z316"/>
      <c r="AA316" s="175"/>
      <c r="AB316"/>
      <c r="AC316"/>
    </row>
    <row r="328" spans="1:29" s="208" customFormat="1" x14ac:dyDescent="0.25">
      <c r="A328"/>
      <c r="B328"/>
      <c r="C328"/>
      <c r="D328" s="188"/>
      <c r="E328" s="188"/>
      <c r="F328" s="188"/>
      <c r="G328" s="188"/>
      <c r="H328" s="188"/>
      <c r="I328"/>
      <c r="J328"/>
      <c r="K328"/>
      <c r="L328" s="188"/>
      <c r="M328"/>
      <c r="N328"/>
      <c r="O328"/>
      <c r="P328"/>
      <c r="Q328" s="187"/>
      <c r="R328" s="188"/>
      <c r="S328"/>
      <c r="T328"/>
      <c r="U328"/>
      <c r="V328" s="189"/>
      <c r="W328" s="190"/>
      <c r="X328"/>
      <c r="Y328"/>
      <c r="Z328"/>
      <c r="AA328" s="175"/>
      <c r="AB328"/>
      <c r="AC328"/>
    </row>
    <row r="332" spans="1:29" s="208" customFormat="1" x14ac:dyDescent="0.25">
      <c r="A332"/>
      <c r="B332"/>
      <c r="C332"/>
      <c r="D332" s="188"/>
      <c r="E332" s="188"/>
      <c r="F332" s="188"/>
      <c r="G332" s="188"/>
      <c r="H332" s="188"/>
      <c r="I332"/>
      <c r="J332"/>
      <c r="K332"/>
      <c r="L332" s="188"/>
      <c r="M332"/>
      <c r="N332"/>
      <c r="O332"/>
      <c r="P332"/>
      <c r="Q332" s="187"/>
      <c r="R332" s="188"/>
      <c r="S332"/>
      <c r="T332"/>
      <c r="U332"/>
      <c r="V332" s="189"/>
      <c r="W332" s="190"/>
      <c r="X332"/>
      <c r="Y332"/>
      <c r="Z332"/>
      <c r="AA332" s="175"/>
      <c r="AB332"/>
      <c r="AC332"/>
    </row>
    <row r="457" ht="15" customHeight="1" x14ac:dyDescent="0.25"/>
  </sheetData>
  <mergeCells count="1">
    <mergeCell ref="A8:AB8"/>
  </mergeCells>
  <conditionalFormatting sqref="A1:A1048576">
    <cfRule type="duplicateValues" dxfId="44" priority="1"/>
  </conditionalFormatting>
  <conditionalFormatting sqref="A9">
    <cfRule type="duplicateValues" dxfId="43" priority="68"/>
  </conditionalFormatting>
  <conditionalFormatting sqref="A10:A249">
    <cfRule type="duplicateValues" dxfId="42" priority="949"/>
  </conditionalFormatting>
  <conditionalFormatting sqref="A10:A257">
    <cfRule type="duplicateValues" dxfId="41" priority="828"/>
  </conditionalFormatting>
  <conditionalFormatting sqref="A33:A68 A70 A72:A73 A75:A85">
    <cfRule type="duplicateValues" dxfId="40" priority="67"/>
  </conditionalFormatting>
  <conditionalFormatting sqref="A69">
    <cfRule type="duplicateValues" dxfId="39" priority="6"/>
    <cfRule type="duplicateValues" dxfId="38" priority="7"/>
  </conditionalFormatting>
  <conditionalFormatting sqref="A71">
    <cfRule type="duplicateValues" dxfId="37" priority="5"/>
  </conditionalFormatting>
  <conditionalFormatting sqref="A87:A90">
    <cfRule type="duplicateValues" dxfId="36" priority="8"/>
    <cfRule type="duplicateValues" dxfId="35" priority="9"/>
    <cfRule type="duplicateValues" dxfId="34" priority="10"/>
    <cfRule type="duplicateValues" dxfId="33" priority="11"/>
    <cfRule type="duplicateValues" dxfId="32" priority="12"/>
  </conditionalFormatting>
  <conditionalFormatting sqref="A101:A102 A106:A109">
    <cfRule type="duplicateValues" dxfId="31" priority="4"/>
  </conditionalFormatting>
  <conditionalFormatting sqref="A103:A105">
    <cfRule type="duplicateValues" dxfId="30" priority="2"/>
  </conditionalFormatting>
  <conditionalFormatting sqref="N10:N257">
    <cfRule type="cellIs" dxfId="29" priority="3" operator="equal">
      <formula>0</formula>
    </cfRule>
  </conditionalFormatting>
  <conditionalFormatting sqref="AA10:AA257">
    <cfRule type="expression" dxfId="28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458781-5314-4AF7-A1D1-C0640F3107A7}"/>
</file>

<file path=customXml/itemProps2.xml><?xml version="1.0" encoding="utf-8"?>
<ds:datastoreItem xmlns:ds="http://schemas.openxmlformats.org/officeDocument/2006/customXml" ds:itemID="{55812349-904E-4FEB-B97A-79910B993EA7}">
  <ds:schemaRefs>
    <ds:schemaRef ds:uri="e9398622-c81c-47c5-8606-bc2d5c1f212f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979b13a2-0f7b-48d4-960f-0aa6ab358c8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65363B5-A169-4309-904C-2914063464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P&amp;L</vt:lpstr>
      <vt:lpstr>Bid Assumption </vt:lpstr>
      <vt:lpstr>Summary </vt:lpstr>
      <vt:lpstr>Summary Short Haul</vt:lpstr>
      <vt:lpstr>Summary Long Haul</vt:lpstr>
      <vt:lpstr>Summary  735</vt:lpstr>
      <vt:lpstr>Summary 2221</vt:lpstr>
      <vt:lpstr>Summary 2439</vt:lpstr>
      <vt:lpstr>Summary 2682</vt:lpstr>
      <vt:lpstr>Summary 2855</vt:lpstr>
      <vt:lpstr>Summary FLT104</vt:lpstr>
      <vt:lpstr>Summary FLT110</vt:lpstr>
      <vt:lpstr>Summary 2037</vt:lpstr>
      <vt:lpstr>Summary 2817</vt:lpstr>
      <vt:lpstr>Handling</vt:lpstr>
      <vt:lpstr>FlightConfig </vt:lpstr>
      <vt:lpstr>Food</vt:lpstr>
      <vt:lpstr>Avg Per Flight</vt:lpstr>
      <vt:lpstr>FG MASTER</vt:lpstr>
      <vt:lpstr>'FG MASTER'!Print_Area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2025-02-10T15:16:09Z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