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rginatlantic365.sharepoint.com/sites/USCateringTender2024/Shared Documents/General/RFP Pack- USA/Appendix 4 - Cost Model/"/>
    </mc:Choice>
  </mc:AlternateContent>
  <xr:revisionPtr revIDLastSave="2" documentId="8_{357AA592-5D52-4702-B7AD-B4CA733BFE5C}" xr6:coauthVersionLast="47" xr6:coauthVersionMax="47" xr10:uidLastSave="{52AEF26B-07CE-4475-9E50-4BDFD18D341E}"/>
  <bookViews>
    <workbookView xWindow="28680" yWindow="-120" windowWidth="29040" windowHeight="16440" xr2:uid="{92198DA6-8408-4F47-A296-2CFB5D44EBB7}"/>
  </bookViews>
  <sheets>
    <sheet name="Sheet1" sheetId="1" r:id="rId1"/>
  </sheets>
  <definedNames>
    <definedName name="_xlnm._FilterDatabase" localSheetId="0" hidden="1">Sheet1!$A$1:$N$1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<sst xmlns="http://schemas.openxmlformats.org/spreadsheetml/2006/main" count="159" uniqueCount="70">
  <si>
    <t>Flight</t>
  </si>
  <si>
    <t>Route</t>
  </si>
  <si>
    <t>DEP</t>
  </si>
  <si>
    <t>ARR</t>
  </si>
  <si>
    <t>CUR</t>
  </si>
  <si>
    <t>J</t>
  </si>
  <si>
    <t>W</t>
  </si>
  <si>
    <t>Y</t>
  </si>
  <si>
    <t>Crew</t>
  </si>
  <si>
    <t>V004 - JFK - LHR</t>
  </si>
  <si>
    <t>JFKLHR</t>
  </si>
  <si>
    <t>JFK</t>
  </si>
  <si>
    <t>LHR</t>
  </si>
  <si>
    <t>USD</t>
  </si>
  <si>
    <t>V006 - MIA - LHR</t>
  </si>
  <si>
    <t>MIALHR</t>
  </si>
  <si>
    <t>MIA</t>
  </si>
  <si>
    <t>V008 - LAX - LHR</t>
  </si>
  <si>
    <t>LAXLHR</t>
  </si>
  <si>
    <t>LAX</t>
  </si>
  <si>
    <t>V010 - JFK - LHR</t>
  </si>
  <si>
    <t>V012 - BOS - LHR</t>
  </si>
  <si>
    <t>BOSLHR</t>
  </si>
  <si>
    <t>BOS</t>
  </si>
  <si>
    <t>V020 - SFO - LHR</t>
  </si>
  <si>
    <t>SFOLHR</t>
  </si>
  <si>
    <t>SFO</t>
  </si>
  <si>
    <t>V022 - IAD - LHR</t>
  </si>
  <si>
    <t>IADLHR</t>
  </si>
  <si>
    <t>IAD</t>
  </si>
  <si>
    <t>V024 - LAX - LHR</t>
  </si>
  <si>
    <t>V026 - JFK - LHR</t>
  </si>
  <si>
    <t>V042 - SFO - LHR</t>
  </si>
  <si>
    <t>V046 - JFK - LHR</t>
  </si>
  <si>
    <t>V048 - JFK - LHR</t>
  </si>
  <si>
    <t>V074 - MCO - MAN</t>
  </si>
  <si>
    <t>MCOMAN</t>
  </si>
  <si>
    <t>MCO</t>
  </si>
  <si>
    <t>MAN</t>
  </si>
  <si>
    <t>V076 - MCO - MAN</t>
  </si>
  <si>
    <t>V086 - LAS - MAN</t>
  </si>
  <si>
    <t>LASMAN</t>
  </si>
  <si>
    <t>LAS</t>
  </si>
  <si>
    <t>V092 - MCO - LHR</t>
  </si>
  <si>
    <t>MCOLHR</t>
  </si>
  <si>
    <t>V104 - ATL - LHR</t>
  </si>
  <si>
    <t>ATLLHR</t>
  </si>
  <si>
    <t>ATL</t>
  </si>
  <si>
    <t>V106 - SEA - LHR</t>
  </si>
  <si>
    <t>SEALHR</t>
  </si>
  <si>
    <t>SEA</t>
  </si>
  <si>
    <t>V110 - ATL - MAN</t>
  </si>
  <si>
    <t>ATLMAN</t>
  </si>
  <si>
    <t>V116 - ATL - LHR</t>
  </si>
  <si>
    <t>V118 - MIA - LHR</t>
  </si>
  <si>
    <t>V128 - JFK - MAN</t>
  </si>
  <si>
    <t>JFKMAN</t>
  </si>
  <si>
    <t>V130 - TPA - LHR</t>
  </si>
  <si>
    <t>TPALHR</t>
  </si>
  <si>
    <t>TPA</t>
  </si>
  <si>
    <t>V136 - MCO - LHR</t>
  </si>
  <si>
    <t>V138 - JFK - LHR</t>
  </si>
  <si>
    <t>V142 - LAX - LHR</t>
  </si>
  <si>
    <t>V154 - JFK - LHR</t>
  </si>
  <si>
    <t>V156 - LAS - LHR</t>
  </si>
  <si>
    <t>LASLHR</t>
  </si>
  <si>
    <t>V158 - BOS - LHR</t>
  </si>
  <si>
    <t>V226 - MCO - EDI</t>
  </si>
  <si>
    <t>MCOEDI</t>
  </si>
  <si>
    <t>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</si>
</sst>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5B056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7" fontId="2" fillId="2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3" fillId="3" borderId="0" xfId="0" applyFont="1" applyFill="1"/>
    <xf numFmtId="0" fontId="2" fillId="2" borderId="0" xfId="0" applyFont="1" applyFill="1" applyAlignment="1">
      <alignment horizontal="left" vertical="center" wrapText="1"/>
    </xf>
    <xf numFmtId="43" fontId="3" fillId="4" borderId="0" xfId="1" applyNumberFormat="1" applyFont="1" applyFill="1"/>
    <xf numFmtId="164" fontId="4" fillId="4" borderId="0" xfId="1" applyFont="1" applyFill="1"/>
  </cellXfs>
  <cellStyles count="2">
    <cellStyle name="Comma" xfId="1" builtinId="3"/>
    <cellStyle name="Normal" xfId="0" builtinId="0"/>
  </cellStyles>
  <dxfs count="82"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9BE4-7B28-4FA3-8A4A-0FB60ABF20CC}">
  <dimension ref="A1:I31"/>
  <sheetViews>
    <sheetView tabSelected="1" workbookViewId="0">
      <selection activeCell="K10" sqref="K10"/>
    </sheetView>
  </sheetViews>
  <sheetFormatPr defaultRowHeight="15"/>
  <cols>
    <col min="1" max="1" width="21" bestFit="1" customWidth="1"/>
    <col min="2" max="2" width="11.85546875" bestFit="1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5" t="s">
        <v>6</v>
      </c>
      <c r="H1" s="5" t="s">
        <v>7</v>
      </c>
      <c r="I1" s="5" t="s">
        <v>8</v>
      </c>
    </row>
    <row r="2" spans="1:9" ht="16.5">
      <c r="A2" s="3" t="s">
        <v>9</v>
      </c>
      <c r="B2" s="4" t="s">
        <v>10</v>
      </c>
      <c r="C2" s="4" t="s">
        <v>11</v>
      </c>
      <c r="D2" s="4" t="s">
        <v>12</v>
      </c>
      <c r="E2" s="3" t="s">
        <v>13</v>
      </c>
      <c r="F2" s="6">
        <v>45.66</v>
      </c>
      <c r="G2" s="6">
        <v>26.95</v>
      </c>
      <c r="H2" s="6">
        <v>15.85</v>
      </c>
      <c r="I2" s="7">
        <v>19.143999999999998</v>
      </c>
    </row>
    <row r="3" spans="1:9" ht="16.5">
      <c r="A3" s="3" t="s">
        <v>14</v>
      </c>
      <c r="B3" s="4" t="s">
        <v>15</v>
      </c>
      <c r="C3" s="4" t="s">
        <v>16</v>
      </c>
      <c r="D3" s="4" t="s">
        <v>12</v>
      </c>
      <c r="E3" s="3" t="s">
        <v>13</v>
      </c>
      <c r="F3" s="6">
        <v>41.21</v>
      </c>
      <c r="G3" s="6">
        <v>24.42</v>
      </c>
      <c r="H3" s="6">
        <v>13.15</v>
      </c>
      <c r="I3" s="7">
        <v>16.64</v>
      </c>
    </row>
    <row r="4" spans="1:9" ht="16.5">
      <c r="A4" s="3" t="s">
        <v>17</v>
      </c>
      <c r="B4" s="4" t="s">
        <v>18</v>
      </c>
      <c r="C4" s="4" t="s">
        <v>19</v>
      </c>
      <c r="D4" s="4" t="s">
        <v>12</v>
      </c>
      <c r="E4" s="3" t="s">
        <v>13</v>
      </c>
      <c r="F4" s="6">
        <v>34.130000000000003</v>
      </c>
      <c r="G4" s="6">
        <v>20.309999999999999</v>
      </c>
      <c r="H4" s="6">
        <v>11.98</v>
      </c>
      <c r="I4" s="7">
        <v>17.43</v>
      </c>
    </row>
    <row r="5" spans="1:9" ht="16.5">
      <c r="A5" s="3" t="s">
        <v>20</v>
      </c>
      <c r="B5" s="4" t="s">
        <v>10</v>
      </c>
      <c r="C5" s="4" t="s">
        <v>11</v>
      </c>
      <c r="D5" s="4" t="s">
        <v>12</v>
      </c>
      <c r="E5" s="3" t="s">
        <v>13</v>
      </c>
      <c r="F5" s="6">
        <v>44.16</v>
      </c>
      <c r="G5" s="6">
        <v>26.49</v>
      </c>
      <c r="H5" s="6">
        <v>13.84</v>
      </c>
      <c r="I5" s="7">
        <v>19.143999999999998</v>
      </c>
    </row>
    <row r="6" spans="1:9" ht="16.5">
      <c r="A6" s="3" t="s">
        <v>21</v>
      </c>
      <c r="B6" s="4" t="s">
        <v>22</v>
      </c>
      <c r="C6" s="4" t="s">
        <v>23</v>
      </c>
      <c r="D6" s="4" t="s">
        <v>12</v>
      </c>
      <c r="E6" s="3" t="s">
        <v>13</v>
      </c>
      <c r="F6" s="6">
        <v>34.29</v>
      </c>
      <c r="G6" s="6">
        <v>20.52</v>
      </c>
      <c r="H6" s="6">
        <v>10.7</v>
      </c>
      <c r="I6" s="7">
        <v>14.49</v>
      </c>
    </row>
    <row r="7" spans="1:9" ht="16.5">
      <c r="A7" s="3" t="s">
        <v>24</v>
      </c>
      <c r="B7" s="4" t="s">
        <v>25</v>
      </c>
      <c r="C7" s="4" t="s">
        <v>26</v>
      </c>
      <c r="D7" s="4" t="s">
        <v>12</v>
      </c>
      <c r="E7" s="3" t="s">
        <v>13</v>
      </c>
      <c r="F7" s="6">
        <v>40.44</v>
      </c>
      <c r="G7" s="6">
        <v>23.77</v>
      </c>
      <c r="H7" s="6">
        <v>13.65</v>
      </c>
      <c r="I7" s="7">
        <v>20.79</v>
      </c>
    </row>
    <row r="8" spans="1:9" ht="16.5">
      <c r="A8" s="3" t="s">
        <v>27</v>
      </c>
      <c r="B8" s="4" t="s">
        <v>28</v>
      </c>
      <c r="C8" s="4" t="s">
        <v>29</v>
      </c>
      <c r="D8" s="4" t="s">
        <v>12</v>
      </c>
      <c r="E8" s="3" t="s">
        <v>13</v>
      </c>
      <c r="F8" s="6">
        <v>42.6</v>
      </c>
      <c r="G8" s="6">
        <v>25.01</v>
      </c>
      <c r="H8" s="6">
        <v>13.76</v>
      </c>
      <c r="I8" s="7">
        <v>18.151</v>
      </c>
    </row>
    <row r="9" spans="1:9" ht="16.5">
      <c r="A9" s="3" t="s">
        <v>30</v>
      </c>
      <c r="B9" s="4" t="s">
        <v>18</v>
      </c>
      <c r="C9" s="4" t="s">
        <v>19</v>
      </c>
      <c r="D9" s="4" t="s">
        <v>12</v>
      </c>
      <c r="E9" s="3" t="s">
        <v>13</v>
      </c>
      <c r="F9" s="6">
        <v>33.36</v>
      </c>
      <c r="G9" s="6">
        <v>20.38</v>
      </c>
      <c r="H9" s="6">
        <v>11.98</v>
      </c>
      <c r="I9" s="7">
        <v>17.43</v>
      </c>
    </row>
    <row r="10" spans="1:9" ht="16.5">
      <c r="A10" s="3" t="s">
        <v>31</v>
      </c>
      <c r="B10" s="4" t="s">
        <v>10</v>
      </c>
      <c r="C10" s="4" t="s">
        <v>11</v>
      </c>
      <c r="D10" s="4" t="s">
        <v>12</v>
      </c>
      <c r="E10" s="3" t="s">
        <v>13</v>
      </c>
      <c r="F10" s="6">
        <v>46.18</v>
      </c>
      <c r="G10" s="6">
        <v>12.34</v>
      </c>
      <c r="H10" s="6">
        <v>15.68</v>
      </c>
      <c r="I10" s="7">
        <v>19.143999999999998</v>
      </c>
    </row>
    <row r="11" spans="1:9" ht="16.5">
      <c r="A11" s="3" t="s">
        <v>32</v>
      </c>
      <c r="B11" s="4" t="s">
        <v>25</v>
      </c>
      <c r="C11" s="4" t="s">
        <v>26</v>
      </c>
      <c r="D11" s="4" t="s">
        <v>12</v>
      </c>
      <c r="E11" s="3" t="s">
        <v>13</v>
      </c>
      <c r="F11" s="6">
        <v>37.32</v>
      </c>
      <c r="G11" s="6">
        <v>23.5</v>
      </c>
      <c r="H11" s="6">
        <v>13.79</v>
      </c>
      <c r="I11" s="7">
        <v>20.79</v>
      </c>
    </row>
    <row r="12" spans="1:9" ht="16.5">
      <c r="A12" s="3" t="s">
        <v>33</v>
      </c>
      <c r="B12" s="4" t="s">
        <v>10</v>
      </c>
      <c r="C12" s="4" t="s">
        <v>11</v>
      </c>
      <c r="D12" s="4" t="s">
        <v>12</v>
      </c>
      <c r="E12" s="3" t="s">
        <v>13</v>
      </c>
      <c r="F12" s="6">
        <v>45.37</v>
      </c>
      <c r="G12" s="6">
        <v>26.61</v>
      </c>
      <c r="H12" s="6">
        <v>15.3</v>
      </c>
      <c r="I12" s="7">
        <v>19.143999999999998</v>
      </c>
    </row>
    <row r="13" spans="1:9" ht="16.5">
      <c r="A13" s="3" t="s">
        <v>34</v>
      </c>
      <c r="B13" s="4" t="s">
        <v>10</v>
      </c>
      <c r="C13" s="4" t="s">
        <v>11</v>
      </c>
      <c r="D13" s="4" t="s">
        <v>12</v>
      </c>
      <c r="E13" s="3" t="s">
        <v>13</v>
      </c>
      <c r="F13" s="6">
        <v>45.37</v>
      </c>
      <c r="G13" s="6">
        <v>26.61</v>
      </c>
      <c r="H13" s="6">
        <v>15.3</v>
      </c>
      <c r="I13" s="7">
        <v>19.143999999999998</v>
      </c>
    </row>
    <row r="14" spans="1:9" ht="16.5">
      <c r="A14" s="3" t="s">
        <v>35</v>
      </c>
      <c r="B14" s="4" t="s">
        <v>36</v>
      </c>
      <c r="C14" s="4" t="s">
        <v>37</v>
      </c>
      <c r="D14" s="4" t="s">
        <v>38</v>
      </c>
      <c r="E14" s="3" t="s">
        <v>13</v>
      </c>
      <c r="F14" s="6">
        <v>40.75</v>
      </c>
      <c r="G14" s="6">
        <v>23.16</v>
      </c>
      <c r="H14" s="6">
        <v>12.31</v>
      </c>
      <c r="I14" s="7">
        <v>16.699000000000002</v>
      </c>
    </row>
    <row r="15" spans="1:9" ht="16.5">
      <c r="A15" s="3" t="s">
        <v>39</v>
      </c>
      <c r="B15" s="4" t="s">
        <v>36</v>
      </c>
      <c r="C15" s="4" t="s">
        <v>37</v>
      </c>
      <c r="D15" s="4" t="s">
        <v>38</v>
      </c>
      <c r="E15" s="3" t="s">
        <v>13</v>
      </c>
      <c r="F15" s="6">
        <v>39.86</v>
      </c>
      <c r="G15" s="6">
        <v>22.91</v>
      </c>
      <c r="H15" s="6">
        <v>12.3</v>
      </c>
      <c r="I15" s="7">
        <v>16.699000000000002</v>
      </c>
    </row>
    <row r="16" spans="1:9" ht="16.5">
      <c r="A16" s="3" t="s">
        <v>40</v>
      </c>
      <c r="B16" s="4" t="s">
        <v>41</v>
      </c>
      <c r="C16" s="4" t="s">
        <v>42</v>
      </c>
      <c r="D16" s="4" t="s">
        <v>38</v>
      </c>
      <c r="E16" s="3" t="s">
        <v>13</v>
      </c>
      <c r="F16" s="6">
        <v>39.24</v>
      </c>
      <c r="G16" s="6">
        <v>23.08</v>
      </c>
      <c r="H16" s="6">
        <v>13.41</v>
      </c>
      <c r="I16" s="7">
        <v>19.64</v>
      </c>
    </row>
    <row r="17" spans="1:9" ht="16.5">
      <c r="A17" s="3" t="s">
        <v>43</v>
      </c>
      <c r="B17" s="4" t="s">
        <v>44</v>
      </c>
      <c r="C17" s="4" t="s">
        <v>37</v>
      </c>
      <c r="D17" s="4" t="s">
        <v>12</v>
      </c>
      <c r="E17" s="3" t="s">
        <v>13</v>
      </c>
      <c r="F17" s="6">
        <v>39.32</v>
      </c>
      <c r="G17" s="6">
        <v>23.04</v>
      </c>
      <c r="H17" s="6">
        <v>12.53</v>
      </c>
      <c r="I17" s="7">
        <v>16.699000000000002</v>
      </c>
    </row>
    <row r="18" spans="1:9" ht="16.5">
      <c r="A18" s="3" t="s">
        <v>45</v>
      </c>
      <c r="B18" s="4" t="s">
        <v>46</v>
      </c>
      <c r="C18" s="4" t="s">
        <v>47</v>
      </c>
      <c r="D18" s="4" t="s">
        <v>12</v>
      </c>
      <c r="E18" s="3" t="s">
        <v>13</v>
      </c>
      <c r="F18" s="6">
        <v>32.17</v>
      </c>
      <c r="G18" s="6">
        <v>19.79</v>
      </c>
      <c r="H18" s="6">
        <v>10.39</v>
      </c>
      <c r="I18" s="7">
        <v>13.93</v>
      </c>
    </row>
    <row r="19" spans="1:9" ht="16.5">
      <c r="A19" s="3" t="s">
        <v>48</v>
      </c>
      <c r="B19" s="4" t="s">
        <v>49</v>
      </c>
      <c r="C19" s="4" t="s">
        <v>50</v>
      </c>
      <c r="D19" s="4" t="s">
        <v>12</v>
      </c>
      <c r="E19" s="3" t="s">
        <v>13</v>
      </c>
      <c r="F19" s="6">
        <v>43.25</v>
      </c>
      <c r="G19" s="6">
        <v>24.85</v>
      </c>
      <c r="H19" s="6">
        <v>15.32</v>
      </c>
      <c r="I19" s="7">
        <v>21.69</v>
      </c>
    </row>
    <row r="20" spans="1:9" ht="16.5">
      <c r="A20" s="3" t="s">
        <v>51</v>
      </c>
      <c r="B20" s="4" t="s">
        <v>52</v>
      </c>
      <c r="C20" s="4" t="s">
        <v>47</v>
      </c>
      <c r="D20" s="4" t="s">
        <v>38</v>
      </c>
      <c r="E20" s="3" t="s">
        <v>13</v>
      </c>
      <c r="F20" s="6">
        <v>34.19</v>
      </c>
      <c r="G20" s="6">
        <v>19.760000000000002</v>
      </c>
      <c r="H20" s="6">
        <v>10.34</v>
      </c>
      <c r="I20" s="7">
        <v>13.93</v>
      </c>
    </row>
    <row r="21" spans="1:9" ht="16.5">
      <c r="A21" s="3" t="s">
        <v>53</v>
      </c>
      <c r="B21" s="4" t="s">
        <v>46</v>
      </c>
      <c r="C21" s="4" t="s">
        <v>47</v>
      </c>
      <c r="D21" s="4" t="s">
        <v>12</v>
      </c>
      <c r="E21" s="3" t="s">
        <v>13</v>
      </c>
      <c r="F21" s="6">
        <v>32.17</v>
      </c>
      <c r="G21" s="6">
        <v>19.79</v>
      </c>
      <c r="H21" s="6">
        <v>10.39</v>
      </c>
      <c r="I21" s="7">
        <v>13.93</v>
      </c>
    </row>
    <row r="22" spans="1:9" ht="16.5">
      <c r="A22" s="3" t="s">
        <v>54</v>
      </c>
      <c r="B22" s="4" t="s">
        <v>15</v>
      </c>
      <c r="C22" s="4" t="s">
        <v>16</v>
      </c>
      <c r="D22" s="4" t="s">
        <v>12</v>
      </c>
      <c r="E22" s="3" t="s">
        <v>13</v>
      </c>
      <c r="F22" s="6">
        <v>41.17</v>
      </c>
      <c r="G22" s="6">
        <v>23.61</v>
      </c>
      <c r="H22" s="6">
        <v>12.74</v>
      </c>
      <c r="I22" s="7">
        <v>16.64</v>
      </c>
    </row>
    <row r="23" spans="1:9" ht="16.5">
      <c r="A23" s="3" t="s">
        <v>55</v>
      </c>
      <c r="B23" s="4" t="s">
        <v>56</v>
      </c>
      <c r="C23" s="4" t="s">
        <v>11</v>
      </c>
      <c r="D23" s="4" t="s">
        <v>38</v>
      </c>
      <c r="E23" s="3" t="s">
        <v>13</v>
      </c>
      <c r="F23" s="6">
        <v>43.65</v>
      </c>
      <c r="G23" s="6">
        <v>26.7</v>
      </c>
      <c r="H23" s="6">
        <v>14.08</v>
      </c>
      <c r="I23" s="7">
        <v>19.143999999999998</v>
      </c>
    </row>
    <row r="24" spans="1:9" ht="16.5">
      <c r="A24" s="3" t="s">
        <v>57</v>
      </c>
      <c r="B24" s="4" t="s">
        <v>58</v>
      </c>
      <c r="C24" s="4" t="s">
        <v>59</v>
      </c>
      <c r="D24" s="4" t="s">
        <v>12</v>
      </c>
      <c r="E24" s="3" t="s">
        <v>13</v>
      </c>
      <c r="F24" s="6">
        <v>58.06</v>
      </c>
      <c r="G24" s="6">
        <v>28.9</v>
      </c>
      <c r="H24" s="6">
        <v>11.82</v>
      </c>
      <c r="I24" s="7">
        <v>10.834</v>
      </c>
    </row>
    <row r="25" spans="1:9" ht="16.5">
      <c r="A25" s="3" t="s">
        <v>60</v>
      </c>
      <c r="B25" s="4" t="s">
        <v>44</v>
      </c>
      <c r="C25" s="4" t="s">
        <v>37</v>
      </c>
      <c r="D25" s="4" t="s">
        <v>12</v>
      </c>
      <c r="E25" s="3" t="s">
        <v>13</v>
      </c>
      <c r="F25" s="6">
        <v>40.229999999999997</v>
      </c>
      <c r="G25" s="6">
        <v>23.14</v>
      </c>
      <c r="H25" s="6">
        <v>12.52</v>
      </c>
      <c r="I25" s="7">
        <v>16.699000000000002</v>
      </c>
    </row>
    <row r="26" spans="1:9" ht="16.5">
      <c r="A26" s="3" t="s">
        <v>61</v>
      </c>
      <c r="B26" s="4" t="s">
        <v>10</v>
      </c>
      <c r="C26" s="4" t="s">
        <v>11</v>
      </c>
      <c r="D26" s="4" t="s">
        <v>12</v>
      </c>
      <c r="E26" s="3" t="s">
        <v>13</v>
      </c>
      <c r="F26" s="6">
        <v>43.26</v>
      </c>
      <c r="G26" s="6">
        <v>26.81</v>
      </c>
      <c r="H26" s="6">
        <v>14.02</v>
      </c>
      <c r="I26" s="7">
        <v>19.143999999999998</v>
      </c>
    </row>
    <row r="27" spans="1:9" ht="16.5">
      <c r="A27" s="3" t="s">
        <v>62</v>
      </c>
      <c r="B27" s="4" t="s">
        <v>18</v>
      </c>
      <c r="C27" s="4" t="s">
        <v>19</v>
      </c>
      <c r="D27" s="4" t="s">
        <v>12</v>
      </c>
      <c r="E27" s="3" t="s">
        <v>13</v>
      </c>
      <c r="F27" s="6">
        <v>35.130000000000003</v>
      </c>
      <c r="G27" s="6">
        <v>20.239999999999998</v>
      </c>
      <c r="H27" s="6">
        <v>11.72</v>
      </c>
      <c r="I27" s="7">
        <v>17.43</v>
      </c>
    </row>
    <row r="28" spans="1:9" ht="16.5">
      <c r="A28" s="3" t="s">
        <v>63</v>
      </c>
      <c r="B28" s="4" t="s">
        <v>10</v>
      </c>
      <c r="C28" s="4" t="s">
        <v>11</v>
      </c>
      <c r="D28" s="4" t="s">
        <v>12</v>
      </c>
      <c r="E28" s="3" t="s">
        <v>13</v>
      </c>
      <c r="F28" s="6">
        <v>42.96</v>
      </c>
      <c r="G28" s="6">
        <v>26.42</v>
      </c>
      <c r="H28" s="6">
        <v>13.87</v>
      </c>
      <c r="I28" s="7">
        <v>19.143999999999998</v>
      </c>
    </row>
    <row r="29" spans="1:9" ht="16.5">
      <c r="A29" s="3" t="s">
        <v>64</v>
      </c>
      <c r="B29" s="4" t="s">
        <v>65</v>
      </c>
      <c r="C29" s="4" t="s">
        <v>42</v>
      </c>
      <c r="D29" s="4" t="s">
        <v>12</v>
      </c>
      <c r="E29" s="3" t="s">
        <v>13</v>
      </c>
      <c r="F29" s="6">
        <v>39.24</v>
      </c>
      <c r="G29" s="6">
        <v>23.08</v>
      </c>
      <c r="H29" s="6">
        <v>13.41</v>
      </c>
      <c r="I29" s="7">
        <v>19.64</v>
      </c>
    </row>
    <row r="30" spans="1:9" ht="16.5">
      <c r="A30" s="3" t="s">
        <v>66</v>
      </c>
      <c r="B30" s="4" t="s">
        <v>22</v>
      </c>
      <c r="C30" s="4" t="s">
        <v>23</v>
      </c>
      <c r="D30" s="4" t="s">
        <v>12</v>
      </c>
      <c r="E30" s="3" t="s">
        <v>13</v>
      </c>
      <c r="F30" s="6">
        <v>34.29</v>
      </c>
      <c r="G30" s="6">
        <v>20.52</v>
      </c>
      <c r="H30" s="6">
        <v>10.7</v>
      </c>
      <c r="I30" s="7">
        <v>14.49</v>
      </c>
    </row>
    <row r="31" spans="1:9" ht="16.5">
      <c r="A31" s="3" t="s">
        <v>67</v>
      </c>
      <c r="B31" s="4" t="s">
        <v>68</v>
      </c>
      <c r="C31" s="4" t="s">
        <v>37</v>
      </c>
      <c r="D31" s="4" t="s">
        <v>69</v>
      </c>
      <c r="E31" s="3" t="s">
        <v>13</v>
      </c>
      <c r="F31" s="6">
        <v>40.619999999999997</v>
      </c>
      <c r="G31" s="6">
        <v>22.9</v>
      </c>
      <c r="H31" s="6">
        <v>12.19</v>
      </c>
      <c r="I31" s="7">
        <v>16.699000000000002</v>
      </c>
    </row>
  </sheetData>
  <autoFilter ref="A1:N1" xr:uid="{06F49BE4-7B28-4FA3-8A4A-0FB60ABF20CC}">
    <sortState xmlns:xlrd2="http://schemas.microsoft.com/office/spreadsheetml/2017/richdata2" ref="A2:N91">
      <sortCondition ref="A1"/>
    </sortState>
  </autoFilter>
  <conditionalFormatting sqref="F2:F31">
    <cfRule type="expression" dxfId="81" priority="82">
      <formula>_xlfn.ISFORMULA(F2)</formula>
    </cfRule>
  </conditionalFormatting>
  <conditionalFormatting sqref="F2:F31">
    <cfRule type="containsBlanks" dxfId="80" priority="81">
      <formula>LEN(TRIM(F2))=0</formula>
    </cfRule>
  </conditionalFormatting>
  <conditionalFormatting sqref="G2">
    <cfRule type="expression" dxfId="79" priority="80">
      <formula>_xlfn.ISFORMULA(G2)</formula>
    </cfRule>
  </conditionalFormatting>
  <conditionalFormatting sqref="G2">
    <cfRule type="containsBlanks" dxfId="78" priority="79">
      <formula>LEN(TRIM(G2))=0</formula>
    </cfRule>
  </conditionalFormatting>
  <conditionalFormatting sqref="H2">
    <cfRule type="expression" dxfId="77" priority="78">
      <formula>_xlfn.ISFORMULA(H2)</formula>
    </cfRule>
  </conditionalFormatting>
  <conditionalFormatting sqref="H2">
    <cfRule type="containsBlanks" dxfId="76" priority="77">
      <formula>LEN(TRIM(H2))=0</formula>
    </cfRule>
  </conditionalFormatting>
  <conditionalFormatting sqref="G3">
    <cfRule type="expression" dxfId="75" priority="76">
      <formula>_xlfn.ISFORMULA(G3)</formula>
    </cfRule>
  </conditionalFormatting>
  <conditionalFormatting sqref="G3">
    <cfRule type="containsBlanks" dxfId="74" priority="75">
      <formula>LEN(TRIM(G3))=0</formula>
    </cfRule>
  </conditionalFormatting>
  <conditionalFormatting sqref="H3">
    <cfRule type="expression" dxfId="73" priority="74">
      <formula>_xlfn.ISFORMULA(H3)</formula>
    </cfRule>
  </conditionalFormatting>
  <conditionalFormatting sqref="H3">
    <cfRule type="containsBlanks" dxfId="72" priority="73">
      <formula>LEN(TRIM(H3))=0</formula>
    </cfRule>
  </conditionalFormatting>
  <conditionalFormatting sqref="G4">
    <cfRule type="expression" dxfId="71" priority="72">
      <formula>_xlfn.ISFORMULA(G4)</formula>
    </cfRule>
  </conditionalFormatting>
  <conditionalFormatting sqref="G4">
    <cfRule type="containsBlanks" dxfId="70" priority="71">
      <formula>LEN(TRIM(G4))=0</formula>
    </cfRule>
  </conditionalFormatting>
  <conditionalFormatting sqref="H4">
    <cfRule type="expression" dxfId="69" priority="70">
      <formula>_xlfn.ISFORMULA(H4)</formula>
    </cfRule>
  </conditionalFormatting>
  <conditionalFormatting sqref="H4">
    <cfRule type="containsBlanks" dxfId="68" priority="69">
      <formula>LEN(TRIM(H4))=0</formula>
    </cfRule>
  </conditionalFormatting>
  <conditionalFormatting sqref="G5">
    <cfRule type="expression" dxfId="67" priority="68">
      <formula>_xlfn.ISFORMULA(G5)</formula>
    </cfRule>
  </conditionalFormatting>
  <conditionalFormatting sqref="G5">
    <cfRule type="containsBlanks" dxfId="66" priority="67">
      <formula>LEN(TRIM(G5))=0</formula>
    </cfRule>
  </conditionalFormatting>
  <conditionalFormatting sqref="H5">
    <cfRule type="expression" dxfId="65" priority="66">
      <formula>_xlfn.ISFORMULA(H5)</formula>
    </cfRule>
  </conditionalFormatting>
  <conditionalFormatting sqref="H5">
    <cfRule type="containsBlanks" dxfId="64" priority="65">
      <formula>LEN(TRIM(H5))=0</formula>
    </cfRule>
  </conditionalFormatting>
  <conditionalFormatting sqref="G6">
    <cfRule type="expression" dxfId="63" priority="64">
      <formula>_xlfn.ISFORMULA(G6)</formula>
    </cfRule>
  </conditionalFormatting>
  <conditionalFormatting sqref="G6">
    <cfRule type="containsBlanks" dxfId="62" priority="63">
      <formula>LEN(TRIM(G6))=0</formula>
    </cfRule>
  </conditionalFormatting>
  <conditionalFormatting sqref="H6">
    <cfRule type="expression" dxfId="61" priority="62">
      <formula>_xlfn.ISFORMULA(H6)</formula>
    </cfRule>
  </conditionalFormatting>
  <conditionalFormatting sqref="H6">
    <cfRule type="containsBlanks" dxfId="60" priority="61">
      <formula>LEN(TRIM(H6))=0</formula>
    </cfRule>
  </conditionalFormatting>
  <conditionalFormatting sqref="G7">
    <cfRule type="expression" dxfId="59" priority="60">
      <formula>_xlfn.ISFORMULA(G7)</formula>
    </cfRule>
  </conditionalFormatting>
  <conditionalFormatting sqref="G7">
    <cfRule type="containsBlanks" dxfId="58" priority="59">
      <formula>LEN(TRIM(G7))=0</formula>
    </cfRule>
  </conditionalFormatting>
  <conditionalFormatting sqref="H7">
    <cfRule type="expression" dxfId="57" priority="58">
      <formula>_xlfn.ISFORMULA(H7)</formula>
    </cfRule>
  </conditionalFormatting>
  <conditionalFormatting sqref="H7">
    <cfRule type="containsBlanks" dxfId="56" priority="57">
      <formula>LEN(TRIM(H7))=0</formula>
    </cfRule>
  </conditionalFormatting>
  <conditionalFormatting sqref="G8">
    <cfRule type="expression" dxfId="55" priority="56">
      <formula>_xlfn.ISFORMULA(G8)</formula>
    </cfRule>
  </conditionalFormatting>
  <conditionalFormatting sqref="G8">
    <cfRule type="containsBlanks" dxfId="54" priority="55">
      <formula>LEN(TRIM(G8))=0</formula>
    </cfRule>
  </conditionalFormatting>
  <conditionalFormatting sqref="H8">
    <cfRule type="expression" dxfId="53" priority="54">
      <formula>_xlfn.ISFORMULA(H8)</formula>
    </cfRule>
  </conditionalFormatting>
  <conditionalFormatting sqref="H8">
    <cfRule type="containsBlanks" dxfId="52" priority="53">
      <formula>LEN(TRIM(H8))=0</formula>
    </cfRule>
  </conditionalFormatting>
  <conditionalFormatting sqref="G9">
    <cfRule type="expression" dxfId="51" priority="52">
      <formula>_xlfn.ISFORMULA(G9)</formula>
    </cfRule>
  </conditionalFormatting>
  <conditionalFormatting sqref="G9">
    <cfRule type="containsBlanks" dxfId="50" priority="51">
      <formula>LEN(TRIM(G9))=0</formula>
    </cfRule>
  </conditionalFormatting>
  <conditionalFormatting sqref="H9">
    <cfRule type="expression" dxfId="49" priority="50">
      <formula>_xlfn.ISFORMULA(H9)</formula>
    </cfRule>
  </conditionalFormatting>
  <conditionalFormatting sqref="H9">
    <cfRule type="containsBlanks" dxfId="48" priority="49">
      <formula>LEN(TRIM(H9))=0</formula>
    </cfRule>
  </conditionalFormatting>
  <conditionalFormatting sqref="G10">
    <cfRule type="expression" dxfId="47" priority="48">
      <formula>_xlfn.ISFORMULA(G10)</formula>
    </cfRule>
  </conditionalFormatting>
  <conditionalFormatting sqref="G10">
    <cfRule type="containsBlanks" dxfId="46" priority="47">
      <formula>LEN(TRIM(G10))=0</formula>
    </cfRule>
  </conditionalFormatting>
  <conditionalFormatting sqref="H10">
    <cfRule type="expression" dxfId="45" priority="46">
      <formula>_xlfn.ISFORMULA(H10)</formula>
    </cfRule>
  </conditionalFormatting>
  <conditionalFormatting sqref="H10">
    <cfRule type="containsBlanks" dxfId="44" priority="45">
      <formula>LEN(TRIM(H10))=0</formula>
    </cfRule>
  </conditionalFormatting>
  <conditionalFormatting sqref="G11">
    <cfRule type="expression" dxfId="43" priority="44">
      <formula>_xlfn.ISFORMULA(G11)</formula>
    </cfRule>
  </conditionalFormatting>
  <conditionalFormatting sqref="G11">
    <cfRule type="containsBlanks" dxfId="42" priority="43">
      <formula>LEN(TRIM(G11))=0</formula>
    </cfRule>
  </conditionalFormatting>
  <conditionalFormatting sqref="H11">
    <cfRule type="expression" dxfId="41" priority="42">
      <formula>_xlfn.ISFORMULA(H11)</formula>
    </cfRule>
  </conditionalFormatting>
  <conditionalFormatting sqref="H11">
    <cfRule type="containsBlanks" dxfId="40" priority="41">
      <formula>LEN(TRIM(H11))=0</formula>
    </cfRule>
  </conditionalFormatting>
  <conditionalFormatting sqref="G12:H12">
    <cfRule type="expression" dxfId="39" priority="40">
      <formula>_xlfn.ISFORMULA(G12)</formula>
    </cfRule>
  </conditionalFormatting>
  <conditionalFormatting sqref="G12:H12">
    <cfRule type="containsBlanks" dxfId="38" priority="39">
      <formula>LEN(TRIM(G12))=0</formula>
    </cfRule>
  </conditionalFormatting>
  <conditionalFormatting sqref="G13:H13">
    <cfRule type="expression" dxfId="37" priority="38">
      <formula>_xlfn.ISFORMULA(G13)</formula>
    </cfRule>
  </conditionalFormatting>
  <conditionalFormatting sqref="G13:H13">
    <cfRule type="containsBlanks" dxfId="36" priority="37">
      <formula>LEN(TRIM(G13))=0</formula>
    </cfRule>
  </conditionalFormatting>
  <conditionalFormatting sqref="G14:H14">
    <cfRule type="expression" dxfId="35" priority="36">
      <formula>_xlfn.ISFORMULA(G14)</formula>
    </cfRule>
  </conditionalFormatting>
  <conditionalFormatting sqref="G14:H14">
    <cfRule type="containsBlanks" dxfId="34" priority="35">
      <formula>LEN(TRIM(G14))=0</formula>
    </cfRule>
  </conditionalFormatting>
  <conditionalFormatting sqref="G15:H15">
    <cfRule type="expression" dxfId="33" priority="34">
      <formula>_xlfn.ISFORMULA(G15)</formula>
    </cfRule>
  </conditionalFormatting>
  <conditionalFormatting sqref="G15:H15">
    <cfRule type="containsBlanks" dxfId="32" priority="33">
      <formula>LEN(TRIM(G15))=0</formula>
    </cfRule>
  </conditionalFormatting>
  <conditionalFormatting sqref="G16:H16">
    <cfRule type="expression" dxfId="31" priority="32">
      <formula>_xlfn.ISFORMULA(G16)</formula>
    </cfRule>
  </conditionalFormatting>
  <conditionalFormatting sqref="G16:H16">
    <cfRule type="containsBlanks" dxfId="30" priority="31">
      <formula>LEN(TRIM(G16))=0</formula>
    </cfRule>
  </conditionalFormatting>
  <conditionalFormatting sqref="G17:H17">
    <cfRule type="expression" dxfId="29" priority="30">
      <formula>_xlfn.ISFORMULA(G17)</formula>
    </cfRule>
  </conditionalFormatting>
  <conditionalFormatting sqref="G17:H17">
    <cfRule type="containsBlanks" dxfId="28" priority="29">
      <formula>LEN(TRIM(G17))=0</formula>
    </cfRule>
  </conditionalFormatting>
  <conditionalFormatting sqref="G18:H18">
    <cfRule type="expression" dxfId="27" priority="28">
      <formula>_xlfn.ISFORMULA(G18)</formula>
    </cfRule>
  </conditionalFormatting>
  <conditionalFormatting sqref="G18:H18">
    <cfRule type="containsBlanks" dxfId="26" priority="27">
      <formula>LEN(TRIM(G18))=0</formula>
    </cfRule>
  </conditionalFormatting>
  <conditionalFormatting sqref="G19:H19">
    <cfRule type="expression" dxfId="25" priority="26">
      <formula>_xlfn.ISFORMULA(G19)</formula>
    </cfRule>
  </conditionalFormatting>
  <conditionalFormatting sqref="G19:H19">
    <cfRule type="containsBlanks" dxfId="24" priority="25">
      <formula>LEN(TRIM(G19))=0</formula>
    </cfRule>
  </conditionalFormatting>
  <conditionalFormatting sqref="G20:H20">
    <cfRule type="expression" dxfId="23" priority="24">
      <formula>_xlfn.ISFORMULA(G20)</formula>
    </cfRule>
  </conditionalFormatting>
  <conditionalFormatting sqref="G20:H20">
    <cfRule type="containsBlanks" dxfId="22" priority="23">
      <formula>LEN(TRIM(G20))=0</formula>
    </cfRule>
  </conditionalFormatting>
  <conditionalFormatting sqref="G21:H21">
    <cfRule type="expression" dxfId="21" priority="22">
      <formula>_xlfn.ISFORMULA(G21)</formula>
    </cfRule>
  </conditionalFormatting>
  <conditionalFormatting sqref="G21:H21">
    <cfRule type="containsBlanks" dxfId="20" priority="21">
      <formula>LEN(TRIM(G21))=0</formula>
    </cfRule>
  </conditionalFormatting>
  <conditionalFormatting sqref="G22:H22">
    <cfRule type="expression" dxfId="19" priority="20">
      <formula>_xlfn.ISFORMULA(G22)</formula>
    </cfRule>
  </conditionalFormatting>
  <conditionalFormatting sqref="G22:H22">
    <cfRule type="containsBlanks" dxfId="18" priority="19">
      <formula>LEN(TRIM(G22))=0</formula>
    </cfRule>
  </conditionalFormatting>
  <conditionalFormatting sqref="G23:H23">
    <cfRule type="expression" dxfId="17" priority="18">
      <formula>_xlfn.ISFORMULA(G23)</formula>
    </cfRule>
  </conditionalFormatting>
  <conditionalFormatting sqref="G23:H23">
    <cfRule type="containsBlanks" dxfId="16" priority="17">
      <formula>LEN(TRIM(G23))=0</formula>
    </cfRule>
  </conditionalFormatting>
  <conditionalFormatting sqref="G24:H24">
    <cfRule type="expression" dxfId="15" priority="16">
      <formula>_xlfn.ISFORMULA(G24)</formula>
    </cfRule>
  </conditionalFormatting>
  <conditionalFormatting sqref="G24:H24">
    <cfRule type="containsBlanks" dxfId="14" priority="15">
      <formula>LEN(TRIM(G24))=0</formula>
    </cfRule>
  </conditionalFormatting>
  <conditionalFormatting sqref="G25:H25">
    <cfRule type="expression" dxfId="13" priority="14">
      <formula>_xlfn.ISFORMULA(G25)</formula>
    </cfRule>
  </conditionalFormatting>
  <conditionalFormatting sqref="G25:H25">
    <cfRule type="containsBlanks" dxfId="12" priority="13">
      <formula>LEN(TRIM(G25))=0</formula>
    </cfRule>
  </conditionalFormatting>
  <conditionalFormatting sqref="G26:H26">
    <cfRule type="expression" dxfId="11" priority="12">
      <formula>_xlfn.ISFORMULA(G26)</formula>
    </cfRule>
  </conditionalFormatting>
  <conditionalFormatting sqref="G26:H26">
    <cfRule type="containsBlanks" dxfId="10" priority="11">
      <formula>LEN(TRIM(G26))=0</formula>
    </cfRule>
  </conditionalFormatting>
  <conditionalFormatting sqref="G27:H27">
    <cfRule type="expression" dxfId="9" priority="10">
      <formula>_xlfn.ISFORMULA(G27)</formula>
    </cfRule>
  </conditionalFormatting>
  <conditionalFormatting sqref="G27:H27">
    <cfRule type="containsBlanks" dxfId="8" priority="9">
      <formula>LEN(TRIM(G27))=0</formula>
    </cfRule>
  </conditionalFormatting>
  <conditionalFormatting sqref="G28:H28">
    <cfRule type="expression" dxfId="7" priority="8">
      <formula>_xlfn.ISFORMULA(G28)</formula>
    </cfRule>
  </conditionalFormatting>
  <conditionalFormatting sqref="G28:H28">
    <cfRule type="containsBlanks" dxfId="6" priority="7">
      <formula>LEN(TRIM(G28))=0</formula>
    </cfRule>
  </conditionalFormatting>
  <conditionalFormatting sqref="G29:H29">
    <cfRule type="expression" dxfId="5" priority="6">
      <formula>_xlfn.ISFORMULA(G29)</formula>
    </cfRule>
  </conditionalFormatting>
  <conditionalFormatting sqref="G29:H29">
    <cfRule type="containsBlanks" dxfId="4" priority="5">
      <formula>LEN(TRIM(G29))=0</formula>
    </cfRule>
  </conditionalFormatting>
  <conditionalFormatting sqref="G30:H30">
    <cfRule type="expression" dxfId="3" priority="4">
      <formula>_xlfn.ISFORMULA(G30)</formula>
    </cfRule>
  </conditionalFormatting>
  <conditionalFormatting sqref="G30:H30">
    <cfRule type="containsBlanks" dxfId="2" priority="3">
      <formula>LEN(TRIM(G30))=0</formula>
    </cfRule>
  </conditionalFormatting>
  <conditionalFormatting sqref="G31:H31">
    <cfRule type="expression" dxfId="1" priority="2">
      <formula>_xlfn.ISFORMULA(G31)</formula>
    </cfRule>
  </conditionalFormatting>
  <conditionalFormatting sqref="G31:H31">
    <cfRule type="containsBlanks" dxfId="0" priority="1">
      <formula>LEN(TRIM(G31))=0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968739-DA42-4A49-9713-DE86C55F52C3}"/>
</file>

<file path=customXml/itemProps2.xml><?xml version="1.0" encoding="utf-8"?>
<ds:datastoreItem xmlns:ds="http://schemas.openxmlformats.org/officeDocument/2006/customXml" ds:itemID="{FD2D8B98-1D69-4C2A-9913-B2798505CD18}"/>
</file>

<file path=customXml/itemProps3.xml><?xml version="1.0" encoding="utf-8"?>
<ds:datastoreItem xmlns:ds="http://schemas.openxmlformats.org/officeDocument/2006/customXml" ds:itemID="{E320972B-EAAF-43C7-B885-DC01211A70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 Genders</dc:creator>
  <cp:keywords/>
  <dc:description/>
  <cp:lastModifiedBy>Janine Vye-Parminter</cp:lastModifiedBy>
  <cp:revision/>
  <dcterms:created xsi:type="dcterms:W3CDTF">2024-03-27T14:55:28Z</dcterms:created>
  <dcterms:modified xsi:type="dcterms:W3CDTF">2024-04-12T09:22:40Z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