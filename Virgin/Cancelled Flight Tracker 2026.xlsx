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lpianese_goldbergsgroup_com/Documents/Desktop/Virgin Atlantic/"/>
    </mc:Choice>
  </mc:AlternateContent>
  <xr:revisionPtr revIDLastSave="14" documentId="8_{482AD411-2EAA-4684-8EDE-523F2FE9A0F4}" xr6:coauthVersionLast="47" xr6:coauthVersionMax="47" xr10:uidLastSave="{8888B0AC-B566-42A9-9CEA-8593A852BF2D}"/>
  <bookViews>
    <workbookView xWindow="-23148" yWindow="-108" windowWidth="23256" windowHeight="12456" xr2:uid="{75DC002A-9F05-4F6B-B6BD-2DDE9920FB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M13" i="1"/>
  <c r="N13" i="1"/>
  <c r="M14" i="1"/>
  <c r="N14" i="1"/>
  <c r="M15" i="1"/>
  <c r="N15" i="1"/>
  <c r="M16" i="1"/>
  <c r="N16" i="1"/>
  <c r="M5" i="1"/>
  <c r="M6" i="1"/>
  <c r="M7" i="1"/>
  <c r="M8" i="1"/>
  <c r="M9" i="1"/>
  <c r="M10" i="1"/>
  <c r="M11" i="1"/>
  <c r="M4" i="1"/>
  <c r="N4" i="1"/>
  <c r="N5" i="1"/>
  <c r="N6" i="1"/>
  <c r="N7" i="1"/>
  <c r="N8" i="1"/>
  <c r="N9" i="1"/>
  <c r="N10" i="1"/>
  <c r="N11" i="1"/>
</calcChain>
</file>

<file path=xl/sharedStrings.xml><?xml version="1.0" encoding="utf-8"?>
<sst xmlns="http://schemas.openxmlformats.org/spreadsheetml/2006/main" count="99" uniqueCount="28">
  <si>
    <t>Virgin Cancelled flights 2026</t>
  </si>
  <si>
    <t>SEQ</t>
  </si>
  <si>
    <t>Flight #</t>
  </si>
  <si>
    <t>Flt Date</t>
  </si>
  <si>
    <t>Dep St</t>
  </si>
  <si>
    <t>Arr St</t>
  </si>
  <si>
    <t>Sched Dep Time</t>
  </si>
  <si>
    <t>Actual Dep time</t>
  </si>
  <si>
    <t>Status</t>
  </si>
  <si>
    <t>Service</t>
  </si>
  <si>
    <t>Vendor</t>
  </si>
  <si>
    <t>Date Notified</t>
  </si>
  <si>
    <t>Time Notified</t>
  </si>
  <si>
    <t>Days +</t>
  </si>
  <si>
    <t>Variance in hours</t>
  </si>
  <si>
    <t xml:space="preserve">Within Agreement </t>
  </si>
  <si>
    <t>VS110</t>
  </si>
  <si>
    <t>ATL</t>
  </si>
  <si>
    <t xml:space="preserve">MAN </t>
  </si>
  <si>
    <t>NA</t>
  </si>
  <si>
    <t>Canceled</t>
  </si>
  <si>
    <t>Catering Onboard Service</t>
  </si>
  <si>
    <t>Mainline Aviation- ATL</t>
  </si>
  <si>
    <t>VS104</t>
  </si>
  <si>
    <t>LHR</t>
  </si>
  <si>
    <t>VS105</t>
  </si>
  <si>
    <t>VS106</t>
  </si>
  <si>
    <t>VS107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</si>
</sst>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F400]h:mm:ss\ AM/PM"/>
    <numFmt numFmtId="165" formatCode="h:mm;@"/>
  </numFmts>
  <fonts count="7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8"/>
      <color rgb="FF000000"/>
      <name val="Arial"/>
      <family val="2"/>
    </font>
    <font>
      <sz val="8"/>
      <name val="Trebuchet MS"/>
      <family val="2"/>
      <scheme val="minor"/>
    </font>
    <font>
      <b/>
      <i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18"/>
      <color theme="1"/>
      <name val="Trebuchet M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0" xfId="0" applyFont="1"/>
    <xf numFmtId="16" fontId="2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16" fontId="5" fillId="0" borderId="3" xfId="0" applyNumberFormat="1" applyFont="1" applyBorder="1" applyAlignment="1">
      <alignment horizontal="center" vertical="top" wrapText="1"/>
    </xf>
    <xf numFmtId="164" fontId="5" fillId="0" borderId="3" xfId="0" applyNumberFormat="1" applyFont="1" applyBorder="1" applyAlignment="1">
      <alignment horizontal="center" vertical="top" wrapText="1"/>
    </xf>
    <xf numFmtId="43" fontId="0" fillId="0" borderId="0" xfId="0" applyNumberFormat="1"/>
    <xf numFmtId="2" fontId="0" fillId="0" borderId="3" xfId="0" applyNumberFormat="1" applyBorder="1"/>
    <xf numFmtId="165" fontId="0" fillId="0" borderId="3" xfId="0" applyNumberFormat="1" applyBorder="1"/>
    <xf numFmtId="165" fontId="0" fillId="2" borderId="3" xfId="0" applyNumberFormat="1" applyFill="1" applyBorder="1"/>
    <xf numFmtId="20" fontId="0" fillId="0" borderId="3" xfId="0" applyNumberForma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1B15-79CB-4365-AAB4-D469D8C0A6BD}">
  <dimension ref="A2:P16"/>
  <sheetViews>
    <sheetView tabSelected="1" zoomScale="85" zoomScaleNormal="85" workbookViewId="0">
      <selection activeCell="L13" sqref="L13"/>
    </sheetView>
  </sheetViews>
  <sheetFormatPr defaultRowHeight="16.5"/>
  <cols>
    <col min="1" max="1" width="4.625" bestFit="1" customWidth="1"/>
    <col min="2" max="2" width="7.875" bestFit="1" customWidth="1"/>
    <col min="3" max="3" width="8.25" bestFit="1" customWidth="1"/>
    <col min="4" max="4" width="7" bestFit="1" customWidth="1"/>
    <col min="5" max="5" width="6.25" bestFit="1" customWidth="1"/>
    <col min="6" max="6" width="15.75" bestFit="1" customWidth="1"/>
    <col min="7" max="7" width="15.625" hidden="1" customWidth="1"/>
    <col min="8" max="8" width="8.125" bestFit="1" customWidth="1"/>
    <col min="9" max="9" width="7.75" bestFit="1" customWidth="1"/>
    <col min="10" max="10" width="7.375" bestFit="1" customWidth="1"/>
    <col min="11" max="11" width="12.875" bestFit="1" customWidth="1"/>
    <col min="12" max="12" width="13.375" customWidth="1"/>
    <col min="13" max="13" width="6.875" bestFit="1" customWidth="1"/>
    <col min="14" max="14" width="16.875" bestFit="1" customWidth="1"/>
    <col min="15" max="15" width="18.125" customWidth="1"/>
  </cols>
  <sheetData>
    <row r="2" spans="1:16" ht="23.25">
      <c r="A2" s="17" t="s">
        <v>0</v>
      </c>
      <c r="B2" s="17"/>
      <c r="C2" s="17"/>
      <c r="D2" s="17"/>
      <c r="E2" s="17"/>
      <c r="F2" s="17"/>
      <c r="G2" s="17"/>
      <c r="H2" s="17"/>
    </row>
    <row r="3" spans="1:16" ht="3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9" t="s">
        <v>15</v>
      </c>
    </row>
    <row r="4" spans="1:16" ht="33.75">
      <c r="A4" s="3">
        <v>1</v>
      </c>
      <c r="B4" s="1" t="s">
        <v>16</v>
      </c>
      <c r="C4" s="5">
        <v>46046</v>
      </c>
      <c r="D4" s="2" t="s">
        <v>17</v>
      </c>
      <c r="E4" s="2" t="s">
        <v>18</v>
      </c>
      <c r="F4" s="8">
        <v>0.89930555555555558</v>
      </c>
      <c r="G4" s="2" t="s">
        <v>19</v>
      </c>
      <c r="H4" s="6" t="s">
        <v>20</v>
      </c>
      <c r="I4" s="2" t="s">
        <v>21</v>
      </c>
      <c r="J4" s="7" t="s">
        <v>22</v>
      </c>
      <c r="K4" s="10">
        <v>46045</v>
      </c>
      <c r="L4" s="11">
        <v>0.57916666666666672</v>
      </c>
      <c r="M4" s="13">
        <f>SUM(C4-K4)</f>
        <v>1</v>
      </c>
      <c r="N4" s="14">
        <f>F4-L4</f>
        <v>0.32013888888888886</v>
      </c>
      <c r="O4" s="15"/>
    </row>
    <row r="5" spans="1:16" ht="33.75">
      <c r="A5" s="3">
        <v>3</v>
      </c>
      <c r="B5" s="1" t="s">
        <v>16</v>
      </c>
      <c r="C5" s="5">
        <v>46091</v>
      </c>
      <c r="D5" s="2" t="s">
        <v>17</v>
      </c>
      <c r="E5" s="2" t="s">
        <v>18</v>
      </c>
      <c r="F5" s="8">
        <v>0.94097222222222221</v>
      </c>
      <c r="G5" s="2" t="s">
        <v>19</v>
      </c>
      <c r="H5" s="6" t="s">
        <v>20</v>
      </c>
      <c r="I5" s="2" t="s">
        <v>21</v>
      </c>
      <c r="J5" s="7" t="s">
        <v>22</v>
      </c>
      <c r="K5" s="10">
        <v>46090</v>
      </c>
      <c r="L5" s="11">
        <v>0.44097222222222221</v>
      </c>
      <c r="M5" s="13">
        <f t="shared" ref="M5:M11" si="0">SUM(C5-K5)</f>
        <v>1</v>
      </c>
      <c r="N5" s="16">
        <f t="shared" ref="N5" si="1">F5-L5</f>
        <v>0.5</v>
      </c>
      <c r="O5" s="15"/>
      <c r="P5" s="12"/>
    </row>
    <row r="6" spans="1:16" ht="33.75">
      <c r="A6" s="3">
        <v>3</v>
      </c>
      <c r="B6" s="1" t="s">
        <v>23</v>
      </c>
      <c r="C6" s="5">
        <v>46112</v>
      </c>
      <c r="D6" s="2" t="s">
        <v>17</v>
      </c>
      <c r="E6" s="2" t="s">
        <v>24</v>
      </c>
      <c r="F6" s="8">
        <v>0.76041666666666663</v>
      </c>
      <c r="G6" s="2" t="s">
        <v>19</v>
      </c>
      <c r="H6" s="6" t="s">
        <v>20</v>
      </c>
      <c r="I6" s="2" t="s">
        <v>21</v>
      </c>
      <c r="J6" s="7" t="s">
        <v>22</v>
      </c>
      <c r="K6" s="10">
        <v>46111</v>
      </c>
      <c r="L6" s="11">
        <v>0.53611111111111109</v>
      </c>
      <c r="M6" s="13">
        <f t="shared" si="0"/>
        <v>1</v>
      </c>
      <c r="N6" s="14">
        <f>F6-L6</f>
        <v>0.22430555555555554</v>
      </c>
      <c r="O6" s="15"/>
    </row>
    <row r="7" spans="1:16" ht="33.75">
      <c r="A7" s="3">
        <v>4</v>
      </c>
      <c r="B7" s="1" t="s">
        <v>23</v>
      </c>
      <c r="C7" s="5">
        <v>46116</v>
      </c>
      <c r="D7" s="2" t="s">
        <v>17</v>
      </c>
      <c r="E7" s="2" t="s">
        <v>24</v>
      </c>
      <c r="F7" s="8">
        <v>0.76041666666666663</v>
      </c>
      <c r="G7" s="2" t="s">
        <v>19</v>
      </c>
      <c r="H7" s="6" t="s">
        <v>20</v>
      </c>
      <c r="I7" s="2" t="s">
        <v>21</v>
      </c>
      <c r="J7" s="7" t="s">
        <v>22</v>
      </c>
      <c r="K7" s="10">
        <v>46115</v>
      </c>
      <c r="L7" s="11">
        <v>0.46527777777777779</v>
      </c>
      <c r="M7" s="13">
        <f t="shared" si="0"/>
        <v>1</v>
      </c>
      <c r="N7" s="14">
        <f>F7-L7</f>
        <v>0.29513888888888884</v>
      </c>
      <c r="O7" s="15"/>
    </row>
    <row r="8" spans="1:16" ht="33.75" hidden="1">
      <c r="A8" s="3">
        <v>5</v>
      </c>
      <c r="B8" s="1" t="s">
        <v>25</v>
      </c>
      <c r="C8" s="5">
        <v>46117</v>
      </c>
      <c r="D8" s="2" t="s">
        <v>17</v>
      </c>
      <c r="E8" s="2" t="s">
        <v>24</v>
      </c>
      <c r="F8" s="8">
        <v>0.78125</v>
      </c>
      <c r="G8" s="2" t="s">
        <v>19</v>
      </c>
      <c r="H8" s="6" t="s">
        <v>20</v>
      </c>
      <c r="I8" s="2" t="s">
        <v>21</v>
      </c>
      <c r="J8" s="7" t="s">
        <v>22</v>
      </c>
      <c r="K8" s="10">
        <v>46117</v>
      </c>
      <c r="L8" s="11"/>
      <c r="M8" s="13">
        <f t="shared" si="0"/>
        <v>0</v>
      </c>
      <c r="N8" s="14">
        <f>F8-L8</f>
        <v>0.78125</v>
      </c>
      <c r="O8" s="14"/>
    </row>
    <row r="9" spans="1:16" ht="33.75" hidden="1">
      <c r="A9" s="3">
        <v>6</v>
      </c>
      <c r="B9" s="1" t="s">
        <v>26</v>
      </c>
      <c r="C9" s="5">
        <v>46118</v>
      </c>
      <c r="D9" s="2" t="s">
        <v>17</v>
      </c>
      <c r="E9" s="2" t="s">
        <v>24</v>
      </c>
      <c r="F9" s="8">
        <v>0.82291666666666696</v>
      </c>
      <c r="G9" s="2" t="s">
        <v>19</v>
      </c>
      <c r="H9" s="6" t="s">
        <v>20</v>
      </c>
      <c r="I9" s="2" t="s">
        <v>21</v>
      </c>
      <c r="J9" s="7" t="s">
        <v>22</v>
      </c>
      <c r="K9" s="10">
        <v>46118</v>
      </c>
      <c r="L9" s="11"/>
      <c r="M9" s="13">
        <f t="shared" si="0"/>
        <v>0</v>
      </c>
      <c r="N9" s="14">
        <f>F9-L9</f>
        <v>0.82291666666666696</v>
      </c>
      <c r="O9" s="14"/>
    </row>
    <row r="10" spans="1:16" ht="33.75" hidden="1">
      <c r="A10" s="3">
        <v>7</v>
      </c>
      <c r="B10" s="1" t="s">
        <v>27</v>
      </c>
      <c r="C10" s="5">
        <v>46119</v>
      </c>
      <c r="D10" s="2" t="s">
        <v>17</v>
      </c>
      <c r="E10" s="2" t="s">
        <v>24</v>
      </c>
      <c r="F10" s="8">
        <v>0.86458333333333304</v>
      </c>
      <c r="G10" s="2" t="s">
        <v>19</v>
      </c>
      <c r="H10" s="6" t="s">
        <v>20</v>
      </c>
      <c r="I10" s="2" t="s">
        <v>21</v>
      </c>
      <c r="J10" s="7" t="s">
        <v>22</v>
      </c>
      <c r="K10" s="10">
        <v>46119</v>
      </c>
      <c r="L10" s="11"/>
      <c r="M10" s="13">
        <f t="shared" si="0"/>
        <v>0</v>
      </c>
      <c r="N10" s="14">
        <f>F10-L10</f>
        <v>0.86458333333333304</v>
      </c>
      <c r="O10" s="14"/>
    </row>
    <row r="11" spans="1:16" ht="30.75">
      <c r="A11" s="3">
        <v>8</v>
      </c>
      <c r="B11" s="1" t="s">
        <v>16</v>
      </c>
      <c r="C11" s="5">
        <v>46116</v>
      </c>
      <c r="D11" s="2" t="s">
        <v>17</v>
      </c>
      <c r="E11" s="2" t="s">
        <v>18</v>
      </c>
      <c r="F11" s="8">
        <v>0.82291666666666663</v>
      </c>
      <c r="G11" s="2" t="s">
        <v>19</v>
      </c>
      <c r="H11" s="6" t="s">
        <v>20</v>
      </c>
      <c r="I11" s="2" t="s">
        <v>21</v>
      </c>
      <c r="J11" s="7" t="s">
        <v>22</v>
      </c>
      <c r="K11" s="10">
        <v>46116</v>
      </c>
      <c r="L11" s="11">
        <v>0.46527777777777779</v>
      </c>
      <c r="M11" s="13">
        <f t="shared" si="0"/>
        <v>0</v>
      </c>
      <c r="N11" s="14">
        <f>F11-L11</f>
        <v>0.35763888888888884</v>
      </c>
      <c r="O11" s="15"/>
    </row>
    <row r="12" spans="1:16" ht="30.75">
      <c r="A12" s="3">
        <v>9</v>
      </c>
      <c r="B12" s="1" t="s">
        <v>23</v>
      </c>
      <c r="C12" s="5">
        <v>46158</v>
      </c>
      <c r="D12" s="2" t="s">
        <v>17</v>
      </c>
      <c r="E12" s="2" t="s">
        <v>24</v>
      </c>
      <c r="F12" s="8">
        <v>0.76041666666666663</v>
      </c>
      <c r="G12" s="2" t="s">
        <v>19</v>
      </c>
      <c r="H12" s="6" t="s">
        <v>20</v>
      </c>
      <c r="I12" s="2" t="s">
        <v>21</v>
      </c>
      <c r="J12" s="7" t="s">
        <v>22</v>
      </c>
      <c r="K12" s="10">
        <v>46158</v>
      </c>
      <c r="L12" s="11">
        <v>0.72916666666666663</v>
      </c>
      <c r="M12" s="13">
        <f t="shared" ref="M12:M16" si="2">SUM(C12-K12)</f>
        <v>0</v>
      </c>
      <c r="N12" s="14">
        <f t="shared" ref="N12:N16" si="3">F12-L12</f>
        <v>3.125E-2</v>
      </c>
      <c r="O12" s="14"/>
    </row>
    <row r="13" spans="1:16" ht="30.75">
      <c r="A13" s="3">
        <v>10</v>
      </c>
      <c r="B13" s="1"/>
      <c r="C13" s="5"/>
      <c r="D13" s="2" t="s">
        <v>17</v>
      </c>
      <c r="E13" s="2"/>
      <c r="F13" s="8">
        <v>46158</v>
      </c>
      <c r="G13" s="2" t="s">
        <v>19</v>
      </c>
      <c r="H13" s="6" t="s">
        <v>20</v>
      </c>
      <c r="I13" s="2" t="s">
        <v>21</v>
      </c>
      <c r="J13" s="7" t="s">
        <v>22</v>
      </c>
      <c r="K13" s="10"/>
      <c r="L13" s="11"/>
      <c r="M13" s="13">
        <f t="shared" si="2"/>
        <v>0</v>
      </c>
      <c r="N13" s="14">
        <f t="shared" si="3"/>
        <v>46158</v>
      </c>
      <c r="O13" s="14"/>
    </row>
    <row r="14" spans="1:16" ht="33.75">
      <c r="A14" s="3">
        <v>11</v>
      </c>
      <c r="B14" s="1"/>
      <c r="C14" s="5"/>
      <c r="D14" s="2" t="s">
        <v>17</v>
      </c>
      <c r="E14" s="2"/>
      <c r="F14" s="8"/>
      <c r="G14" s="2" t="s">
        <v>19</v>
      </c>
      <c r="H14" s="6" t="s">
        <v>20</v>
      </c>
      <c r="I14" s="2" t="s">
        <v>21</v>
      </c>
      <c r="J14" s="7" t="s">
        <v>22</v>
      </c>
      <c r="K14" s="10"/>
      <c r="L14" s="11"/>
      <c r="M14" s="13">
        <f t="shared" si="2"/>
        <v>0</v>
      </c>
      <c r="N14" s="14">
        <f t="shared" si="3"/>
        <v>0</v>
      </c>
      <c r="O14" s="14"/>
    </row>
    <row r="15" spans="1:16" ht="33.75">
      <c r="A15" s="3">
        <v>12</v>
      </c>
      <c r="B15" s="1"/>
      <c r="C15" s="5"/>
      <c r="D15" s="2" t="s">
        <v>17</v>
      </c>
      <c r="E15" s="2"/>
      <c r="F15" s="8"/>
      <c r="G15" s="2" t="s">
        <v>19</v>
      </c>
      <c r="H15" s="6" t="s">
        <v>20</v>
      </c>
      <c r="I15" s="2" t="s">
        <v>21</v>
      </c>
      <c r="J15" s="7" t="s">
        <v>22</v>
      </c>
      <c r="K15" s="10"/>
      <c r="L15" s="11"/>
      <c r="M15" s="13">
        <f t="shared" si="2"/>
        <v>0</v>
      </c>
      <c r="N15" s="14">
        <f t="shared" si="3"/>
        <v>0</v>
      </c>
      <c r="O15" s="14"/>
    </row>
    <row r="16" spans="1:16" ht="33.75">
      <c r="A16" s="3">
        <v>13</v>
      </c>
      <c r="B16" s="1"/>
      <c r="C16" s="5"/>
      <c r="D16" s="2" t="s">
        <v>17</v>
      </c>
      <c r="E16" s="2"/>
      <c r="F16" s="8"/>
      <c r="G16" s="2" t="s">
        <v>19</v>
      </c>
      <c r="H16" s="6" t="s">
        <v>20</v>
      </c>
      <c r="I16" s="2" t="s">
        <v>21</v>
      </c>
      <c r="J16" s="7" t="s">
        <v>22</v>
      </c>
      <c r="K16" s="10"/>
      <c r="L16" s="11"/>
      <c r="M16" s="13">
        <f t="shared" si="2"/>
        <v>0</v>
      </c>
      <c r="N16" s="14">
        <f t="shared" si="3"/>
        <v>0</v>
      </c>
      <c r="O16" s="14"/>
    </row>
  </sheetData>
  <mergeCells count="1">
    <mergeCell ref="A2:H2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9c73f154aa90295fe69c3dad76979201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3304b05f5e8d0097e758cfa1658ef71e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E2D98-EACA-4ECC-9688-A2EF32EC1A9F}"/>
</file>

<file path=customXml/itemProps2.xml><?xml version="1.0" encoding="utf-8"?>
<ds:datastoreItem xmlns:ds="http://schemas.openxmlformats.org/officeDocument/2006/customXml" ds:itemID="{DA908ABA-5D7D-41A1-A90B-CEEBA1CB9CB4}"/>
</file>

<file path=customXml/itemProps3.xml><?xml version="1.0" encoding="utf-8"?>
<ds:datastoreItem xmlns:ds="http://schemas.openxmlformats.org/officeDocument/2006/customXml" ds:itemID="{20427F4C-9747-436A-9F9C-5FDCCF0253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 Pianese</dc:creator>
  <cp:keywords/>
  <dc:description/>
  <cp:lastModifiedBy>Lamont Watson</cp:lastModifiedBy>
  <cp:revision/>
  <dcterms:created xsi:type="dcterms:W3CDTF">2026-04-06T16:59:30Z</dcterms:created>
  <dcterms:modified xsi:type="dcterms:W3CDTF">2026-05-18T20:21:12Z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